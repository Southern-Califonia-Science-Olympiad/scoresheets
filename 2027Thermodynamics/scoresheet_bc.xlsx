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<sst xmlns="http://schemas.openxmlformats.org/spreadsheetml/2006/main" count="148" uniqueCount="106">
  <si>
    <t xml:space="preserve">Impound</t>
  </si>
  <si>
    <t xml:space="preserve">Check-in</t>
  </si>
  <si>
    <t xml:space="preserve">Device Testing</t>
  </si>
  <si>
    <t xml:space="preserve">Part I</t>
  </si>
  <si>
    <t xml:space="preserve">Req*</t>
  </si>
  <si>
    <t xml:space="preserve">*Required only if device is allowed to run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</si>
  <si>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</si>
  <si>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</si>
  <si>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</si>
  <si>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</si>
  <si>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</si>
  <si>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</si>
  <si>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</si>
  <si>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</si>
  <si>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</si>
  <si>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</si>
  <si>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Actual Ratio 1</t>
  </si>
  <si>
    <t xml:space="preserve">Actual Ratio 2</t>
  </si>
  <si>
    <t xml:space="preserve">1. Device Impounded (T/F)</t>
  </si>
  <si>
    <t xml:space="preserve">2. Device does not contain hazardous materials (T/F)</t>
  </si>
  <si>
    <t xml:space="preserve">3. No energy sources (T/F)</t>
  </si>
  <si>
    <t xml:space="preserve">4. # of Construction Violations</t>
  </si>
  <si>
    <t xml:space="preserve">5. Team does not touch their setup during the Heating Time (T/F)</t>
  </si>
  <si>
    <t xml:space="preserve">6. # of Competition Violations</t>
  </si>
  <si>
    <t xml:space="preserve">7. Starting Water Temp</t>
  </si>
  <si>
    <t xml:space="preserve">8. Predicted Final Temp</t>
  </si>
  <si>
    <t xml:space="preserve">9. Actual Final Temp</t>
  </si>
  <si>
    <t xml:space="preserve">10. Part I Raw Score</t>
  </si>
  <si>
    <t xml:space="preserve">11. Tiebreak 3 Ranking (If blank, assumes rank 1)</t>
  </si>
  <si>
    <t xml:space="preserve">12. Disqualify (T/F)</t>
  </si>
  <si>
    <t xml:space="preserve">Errors</t>
  </si>
  <si>
    <t xml:space="preserve">ES</t>
  </si>
  <si>
    <t xml:space="preserve">TS</t>
  </si>
  <si>
    <t xml:space="preserve">PS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</si>
  <si>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</si>
  <si>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</si>
  <si>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</si>
  <si>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</si>
  <si>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</si>
  <si>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</si>
  <si>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</si>
  <si>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</si>
  <si>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Highest TG</t>
  </si>
  <si>
    <t xml:space="preserve">Highest PE</t>
  </si>
  <si>
    <t xml:space="preserve">Part I Highest Raw Score</t>
  </si>
  <si>
    <t xml:space="preserve">Box 7 or Box 9 is missing.</t>
  </si>
  <si>
    <t xml:space="preserve">Box 9 cannot be 0.</t>
  </si>
  <si>
    <t xml:space="preserve">Status</t>
  </si>
  <si>
    <t xml:space="preserve">TS/PS Multiplier</t>
  </si>
  <si>
    <t xml:space="preserve">TG</t>
  </si>
  <si>
    <t xml:space="preserve">TG Error Check</t>
  </si>
  <si>
    <t xml:space="preserve">Raw TS</t>
  </si>
  <si>
    <t xml:space="preserve">PE</t>
  </si>
  <si>
    <t xml:space="preserve">PE Error Check</t>
  </si>
  <si>
    <t xml:space="preserve">Raw PS</t>
  </si>
  <si>
    <t xml:space="preserve">TB1 (Best TS)</t>
  </si>
  <si>
    <t xml:space="preserve">TB1 Rank</t>
  </si>
  <si>
    <t xml:space="preserve">TB2 (Best ES)</t>
  </si>
  <si>
    <t xml:space="preserve">TB2 Rank</t>
  </si>
  <si>
    <t xml:space="preserve">TB3 Rank</t>
  </si>
  <si>
    <t xml:space="preserve">Rank w/ TB</t>
  </si>
  <si>
    <t xml:space="preserve">Rank Diff</t>
  </si>
  <si>
    <t xml:space="preserve">Name Desc</t>
  </si>
  <si>
    <t xml:space="preserve">Value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</si>
  <si>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</si>
  <si>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</si>
  <si>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</si>
  <si>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</si>
  <si>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</si>
  <si>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</si>
  <si>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</si>
  <si>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</si>
  <si>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</si>
  <si>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</si>
  <si>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ES Multiplier</t>
  </si>
  <si>
    <t xml:space="preserve">TS Multiplier</t>
  </si>
  <si>
    <t xml:space="preserve">PS Multiplier</t>
  </si>
  <si>
    <t xml:space="preserve">Construction Penalty Multiplier</t>
  </si>
  <si>
    <t xml:space="preserve">Competition Penalty Multiplier</t>
  </si>
  <si>
    <t xml:space="preserve">Default TB3 Rank</t>
  </si>
  <si>
    <t xml:space="preserve">Error Status</t>
  </si>
  <si>
    <t xml:space="preserve">ERR</t>
  </si>
  <si>
    <t xml:space="preserve">Date</t>
  </si>
  <si>
    <t xml:space="preserve">Version #</t>
  </si>
  <si>
    <t xml:space="preserve">Change</t>
  </si>
  <si>
    <t xml:space="preserve">Event</t>
  </si>
  <si>
    <t xml:space="preserve">Thermodynamics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</si>
  <si>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</si>
  <si>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</si>
  <si>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</si>
  <si>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</si>
  <si>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</si>
  <si>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</si>
  <si>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</si>
  <si>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0.1.0</t>
  </si>
  <si>
    <t xml:space="preserve">Division</t>
  </si>
  <si>
    <t xml:space="preserve">B/C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</si>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</sst>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"/>
    <numFmt numFmtId="167" formatCode="0.00"/>
    <numFmt numFmtId="168" formatCode="#,##0"/>
    <numFmt numFmtId="169" formatCode="&quot;TRUE&quot;;&quot;TRUE&quot;;&quot;FALSE&quot;"/>
    <numFmt numFmtId="170" formatCode="m/d/yyyy"/>
    <numFmt numFmtId="171" formatCode="mm/dd/yyyy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b val="true"/>
      <sz val="11"/>
      <color rgb="FF181A1B"/>
      <name val="Overpass"/>
      <family val="0"/>
      <charset val="1"/>
    </font>
    <font>
      <sz val="11"/>
      <color rgb="FF181A1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99CCFF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D9D9D9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9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bottom" textRotation="9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6" fontId="8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7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0000"/>
      </font>
      <fill>
        <patternFill>
          <bgColor rgb="FFFFD966"/>
        </patternFill>
      </fill>
    </dxf>
    <dxf>
      <fill>
        <patternFill>
          <bgColor rgb="FFF4C7C3"/>
        </patternFill>
      </fill>
    </dxf>
    <dxf>
      <font>
        <color rgb="FF000000"/>
      </font>
      <fill>
        <patternFill>
          <bgColor rgb="FFFFB3B3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99CCFF"/>
      <rgbColor rgb="FFFFB3B3"/>
      <rgbColor rgb="FFCC99FF"/>
      <rgbColor rgb="FFF4C7C3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C50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7" topLeftCell="A8" activePane="bottomLeft" state="frozen"/>
      <selection pane="topLeft" activeCell="B1" activeCellId="0" sqref="B1"/>
      <selection pane="bottomLeft" activeCell="L8" activeCellId="0" sqref="L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true" outlineLevel="0" max="6" min="5" style="1" width="4.25"/>
    <col collapsed="false" customWidth="true" hidden="false" outlineLevel="0" max="7" min="7" style="1" width="11.69"/>
    <col collapsed="false" customWidth="true" hidden="false" outlineLevel="0" max="8" min="8" style="1" width="10.57"/>
    <col collapsed="false" customWidth="true" hidden="false" outlineLevel="0" max="9" min="9" style="1" width="4.02"/>
    <col collapsed="false" customWidth="true" hidden="false" outlineLevel="0" max="10" min="10" style="1" width="6.81"/>
    <col collapsed="false" customWidth="true" hidden="false" outlineLevel="0" max="11" min="11" style="1" width="9.18"/>
    <col collapsed="false" customWidth="true" hidden="false" outlineLevel="0" max="12" min="12" style="1" width="6.25"/>
    <col collapsed="false" customWidth="true" hidden="false" outlineLevel="0" max="13" min="13" style="1" width="8.38"/>
    <col collapsed="false" customWidth="true" hidden="false" outlineLevel="0" max="14" min="14" style="1" width="8.75"/>
    <col collapsed="false" customWidth="true" hidden="false" outlineLevel="0" max="15" min="15" style="1" width="8.69"/>
    <col collapsed="false" customWidth="true" hidden="false" outlineLevel="0" max="16" min="16" style="1" width="7.5"/>
    <col collapsed="false" customWidth="true" hidden="false" outlineLevel="0" max="17" min="17" style="1" width="8.06"/>
    <col collapsed="false" customWidth="true" hidden="false" outlineLevel="0" max="18" min="18" style="1" width="4"/>
    <col collapsed="false" customWidth="true" hidden="true" outlineLevel="0" max="19" min="19" style="1" width="4.63"/>
    <col collapsed="false" customWidth="true" hidden="true" outlineLevel="0" max="20" min="20" style="1" width="5.75"/>
    <col collapsed="false" customWidth="true" hidden="true" outlineLevel="0" max="21" min="21" style="1" width="7.09"/>
    <col collapsed="false" customWidth="true" hidden="true" outlineLevel="0" max="22" min="22" style="1" width="6.96"/>
    <col collapsed="false" customWidth="true" hidden="true" outlineLevel="0" max="24" min="23" style="1" width="7.23"/>
    <col collapsed="false" customWidth="true" hidden="true" outlineLevel="0" max="25" min="25" style="1" width="9.04"/>
    <col collapsed="false" customWidth="true" hidden="true" outlineLevel="0" max="26" min="26" style="1" width="8.06"/>
    <col collapsed="false" customWidth="true" hidden="true" outlineLevel="0" max="29" min="27" style="1" width="5.75"/>
    <col collapsed="false" customWidth="true" hidden="true" outlineLevel="0" max="32" min="30" style="1" width="8.06"/>
    <col collapsed="false" customWidth="true" hidden="true" outlineLevel="0" max="33" min="33" style="1" width="7.37"/>
    <col collapsed="false" customWidth="true" hidden="true" outlineLevel="0" max="34" min="34" style="1" width="4.63"/>
    <col collapsed="false" customWidth="true" hidden="true" outlineLevel="0" max="35" min="35" style="1" width="16.97"/>
    <col collapsed="false" customWidth="true" hidden="true" outlineLevel="0" max="36" min="36" style="1" width="12.24"/>
    <col collapsed="false" customWidth="true" hidden="true" outlineLevel="0" max="37" min="37" style="1" width="16.83"/>
    <col collapsed="false" customWidth="true" hidden="true" outlineLevel="0" max="40" min="38" style="1" width="13.35"/>
    <col collapsed="false" customWidth="true" hidden="true" outlineLevel="0" max="41" min="41" style="1" width="15.72"/>
    <col collapsed="false" customWidth="true" hidden="true" outlineLevel="0" max="44" min="42" style="1" width="10.38"/>
    <col collapsed="false" customWidth="true" hidden="true" outlineLevel="0" max="46" min="45" style="1" width="8.38"/>
    <col collapsed="false" customWidth="true" hidden="true" outlineLevel="0" max="47" min="47" style="1" width="15.3"/>
    <col collapsed="false" customWidth="true" hidden="true" outlineLevel="0" max="48" min="48" style="1" width="10.57"/>
    <col collapsed="false" customWidth="true" hidden="true" outlineLevel="0" max="49" min="49" style="1" width="14.19"/>
    <col collapsed="false" customWidth="true" hidden="true" outlineLevel="0" max="50" min="50" style="1" width="10.29"/>
    <col collapsed="false" customWidth="true" hidden="true" outlineLevel="0" max="52" min="51" style="1" width="11.39"/>
    <col collapsed="false" customWidth="true" hidden="true" outlineLevel="0" max="53" min="53" style="1" width="10.29"/>
    <col collapsed="false" customWidth="true" hidden="true" outlineLevel="0" max="54" min="54" style="1" width="4.63"/>
    <col collapsed="false" customWidth="true" hidden="false" outlineLevel="0" max="55" min="55" style="1" width="30"/>
    <col collapsed="false" customWidth="true" hidden="false" outlineLevel="0" max="58" min="56" style="1" width="8.68"/>
    <col collapsed="false" customWidth="true" hidden="false" outlineLevel="0" max="59" min="59" style="1" width="8.63"/>
    <col collapsed="false" customWidth="true" hidden="false" outlineLevel="0" max="63" min="60" style="1" width="4"/>
    <col collapsed="false" customWidth="true" hidden="false" outlineLevel="0" max="64" min="64" style="1" width="2"/>
    <col collapsed="false" customWidth="true" hidden="true" outlineLevel="0" max="74" min="65" style="1" width="4.63"/>
    <col collapsed="false" customWidth="true" hidden="false" outlineLevel="0" max="75" min="75" style="1" width="4.63"/>
    <col collapsed="false" customWidth="true" hidden="false" outlineLevel="0" max="76" min="76" style="1" width="6.88"/>
    <col collapsed="false" customWidth="true" hidden="false" outlineLevel="0" max="77" min="77" style="1" width="30.75"/>
    <col collapsed="false" customWidth="true" hidden="false" outlineLevel="0" max="78" min="78" style="1" width="15.63"/>
    <col collapsed="false" customWidth="true" hidden="false" outlineLevel="0" max="79" min="79" style="1" width="4.63"/>
    <col collapsed="false" customWidth="true" hidden="false" outlineLevel="0" max="80" min="80" style="1" width="8.63"/>
    <col collapsed="false" customWidth="true" hidden="true" outlineLevel="0" max="81" min="81" style="1" width="6.63"/>
  </cols>
  <sheetData>
    <row r="1" customFormat="false" ht="6" hidden="false" customHeight="true" outlineLevel="0" collapsed="false">
      <c r="A1" s="2"/>
      <c r="B1" s="2"/>
      <c r="C1" s="2"/>
      <c r="D1" s="2"/>
      <c r="E1" s="3"/>
      <c r="F1" s="3"/>
      <c r="G1" s="3"/>
      <c r="H1" s="3"/>
      <c r="I1" s="3"/>
      <c r="J1" s="2"/>
      <c r="K1" s="2"/>
      <c r="L1" s="2"/>
      <c r="M1" s="3"/>
      <c r="N1" s="3"/>
      <c r="O1" s="3"/>
      <c r="P1" s="3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4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customFormat="false" ht="15.75" hidden="false" customHeight="false" outlineLevel="0" collapsed="false">
      <c r="A2" s="5"/>
      <c r="B2" s="6" t="str">
        <f aca="false">'Info.'!B1&amp;" "&amp;'Info.'!B4</f>
        <v>Thermodynamics B/C</v>
      </c>
      <c r="C2" s="6"/>
      <c r="D2" s="6"/>
      <c r="E2" s="7"/>
      <c r="F2" s="7"/>
      <c r="G2" s="8" t="s">
        <v>0</v>
      </c>
      <c r="H2" s="9" t="s">
        <v>1</v>
      </c>
      <c r="I2" s="9"/>
      <c r="J2" s="10" t="s">
        <v>2</v>
      </c>
      <c r="K2" s="10"/>
      <c r="L2" s="10"/>
      <c r="M2" s="10"/>
      <c r="N2" s="10"/>
      <c r="O2" s="10"/>
      <c r="P2" s="11" t="s">
        <v>3</v>
      </c>
      <c r="Q2" s="11"/>
      <c r="R2" s="12"/>
      <c r="S2" s="13"/>
      <c r="T2" s="14"/>
      <c r="U2" s="15"/>
      <c r="V2" s="15"/>
      <c r="W2" s="15"/>
      <c r="X2" s="15"/>
      <c r="Y2" s="15"/>
      <c r="Z2" s="15"/>
      <c r="AA2" s="15" t="s">
        <v>4</v>
      </c>
      <c r="AB2" s="15"/>
      <c r="AC2" s="15" t="s">
        <v>4</v>
      </c>
      <c r="AD2" s="15"/>
      <c r="AE2" s="15"/>
      <c r="AF2" s="15"/>
      <c r="AG2" s="16" t="s">
        <v>5</v>
      </c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7"/>
      <c r="BC2" s="18"/>
      <c r="BD2" s="18" t="s">
        <v>6</v>
      </c>
      <c r="BE2" s="18"/>
      <c r="BF2" s="18"/>
      <c r="BG2" s="18"/>
      <c r="BH2" s="18"/>
      <c r="BI2" s="18"/>
      <c r="BJ2" s="18"/>
      <c r="BK2" s="18"/>
      <c r="BL2" s="19"/>
      <c r="BM2" s="14"/>
      <c r="BN2" s="14"/>
      <c r="BO2" s="20" t="s">
        <v>7</v>
      </c>
      <c r="BP2" s="21" t="s">
        <v>8</v>
      </c>
      <c r="BQ2" s="21" t="s">
        <v>9</v>
      </c>
      <c r="BR2" s="21" t="s">
        <v>10</v>
      </c>
      <c r="BS2" s="21" t="s">
        <v>11</v>
      </c>
      <c r="BT2" s="21" t="s">
        <v>12</v>
      </c>
      <c r="BU2" s="21" t="s">
        <v>13</v>
      </c>
      <c r="BV2" s="22" t="s">
        <v>14</v>
      </c>
      <c r="BW2" s="23" t="s">
        <v>15</v>
      </c>
      <c r="BX2" s="23"/>
      <c r="BY2" s="23"/>
      <c r="BZ2" s="23"/>
      <c r="CA2" s="23"/>
      <c r="CB2" s="23"/>
      <c r="CC2" s="14"/>
    </row>
    <row r="3" customFormat="false" ht="20.25" hidden="false" customHeight="true" outlineLevel="0" collapsed="false">
      <c r="A3" s="5"/>
      <c r="B3" s="6"/>
      <c r="C3" s="6"/>
      <c r="D3" s="6"/>
      <c r="E3" s="24" t="s">
        <v>16</v>
      </c>
      <c r="F3" s="24" t="s">
        <v>17</v>
      </c>
      <c r="G3" s="25" t="s">
        <v>18</v>
      </c>
      <c r="H3" s="26" t="s">
        <v>19</v>
      </c>
      <c r="I3" s="26" t="s">
        <v>20</v>
      </c>
      <c r="J3" s="27" t="s">
        <v>21</v>
      </c>
      <c r="K3" s="27" t="s">
        <v>22</v>
      </c>
      <c r="L3" s="28" t="s">
        <v>23</v>
      </c>
      <c r="M3" s="24" t="s">
        <v>24</v>
      </c>
      <c r="N3" s="24" t="s">
        <v>25</v>
      </c>
      <c r="O3" s="24" t="s">
        <v>26</v>
      </c>
      <c r="P3" s="29" t="s">
        <v>27</v>
      </c>
      <c r="Q3" s="26" t="s">
        <v>28</v>
      </c>
      <c r="R3" s="27" t="s">
        <v>29</v>
      </c>
      <c r="S3" s="13"/>
      <c r="T3" s="30"/>
      <c r="U3" s="31" t="str">
        <f aca="false">G3</f>
        <v>1. Device Impounded (T/F)</v>
      </c>
      <c r="V3" s="31" t="str">
        <f aca="false">H3</f>
        <v>2. Device does not contain hazardous materials (T/F)</v>
      </c>
      <c r="W3" s="31" t="str">
        <f aca="false">I3</f>
        <v>3. No energy sources (T/F)</v>
      </c>
      <c r="X3" s="27" t="str">
        <f aca="false">J3</f>
        <v>4. # of Construction Violations</v>
      </c>
      <c r="Y3" s="27" t="str">
        <f aca="false">K3</f>
        <v>5. Team does not touch their setup during the Heating Time (T/F)</v>
      </c>
      <c r="Z3" s="27" t="str">
        <f aca="false">L3</f>
        <v>6. # of Competition Violations</v>
      </c>
      <c r="AA3" s="27" t="str">
        <f aca="false">M3</f>
        <v>7. Starting Water Temp</v>
      </c>
      <c r="AB3" s="27" t="str">
        <f aca="false">N3</f>
        <v>8. Predicted Final Temp</v>
      </c>
      <c r="AC3" s="28" t="str">
        <f aca="false">O3</f>
        <v>9. Actual Final Temp</v>
      </c>
      <c r="AD3" s="28" t="str">
        <f aca="false">P3</f>
        <v>10. Part I Raw Score</v>
      </c>
      <c r="AE3" s="28" t="str">
        <f aca="false">Q3</f>
        <v>11. Tiebreak 3 Ranking (If blank, assumes rank 1)</v>
      </c>
      <c r="AF3" s="27" t="str">
        <f aca="false">R3</f>
        <v>12. Disqualify (T/F)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7"/>
      <c r="BC3" s="32" t="s">
        <v>30</v>
      </c>
      <c r="BD3" s="32" t="s">
        <v>31</v>
      </c>
      <c r="BE3" s="33" t="s">
        <v>32</v>
      </c>
      <c r="BF3" s="33" t="s">
        <v>33</v>
      </c>
      <c r="BG3" s="34" t="s">
        <v>34</v>
      </c>
      <c r="BH3" s="35" t="s">
        <v>35</v>
      </c>
      <c r="BI3" s="36" t="s">
        <v>36</v>
      </c>
      <c r="BJ3" s="35" t="s">
        <v>37</v>
      </c>
      <c r="BK3" s="37" t="s">
        <v>38</v>
      </c>
      <c r="BL3" s="38"/>
      <c r="BM3" s="14"/>
      <c r="BN3" s="14"/>
      <c r="BO3" s="20"/>
      <c r="BP3" s="21"/>
      <c r="BQ3" s="21"/>
      <c r="BR3" s="21"/>
      <c r="BS3" s="21"/>
      <c r="BT3" s="21"/>
      <c r="BU3" s="21"/>
      <c r="BV3" s="22"/>
      <c r="BW3" s="39" t="s">
        <v>37</v>
      </c>
      <c r="BX3" s="40" t="s">
        <v>39</v>
      </c>
      <c r="BY3" s="40" t="s">
        <v>40</v>
      </c>
      <c r="BZ3" s="40" t="s">
        <v>41</v>
      </c>
      <c r="CA3" s="40" t="s">
        <v>35</v>
      </c>
      <c r="CB3" s="41" t="s">
        <v>34</v>
      </c>
      <c r="CC3" s="14"/>
    </row>
    <row r="4" customFormat="false" ht="18.65" hidden="false" customHeight="false" outlineLevel="0" collapsed="false">
      <c r="A4" s="5"/>
      <c r="B4" s="42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42"/>
      <c r="D4" s="42"/>
      <c r="E4" s="24"/>
      <c r="F4" s="24"/>
      <c r="G4" s="25"/>
      <c r="H4" s="26"/>
      <c r="I4" s="26"/>
      <c r="J4" s="27"/>
      <c r="K4" s="27"/>
      <c r="L4" s="27"/>
      <c r="M4" s="24"/>
      <c r="N4" s="24"/>
      <c r="O4" s="24"/>
      <c r="P4" s="29"/>
      <c r="Q4" s="26"/>
      <c r="R4" s="27"/>
      <c r="S4" s="13"/>
      <c r="T4" s="30"/>
      <c r="U4" s="31"/>
      <c r="V4" s="31"/>
      <c r="W4" s="31"/>
      <c r="X4" s="27"/>
      <c r="Y4" s="27"/>
      <c r="Z4" s="27"/>
      <c r="AA4" s="27"/>
      <c r="AB4" s="27"/>
      <c r="AC4" s="27"/>
      <c r="AD4" s="27"/>
      <c r="AE4" s="27"/>
      <c r="AF4" s="27"/>
      <c r="AG4" s="14"/>
      <c r="AH4" s="14"/>
      <c r="AI4" s="14"/>
      <c r="AJ4" s="14" t="s">
        <v>42</v>
      </c>
      <c r="AK4" s="14"/>
      <c r="AL4" s="14"/>
      <c r="AM4" s="14"/>
      <c r="AN4" s="14" t="s">
        <v>43</v>
      </c>
      <c r="AO4" s="14"/>
      <c r="AP4" s="14"/>
      <c r="AQ4" s="14"/>
      <c r="AR4" s="14" t="s">
        <v>44</v>
      </c>
      <c r="AS4" s="14"/>
      <c r="AT4" s="14"/>
      <c r="AU4" s="14"/>
      <c r="AV4" s="14"/>
      <c r="AW4" s="14"/>
      <c r="AX4" s="14"/>
      <c r="AY4" s="14"/>
      <c r="AZ4" s="14"/>
      <c r="BA4" s="14"/>
      <c r="BB4" s="17"/>
      <c r="BC4" s="32"/>
      <c r="BD4" s="32"/>
      <c r="BE4" s="33"/>
      <c r="BF4" s="33"/>
      <c r="BG4" s="34"/>
      <c r="BH4" s="35"/>
      <c r="BI4" s="35"/>
      <c r="BJ4" s="35"/>
      <c r="BK4" s="37"/>
      <c r="BL4" s="38"/>
      <c r="BM4" s="14"/>
      <c r="BN4" s="14"/>
      <c r="BO4" s="20"/>
      <c r="BP4" s="21"/>
      <c r="BQ4" s="21"/>
      <c r="BR4" s="21"/>
      <c r="BS4" s="21"/>
      <c r="BT4" s="21"/>
      <c r="BU4" s="21"/>
      <c r="BV4" s="22"/>
      <c r="BW4" s="39"/>
      <c r="BX4" s="40"/>
      <c r="BY4" s="40"/>
      <c r="BZ4" s="40"/>
      <c r="CA4" s="40"/>
      <c r="CB4" s="41"/>
      <c r="CC4" s="14"/>
    </row>
    <row r="5" customFormat="false" ht="118.5" hidden="true" customHeight="true" outlineLevel="0" collapsed="false">
      <c r="A5" s="5"/>
      <c r="B5" s="43"/>
      <c r="C5" s="43"/>
      <c r="D5" s="43"/>
      <c r="E5" s="24"/>
      <c r="F5" s="24"/>
      <c r="G5" s="25"/>
      <c r="H5" s="26"/>
      <c r="I5" s="26"/>
      <c r="J5" s="27"/>
      <c r="K5" s="27"/>
      <c r="L5" s="27"/>
      <c r="M5" s="24"/>
      <c r="N5" s="24"/>
      <c r="O5" s="24"/>
      <c r="P5" s="29"/>
      <c r="Q5" s="26"/>
      <c r="R5" s="27"/>
      <c r="S5" s="13"/>
      <c r="T5" s="30"/>
      <c r="U5" s="31"/>
      <c r="V5" s="31"/>
      <c r="W5" s="31"/>
      <c r="X5" s="27"/>
      <c r="Y5" s="27"/>
      <c r="Z5" s="27"/>
      <c r="AA5" s="27"/>
      <c r="AB5" s="27"/>
      <c r="AC5" s="27"/>
      <c r="AD5" s="27"/>
      <c r="AE5" s="27"/>
      <c r="AF5" s="27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7"/>
      <c r="BC5" s="32"/>
      <c r="BD5" s="32"/>
      <c r="BE5" s="33"/>
      <c r="BF5" s="33"/>
      <c r="BG5" s="34"/>
      <c r="BH5" s="35"/>
      <c r="BI5" s="35"/>
      <c r="BJ5" s="35"/>
      <c r="BK5" s="37"/>
      <c r="BL5" s="38"/>
      <c r="BM5" s="14"/>
      <c r="BN5" s="14"/>
      <c r="BO5" s="20"/>
      <c r="BP5" s="21"/>
      <c r="BQ5" s="21"/>
      <c r="BR5" s="21"/>
      <c r="BS5" s="21"/>
      <c r="BT5" s="21"/>
      <c r="BU5" s="21"/>
      <c r="BV5" s="22"/>
      <c r="BW5" s="39"/>
      <c r="BX5" s="40"/>
      <c r="BY5" s="40"/>
      <c r="BZ5" s="40"/>
      <c r="CA5" s="40"/>
      <c r="CB5" s="41"/>
      <c r="CC5" s="14"/>
    </row>
    <row r="6" customFormat="false" ht="89.25" hidden="false" customHeight="true" outlineLevel="0" collapsed="false">
      <c r="A6" s="5"/>
      <c r="B6" s="44" t="str">
        <f aca="false">"Last Updated: "&amp;TEXT('Info.'!B2, "mm/dd/yyyy")&amp;" (v"&amp;'Info.'!B3&amp;")
Direct all questions to scoresheets@soinc.org."</f>
        <v>Last Updated: 10/01/2026 (v0.1.0)
Direct all questions to scoresheets@soinc.org.</v>
      </c>
      <c r="C6" s="44"/>
      <c r="D6" s="44"/>
      <c r="E6" s="24"/>
      <c r="F6" s="24"/>
      <c r="G6" s="25"/>
      <c r="H6" s="26"/>
      <c r="I6" s="26"/>
      <c r="J6" s="27"/>
      <c r="K6" s="27"/>
      <c r="L6" s="27"/>
      <c r="M6" s="24"/>
      <c r="N6" s="24"/>
      <c r="O6" s="24"/>
      <c r="P6" s="29"/>
      <c r="Q6" s="26"/>
      <c r="R6" s="27"/>
      <c r="S6" s="13"/>
      <c r="T6" s="30"/>
      <c r="U6" s="31"/>
      <c r="V6" s="31"/>
      <c r="W6" s="31"/>
      <c r="X6" s="27"/>
      <c r="Y6" s="27"/>
      <c r="Z6" s="27"/>
      <c r="AA6" s="27"/>
      <c r="AB6" s="27"/>
      <c r="AC6" s="27"/>
      <c r="AD6" s="27"/>
      <c r="AE6" s="27"/>
      <c r="AF6" s="27"/>
      <c r="AG6" s="45"/>
      <c r="AH6" s="46"/>
      <c r="AI6" s="46"/>
      <c r="AJ6" s="46" t="n">
        <f aca="false">MAX(AJ8:AJ507)</f>
        <v>0</v>
      </c>
      <c r="AK6" s="46" t="s">
        <v>45</v>
      </c>
      <c r="AL6" s="46"/>
      <c r="AM6" s="46"/>
      <c r="AN6" s="46" t="n">
        <f aca="false">MAX(AN8:AN507)</f>
        <v>0</v>
      </c>
      <c r="AO6" s="46" t="s">
        <v>46</v>
      </c>
      <c r="AP6" s="46"/>
      <c r="AQ6" s="46"/>
      <c r="AR6" s="47" t="n">
        <f aca="false">MAX(AD8:AD507)</f>
        <v>0</v>
      </c>
      <c r="AS6" s="14"/>
      <c r="AT6" s="14"/>
      <c r="AU6" s="14"/>
      <c r="AV6" s="14"/>
      <c r="AW6" s="14"/>
      <c r="AX6" s="14"/>
      <c r="AY6" s="14"/>
      <c r="AZ6" s="14"/>
      <c r="BA6" s="14"/>
      <c r="BB6" s="17"/>
      <c r="BC6" s="32"/>
      <c r="BD6" s="32"/>
      <c r="BE6" s="33"/>
      <c r="BF6" s="33"/>
      <c r="BG6" s="34"/>
      <c r="BH6" s="35"/>
      <c r="BI6" s="35"/>
      <c r="BJ6" s="35"/>
      <c r="BK6" s="37"/>
      <c r="BL6" s="38"/>
      <c r="BM6" s="14"/>
      <c r="BN6" s="14"/>
      <c r="BO6" s="20"/>
      <c r="BP6" s="21"/>
      <c r="BQ6" s="21"/>
      <c r="BR6" s="21"/>
      <c r="BS6" s="21"/>
      <c r="BT6" s="21"/>
      <c r="BU6" s="21"/>
      <c r="BV6" s="22"/>
      <c r="BW6" s="39"/>
      <c r="BX6" s="40"/>
      <c r="BY6" s="40"/>
      <c r="BZ6" s="40"/>
      <c r="CA6" s="40"/>
      <c r="CB6" s="41"/>
      <c r="CC6" s="14"/>
    </row>
    <row r="7" customFormat="false" ht="15.75" hidden="false" customHeight="false" outlineLevel="0" collapsed="false">
      <c r="A7" s="5"/>
      <c r="B7" s="48" t="s">
        <v>39</v>
      </c>
      <c r="C7" s="49" t="s">
        <v>40</v>
      </c>
      <c r="D7" s="50" t="s">
        <v>41</v>
      </c>
      <c r="E7" s="24"/>
      <c r="F7" s="24"/>
      <c r="G7" s="25"/>
      <c r="H7" s="26"/>
      <c r="I7" s="26"/>
      <c r="J7" s="27"/>
      <c r="K7" s="27"/>
      <c r="L7" s="27"/>
      <c r="M7" s="24"/>
      <c r="N7" s="24"/>
      <c r="O7" s="24"/>
      <c r="P7" s="29"/>
      <c r="Q7" s="26"/>
      <c r="R7" s="27"/>
      <c r="S7" s="51"/>
      <c r="T7" s="30"/>
      <c r="U7" s="31"/>
      <c r="V7" s="31"/>
      <c r="W7" s="31"/>
      <c r="X7" s="27"/>
      <c r="Y7" s="27"/>
      <c r="Z7" s="27"/>
      <c r="AA7" s="27"/>
      <c r="AB7" s="27"/>
      <c r="AC7" s="27"/>
      <c r="AD7" s="27"/>
      <c r="AE7" s="27"/>
      <c r="AF7" s="27"/>
      <c r="AG7" s="46" t="s">
        <v>47</v>
      </c>
      <c r="AH7" s="46" t="s">
        <v>35</v>
      </c>
      <c r="AI7" s="46" t="s">
        <v>48</v>
      </c>
      <c r="AJ7" s="46" t="s">
        <v>49</v>
      </c>
      <c r="AK7" s="46" t="s">
        <v>50</v>
      </c>
      <c r="AL7" s="46" t="s">
        <v>51</v>
      </c>
      <c r="AM7" s="52" t="s">
        <v>32</v>
      </c>
      <c r="AN7" s="46" t="s">
        <v>52</v>
      </c>
      <c r="AO7" s="46" t="s">
        <v>53</v>
      </c>
      <c r="AP7" s="46" t="s">
        <v>54</v>
      </c>
      <c r="AQ7" s="52" t="s">
        <v>33</v>
      </c>
      <c r="AR7" s="52" t="s">
        <v>31</v>
      </c>
      <c r="AS7" s="52" t="s">
        <v>34</v>
      </c>
      <c r="AT7" s="52" t="s">
        <v>37</v>
      </c>
      <c r="AU7" s="46" t="s">
        <v>55</v>
      </c>
      <c r="AV7" s="46" t="s">
        <v>56</v>
      </c>
      <c r="AW7" s="46" t="s">
        <v>57</v>
      </c>
      <c r="AX7" s="46" t="s">
        <v>58</v>
      </c>
      <c r="AY7" s="46" t="s">
        <v>59</v>
      </c>
      <c r="AZ7" s="46" t="s">
        <v>60</v>
      </c>
      <c r="BA7" s="46" t="s">
        <v>61</v>
      </c>
      <c r="BB7" s="53"/>
      <c r="BC7" s="32" t="str">
        <f aca="false">IF(COUNTIF($BC$8:$BC$507,"?*")=0,"No input errors",COUNTIF($BC$8:$BC$507,"?*")&amp;" row(s) need attention")</f>
        <v>No input errors</v>
      </c>
      <c r="BD7" s="32"/>
      <c r="BE7" s="33"/>
      <c r="BF7" s="33"/>
      <c r="BG7" s="34"/>
      <c r="BH7" s="35"/>
      <c r="BI7" s="35"/>
      <c r="BJ7" s="35"/>
      <c r="BK7" s="37"/>
      <c r="BL7" s="38"/>
      <c r="BM7" s="14" t="n">
        <f aca="false">SUM(BM8:BM507)</f>
        <v>0</v>
      </c>
      <c r="BN7" s="14"/>
      <c r="BO7" s="20"/>
      <c r="BP7" s="21"/>
      <c r="BQ7" s="21"/>
      <c r="BR7" s="21"/>
      <c r="BS7" s="21"/>
      <c r="BT7" s="21"/>
      <c r="BU7" s="21"/>
      <c r="BV7" s="22"/>
      <c r="BW7" s="39"/>
      <c r="BX7" s="40"/>
      <c r="BY7" s="40"/>
      <c r="BZ7" s="40"/>
      <c r="CA7" s="40"/>
      <c r="CB7" s="41"/>
      <c r="CC7" s="14"/>
    </row>
    <row r="8" customFormat="false" ht="15.75" hidden="false" customHeight="false" outlineLevel="0" collapsed="false">
      <c r="A8" s="5"/>
      <c r="B8" s="54"/>
      <c r="C8" s="55"/>
      <c r="D8" s="56"/>
      <c r="E8" s="57"/>
      <c r="F8" s="57"/>
      <c r="G8" s="58"/>
      <c r="H8" s="59"/>
      <c r="I8" s="59"/>
      <c r="J8" s="60"/>
      <c r="K8" s="60"/>
      <c r="L8" s="60"/>
      <c r="M8" s="61"/>
      <c r="N8" s="61"/>
      <c r="O8" s="61"/>
      <c r="P8" s="62"/>
      <c r="Q8" s="63"/>
      <c r="R8" s="64"/>
      <c r="S8" s="65"/>
      <c r="T8" s="66"/>
      <c r="U8" s="67" t="str">
        <f aca="false">IF(ISBLANK($C8),"",IF(G8=Constants!$B$2, TRUE(), IF(G8=Constants!$B$3, FALSE(), TRUE())))</f>
        <v/>
      </c>
      <c r="V8" s="67" t="str">
        <f aca="false">IF(ISBLANK($C8),"",IF(H8=Constants!$B$2, TRUE(), IF(H8=Constants!$B$3, FALSE(), TRUE())))</f>
        <v/>
      </c>
      <c r="W8" s="67" t="str">
        <f aca="false">IF(ISBLANK($C8),"",IF(I8=Constants!$B$2, TRUE(), IF(I8=Constants!$B$3, FALSE(), TRUE())))</f>
        <v/>
      </c>
      <c r="X8" s="66" t="str">
        <f aca="false">IF(ISBLANK($C8),"",IF(AND(ISNUMBER(J8),J8&gt;0),INT(J8),0))</f>
        <v/>
      </c>
      <c r="Y8" s="66" t="str">
        <f aca="false">IF(ISBLANK($C8),"",IF(K8=Constants!$B$2, TRUE(), IF(K8=Constants!$B$3, FALSE(), TRUE())))</f>
        <v/>
      </c>
      <c r="Z8" s="66" t="str">
        <f aca="false">IF(ISBLANK($C8),"",IF(AND(ISNUMBER(L8),L8&gt;0),INT(L8),0))</f>
        <v/>
      </c>
      <c r="AA8" s="68" t="str">
        <f aca="false">IF(ISBLANK($C8),"",IF(ISNUMBER(M8), M8, ""))</f>
        <v/>
      </c>
      <c r="AB8" s="68" t="str">
        <f aca="false">IF(ISBLANK($C8),"",IF(ISNUMBER(N8), N8, ""))</f>
        <v/>
      </c>
      <c r="AC8" s="68" t="str">
        <f aca="false">IF(ISBLANK($C8),"",IF(ISNUMBER(O8), O8, ""))</f>
        <v/>
      </c>
      <c r="AD8" s="69" t="str">
        <f aca="false">IF(ISBLANK($C8),"",IF(ISNUMBER(P8), P8, ""))</f>
        <v/>
      </c>
      <c r="AE8" s="69" t="str">
        <f aca="false">IF(ISBLANK($C8),"",IF(ISNUMBER(Q8), Q8, Constants!$B$13))</f>
        <v/>
      </c>
      <c r="AF8" s="66" t="str">
        <f aca="false">IF(ISBLANK($C8),"",IF(R8=Constants!$B$2, TRUE(), IF(R8=Constants!$B$3, FALSE(), FALSE())))</f>
        <v/>
      </c>
      <c r="AG8" s="66" t="str">
        <f aca="false">IF(ISBLANK(C8), "", IF(AF8, Constants!$B$4,IF(COUNTA(G8:P8)=0, Constants!$B$5, Constants!$B$7)))</f>
        <v/>
      </c>
      <c r="AH8" s="66" t="str">
        <f aca="false">IF(ISBLANK($C8), "",IF($AG8=Constants!$B$7,1,$AG8))</f>
        <v/>
      </c>
      <c r="AI8" s="66" t="str">
        <f aca="false">IF($AG8=Constants!$B$7,POWER(Constants!$B$11,X8)*POWER(Constants!$B$12,Z8),"")</f>
        <v/>
      </c>
      <c r="AJ8" s="66" t="str">
        <f aca="false">IF(AND($AG8=Constants!$B$7, U8, V8) ,IF(OR($AA8="",$AC8=""),"",MAX(0, $AC8-$AA8)),"")</f>
        <v/>
      </c>
      <c r="AK8" s="66" t="str">
        <f aca="false">IF(AND($AG8=Constants!$B$7, U8, V8),IF(OR($AA8="",$AC8=""),$AK$6,""),"")</f>
        <v/>
      </c>
      <c r="AL8" s="66" t="str">
        <f aca="false">IF($AG8=Constants!$B$7,IF(AND(U8,V8,W8,Y8),IF($AJ8="",0,IF($AJ$6=0,Constants!$B$9,Constants!$B$9*AJ8/$AJ$6)), 0),"")</f>
        <v/>
      </c>
      <c r="AM8" s="66" t="str">
        <f aca="false">IF(AL8&lt;&gt;"", AL8*AI8,"")</f>
        <v/>
      </c>
      <c r="AN8" s="66" t="str">
        <f aca="false">IF(AND($AG8=Constants!$B$7, U8, V8) ,IF($AB8="", "", IF(OR($AC8="",$AC8=0),"",MAX(0,1-ABS($AC8-$AB8)/$AC8))),"")</f>
        <v/>
      </c>
      <c r="AO8" s="66" t="str">
        <f aca="false">IF(AND($AG8=Constants!$B$7, U8, V8),IF(AND($AA8&lt;&gt;"",$AB8&lt;&gt;"",$AC8=0),$AO$6,""),"")</f>
        <v/>
      </c>
      <c r="AP8" s="66" t="str">
        <f aca="false">IF($AG8=Constants!$B$7 ,IF(AND(U8,V8,W8,Y8,ISNUMBER(AB8)),IF($AN8="",0,IF($AN$6=0,Constants!$B$10,Constants!$B$10*AN8/$AN$6)), 0),"")</f>
        <v/>
      </c>
      <c r="AQ8" s="66" t="str">
        <f aca="false">IF(AP8&lt;&gt;"", AP8*AI8,"")</f>
        <v/>
      </c>
      <c r="AR8" s="66" t="str">
        <f aca="false">IF($AG8=Constants!$B$7,IF($AD8="",0,IF($AR$6=0,Constants!$B$8,Constants!$B$8*AD8/$AR$6)),"")</f>
        <v/>
      </c>
      <c r="AS8" s="66" t="str">
        <f aca="false">IF($AG8&lt;&gt;Constants!$B$7,$AG8,IF(AK8&amp;AO8&lt;&gt;"",Constants!$B$14,AM8+AQ8+AR8))</f>
        <v/>
      </c>
      <c r="AT8" s="66" t="str">
        <f aca="false">IF(ISBLANK($C8),"",IF($AG8=Constants!$B$7,IF(ISNUMBER(AS8),RANK(AS8,$AS$8:$AS$507),Constants!$B$14),$AG8))</f>
        <v/>
      </c>
      <c r="AU8" s="66" t="str">
        <f aca="false">IF(ISBLANK($C8), "",AM8)</f>
        <v/>
      </c>
      <c r="AV8" s="66" t="str">
        <f aca="false">IF(ISBLANK($C8),"",IF($AG8=Constants!$B$7,RANK(AU8,AU$8:AU$507),$AG8))</f>
        <v/>
      </c>
      <c r="AW8" s="66" t="str">
        <f aca="false">IF(ISBLANK($C8), "",AR8)</f>
        <v/>
      </c>
      <c r="AX8" s="66" t="str">
        <f aca="false">IF(ISBLANK($C8),"",IF($AG8=Constants!$B$7,RANK(AW8,AW$8:AW$507),$AG8))</f>
        <v/>
      </c>
      <c r="AY8" s="66" t="str">
        <f aca="false">IF(ISBLANK($C8), "",AE8)</f>
        <v/>
      </c>
      <c r="AZ8" s="66" t="str">
        <f aca="false">IF(ISBLANK($C8),"",
IF($AG8=Constants!$B$7,
  IF(ISNUMBER(AT8),
    COUNTIFS($AT$8:$AT$507,"&lt;"&amp;$AT8)
    + COUNTIFS($AT$8:$AT$507,$AT8,$AV$8:$AV$507,"&lt;"&amp;$AV8)
    + COUNTIFS($AT$8:$AT$507,$AT8,$AV$8:$AV$507,$AV8,$AX$8:$AX$507,"&lt;"&amp;$AX8)
    + COUNTIFS($AT$8:$AT$507,$AT8,$AV$8:$AV$507,$AV8,$AX$8:$AX$507,$AX8,$AY$8:$AY$507,"&lt;"&amp;$AY8)
    + 1,
  Constants!$B$14),
$AG8))</f>
        <v/>
      </c>
      <c r="BA8" s="66" t="str">
        <f aca="false">IF(ISBLANK(C8),"",IF($AG8=Constants!$B$7, IF(ISNUMBER(AT8),AT8-AZ8,Constants!$B$14),$AG8))</f>
        <v/>
      </c>
      <c r="BB8" s="70"/>
      <c r="BC8" s="71" t="str">
        <f aca="false">IF(ISBLANK($C8),"",TRIM(AK8&amp;" "&amp;AO8))</f>
        <v/>
      </c>
      <c r="BD8" s="72" t="str">
        <f aca="false">IF(ISBLANK($C8),"",IF($AG8&lt;&gt;Constants!$B$7,$AG8,AR8))</f>
        <v/>
      </c>
      <c r="BE8" s="72" t="str">
        <f aca="false">IF(ISBLANK($C8),"",IF($AG8&lt;&gt;Constants!$B$7,$AG8,AM8))</f>
        <v/>
      </c>
      <c r="BF8" s="72" t="str">
        <f aca="false">IF(ISBLANK($C8),"",IF($AG8&lt;&gt;Constants!$B$7,$AG8,AQ8))</f>
        <v/>
      </c>
      <c r="BG8" s="73" t="str">
        <f aca="false">IF(ISBLANK($C8),"",IF($AG8&lt;&gt;Constants!$B$7, $AG8 ,AS8))</f>
        <v/>
      </c>
      <c r="BH8" s="74" t="str">
        <f aca="false">IF(ISBLANK($C8),"",IF($AG8&lt;&gt;Constants!$B$7, $AG8 ,AH8))</f>
        <v/>
      </c>
      <c r="BI8" s="72" t="str">
        <f aca="false">IF(ISBLANK(C8),"",BA8)</f>
        <v/>
      </c>
      <c r="BJ8" s="72" t="str">
        <f aca="false">IF(ISBLANK(C8),"",AZ8)</f>
        <v/>
      </c>
      <c r="BK8" s="75" t="str">
        <f aca="false">IF(ISBLANK(C8),"",IFERROR(_xlfn.SWITCH(BJ8, Constants!$B$4, COUNTA($C$8:$C507)+2, Constants!$B$5, COUNTA($C$8:$C507)+1, Constants!$B$6, COUNTA($C$8:$C507)),BJ8))</f>
        <v/>
      </c>
      <c r="BL8" s="5"/>
      <c r="BM8" s="76" t="n">
        <f aca="false">IF(OR(ISNUMBER(BJ8),BJ8="DQ",BJ8="P",BJ8="NS"),
    1,
    0
)</f>
        <v>0</v>
      </c>
      <c r="BN8" s="76" t="n">
        <v>1</v>
      </c>
      <c r="BO8" s="76" t="str">
        <f aca="false">IF(ISBLANK($C8),"",IF(ISNUMBER(BK8),BK8+ROW($B8)/1000,""))</f>
        <v/>
      </c>
      <c r="BP8" s="76" t="str">
        <f aca="false">IF(ISNUMBER(BO8), RANK(BO8,BO$8:BO$507,1), "")</f>
        <v/>
      </c>
      <c r="BQ8" s="76" t="str">
        <f aca="false">IF(ISBLANK($C8),
    "",
    $B8
)</f>
        <v/>
      </c>
      <c r="BR8" s="76" t="str">
        <f aca="false">IF(ISBLANK($C8),
    "",
    $C8
)</f>
        <v/>
      </c>
      <c r="BS8" s="76" t="str">
        <f aca="false">IF(ISBLANK($C8),
    "",
    $D8
)</f>
        <v/>
      </c>
      <c r="BT8" s="77" t="str">
        <f aca="false">BH8</f>
        <v/>
      </c>
      <c r="BU8" s="78" t="str">
        <f aca="false">BG8</f>
        <v/>
      </c>
      <c r="BV8" s="76" t="str">
        <f aca="false">IF(ISBLANK($C8),
    "",
    BJ8
)</f>
        <v/>
      </c>
      <c r="BW8" s="79" t="str">
        <f aca="false">IF(BN8&gt;BM$7,
    "",
    VLOOKUP(BN8,BP$8:BV507,7,FALSE())
)</f>
        <v/>
      </c>
      <c r="BX8" s="80" t="str">
        <f aca="false">IF(BN8&gt;BM$7,
    "",
    VLOOKUP(BN8,BP$8:BV507,2,FALSE())
)</f>
        <v/>
      </c>
      <c r="BY8" s="80" t="str">
        <f aca="false">IF(BN8&gt;BM$7,
    "",
    VLOOKUP(BN8,BP$8:BV507,3,FALSE())
)</f>
        <v/>
      </c>
      <c r="BZ8" s="80" t="str">
        <f aca="false">IF(BN8&gt;BM$7,
    "",
    VLOOKUP(BN8,BP$8:BV507,4,FALSE())
)</f>
        <v/>
      </c>
      <c r="CA8" s="80" t="str">
        <f aca="false">IF(BN8&gt;BM$7,
    "",
    VLOOKUP(BN8,BP$8:BV507,5,FALSE())
)</f>
        <v/>
      </c>
      <c r="CB8" s="81" t="str">
        <f aca="false">IF(BN8&gt;BM$7,
    "",
    VLOOKUP(BN8,BP$8:BV507,6,FALSE())
)</f>
        <v/>
      </c>
      <c r="CC8" s="53"/>
    </row>
    <row r="9" customFormat="false" ht="15.75" hidden="false" customHeight="false" outlineLevel="0" collapsed="false">
      <c r="A9" s="5"/>
      <c r="B9" s="82"/>
      <c r="C9" s="55"/>
      <c r="D9" s="56"/>
      <c r="E9" s="57"/>
      <c r="F9" s="57"/>
      <c r="G9" s="58"/>
      <c r="H9" s="59"/>
      <c r="I9" s="59"/>
      <c r="J9" s="60"/>
      <c r="K9" s="60"/>
      <c r="L9" s="60"/>
      <c r="M9" s="61"/>
      <c r="N9" s="61"/>
      <c r="O9" s="61"/>
      <c r="P9" s="62"/>
      <c r="Q9" s="63"/>
      <c r="R9" s="83"/>
      <c r="S9" s="65"/>
      <c r="T9" s="66"/>
      <c r="U9" s="66" t="str">
        <f aca="false">IF(ISBLANK($C9),"",IF(G9=Constants!$B$2, TRUE(), IF(G9=Constants!$B$3, FALSE(), TRUE())))</f>
        <v/>
      </c>
      <c r="V9" s="66" t="str">
        <f aca="false">IF(ISBLANK($C9),"",IF(H9=Constants!$B$2, TRUE(), IF(H9=Constants!$B$3, FALSE(), TRUE())))</f>
        <v/>
      </c>
      <c r="W9" s="66" t="str">
        <f aca="false">IF(ISBLANK($C9),"",IF(I9=Constants!$B$2, TRUE(), IF(I9=Constants!$B$3, FALSE(), TRUE())))</f>
        <v/>
      </c>
      <c r="X9" s="66" t="str">
        <f aca="false">IF(ISBLANK($C9),"",IF(AND(ISNUMBER(J9),J9&gt;0),INT(J9),0))</f>
        <v/>
      </c>
      <c r="Y9" s="66" t="str">
        <f aca="false">IF(ISBLANK($C9),"",IF(K9=Constants!$B$2, TRUE(), IF(K9=Constants!$B$3, FALSE(), TRUE())))</f>
        <v/>
      </c>
      <c r="Z9" s="66" t="str">
        <f aca="false">IF(ISBLANK($C9),"",IF(AND(ISNUMBER(L9),L9&gt;0),INT(L9),0))</f>
        <v/>
      </c>
      <c r="AA9" s="68" t="str">
        <f aca="false">IF(ISBLANK($C9),"",IF(ISNUMBER(M9), M9, ""))</f>
        <v/>
      </c>
      <c r="AB9" s="68" t="str">
        <f aca="false">IF(ISBLANK($C9),"",IF(ISNUMBER(N9), N9, ""))</f>
        <v/>
      </c>
      <c r="AC9" s="68" t="str">
        <f aca="false">IF(ISBLANK($C9),"",IF(ISNUMBER(O9), O9, ""))</f>
        <v/>
      </c>
      <c r="AD9" s="69" t="str">
        <f aca="false">IF(ISBLANK($C9),"",IF(ISNUMBER(P9), P9, ""))</f>
        <v/>
      </c>
      <c r="AE9" s="69" t="str">
        <f aca="false">IF(ISBLANK($C9),"",IF(ISNUMBER(Q9), Q9, Constants!$B$13))</f>
        <v/>
      </c>
      <c r="AF9" s="66" t="str">
        <f aca="false">IF(ISBLANK($C9),"",IF(R9=Constants!$B$2, TRUE(), IF(R9=Constants!$B$3, FALSE(), FALSE())))</f>
        <v/>
      </c>
      <c r="AG9" s="66" t="str">
        <f aca="false">IF(ISBLANK(C9), "", IF(AF9, Constants!$B$4,IF(COUNTA(G9:P9)=0, Constants!$B$5, Constants!$B$7)))</f>
        <v/>
      </c>
      <c r="AH9" s="66" t="str">
        <f aca="false">IF(ISBLANK($C9), "",IF($AG9=Constants!$B$7,1,$AG9))</f>
        <v/>
      </c>
      <c r="AI9" s="66" t="str">
        <f aca="false">IF($AG9=Constants!$B$7,POWER(Constants!$B$11,X9)*POWER(Constants!$B$12,Z9),"")</f>
        <v/>
      </c>
      <c r="AJ9" s="66" t="str">
        <f aca="false">IF(AND($AG9=Constants!$B$7, U9, V9) ,IF(OR($AA9="",$AC9=""),"",MAX(0, $AC9-$AA9)),"")</f>
        <v/>
      </c>
      <c r="AK9" s="66" t="str">
        <f aca="false">IF(AND($AG9=Constants!$B$7, U9, V9),IF(OR($AA9="",$AC9=""),$AK$6,""),"")</f>
        <v/>
      </c>
      <c r="AL9" s="66" t="str">
        <f aca="false">IF($AG9=Constants!$B$7,IF(AND(U9,V9,W9,Y9),IF($AJ9="",0,IF($AJ$6=0,Constants!$B$9,Constants!$B$9*AJ9/$AJ$6)), 0),"")</f>
        <v/>
      </c>
      <c r="AM9" s="66" t="str">
        <f aca="false">IF(AL9&lt;&gt;"", AL9*AI9,"")</f>
        <v/>
      </c>
      <c r="AN9" s="66" t="str">
        <f aca="false">IF(AND($AG9=Constants!$B$7, U9, V9) ,IF($AB9="", "", IF(OR($AC9="",$AC9=0),"",MAX(0,1-ABS($AC9-$AB9)/$AC9))),"")</f>
        <v/>
      </c>
      <c r="AO9" s="66" t="str">
        <f aca="false">IF(AND($AG9=Constants!$B$7, U9, V9),IF(AND($AA9&lt;&gt;"",$AB9&lt;&gt;"",$AC9=0),$AO$6,""),"")</f>
        <v/>
      </c>
      <c r="AP9" s="66" t="str">
        <f aca="false">IF($AG9=Constants!$B$7 ,IF(AND(U9,V9,W9,Y9,ISNUMBER(AB9)),IF($AN9="",0,IF($AN$6=0,Constants!$B$10,Constants!$B$10*AN9/$AN$6)), 0),"")</f>
        <v/>
      </c>
      <c r="AQ9" s="66" t="str">
        <f aca="false">IF(AP9&lt;&gt;"", AP9*AI9,"")</f>
        <v/>
      </c>
      <c r="AR9" s="66" t="str">
        <f aca="false">IF($AG9=Constants!$B$7,IF($AD9="",0,IF($AR$6=0,Constants!$B$8,Constants!$B$8*AD9/$AR$6)),"")</f>
        <v/>
      </c>
      <c r="AS9" s="66" t="str">
        <f aca="false">IF($AG9&lt;&gt;Constants!$B$7,$AG9,IF(AK9&amp;AO9&lt;&gt;"",Constants!$B$14,AM9+AQ9+AR9))</f>
        <v/>
      </c>
      <c r="AT9" s="66" t="str">
        <f aca="false">IF(ISBLANK($C9),"",IF($AG9=Constants!$B$7,IF(ISNUMBER(AS9),RANK(AS9,$AS$8:$AS$507),Constants!$B$14),$AG9))</f>
        <v/>
      </c>
      <c r="AU9" s="66" t="str">
        <f aca="false">IF(ISBLANK($C9), "",AM9)</f>
        <v/>
      </c>
      <c r="AV9" s="66" t="str">
        <f aca="false">IF(ISBLANK($C9),"",IF($AG9=Constants!$B$7,RANK(AU9,AU$8:AU$507),$AG9))</f>
        <v/>
      </c>
      <c r="AW9" s="66" t="str">
        <f aca="false">IF(ISBLANK($C9), "",AR9)</f>
        <v/>
      </c>
      <c r="AX9" s="66" t="str">
        <f aca="false">IF(ISBLANK($C9),"",IF($AG9=Constants!$B$7,RANK(AW9,AW$8:AW$507),$AG9))</f>
        <v/>
      </c>
      <c r="AY9" s="66" t="str">
        <f aca="false">IF(ISBLANK($C9), "",AE9)</f>
        <v/>
      </c>
      <c r="AZ9" s="66" t="str">
        <f aca="false">IF(ISBLANK($C9),"",
IF($AG9=Constants!$B$7,
  IF(ISNUMBER(AT9),
    COUNTIFS($AT$8:$AT$507,"&lt;"&amp;$AT9)
    + COUNTIFS($AT$8:$AT$507,$AT9,$AV$8:$AV$507,"&lt;"&amp;$AV9)
    + COUNTIFS($AT$8:$AT$507,$AT9,$AV$8:$AV$507,$AV9,$AX$8:$AX$507,"&lt;"&amp;$AX9)
    + COUNTIFS($AT$8:$AT$507,$AT9,$AV$8:$AV$507,$AV9,$AX$8:$AX$507,$AX9,$AY$8:$AY$507,"&lt;"&amp;$AY9)
    + 1,
  Constants!$B$14),
$AG9))</f>
        <v/>
      </c>
      <c r="BA9" s="66" t="str">
        <f aca="false">IF(ISBLANK(C9),"",IF($AG9=Constants!$B$7, IF(ISNUMBER(AT9),AT9-AZ9,Constants!$B$14),$AG9))</f>
        <v/>
      </c>
      <c r="BB9" s="70"/>
      <c r="BC9" s="84" t="str">
        <f aca="false">IF(ISBLANK($C9),"",TRIM(AK9&amp;" "&amp;AO9))</f>
        <v/>
      </c>
      <c r="BD9" s="72" t="str">
        <f aca="false">IF(ISBLANK($C9),"",IF($AG9&lt;&gt;Constants!$B$7,$AG9,AR9))</f>
        <v/>
      </c>
      <c r="BE9" s="72" t="str">
        <f aca="false">IF(ISBLANK($C9),"",IF($AG9&lt;&gt;Constants!$B$7,$AG9,AM9))</f>
        <v/>
      </c>
      <c r="BF9" s="72" t="str">
        <f aca="false">IF(ISBLANK($C9),"",IF($AG9&lt;&gt;Constants!$B$7,$AG9,AQ9))</f>
        <v/>
      </c>
      <c r="BG9" s="73" t="str">
        <f aca="false">IF(ISBLANK($C9),"",IF($AG9&lt;&gt;Constants!$B$7, $AG9 ,AS9))</f>
        <v/>
      </c>
      <c r="BH9" s="74" t="str">
        <f aca="false">IF(ISBLANK($C9),"",IF($AG9&lt;&gt;Constants!$B$7, $AG9 ,AH9))</f>
        <v/>
      </c>
      <c r="BI9" s="72" t="str">
        <f aca="false">IF(ISBLANK(C9),"",BA9)</f>
        <v/>
      </c>
      <c r="BJ9" s="72" t="str">
        <f aca="false">IF(ISBLANK(C9),"",AZ9)</f>
        <v/>
      </c>
      <c r="BK9" s="75" t="str">
        <f aca="false">IF(ISBLANK(C9),"",IFERROR(_xlfn.SWITCH(BJ9, Constants!$B$4, COUNTA($C$8:$C508)+2, Constants!$B$5, COUNTA($C$8:$C508)+1, Constants!$B$6, COUNTA($C$8:$C508)),BJ9))</f>
        <v/>
      </c>
      <c r="BL9" s="5"/>
      <c r="BM9" s="76" t="n">
        <f aca="false">IF(OR(ISNUMBER(BJ9),BJ9="DQ",BJ9="P",BJ9="NS"),
    1,
    0
)</f>
        <v>0</v>
      </c>
      <c r="BN9" s="76" t="n">
        <v>2</v>
      </c>
      <c r="BO9" s="76" t="str">
        <f aca="false">IF(ISBLANK($C9),"",IF(ISNUMBER(BK9),BK9+ROW($B9)/1000,""))</f>
        <v/>
      </c>
      <c r="BP9" s="76" t="str">
        <f aca="false">IF(ISNUMBER(BO9), RANK(BO9,BO$8:BO$507,1), "")</f>
        <v/>
      </c>
      <c r="BQ9" s="76" t="str">
        <f aca="false">IF(ISBLANK($C9),
    "",
    $B9
)</f>
        <v/>
      </c>
      <c r="BR9" s="76" t="str">
        <f aca="false">IF(ISBLANK($C9),
    "",
    $C9
)</f>
        <v/>
      </c>
      <c r="BS9" s="76" t="str">
        <f aca="false">IF(ISBLANK($C9),
    "",
    $D9
)</f>
        <v/>
      </c>
      <c r="BT9" s="77" t="str">
        <f aca="false">BH9</f>
        <v/>
      </c>
      <c r="BU9" s="78" t="str">
        <f aca="false">BG9</f>
        <v/>
      </c>
      <c r="BV9" s="76" t="str">
        <f aca="false">IF(ISBLANK($C9),
    "",
    BJ9
)</f>
        <v/>
      </c>
      <c r="BW9" s="79" t="str">
        <f aca="false">IF(BN9&gt;BM$7,
    "",
    VLOOKUP(BN9,BP$8:BV508,7,FALSE())
)</f>
        <v/>
      </c>
      <c r="BX9" s="80" t="str">
        <f aca="false">IF(BN9&gt;BM$7,
    "",
    VLOOKUP(BN9,BP$8:BV508,2,FALSE())
)</f>
        <v/>
      </c>
      <c r="BY9" s="80" t="str">
        <f aca="false">IF(BN9&gt;BM$7,
    "",
    VLOOKUP(BN9,BP$8:BV508,3,FALSE())
)</f>
        <v/>
      </c>
      <c r="BZ9" s="80" t="str">
        <f aca="false">IF(BN9&gt;BM$7,
    "",
    VLOOKUP(BN9,BP$8:BV508,4,FALSE())
)</f>
        <v/>
      </c>
      <c r="CA9" s="80" t="str">
        <f aca="false">IF(BN9&gt;BM$7,
    "",
    VLOOKUP(BN9,BP$8:BV508,5,FALSE())
)</f>
        <v/>
      </c>
      <c r="CB9" s="81" t="str">
        <f aca="false">IF(BN9&gt;BM$7,
    "",
    VLOOKUP(BN9,BP$8:BV508,6,FALSE())
)</f>
        <v/>
      </c>
      <c r="CC9" s="53"/>
    </row>
    <row r="10" customFormat="false" ht="15.75" hidden="false" customHeight="false" outlineLevel="0" collapsed="false">
      <c r="A10" s="5"/>
      <c r="B10" s="82"/>
      <c r="C10" s="85"/>
      <c r="D10" s="86"/>
      <c r="E10" s="57"/>
      <c r="F10" s="57"/>
      <c r="G10" s="58"/>
      <c r="H10" s="59"/>
      <c r="I10" s="59"/>
      <c r="J10" s="60"/>
      <c r="K10" s="60"/>
      <c r="L10" s="60"/>
      <c r="M10" s="61"/>
      <c r="N10" s="61"/>
      <c r="O10" s="61"/>
      <c r="P10" s="62"/>
      <c r="Q10" s="63"/>
      <c r="R10" s="64"/>
      <c r="S10" s="65"/>
      <c r="T10" s="66"/>
      <c r="U10" s="66" t="str">
        <f aca="false">IF(ISBLANK($C10),"",IF(G10=Constants!$B$2, TRUE(), IF(G10=Constants!$B$3, FALSE(), TRUE())))</f>
        <v/>
      </c>
      <c r="V10" s="66" t="str">
        <f aca="false">IF(ISBLANK($C10),"",IF(H10=Constants!$B$2, TRUE(), IF(H10=Constants!$B$3, FALSE(), TRUE())))</f>
        <v/>
      </c>
      <c r="W10" s="66" t="str">
        <f aca="false">IF(ISBLANK($C10),"",IF(I10=Constants!$B$2, TRUE(), IF(I10=Constants!$B$3, FALSE(), TRUE())))</f>
        <v/>
      </c>
      <c r="X10" s="66" t="str">
        <f aca="false">IF(ISBLANK($C10),"",IF(AND(ISNUMBER(J10),J10&gt;0),INT(J10),0))</f>
        <v/>
      </c>
      <c r="Y10" s="66" t="str">
        <f aca="false">IF(ISBLANK($C10),"",IF(K10=Constants!$B$2, TRUE(), IF(K10=Constants!$B$3, FALSE(), TRUE())))</f>
        <v/>
      </c>
      <c r="Z10" s="66" t="str">
        <f aca="false">IF(ISBLANK($C10),"",IF(AND(ISNUMBER(L10),L10&gt;0),INT(L10),0))</f>
        <v/>
      </c>
      <c r="AA10" s="68" t="str">
        <f aca="false">IF(ISBLANK($C10),"",IF(ISNUMBER(M10), M10, ""))</f>
        <v/>
      </c>
      <c r="AB10" s="68" t="str">
        <f aca="false">IF(ISBLANK($C10),"",IF(ISNUMBER(N10), N10, ""))</f>
        <v/>
      </c>
      <c r="AC10" s="68" t="str">
        <f aca="false">IF(ISBLANK($C10),"",IF(ISNUMBER(O10), O10, ""))</f>
        <v/>
      </c>
      <c r="AD10" s="69" t="str">
        <f aca="false">IF(ISBLANK($C10),"",IF(ISNUMBER(P10), P10, ""))</f>
        <v/>
      </c>
      <c r="AE10" s="69" t="str">
        <f aca="false">IF(ISBLANK($C10),"",IF(ISNUMBER(Q10), Q10, Constants!$B$13))</f>
        <v/>
      </c>
      <c r="AF10" s="66" t="str">
        <f aca="false">IF(ISBLANK($C10),"",IF(R10=Constants!$B$2, TRUE(), IF(R10=Constants!$B$3, FALSE(), FALSE())))</f>
        <v/>
      </c>
      <c r="AG10" s="66" t="str">
        <f aca="false">IF(ISBLANK(C10), "", IF(AF10, Constants!$B$4,IF(COUNTA(G10:P10)=0, Constants!$B$5, Constants!$B$7)))</f>
        <v/>
      </c>
      <c r="AH10" s="66" t="str">
        <f aca="false">IF(ISBLANK($C10), "",IF($AG10=Constants!$B$7,1,$AG10))</f>
        <v/>
      </c>
      <c r="AI10" s="66" t="str">
        <f aca="false">IF($AG10=Constants!$B$7,POWER(Constants!$B$11,X10)*POWER(Constants!$B$12,Z10),"")</f>
        <v/>
      </c>
      <c r="AJ10" s="66" t="str">
        <f aca="false">IF(AND($AG10=Constants!$B$7, U10, V10) ,IF(OR($AA10="",$AC10=""),"",MAX(0, $AC10-$AA10)),"")</f>
        <v/>
      </c>
      <c r="AK10" s="66" t="str">
        <f aca="false">IF(AND($AG10=Constants!$B$7, U10, V10),IF(OR($AA10="",$AC10=""),$AK$6,""),"")</f>
        <v/>
      </c>
      <c r="AL10" s="66" t="str">
        <f aca="false">IF($AG10=Constants!$B$7,IF(AND(U10,V10,W10,Y10),IF($AJ10="",0,IF($AJ$6=0,Constants!$B$9,Constants!$B$9*AJ10/$AJ$6)), 0),"")</f>
        <v/>
      </c>
      <c r="AM10" s="66" t="str">
        <f aca="false">IF(AL10&lt;&gt;"", AL10*AI10,"")</f>
        <v/>
      </c>
      <c r="AN10" s="66" t="str">
        <f aca="false">IF(AND($AG10=Constants!$B$7, U10, V10) ,IF($AB10="", "", IF(OR($AC10="",$AC10=0),"",MAX(0,1-ABS($AC10-$AB10)/$AC10))),"")</f>
        <v/>
      </c>
      <c r="AO10" s="66" t="str">
        <f aca="false">IF(AND($AG10=Constants!$B$7, U10, V10),IF(AND($AA10&lt;&gt;"",$AB10&lt;&gt;"",$AC10=0),$AO$6,""),"")</f>
        <v/>
      </c>
      <c r="AP10" s="66" t="str">
        <f aca="false">IF($AG10=Constants!$B$7 ,IF(AND(U10,V10,W10,Y10,ISNUMBER(AB10)),IF($AN10="",0,IF($AN$6=0,Constants!$B$10,Constants!$B$10*AN10/$AN$6)), 0),"")</f>
        <v/>
      </c>
      <c r="AQ10" s="66" t="str">
        <f aca="false">IF(AP10&lt;&gt;"", AP10*AI10,"")</f>
        <v/>
      </c>
      <c r="AR10" s="66" t="str">
        <f aca="false">IF($AG10=Constants!$B$7,IF($AD10="",0,IF($AR$6=0,Constants!$B$8,Constants!$B$8*AD10/$AR$6)),"")</f>
        <v/>
      </c>
      <c r="AS10" s="66" t="str">
        <f aca="false">IF($AG10&lt;&gt;Constants!$B$7,$AG10,IF(AK10&amp;AO10&lt;&gt;"",Constants!$B$14,AM10+AQ10+AR10))</f>
        <v/>
      </c>
      <c r="AT10" s="66" t="str">
        <f aca="false">IF(ISBLANK($C10),"",IF($AG10=Constants!$B$7,IF(ISNUMBER(AS10),RANK(AS10,$AS$8:$AS$507),Constants!$B$14),$AG10))</f>
        <v/>
      </c>
      <c r="AU10" s="66" t="str">
        <f aca="false">IF(ISBLANK($C10), "",AM10)</f>
        <v/>
      </c>
      <c r="AV10" s="66" t="str">
        <f aca="false">IF(ISBLANK($C10),"",IF($AG10=Constants!$B$7,RANK(AU10,AU$8:AU$507),$AG10))</f>
        <v/>
      </c>
      <c r="AW10" s="66" t="str">
        <f aca="false">IF(ISBLANK($C10), "",AR10)</f>
        <v/>
      </c>
      <c r="AX10" s="66" t="str">
        <f aca="false">IF(ISBLANK($C10),"",IF($AG10=Constants!$B$7,RANK(AW10,AW$8:AW$507),$AG10))</f>
        <v/>
      </c>
      <c r="AY10" s="66" t="str">
        <f aca="false">IF(ISBLANK($C10), "",AE10)</f>
        <v/>
      </c>
      <c r="AZ10" s="66" t="str">
        <f aca="false">IF(ISBLANK($C10),"",
IF($AG10=Constants!$B$7,
  IF(ISNUMBER(AT10),
    COUNTIFS($AT$8:$AT$507,"&lt;"&amp;$AT10)
    + COUNTIFS($AT$8:$AT$507,$AT10,$AV$8:$AV$507,"&lt;"&amp;$AV10)
    + COUNTIFS($AT$8:$AT$507,$AT10,$AV$8:$AV$507,$AV10,$AX$8:$AX$507,"&lt;"&amp;$AX10)
    + COUNTIFS($AT$8:$AT$507,$AT10,$AV$8:$AV$507,$AV10,$AX$8:$AX$507,$AX10,$AY$8:$AY$507,"&lt;"&amp;$AY10)
    + 1,
  Constants!$B$14),
$AG10))</f>
        <v/>
      </c>
      <c r="BA10" s="66" t="str">
        <f aca="false">IF(ISBLANK(C10),"",IF($AG10=Constants!$B$7, IF(ISNUMBER(AT10),AT10-AZ10,Constants!$B$14),$AG10))</f>
        <v/>
      </c>
      <c r="BB10" s="70"/>
      <c r="BC10" s="84" t="str">
        <f aca="false">IF(ISBLANK($C10),"",TRIM(AK10&amp;" "&amp;AO10))</f>
        <v/>
      </c>
      <c r="BD10" s="72" t="str">
        <f aca="false">IF(ISBLANK($C10),"",IF($AG10&lt;&gt;Constants!$B$7,$AG10,AR10))</f>
        <v/>
      </c>
      <c r="BE10" s="72" t="str">
        <f aca="false">IF(ISBLANK($C10),"",IF($AG10&lt;&gt;Constants!$B$7,$AG10,AM10))</f>
        <v/>
      </c>
      <c r="BF10" s="72" t="str">
        <f aca="false">IF(ISBLANK($C10),"",IF($AG10&lt;&gt;Constants!$B$7,$AG10,AQ10))</f>
        <v/>
      </c>
      <c r="BG10" s="73" t="str">
        <f aca="false">IF(ISBLANK($C10),"",IF($AG10&lt;&gt;Constants!$B$7, $AG10 ,AS10))</f>
        <v/>
      </c>
      <c r="BH10" s="74" t="str">
        <f aca="false">IF(ISBLANK($C10),"",IF($AG10&lt;&gt;Constants!$B$7, $AG10 ,AH10))</f>
        <v/>
      </c>
      <c r="BI10" s="72" t="str">
        <f aca="false">IF(ISBLANK(C10),"",BA10)</f>
        <v/>
      </c>
      <c r="BJ10" s="72" t="str">
        <f aca="false">IF(ISBLANK(C10),"",AZ10)</f>
        <v/>
      </c>
      <c r="BK10" s="75" t="str">
        <f aca="false">IF(ISBLANK(C10),"",IFERROR(_xlfn.SWITCH(BJ10, Constants!$B$4, COUNTA($C$8:$C509)+2, Constants!$B$5, COUNTA($C$8:$C509)+1, Constants!$B$6, COUNTA($C$8:$C509)),BJ10))</f>
        <v/>
      </c>
      <c r="BL10" s="5"/>
      <c r="BM10" s="76" t="n">
        <f aca="false">IF(OR(ISNUMBER(BJ10),BJ10="DQ",BJ10="P",BJ10="NS"),
    1,
    0
)</f>
        <v>0</v>
      </c>
      <c r="BN10" s="76" t="n">
        <v>3</v>
      </c>
      <c r="BO10" s="76" t="str">
        <f aca="false">IF(ISBLANK($C10),"",IF(ISNUMBER(BK10),BK10+ROW($B10)/1000,""))</f>
        <v/>
      </c>
      <c r="BP10" s="76" t="str">
        <f aca="false">IF(ISNUMBER(BO10), RANK(BO10,BO$8:BO$507,1), "")</f>
        <v/>
      </c>
      <c r="BQ10" s="76" t="str">
        <f aca="false">IF(ISBLANK($C10),
    "",
    $B10
)</f>
        <v/>
      </c>
      <c r="BR10" s="76" t="str">
        <f aca="false">IF(ISBLANK($C10),
    "",
    $C10
)</f>
        <v/>
      </c>
      <c r="BS10" s="76" t="str">
        <f aca="false">IF(ISBLANK($C10),
    "",
    $D10
)</f>
        <v/>
      </c>
      <c r="BT10" s="77" t="str">
        <f aca="false">BH10</f>
        <v/>
      </c>
      <c r="BU10" s="78" t="str">
        <f aca="false">BG10</f>
        <v/>
      </c>
      <c r="BV10" s="76" t="str">
        <f aca="false">IF(ISBLANK($C10),
    "",
    BJ10
)</f>
        <v/>
      </c>
      <c r="BW10" s="79" t="str">
        <f aca="false">IF(BN10&gt;BM$7,
    "",
    VLOOKUP(BN10,BP$8:BV509,7,FALSE())
)</f>
        <v/>
      </c>
      <c r="BX10" s="80" t="str">
        <f aca="false">IF(BN10&gt;BM$7,
    "",
    VLOOKUP(BN10,BP$8:BV509,2,FALSE())
)</f>
        <v/>
      </c>
      <c r="BY10" s="80" t="str">
        <f aca="false">IF(BN10&gt;BM$7,
    "",
    VLOOKUP(BN10,BP$8:BV509,3,FALSE())
)</f>
        <v/>
      </c>
      <c r="BZ10" s="80" t="str">
        <f aca="false">IF(BN10&gt;BM$7,
    "",
    VLOOKUP(BN10,BP$8:BV509,4,FALSE())
)</f>
        <v/>
      </c>
      <c r="CA10" s="80" t="str">
        <f aca="false">IF(BN10&gt;BM$7,
    "",
    VLOOKUP(BN10,BP$8:BV509,5,FALSE())
)</f>
        <v/>
      </c>
      <c r="CB10" s="81" t="str">
        <f aca="false">IF(BN10&gt;BM$7,
    "",
    VLOOKUP(BN10,BP$8:BV509,6,FALSE())
)</f>
        <v/>
      </c>
      <c r="CC10" s="53"/>
    </row>
    <row r="11" customFormat="false" ht="15.75" hidden="false" customHeight="false" outlineLevel="0" collapsed="false">
      <c r="A11" s="5"/>
      <c r="B11" s="87"/>
      <c r="C11" s="88"/>
      <c r="D11" s="89"/>
      <c r="E11" s="90"/>
      <c r="F11" s="90"/>
      <c r="G11" s="91"/>
      <c r="H11" s="92"/>
      <c r="I11" s="92"/>
      <c r="J11" s="93"/>
      <c r="K11" s="93"/>
      <c r="L11" s="93"/>
      <c r="M11" s="94"/>
      <c r="N11" s="94"/>
      <c r="O11" s="94"/>
      <c r="P11" s="95"/>
      <c r="Q11" s="96"/>
      <c r="R11" s="97"/>
      <c r="S11" s="98"/>
      <c r="T11" s="99"/>
      <c r="U11" s="100" t="str">
        <f aca="false">IF(ISBLANK($C11),"",IF(G11=Constants!$B$2, TRUE(), IF(G11=Constants!$B$3, FALSE(), TRUE())))</f>
        <v/>
      </c>
      <c r="V11" s="100" t="str">
        <f aca="false">IF(ISBLANK($C11),"",IF(H11=Constants!$B$2, TRUE(), IF(H11=Constants!$B$3, FALSE(), TRUE())))</f>
        <v/>
      </c>
      <c r="W11" s="100" t="str">
        <f aca="false">IF(ISBLANK($C11),"",IF(I11=Constants!$B$2, TRUE(), IF(I11=Constants!$B$3, FALSE(), TRUE())))</f>
        <v/>
      </c>
      <c r="X11" s="99" t="str">
        <f aca="false">IF(ISBLANK($C11),"",IF(AND(ISNUMBER(J11),J11&gt;0),INT(J11),0))</f>
        <v/>
      </c>
      <c r="Y11" s="99" t="str">
        <f aca="false">IF(ISBLANK($C11),"",IF(K11=Constants!$B$2, TRUE(), IF(K11=Constants!$B$3, FALSE(), TRUE())))</f>
        <v/>
      </c>
      <c r="Z11" s="100" t="str">
        <f aca="false">IF(ISBLANK($C11),"",IF(AND(ISNUMBER(L11),L11&gt;0),INT(L11),0))</f>
        <v/>
      </c>
      <c r="AA11" s="101" t="str">
        <f aca="false">IF(ISBLANK($C11),"",IF(ISNUMBER(M11), M11, ""))</f>
        <v/>
      </c>
      <c r="AB11" s="101" t="str">
        <f aca="false">IF(ISBLANK($C11),"",IF(ISNUMBER(N11), N11, ""))</f>
        <v/>
      </c>
      <c r="AC11" s="101" t="str">
        <f aca="false">IF(ISBLANK($C11),"",IF(ISNUMBER(O11), O11, ""))</f>
        <v/>
      </c>
      <c r="AD11" s="102" t="str">
        <f aca="false">IF(ISBLANK($C11),"",IF(ISNUMBER(P11), P11, ""))</f>
        <v/>
      </c>
      <c r="AE11" s="102" t="str">
        <f aca="false">IF(ISBLANK($C11),"",IF(ISNUMBER(Q11), Q11, Constants!$B$13))</f>
        <v/>
      </c>
      <c r="AF11" s="99" t="str">
        <f aca="false">IF(ISBLANK($C11),"",IF(R11=Constants!$B$2, TRUE(), IF(R11=Constants!$B$3, FALSE(), FALSE())))</f>
        <v/>
      </c>
      <c r="AG11" s="99" t="str">
        <f aca="false">IF(ISBLANK(C11), "", IF(AF11, Constants!$B$4,IF(COUNTA(G11:P11)=0, Constants!$B$5, Constants!$B$7)))</f>
        <v/>
      </c>
      <c r="AH11" s="99" t="str">
        <f aca="false">IF(ISBLANK($C11), "",IF($AG11=Constants!$B$7,1,$AG11))</f>
        <v/>
      </c>
      <c r="AI11" s="99" t="str">
        <f aca="false">IF($AG11=Constants!$B$7,POWER(Constants!$B$11,X11)*POWER(Constants!$B$12,Z11),"")</f>
        <v/>
      </c>
      <c r="AJ11" s="99" t="str">
        <f aca="false">IF(AND($AG11=Constants!$B$7, U11, V11) ,IF(OR($AA11="",$AC11=""),"",MAX(0, $AC11-$AA11)),"")</f>
        <v/>
      </c>
      <c r="AK11" s="99" t="str">
        <f aca="false">IF(AND($AG11=Constants!$B$7, U11, V11),IF(OR($AA11="",$AC11=""),$AK$6,""),"")</f>
        <v/>
      </c>
      <c r="AL11" s="99" t="str">
        <f aca="false">IF($AG11=Constants!$B$7,IF(AND(U11,V11,W11,Y11),IF($AJ11="",0,IF($AJ$6=0,Constants!$B$9,Constants!$B$9*AJ11/$AJ$6)), 0),"")</f>
        <v/>
      </c>
      <c r="AM11" s="99" t="str">
        <f aca="false">IF(AL11&lt;&gt;"", AL11*AI11,"")</f>
        <v/>
      </c>
      <c r="AN11" s="99" t="str">
        <f aca="false">IF(AND($AG11=Constants!$B$7, U11, V11) ,IF($AB11="", "", IF(OR($AC11="",$AC11=0),"",MAX(0,1-ABS($AC11-$AB11)/$AC11))),"")</f>
        <v/>
      </c>
      <c r="AO11" s="99" t="str">
        <f aca="false">IF(AND($AG11=Constants!$B$7, U11, V11),IF(AND($AA11&lt;&gt;"",$AB11&lt;&gt;"",$AC11=0),$AO$6,""),"")</f>
        <v/>
      </c>
      <c r="AP11" s="99" t="str">
        <f aca="false">IF($AG11=Constants!$B$7 ,IF(AND(U11,V11,W11,Y11,ISNUMBER(AB11)),IF($AN11="",0,IF($AN$6=0,Constants!$B$10,Constants!$B$10*AN11/$AN$6)), 0),"")</f>
        <v/>
      </c>
      <c r="AQ11" s="99" t="str">
        <f aca="false">IF(AP11&lt;&gt;"", AP11*AI11,"")</f>
        <v/>
      </c>
      <c r="AR11" s="99" t="str">
        <f aca="false">IF($AG11=Constants!$B$7,IF($AD11="",0,IF($AR$6=0,Constants!$B$8,Constants!$B$8*AD11/$AR$6)),"")</f>
        <v/>
      </c>
      <c r="AS11" s="99" t="str">
        <f aca="false">IF($AG11&lt;&gt;Constants!$B$7,$AG11,IF(AK11&amp;AO11&lt;&gt;"",Constants!$B$14,AM11+AQ11+AR11))</f>
        <v/>
      </c>
      <c r="AT11" s="99" t="str">
        <f aca="false">IF(ISBLANK($C11),"",IF($AG11=Constants!$B$7,IF(ISNUMBER(AS11),RANK(AS11,$AS$8:$AS$507),Constants!$B$14),$AG11))</f>
        <v/>
      </c>
      <c r="AU11" s="99" t="str">
        <f aca="false">IF(ISBLANK($C11), "",AM11)</f>
        <v/>
      </c>
      <c r="AV11" s="99" t="str">
        <f aca="false">IF(ISBLANK($C11),"",IF($AG11=Constants!$B$7,RANK(AU11,AU$8:AU$507),$AG11))</f>
        <v/>
      </c>
      <c r="AW11" s="99" t="str">
        <f aca="false">IF(ISBLANK($C11), "",AR11)</f>
        <v/>
      </c>
      <c r="AX11" s="99" t="str">
        <f aca="false">IF(ISBLANK($C11),"",IF($AG11=Constants!$B$7,RANK(AW11,AW$8:AW$507),$AG11))</f>
        <v/>
      </c>
      <c r="AY11" s="99" t="str">
        <f aca="false">IF(ISBLANK($C11), "",AE11)</f>
        <v/>
      </c>
      <c r="AZ11" s="99" t="str">
        <f aca="false">IF(ISBLANK($C11),"",
IF($AG11=Constants!$B$7,
  IF(ISNUMBER(AT11),
    COUNTIFS($AT$8:$AT$507,"&lt;"&amp;$AT11)
    + COUNTIFS($AT$8:$AT$507,$AT11,$AV$8:$AV$507,"&lt;"&amp;$AV11)
    + COUNTIFS($AT$8:$AT$507,$AT11,$AV$8:$AV$507,$AV11,$AX$8:$AX$507,"&lt;"&amp;$AX11)
    + COUNTIFS($AT$8:$AT$507,$AT11,$AV$8:$AV$507,$AV11,$AX$8:$AX$507,$AX11,$AY$8:$AY$507,"&lt;"&amp;$AY11)
    + 1,
  Constants!$B$14),
$AG11))</f>
        <v/>
      </c>
      <c r="BA11" s="99" t="str">
        <f aca="false">IF(ISBLANK(C11),"",IF($AG11=Constants!$B$7, IF(ISNUMBER(AT11),AT11-AZ11,Constants!$B$14),$AG11))</f>
        <v/>
      </c>
      <c r="BB11" s="103"/>
      <c r="BC11" s="104" t="str">
        <f aca="false">IF(ISBLANK($C11),"",TRIM(AK11&amp;" "&amp;AO11))</f>
        <v/>
      </c>
      <c r="BD11" s="105" t="str">
        <f aca="false">IF(ISBLANK($C11),"",IF($AG11&lt;&gt;Constants!$B$7,$AG11,AR11))</f>
        <v/>
      </c>
      <c r="BE11" s="105" t="str">
        <f aca="false">IF(ISBLANK($C11),"",IF($AG11&lt;&gt;Constants!$B$7,$AG11,AM11))</f>
        <v/>
      </c>
      <c r="BF11" s="105" t="str">
        <f aca="false">IF(ISBLANK($C11),"",IF($AG11&lt;&gt;Constants!$B$7,$AG11,AQ11))</f>
        <v/>
      </c>
      <c r="BG11" s="106" t="str">
        <f aca="false">IF(ISBLANK($C11),"",IF($AG11&lt;&gt;Constants!$B$7, $AG11 ,AS11))</f>
        <v/>
      </c>
      <c r="BH11" s="107" t="str">
        <f aca="false">IF(ISBLANK($C11),"",IF($AG11&lt;&gt;Constants!$B$7, $AG11 ,AH11))</f>
        <v/>
      </c>
      <c r="BI11" s="105" t="str">
        <f aca="false">IF(ISBLANK(C11),"",BA11)</f>
        <v/>
      </c>
      <c r="BJ11" s="105" t="str">
        <f aca="false">IF(ISBLANK(C11),"",AZ11)</f>
        <v/>
      </c>
      <c r="BK11" s="108" t="str">
        <f aca="false">IF(ISBLANK(C11),"",IFERROR(_xlfn.SWITCH(BJ11, Constants!$B$4, COUNTA($C$8:$C510)+2, Constants!$B$5, COUNTA($C$8:$C510)+1, Constants!$B$6, COUNTA($C$8:$C510)),BJ11))</f>
        <v/>
      </c>
      <c r="BL11" s="5"/>
      <c r="BM11" s="109" t="n">
        <f aca="false">IF(OR(ISNUMBER(BJ11),BJ11="DQ",BJ11="P",BJ11="NS"),
    1,
    0
)</f>
        <v>0</v>
      </c>
      <c r="BN11" s="109" t="n">
        <v>4</v>
      </c>
      <c r="BO11" s="109" t="str">
        <f aca="false">IF(ISBLANK($C11),"",IF(ISNUMBER(BK11),BK11+ROW($B11)/1000,""))</f>
        <v/>
      </c>
      <c r="BP11" s="109" t="str">
        <f aca="false">IF(ISNUMBER(BO11), RANK(BO11,BO$8:BO$507,1), "")</f>
        <v/>
      </c>
      <c r="BQ11" s="109" t="str">
        <f aca="false">IF(ISBLANK($C11),
    "",
    $B11
)</f>
        <v/>
      </c>
      <c r="BR11" s="109" t="str">
        <f aca="false">IF(ISBLANK($C11),
    "",
    $C11
)</f>
        <v/>
      </c>
      <c r="BS11" s="109" t="str">
        <f aca="false">IF(ISBLANK($C11),
    "",
    $D11
)</f>
        <v/>
      </c>
      <c r="BT11" s="110" t="str">
        <f aca="false">BH11</f>
        <v/>
      </c>
      <c r="BU11" s="111" t="str">
        <f aca="false">BG11</f>
        <v/>
      </c>
      <c r="BV11" s="109" t="str">
        <f aca="false">IF(ISBLANK($C11),
    "",
    BJ11
)</f>
        <v/>
      </c>
      <c r="BW11" s="112" t="str">
        <f aca="false">IF(BN11&gt;BM$7,
    "",
    VLOOKUP(BN11,BP$8:BV510,7,FALSE())
)</f>
        <v/>
      </c>
      <c r="BX11" s="113" t="str">
        <f aca="false">IF(BN11&gt;BM$7,
    "",
    VLOOKUP(BN11,BP$8:BV510,2,FALSE())
)</f>
        <v/>
      </c>
      <c r="BY11" s="113" t="str">
        <f aca="false">IF(BN11&gt;BM$7,
    "",
    VLOOKUP(BN11,BP$8:BV510,3,FALSE())
)</f>
        <v/>
      </c>
      <c r="BZ11" s="113" t="str">
        <f aca="false">IF(BN11&gt;BM$7,
    "",
    VLOOKUP(BN11,BP$8:BV510,4,FALSE())
)</f>
        <v/>
      </c>
      <c r="CA11" s="113" t="str">
        <f aca="false">IF(BN11&gt;BM$7,
    "",
    VLOOKUP(BN11,BP$8:BV510,5,FALSE())
)</f>
        <v/>
      </c>
      <c r="CB11" s="114" t="str">
        <f aca="false">IF(BN11&gt;BM$7,
    "",
    VLOOKUP(BN11,BP$8:BV510,6,FALSE())
)</f>
        <v/>
      </c>
      <c r="CC11" s="53"/>
    </row>
    <row r="12" customFormat="false" ht="15.75" hidden="false" customHeight="false" outlineLevel="0" collapsed="false">
      <c r="A12" s="5"/>
      <c r="B12" s="87"/>
      <c r="C12" s="88"/>
      <c r="D12" s="115"/>
      <c r="E12" s="90"/>
      <c r="F12" s="90"/>
      <c r="G12" s="91"/>
      <c r="H12" s="92"/>
      <c r="I12" s="92"/>
      <c r="J12" s="93"/>
      <c r="K12" s="93"/>
      <c r="L12" s="93"/>
      <c r="M12" s="94"/>
      <c r="N12" s="94"/>
      <c r="O12" s="94"/>
      <c r="P12" s="95"/>
      <c r="Q12" s="96"/>
      <c r="R12" s="97"/>
      <c r="S12" s="98"/>
      <c r="T12" s="99"/>
      <c r="U12" s="99" t="str">
        <f aca="false">IF(ISBLANK($C12),"",IF(G12=Constants!$B$2, TRUE(), IF(G12=Constants!$B$3, FALSE(), TRUE())))</f>
        <v/>
      </c>
      <c r="V12" s="99" t="str">
        <f aca="false">IF(ISBLANK($C12),"",IF(H12=Constants!$B$2, TRUE(), IF(H12=Constants!$B$3, FALSE(), TRUE())))</f>
        <v/>
      </c>
      <c r="W12" s="99" t="str">
        <f aca="false">IF(ISBLANK($C12),"",IF(I12=Constants!$B$2, TRUE(), IF(I12=Constants!$B$3, FALSE(), TRUE())))</f>
        <v/>
      </c>
      <c r="X12" s="99" t="str">
        <f aca="false">IF(ISBLANK($C12),"",IF(AND(ISNUMBER(J12),J12&gt;0),INT(J12),0))</f>
        <v/>
      </c>
      <c r="Y12" s="99" t="str">
        <f aca="false">IF(ISBLANK($C12),"",IF(K12=Constants!$B$2, TRUE(), IF(K12=Constants!$B$3, FALSE(), TRUE())))</f>
        <v/>
      </c>
      <c r="Z12" s="100" t="str">
        <f aca="false">IF(ISBLANK($C12),"",IF(AND(ISNUMBER(L12),L12&gt;0),INT(L12),0))</f>
        <v/>
      </c>
      <c r="AA12" s="101" t="str">
        <f aca="false">IF(ISBLANK($C12),"",IF(ISNUMBER(M12), M12, ""))</f>
        <v/>
      </c>
      <c r="AB12" s="101" t="str">
        <f aca="false">IF(ISBLANK($C12),"",IF(ISNUMBER(N12), N12, ""))</f>
        <v/>
      </c>
      <c r="AC12" s="101" t="str">
        <f aca="false">IF(ISBLANK($C12),"",IF(ISNUMBER(O12), O12, ""))</f>
        <v/>
      </c>
      <c r="AD12" s="102" t="str">
        <f aca="false">IF(ISBLANK($C12),"",IF(ISNUMBER(P12), P12, ""))</f>
        <v/>
      </c>
      <c r="AE12" s="102" t="str">
        <f aca="false">IF(ISBLANK($C12),"",IF(ISNUMBER(Q12), Q12, Constants!$B$13))</f>
        <v/>
      </c>
      <c r="AF12" s="99" t="str">
        <f aca="false">IF(ISBLANK($C12),"",IF(R12=Constants!$B$2, TRUE(), IF(R12=Constants!$B$3, FALSE(), FALSE())))</f>
        <v/>
      </c>
      <c r="AG12" s="99" t="str">
        <f aca="false">IF(ISBLANK(C12), "", IF(AF12, Constants!$B$4,IF(COUNTA(G12:P12)=0, Constants!$B$5, Constants!$B$7)))</f>
        <v/>
      </c>
      <c r="AH12" s="99" t="str">
        <f aca="false">IF(ISBLANK($C12), "",IF($AG12=Constants!$B$7,1,$AG12))</f>
        <v/>
      </c>
      <c r="AI12" s="99" t="str">
        <f aca="false">IF($AG12=Constants!$B$7,POWER(Constants!$B$11,X12)*POWER(Constants!$B$12,Z12),"")</f>
        <v/>
      </c>
      <c r="AJ12" s="99" t="str">
        <f aca="false">IF(AND($AG12=Constants!$B$7, U12, V12) ,IF(OR($AA12="",$AC12=""),"",MAX(0, $AC12-$AA12)),"")</f>
        <v/>
      </c>
      <c r="AK12" s="99" t="str">
        <f aca="false">IF(AND($AG12=Constants!$B$7, U12, V12),IF(OR($AA12="",$AC12=""),$AK$6,""),"")</f>
        <v/>
      </c>
      <c r="AL12" s="99" t="str">
        <f aca="false">IF($AG12=Constants!$B$7,IF(AND(U12,V12,W12,Y12),IF($AJ12="",0,IF($AJ$6=0,Constants!$B$9,Constants!$B$9*AJ12/$AJ$6)), 0),"")</f>
        <v/>
      </c>
      <c r="AM12" s="99" t="str">
        <f aca="false">IF(AL12&lt;&gt;"", AL12*AI12,"")</f>
        <v/>
      </c>
      <c r="AN12" s="99" t="str">
        <f aca="false">IF(AND($AG12=Constants!$B$7, U12, V12) ,IF($AB12="", "", IF(OR($AC12="",$AC12=0),"",MAX(0,1-ABS($AC12-$AB12)/$AC12))),"")</f>
        <v/>
      </c>
      <c r="AO12" s="99" t="str">
        <f aca="false">IF(AND($AG12=Constants!$B$7, U12, V12),IF(AND($AA12&lt;&gt;"",$AB12&lt;&gt;"",$AC12=0),$AO$6,""),"")</f>
        <v/>
      </c>
      <c r="AP12" s="99" t="str">
        <f aca="false">IF($AG12=Constants!$B$7 ,IF(AND(U12,V12,W12,Y12,ISNUMBER(AB12)),IF($AN12="",0,IF($AN$6=0,Constants!$B$10,Constants!$B$10*AN12/$AN$6)), 0),"")</f>
        <v/>
      </c>
      <c r="AQ12" s="99" t="str">
        <f aca="false">IF(AP12&lt;&gt;"", AP12*AI12,"")</f>
        <v/>
      </c>
      <c r="AR12" s="99" t="str">
        <f aca="false">IF($AG12=Constants!$B$7,IF($AD12="",0,IF($AR$6=0,Constants!$B$8,Constants!$B$8*AD12/$AR$6)),"")</f>
        <v/>
      </c>
      <c r="AS12" s="99" t="str">
        <f aca="false">IF($AG12&lt;&gt;Constants!$B$7,$AG12,IF(AK12&amp;AO12&lt;&gt;"",Constants!$B$14,AM12+AQ12+AR12))</f>
        <v/>
      </c>
      <c r="AT12" s="99" t="str">
        <f aca="false">IF(ISBLANK($C12),"",IF($AG12=Constants!$B$7,IF(ISNUMBER(AS12),RANK(AS12,$AS$8:$AS$507),Constants!$B$14),$AG12))</f>
        <v/>
      </c>
      <c r="AU12" s="99" t="str">
        <f aca="false">IF(ISBLANK($C12), "",AM12)</f>
        <v/>
      </c>
      <c r="AV12" s="99" t="str">
        <f aca="false">IF(ISBLANK($C12),"",IF($AG12=Constants!$B$7,RANK(AU12,AU$8:AU$507),$AG12))</f>
        <v/>
      </c>
      <c r="AW12" s="99" t="str">
        <f aca="false">IF(ISBLANK($C12), "",AR12)</f>
        <v/>
      </c>
      <c r="AX12" s="99" t="str">
        <f aca="false">IF(ISBLANK($C12),"",IF($AG12=Constants!$B$7,RANK(AW12,AW$8:AW$507),$AG12))</f>
        <v/>
      </c>
      <c r="AY12" s="99" t="str">
        <f aca="false">IF(ISBLANK($C12), "",AE12)</f>
        <v/>
      </c>
      <c r="AZ12" s="99" t="str">
        <f aca="false">IF(ISBLANK($C12),"",
IF($AG12=Constants!$B$7,
  IF(ISNUMBER(AT12),
    COUNTIFS($AT$8:$AT$507,"&lt;"&amp;$AT12)
    + COUNTIFS($AT$8:$AT$507,$AT12,$AV$8:$AV$507,"&lt;"&amp;$AV12)
    + COUNTIFS($AT$8:$AT$507,$AT12,$AV$8:$AV$507,$AV12,$AX$8:$AX$507,"&lt;"&amp;$AX12)
    + COUNTIFS($AT$8:$AT$507,$AT12,$AV$8:$AV$507,$AV12,$AX$8:$AX$507,$AX12,$AY$8:$AY$507,"&lt;"&amp;$AY12)
    + 1,
  Constants!$B$14),
$AG12))</f>
        <v/>
      </c>
      <c r="BA12" s="99" t="str">
        <f aca="false">IF(ISBLANK(C12),"",IF($AG12=Constants!$B$7, IF(ISNUMBER(AT12),AT12-AZ12,Constants!$B$14),$AG12))</f>
        <v/>
      </c>
      <c r="BB12" s="103"/>
      <c r="BC12" s="104" t="str">
        <f aca="false">IF(ISBLANK($C12),"",TRIM(AK12&amp;" "&amp;AO12))</f>
        <v/>
      </c>
      <c r="BD12" s="105" t="str">
        <f aca="false">IF(ISBLANK($C12),"",IF($AG12&lt;&gt;Constants!$B$7,$AG12,AR12))</f>
        <v/>
      </c>
      <c r="BE12" s="105" t="str">
        <f aca="false">IF(ISBLANK($C12),"",IF($AG12&lt;&gt;Constants!$B$7,$AG12,AM12))</f>
        <v/>
      </c>
      <c r="BF12" s="105" t="str">
        <f aca="false">IF(ISBLANK($C12),"",IF($AG12&lt;&gt;Constants!$B$7,$AG12,AQ12))</f>
        <v/>
      </c>
      <c r="BG12" s="106" t="str">
        <f aca="false">IF(ISBLANK($C12),"",IF($AG12&lt;&gt;Constants!$B$7, $AG12 ,AS12))</f>
        <v/>
      </c>
      <c r="BH12" s="107" t="str">
        <f aca="false">IF(ISBLANK($C12),"",IF($AG12&lt;&gt;Constants!$B$7, $AG12 ,AH12))</f>
        <v/>
      </c>
      <c r="BI12" s="105" t="str">
        <f aca="false">IF(ISBLANK(C12),"",BA12)</f>
        <v/>
      </c>
      <c r="BJ12" s="105" t="str">
        <f aca="false">IF(ISBLANK(C12),"",AZ12)</f>
        <v/>
      </c>
      <c r="BK12" s="108" t="str">
        <f aca="false">IF(ISBLANK(C12),"",IFERROR(_xlfn.SWITCH(BJ12, Constants!$B$4, COUNTA($C$8:$C511)+2, Constants!$B$5, COUNTA($C$8:$C511)+1, Constants!$B$6, COUNTA($C$8:$C511)),BJ12))</f>
        <v/>
      </c>
      <c r="BL12" s="5"/>
      <c r="BM12" s="109" t="n">
        <f aca="false">IF(OR(ISNUMBER(BJ12),BJ12="DQ",BJ12="P",BJ12="NS"),
    1,
    0
)</f>
        <v>0</v>
      </c>
      <c r="BN12" s="109" t="n">
        <v>5</v>
      </c>
      <c r="BO12" s="109" t="str">
        <f aca="false">IF(ISBLANK($C12),"",IF(ISNUMBER(BK12),BK12+ROW($B12)/1000,""))</f>
        <v/>
      </c>
      <c r="BP12" s="109" t="str">
        <f aca="false">IF(ISNUMBER(BO12), RANK(BO12,BO$8:BO$507,1), "")</f>
        <v/>
      </c>
      <c r="BQ12" s="109" t="str">
        <f aca="false">IF(ISBLANK($C12),
    "",
    $B12
)</f>
        <v/>
      </c>
      <c r="BR12" s="109" t="str">
        <f aca="false">IF(ISBLANK($C12),
    "",
    $C12
)</f>
        <v/>
      </c>
      <c r="BS12" s="109" t="str">
        <f aca="false">IF(ISBLANK($C12),
    "",
    $D12
)</f>
        <v/>
      </c>
      <c r="BT12" s="110" t="str">
        <f aca="false">BH12</f>
        <v/>
      </c>
      <c r="BU12" s="111" t="str">
        <f aca="false">BG12</f>
        <v/>
      </c>
      <c r="BV12" s="109" t="str">
        <f aca="false">IF(ISBLANK($C12),
    "",
    BJ12
)</f>
        <v/>
      </c>
      <c r="BW12" s="112" t="str">
        <f aca="false">IF(BN12&gt;BM$7,
    "",
    VLOOKUP(BN12,BP$8:BV511,7,FALSE())
)</f>
        <v/>
      </c>
      <c r="BX12" s="113" t="str">
        <f aca="false">IF(BN12&gt;BM$7,
    "",
    VLOOKUP(BN12,BP$8:BV511,2,FALSE())
)</f>
        <v/>
      </c>
      <c r="BY12" s="113" t="str">
        <f aca="false">IF(BN12&gt;BM$7,
    "",
    VLOOKUP(BN12,BP$8:BV511,3,FALSE())
)</f>
        <v/>
      </c>
      <c r="BZ12" s="113" t="str">
        <f aca="false">IF(BN12&gt;BM$7,
    "",
    VLOOKUP(BN12,BP$8:BV511,4,FALSE())
)</f>
        <v/>
      </c>
      <c r="CA12" s="113" t="str">
        <f aca="false">IF(BN12&gt;BM$7,
    "",
    VLOOKUP(BN12,BP$8:BV511,5,FALSE())
)</f>
        <v/>
      </c>
      <c r="CB12" s="114" t="str">
        <f aca="false">IF(BN12&gt;BM$7,
    "",
    VLOOKUP(BN12,BP$8:BV511,6,FALSE())
)</f>
        <v/>
      </c>
      <c r="CC12" s="53"/>
    </row>
    <row r="13" customFormat="false" ht="15.75" hidden="false" customHeight="false" outlineLevel="0" collapsed="false">
      <c r="A13" s="5"/>
      <c r="B13" s="116"/>
      <c r="C13" s="117"/>
      <c r="D13" s="118"/>
      <c r="E13" s="119"/>
      <c r="F13" s="119"/>
      <c r="G13" s="91"/>
      <c r="H13" s="92"/>
      <c r="I13" s="92"/>
      <c r="J13" s="120"/>
      <c r="K13" s="120"/>
      <c r="L13" s="120"/>
      <c r="M13" s="94"/>
      <c r="N13" s="94"/>
      <c r="O13" s="94"/>
      <c r="P13" s="95"/>
      <c r="Q13" s="96"/>
      <c r="R13" s="121"/>
      <c r="S13" s="98"/>
      <c r="T13" s="99"/>
      <c r="U13" s="99" t="str">
        <f aca="false">IF(ISBLANK($C13),"",IF(G13=Constants!$B$2, TRUE(), IF(G13=Constants!$B$3, FALSE(), TRUE())))</f>
        <v/>
      </c>
      <c r="V13" s="99" t="str">
        <f aca="false">IF(ISBLANK($C13),"",IF(H13=Constants!$B$2, TRUE(), IF(H13=Constants!$B$3, FALSE(), TRUE())))</f>
        <v/>
      </c>
      <c r="W13" s="99" t="str">
        <f aca="false">IF(ISBLANK($C13),"",IF(I13=Constants!$B$2, TRUE(), IF(I13=Constants!$B$3, FALSE(), TRUE())))</f>
        <v/>
      </c>
      <c r="X13" s="99" t="str">
        <f aca="false">IF(ISBLANK($C13),"",IF(AND(ISNUMBER(J13),J13&gt;0),INT(J13),0))</f>
        <v/>
      </c>
      <c r="Y13" s="99" t="str">
        <f aca="false">IF(ISBLANK($C13),"",IF(K13=Constants!$B$2, TRUE(), IF(K13=Constants!$B$3, FALSE(), TRUE())))</f>
        <v/>
      </c>
      <c r="Z13" s="100" t="str">
        <f aca="false">IF(ISBLANK($C13),"",IF(AND(ISNUMBER(L13),L13&gt;0),INT(L13),0))</f>
        <v/>
      </c>
      <c r="AA13" s="101" t="str">
        <f aca="false">IF(ISBLANK($C13),"",IF(ISNUMBER(M13), M13, ""))</f>
        <v/>
      </c>
      <c r="AB13" s="101" t="str">
        <f aca="false">IF(ISBLANK($C13),"",IF(ISNUMBER(N13), N13, ""))</f>
        <v/>
      </c>
      <c r="AC13" s="101" t="str">
        <f aca="false">IF(ISBLANK($C13),"",IF(ISNUMBER(O13), O13, ""))</f>
        <v/>
      </c>
      <c r="AD13" s="102" t="str">
        <f aca="false">IF(ISBLANK($C13),"",IF(ISNUMBER(P13), P13, ""))</f>
        <v/>
      </c>
      <c r="AE13" s="102" t="str">
        <f aca="false">IF(ISBLANK($C13),"",IF(ISNUMBER(Q13), Q13, Constants!$B$13))</f>
        <v/>
      </c>
      <c r="AF13" s="99" t="str">
        <f aca="false">IF(ISBLANK($C13),"",IF(R13=Constants!$B$2, TRUE(), IF(R13=Constants!$B$3, FALSE(), FALSE())))</f>
        <v/>
      </c>
      <c r="AG13" s="99" t="str">
        <f aca="false">IF(ISBLANK(C13), "", IF(AF13, Constants!$B$4,IF(COUNTA(G13:P13)=0, Constants!$B$5, Constants!$B$7)))</f>
        <v/>
      </c>
      <c r="AH13" s="99" t="str">
        <f aca="false">IF(ISBLANK($C13), "",IF($AG13=Constants!$B$7,1,$AG13))</f>
        <v/>
      </c>
      <c r="AI13" s="99" t="str">
        <f aca="false">IF($AG13=Constants!$B$7,POWER(Constants!$B$11,X13)*POWER(Constants!$B$12,Z13),"")</f>
        <v/>
      </c>
      <c r="AJ13" s="99" t="str">
        <f aca="false">IF(AND($AG13=Constants!$B$7, U13, V13) ,IF(OR($AA13="",$AC13=""),"",MAX(0, $AC13-$AA13)),"")</f>
        <v/>
      </c>
      <c r="AK13" s="99" t="str">
        <f aca="false">IF(AND($AG13=Constants!$B$7, U13, V13),IF(OR($AA13="",$AC13=""),$AK$6,""),"")</f>
        <v/>
      </c>
      <c r="AL13" s="99" t="str">
        <f aca="false">IF($AG13=Constants!$B$7,IF(AND(U13,V13,W13,Y13),IF($AJ13="",0,IF($AJ$6=0,Constants!$B$9,Constants!$B$9*AJ13/$AJ$6)), 0),"")</f>
        <v/>
      </c>
      <c r="AM13" s="99" t="str">
        <f aca="false">IF(AL13&lt;&gt;"", AL13*AI13,"")</f>
        <v/>
      </c>
      <c r="AN13" s="99" t="str">
        <f aca="false">IF(AND($AG13=Constants!$B$7, U13, V13) ,IF($AB13="", "", IF(OR($AC13="",$AC13=0),"",MAX(0,1-ABS($AC13-$AB13)/$AC13))),"")</f>
        <v/>
      </c>
      <c r="AO13" s="99" t="str">
        <f aca="false">IF(AND($AG13=Constants!$B$7, U13, V13),IF(AND($AA13&lt;&gt;"",$AB13&lt;&gt;"",$AC13=0),$AO$6,""),"")</f>
        <v/>
      </c>
      <c r="AP13" s="99" t="str">
        <f aca="false">IF($AG13=Constants!$B$7 ,IF(AND(U13,V13,W13,Y13,ISNUMBER(AB13)),IF($AN13="",0,IF($AN$6=0,Constants!$B$10,Constants!$B$10*AN13/$AN$6)), 0),"")</f>
        <v/>
      </c>
      <c r="AQ13" s="99" t="str">
        <f aca="false">IF(AP13&lt;&gt;"", AP13*AI13,"")</f>
        <v/>
      </c>
      <c r="AR13" s="99" t="str">
        <f aca="false">IF($AG13=Constants!$B$7,IF($AD13="",0,IF($AR$6=0,Constants!$B$8,Constants!$B$8*AD13/$AR$6)),"")</f>
        <v/>
      </c>
      <c r="AS13" s="99" t="str">
        <f aca="false">IF($AG13&lt;&gt;Constants!$B$7,$AG13,IF(AK13&amp;AO13&lt;&gt;"",Constants!$B$14,AM13+AQ13+AR13))</f>
        <v/>
      </c>
      <c r="AT13" s="99" t="str">
        <f aca="false">IF(ISBLANK($C13),"",IF($AG13=Constants!$B$7,IF(ISNUMBER(AS13),RANK(AS13,$AS$8:$AS$507),Constants!$B$14),$AG13))</f>
        <v/>
      </c>
      <c r="AU13" s="99" t="str">
        <f aca="false">IF(ISBLANK($C13), "",AM13)</f>
        <v/>
      </c>
      <c r="AV13" s="99" t="str">
        <f aca="false">IF(ISBLANK($C13),"",IF($AG13=Constants!$B$7,RANK(AU13,AU$8:AU$507),$AG13))</f>
        <v/>
      </c>
      <c r="AW13" s="99" t="str">
        <f aca="false">IF(ISBLANK($C13), "",AR13)</f>
        <v/>
      </c>
      <c r="AX13" s="99" t="str">
        <f aca="false">IF(ISBLANK($C13),"",IF($AG13=Constants!$B$7,RANK(AW13,AW$8:AW$507),$AG13))</f>
        <v/>
      </c>
      <c r="AY13" s="99" t="str">
        <f aca="false">IF(ISBLANK($C13), "",AE13)</f>
        <v/>
      </c>
      <c r="AZ13" s="99" t="str">
        <f aca="false">IF(ISBLANK($C13),"",
IF($AG13=Constants!$B$7,
  IF(ISNUMBER(AT13),
    COUNTIFS($AT$8:$AT$507,"&lt;"&amp;$AT13)
    + COUNTIFS($AT$8:$AT$507,$AT13,$AV$8:$AV$507,"&lt;"&amp;$AV13)
    + COUNTIFS($AT$8:$AT$507,$AT13,$AV$8:$AV$507,$AV13,$AX$8:$AX$507,"&lt;"&amp;$AX13)
    + COUNTIFS($AT$8:$AT$507,$AT13,$AV$8:$AV$507,$AV13,$AX$8:$AX$507,$AX13,$AY$8:$AY$507,"&lt;"&amp;$AY13)
    + 1,
  Constants!$B$14),
$AG13))</f>
        <v/>
      </c>
      <c r="BA13" s="99" t="str">
        <f aca="false">IF(ISBLANK(C13),"",IF($AG13=Constants!$B$7, IF(ISNUMBER(AT13),AT13-AZ13,Constants!$B$14),$AG13))</f>
        <v/>
      </c>
      <c r="BB13" s="103"/>
      <c r="BC13" s="104" t="str">
        <f aca="false">IF(ISBLANK($C13),"",TRIM(AK13&amp;" "&amp;AO13))</f>
        <v/>
      </c>
      <c r="BD13" s="105" t="str">
        <f aca="false">IF(ISBLANK($C13),"",IF($AG13&lt;&gt;Constants!$B$7,$AG13,AR13))</f>
        <v/>
      </c>
      <c r="BE13" s="105" t="str">
        <f aca="false">IF(ISBLANK($C13),"",IF($AG13&lt;&gt;Constants!$B$7,$AG13,AM13))</f>
        <v/>
      </c>
      <c r="BF13" s="105" t="str">
        <f aca="false">IF(ISBLANK($C13),"",IF($AG13&lt;&gt;Constants!$B$7,$AG13,AQ13))</f>
        <v/>
      </c>
      <c r="BG13" s="106" t="str">
        <f aca="false">IF(ISBLANK($C13),"",IF($AG13&lt;&gt;Constants!$B$7, $AG13 ,AS13))</f>
        <v/>
      </c>
      <c r="BH13" s="107" t="str">
        <f aca="false">IF(ISBLANK($C13),"",IF($AG13&lt;&gt;Constants!$B$7, $AG13 ,AH13))</f>
        <v/>
      </c>
      <c r="BI13" s="105" t="str">
        <f aca="false">IF(ISBLANK(C13),"",BA13)</f>
        <v/>
      </c>
      <c r="BJ13" s="105" t="str">
        <f aca="false">IF(ISBLANK(C13),"",AZ13)</f>
        <v/>
      </c>
      <c r="BK13" s="108" t="str">
        <f aca="false">IF(ISBLANK(C13),"",IFERROR(_xlfn.SWITCH(BJ13, Constants!$B$4, COUNTA($C$8:$C512)+2, Constants!$B$5, COUNTA($C$8:$C512)+1, Constants!$B$6, COUNTA($C$8:$C512)),BJ13))</f>
        <v/>
      </c>
      <c r="BL13" s="5"/>
      <c r="BM13" s="109" t="n">
        <f aca="false">IF(OR(ISNUMBER(BJ13),BJ13="DQ",BJ13="P",BJ13="NS"),
    1,
    0
)</f>
        <v>0</v>
      </c>
      <c r="BN13" s="109" t="n">
        <v>6</v>
      </c>
      <c r="BO13" s="109" t="str">
        <f aca="false">IF(ISBLANK($C13),"",IF(ISNUMBER(BK13),BK13+ROW($B13)/1000,""))</f>
        <v/>
      </c>
      <c r="BP13" s="109" t="str">
        <f aca="false">IF(ISNUMBER(BO13), RANK(BO13,BO$8:BO$507,1), "")</f>
        <v/>
      </c>
      <c r="BQ13" s="109" t="str">
        <f aca="false">IF(ISBLANK($C13),
    "",
    $B13
)</f>
        <v/>
      </c>
      <c r="BR13" s="109" t="str">
        <f aca="false">IF(ISBLANK($C13),
    "",
    $C13
)</f>
        <v/>
      </c>
      <c r="BS13" s="109" t="str">
        <f aca="false">IF(ISBLANK($C13),
    "",
    $D13
)</f>
        <v/>
      </c>
      <c r="BT13" s="110" t="str">
        <f aca="false">BH13</f>
        <v/>
      </c>
      <c r="BU13" s="111" t="str">
        <f aca="false">BG13</f>
        <v/>
      </c>
      <c r="BV13" s="109" t="str">
        <f aca="false">IF(ISBLANK($C13),
    "",
    BJ13
)</f>
        <v/>
      </c>
      <c r="BW13" s="112" t="str">
        <f aca="false">IF(BN13&gt;BM$7,
    "",
    VLOOKUP(BN13,BP$8:BV512,7,FALSE())
)</f>
        <v/>
      </c>
      <c r="BX13" s="113" t="str">
        <f aca="false">IF(BN13&gt;BM$7,
    "",
    VLOOKUP(BN13,BP$8:BV512,2,FALSE())
)</f>
        <v/>
      </c>
      <c r="BY13" s="113" t="str">
        <f aca="false">IF(BN13&gt;BM$7,
    "",
    VLOOKUP(BN13,BP$8:BV512,3,FALSE())
)</f>
        <v/>
      </c>
      <c r="BZ13" s="113" t="str">
        <f aca="false">IF(BN13&gt;BM$7,
    "",
    VLOOKUP(BN13,BP$8:BV512,4,FALSE())
)</f>
        <v/>
      </c>
      <c r="CA13" s="113" t="str">
        <f aca="false">IF(BN13&gt;BM$7,
    "",
    VLOOKUP(BN13,BP$8:BV512,5,FALSE())
)</f>
        <v/>
      </c>
      <c r="CB13" s="114" t="str">
        <f aca="false">IF(BN13&gt;BM$7,
    "",
    VLOOKUP(BN13,BP$8:BV512,6,FALSE())
)</f>
        <v/>
      </c>
      <c r="CC13" s="53"/>
    </row>
    <row r="14" customFormat="false" ht="15.75" hidden="false" customHeight="false" outlineLevel="0" collapsed="false">
      <c r="A14" s="5"/>
      <c r="B14" s="122"/>
      <c r="C14" s="85"/>
      <c r="D14" s="86"/>
      <c r="E14" s="123"/>
      <c r="F14" s="123"/>
      <c r="G14" s="58"/>
      <c r="H14" s="59"/>
      <c r="I14" s="59"/>
      <c r="J14" s="60"/>
      <c r="K14" s="60"/>
      <c r="L14" s="60"/>
      <c r="M14" s="61"/>
      <c r="N14" s="61"/>
      <c r="O14" s="61"/>
      <c r="P14" s="62"/>
      <c r="Q14" s="63"/>
      <c r="R14" s="64"/>
      <c r="S14" s="65"/>
      <c r="T14" s="66"/>
      <c r="U14" s="66" t="str">
        <f aca="false">IF(ISBLANK($C14),"",IF(G14=Constants!$B$2, TRUE(), IF(G14=Constants!$B$3, FALSE(), TRUE())))</f>
        <v/>
      </c>
      <c r="V14" s="66" t="str">
        <f aca="false">IF(ISBLANK($C14),"",IF(H14=Constants!$B$2, TRUE(), IF(H14=Constants!$B$3, FALSE(), TRUE())))</f>
        <v/>
      </c>
      <c r="W14" s="66" t="str">
        <f aca="false">IF(ISBLANK($C14),"",IF(I14=Constants!$B$2, TRUE(), IF(I14=Constants!$B$3, FALSE(), TRUE())))</f>
        <v/>
      </c>
      <c r="X14" s="66" t="str">
        <f aca="false">IF(ISBLANK($C14),"",IF(AND(ISNUMBER(J14),J14&gt;0),INT(J14),0))</f>
        <v/>
      </c>
      <c r="Y14" s="66" t="str">
        <f aca="false">IF(ISBLANK($C14),"",IF(K14=Constants!$B$2, TRUE(), IF(K14=Constants!$B$3, FALSE(), TRUE())))</f>
        <v/>
      </c>
      <c r="Z14" s="66" t="str">
        <f aca="false">IF(ISBLANK($C14),"",IF(AND(ISNUMBER(L14),L14&gt;0),INT(L14),0))</f>
        <v/>
      </c>
      <c r="AA14" s="68" t="str">
        <f aca="false">IF(ISBLANK($C14),"",IF(ISNUMBER(M14), M14, ""))</f>
        <v/>
      </c>
      <c r="AB14" s="68" t="str">
        <f aca="false">IF(ISBLANK($C14),"",IF(ISNUMBER(N14), N14, ""))</f>
        <v/>
      </c>
      <c r="AC14" s="68" t="str">
        <f aca="false">IF(ISBLANK($C14),"",IF(ISNUMBER(O14), O14, ""))</f>
        <v/>
      </c>
      <c r="AD14" s="69" t="str">
        <f aca="false">IF(ISBLANK($C14),"",IF(ISNUMBER(P14), P14, ""))</f>
        <v/>
      </c>
      <c r="AE14" s="69" t="str">
        <f aca="false">IF(ISBLANK($C14),"",IF(ISNUMBER(Q14), Q14, Constants!$B$13))</f>
        <v/>
      </c>
      <c r="AF14" s="66" t="str">
        <f aca="false">IF(ISBLANK($C14),"",IF(R14=Constants!$B$2, TRUE(), IF(R14=Constants!$B$3, FALSE(), FALSE())))</f>
        <v/>
      </c>
      <c r="AG14" s="66" t="str">
        <f aca="false">IF(ISBLANK(C14), "", IF(AF14, Constants!$B$4,IF(COUNTA(G14:P14)=0, Constants!$B$5, Constants!$B$7)))</f>
        <v/>
      </c>
      <c r="AH14" s="66" t="str">
        <f aca="false">IF(ISBLANK($C14), "",IF($AG14=Constants!$B$7,1,$AG14))</f>
        <v/>
      </c>
      <c r="AI14" s="66" t="str">
        <f aca="false">IF($AG14=Constants!$B$7,POWER(Constants!$B$11,X14)*POWER(Constants!$B$12,Z14),"")</f>
        <v/>
      </c>
      <c r="AJ14" s="66" t="str">
        <f aca="false">IF(AND($AG14=Constants!$B$7, U14, V14) ,IF(OR($AA14="",$AC14=""),"",MAX(0, $AC14-$AA14)),"")</f>
        <v/>
      </c>
      <c r="AK14" s="66" t="str">
        <f aca="false">IF(AND($AG14=Constants!$B$7, U14, V14),IF(OR($AA14="",$AC14=""),$AK$6,""),"")</f>
        <v/>
      </c>
      <c r="AL14" s="66" t="str">
        <f aca="false">IF($AG14=Constants!$B$7,IF(AND(U14,V14,W14,Y14),IF($AJ14="",0,IF($AJ$6=0,Constants!$B$9,Constants!$B$9*AJ14/$AJ$6)), 0),"")</f>
        <v/>
      </c>
      <c r="AM14" s="66" t="str">
        <f aca="false">IF(AL14&lt;&gt;"", AL14*AI14,"")</f>
        <v/>
      </c>
      <c r="AN14" s="66" t="str">
        <f aca="false">IF(AND($AG14=Constants!$B$7, U14, V14) ,IF($AB14="", "", IF(OR($AC14="",$AC14=0),"",MAX(0,1-ABS($AC14-$AB14)/$AC14))),"")</f>
        <v/>
      </c>
      <c r="AO14" s="66" t="str">
        <f aca="false">IF(AND($AG14=Constants!$B$7, U14, V14),IF(AND($AA14&lt;&gt;"",$AB14&lt;&gt;"",$AC14=0),$AO$6,""),"")</f>
        <v/>
      </c>
      <c r="AP14" s="66" t="str">
        <f aca="false">IF($AG14=Constants!$B$7 ,IF(AND(U14,V14,W14,Y14,ISNUMBER(AB14)),IF($AN14="",0,IF($AN$6=0,Constants!$B$10,Constants!$B$10*AN14/$AN$6)), 0),"")</f>
        <v/>
      </c>
      <c r="AQ14" s="66" t="str">
        <f aca="false">IF(AP14&lt;&gt;"", AP14*AI14,"")</f>
        <v/>
      </c>
      <c r="AR14" s="66" t="str">
        <f aca="false">IF($AG14=Constants!$B$7,IF($AD14="",0,IF($AR$6=0,Constants!$B$8,Constants!$B$8*AD14/$AR$6)),"")</f>
        <v/>
      </c>
      <c r="AS14" s="66" t="str">
        <f aca="false">IF($AG14&lt;&gt;Constants!$B$7,$AG14,IF(AK14&amp;AO14&lt;&gt;"",Constants!$B$14,AM14+AQ14+AR14))</f>
        <v/>
      </c>
      <c r="AT14" s="66" t="str">
        <f aca="false">IF(ISBLANK($C14),"",IF($AG14=Constants!$B$7,IF(ISNUMBER(AS14),RANK(AS14,$AS$8:$AS$507),Constants!$B$14),$AG14))</f>
        <v/>
      </c>
      <c r="AU14" s="66" t="str">
        <f aca="false">IF(ISBLANK($C14), "",AM14)</f>
        <v/>
      </c>
      <c r="AV14" s="66" t="str">
        <f aca="false">IF(ISBLANK($C14),"",IF($AG14=Constants!$B$7,RANK(AU14,AU$8:AU$507),$AG14))</f>
        <v/>
      </c>
      <c r="AW14" s="66" t="str">
        <f aca="false">IF(ISBLANK($C14), "",AR14)</f>
        <v/>
      </c>
      <c r="AX14" s="66" t="str">
        <f aca="false">IF(ISBLANK($C14),"",IF($AG14=Constants!$B$7,RANK(AW14,AW$8:AW$507),$AG14))</f>
        <v/>
      </c>
      <c r="AY14" s="66" t="str">
        <f aca="false">IF(ISBLANK($C14), "",AE14)</f>
        <v/>
      </c>
      <c r="AZ14" s="66" t="str">
        <f aca="false">IF(ISBLANK($C14),"",
IF($AG14=Constants!$B$7,
  IF(ISNUMBER(AT14),
    COUNTIFS($AT$8:$AT$507,"&lt;"&amp;$AT14)
    + COUNTIFS($AT$8:$AT$507,$AT14,$AV$8:$AV$507,"&lt;"&amp;$AV14)
    + COUNTIFS($AT$8:$AT$507,$AT14,$AV$8:$AV$507,$AV14,$AX$8:$AX$507,"&lt;"&amp;$AX14)
    + COUNTIFS($AT$8:$AT$507,$AT14,$AV$8:$AV$507,$AV14,$AX$8:$AX$507,$AX14,$AY$8:$AY$507,"&lt;"&amp;$AY14)
    + 1,
  Constants!$B$14),
$AG14))</f>
        <v/>
      </c>
      <c r="BA14" s="66" t="str">
        <f aca="false">IF(ISBLANK(C14),"",IF($AG14=Constants!$B$7, IF(ISNUMBER(AT14),AT14-AZ14,Constants!$B$14),$AG14))</f>
        <v/>
      </c>
      <c r="BB14" s="70"/>
      <c r="BC14" s="84" t="str">
        <f aca="false">IF(ISBLANK($C14),"",TRIM(AK14&amp;" "&amp;AO14))</f>
        <v/>
      </c>
      <c r="BD14" s="72" t="str">
        <f aca="false">IF(ISBLANK($C14),"",IF($AG14&lt;&gt;Constants!$B$7,$AG14,AR14))</f>
        <v/>
      </c>
      <c r="BE14" s="72" t="str">
        <f aca="false">IF(ISBLANK($C14),"",IF($AG14&lt;&gt;Constants!$B$7,$AG14,AM14))</f>
        <v/>
      </c>
      <c r="BF14" s="72" t="str">
        <f aca="false">IF(ISBLANK($C14),"",IF($AG14&lt;&gt;Constants!$B$7,$AG14,AQ14))</f>
        <v/>
      </c>
      <c r="BG14" s="73" t="str">
        <f aca="false">IF(ISBLANK($C14),"",IF($AG14&lt;&gt;Constants!$B$7, $AG14 ,AS14))</f>
        <v/>
      </c>
      <c r="BH14" s="74" t="str">
        <f aca="false">IF(ISBLANK($C14),"",IF($AG14&lt;&gt;Constants!$B$7, $AG14 ,AH14))</f>
        <v/>
      </c>
      <c r="BI14" s="72" t="str">
        <f aca="false">IF(ISBLANK(C14),"",BA14)</f>
        <v/>
      </c>
      <c r="BJ14" s="72" t="str">
        <f aca="false">IF(ISBLANK(C14),"",AZ14)</f>
        <v/>
      </c>
      <c r="BK14" s="75" t="str">
        <f aca="false">IF(ISBLANK(C14),"",IFERROR(_xlfn.SWITCH(BJ14, Constants!$B$4, COUNTA($C$8:$C513)+2, Constants!$B$5, COUNTA($C$8:$C513)+1, Constants!$B$6, COUNTA($C$8:$C513)),BJ14))</f>
        <v/>
      </c>
      <c r="BL14" s="5"/>
      <c r="BM14" s="76" t="n">
        <f aca="false">IF(OR(ISNUMBER(BJ14),BJ14="DQ",BJ14="P",BJ14="NS"),
    1,
    0
)</f>
        <v>0</v>
      </c>
      <c r="BN14" s="76" t="n">
        <v>7</v>
      </c>
      <c r="BO14" s="76" t="str">
        <f aca="false">IF(ISBLANK($C14),"",IF(ISNUMBER(BK14),BK14+ROW($B14)/1000,""))</f>
        <v/>
      </c>
      <c r="BP14" s="76" t="str">
        <f aca="false">IF(ISNUMBER(BO14), RANK(BO14,BO$8:BO$507,1), "")</f>
        <v/>
      </c>
      <c r="BQ14" s="76" t="str">
        <f aca="false">IF(ISBLANK($C14),
    "",
    $B14
)</f>
        <v/>
      </c>
      <c r="BR14" s="76" t="str">
        <f aca="false">IF(ISBLANK($C14),
    "",
    $C14
)</f>
        <v/>
      </c>
      <c r="BS14" s="76" t="str">
        <f aca="false">IF(ISBLANK($C14),
    "",
    $D14
)</f>
        <v/>
      </c>
      <c r="BT14" s="77" t="str">
        <f aca="false">BH14</f>
        <v/>
      </c>
      <c r="BU14" s="78" t="str">
        <f aca="false">BG14</f>
        <v/>
      </c>
      <c r="BV14" s="76" t="str">
        <f aca="false">IF(ISBLANK($C14),
    "",
    BJ14
)</f>
        <v/>
      </c>
      <c r="BW14" s="79" t="str">
        <f aca="false">IF(BN14&gt;BM$7,
    "",
    VLOOKUP(BN14,BP$8:BV513,7,FALSE())
)</f>
        <v/>
      </c>
      <c r="BX14" s="80" t="str">
        <f aca="false">IF(BN14&gt;BM$7,
    "",
    VLOOKUP(BN14,BP$8:BV513,2,FALSE())
)</f>
        <v/>
      </c>
      <c r="BY14" s="80" t="str">
        <f aca="false">IF(BN14&gt;BM$7,
    "",
    VLOOKUP(BN14,BP$8:BV513,3,FALSE())
)</f>
        <v/>
      </c>
      <c r="BZ14" s="80" t="str">
        <f aca="false">IF(BN14&gt;BM$7,
    "",
    VLOOKUP(BN14,BP$8:BV513,4,FALSE())
)</f>
        <v/>
      </c>
      <c r="CA14" s="80" t="str">
        <f aca="false">IF(BN14&gt;BM$7,
    "",
    VLOOKUP(BN14,BP$8:BV513,5,FALSE())
)</f>
        <v/>
      </c>
      <c r="CB14" s="81" t="str">
        <f aca="false">IF(BN14&gt;BM$7,
    "",
    VLOOKUP(BN14,BP$8:BV513,6,FALSE())
)</f>
        <v/>
      </c>
      <c r="CC14" s="53"/>
    </row>
    <row r="15" customFormat="false" ht="15.75" hidden="false" customHeight="false" outlineLevel="0" collapsed="false">
      <c r="A15" s="5"/>
      <c r="B15" s="122"/>
      <c r="C15" s="85"/>
      <c r="D15" s="56"/>
      <c r="E15" s="123"/>
      <c r="F15" s="123"/>
      <c r="G15" s="58"/>
      <c r="H15" s="59"/>
      <c r="I15" s="59"/>
      <c r="J15" s="124"/>
      <c r="K15" s="124"/>
      <c r="L15" s="124"/>
      <c r="M15" s="61"/>
      <c r="N15" s="61"/>
      <c r="O15" s="61"/>
      <c r="P15" s="62"/>
      <c r="Q15" s="63"/>
      <c r="R15" s="64"/>
      <c r="S15" s="65"/>
      <c r="T15" s="66"/>
      <c r="U15" s="66" t="str">
        <f aca="false">IF(ISBLANK($C15),"",IF(G15=Constants!$B$2, TRUE(), IF(G15=Constants!$B$3, FALSE(), TRUE())))</f>
        <v/>
      </c>
      <c r="V15" s="66" t="str">
        <f aca="false">IF(ISBLANK($C15),"",IF(H15=Constants!$B$2, TRUE(), IF(H15=Constants!$B$3, FALSE(), TRUE())))</f>
        <v/>
      </c>
      <c r="W15" s="66" t="str">
        <f aca="false">IF(ISBLANK($C15),"",IF(I15=Constants!$B$2, TRUE(), IF(I15=Constants!$B$3, FALSE(), TRUE())))</f>
        <v/>
      </c>
      <c r="X15" s="66" t="str">
        <f aca="false">IF(ISBLANK($C15),"",IF(AND(ISNUMBER(J15),J15&gt;0),INT(J15),0))</f>
        <v/>
      </c>
      <c r="Y15" s="66" t="str">
        <f aca="false">IF(ISBLANK($C15),"",IF(K15=Constants!$B$2, TRUE(), IF(K15=Constants!$B$3, FALSE(), TRUE())))</f>
        <v/>
      </c>
      <c r="Z15" s="66" t="str">
        <f aca="false">IF(ISBLANK($C15),"",IF(AND(ISNUMBER(L15),L15&gt;0),INT(L15),0))</f>
        <v/>
      </c>
      <c r="AA15" s="68" t="str">
        <f aca="false">IF(ISBLANK($C15),"",IF(ISNUMBER(M15), M15, ""))</f>
        <v/>
      </c>
      <c r="AB15" s="68" t="str">
        <f aca="false">IF(ISBLANK($C15),"",IF(ISNUMBER(N15), N15, ""))</f>
        <v/>
      </c>
      <c r="AC15" s="68" t="str">
        <f aca="false">IF(ISBLANK($C15),"",IF(ISNUMBER(O15), O15, ""))</f>
        <v/>
      </c>
      <c r="AD15" s="69" t="str">
        <f aca="false">IF(ISBLANK($C15),"",IF(ISNUMBER(P15), P15, ""))</f>
        <v/>
      </c>
      <c r="AE15" s="69" t="str">
        <f aca="false">IF(ISBLANK($C15),"",IF(ISNUMBER(Q15), Q15, Constants!$B$13))</f>
        <v/>
      </c>
      <c r="AF15" s="66" t="str">
        <f aca="false">IF(ISBLANK($C15),"",IF(R15=Constants!$B$2, TRUE(), IF(R15=Constants!$B$3, FALSE(), FALSE())))</f>
        <v/>
      </c>
      <c r="AG15" s="66" t="str">
        <f aca="false">IF(ISBLANK(C15), "", IF(AF15, Constants!$B$4,IF(COUNTA(G15:P15)=0, Constants!$B$5, Constants!$B$7)))</f>
        <v/>
      </c>
      <c r="AH15" s="66" t="str">
        <f aca="false">IF(ISBLANK($C15), "",IF($AG15=Constants!$B$7,1,$AG15))</f>
        <v/>
      </c>
      <c r="AI15" s="66" t="str">
        <f aca="false">IF($AG15=Constants!$B$7,POWER(Constants!$B$11,X15)*POWER(Constants!$B$12,Z15),"")</f>
        <v/>
      </c>
      <c r="AJ15" s="66" t="str">
        <f aca="false">IF(AND($AG15=Constants!$B$7, U15, V15) ,IF(OR($AA15="",$AC15=""),"",MAX(0, $AC15-$AA15)),"")</f>
        <v/>
      </c>
      <c r="AK15" s="66" t="str">
        <f aca="false">IF(AND($AG15=Constants!$B$7, U15, V15),IF(OR($AA15="",$AC15=""),$AK$6,""),"")</f>
        <v/>
      </c>
      <c r="AL15" s="66" t="str">
        <f aca="false">IF($AG15=Constants!$B$7,IF(AND(U15,V15,W15,Y15),IF($AJ15="",0,IF($AJ$6=0,Constants!$B$9,Constants!$B$9*AJ15/$AJ$6)), 0),"")</f>
        <v/>
      </c>
      <c r="AM15" s="66" t="str">
        <f aca="false">IF(AL15&lt;&gt;"", AL15*AI15,"")</f>
        <v/>
      </c>
      <c r="AN15" s="66" t="str">
        <f aca="false">IF(AND($AG15=Constants!$B$7, U15, V15) ,IF($AB15="", "", IF(OR($AC15="",$AC15=0),"",MAX(0,1-ABS($AC15-$AB15)/$AC15))),"")</f>
        <v/>
      </c>
      <c r="AO15" s="66" t="str">
        <f aca="false">IF(AND($AG15=Constants!$B$7, U15, V15),IF(AND($AA15&lt;&gt;"",$AB15&lt;&gt;"",$AC15=0),$AO$6,""),"")</f>
        <v/>
      </c>
      <c r="AP15" s="66" t="str">
        <f aca="false">IF($AG15=Constants!$B$7 ,IF(AND(U15,V15,W15,Y15,ISNUMBER(AB15)),IF($AN15="",0,IF($AN$6=0,Constants!$B$10,Constants!$B$10*AN15/$AN$6)), 0),"")</f>
        <v/>
      </c>
      <c r="AQ15" s="66" t="str">
        <f aca="false">IF(AP15&lt;&gt;"", AP15*AI15,"")</f>
        <v/>
      </c>
      <c r="AR15" s="66" t="str">
        <f aca="false">IF($AG15=Constants!$B$7,IF($AD15="",0,IF($AR$6=0,Constants!$B$8,Constants!$B$8*AD15/$AR$6)),"")</f>
        <v/>
      </c>
      <c r="AS15" s="66" t="str">
        <f aca="false">IF($AG15&lt;&gt;Constants!$B$7,$AG15,IF(AK15&amp;AO15&lt;&gt;"",Constants!$B$14,AM15+AQ15+AR15))</f>
        <v/>
      </c>
      <c r="AT15" s="66" t="str">
        <f aca="false">IF(ISBLANK($C15),"",IF($AG15=Constants!$B$7,IF(ISNUMBER(AS15),RANK(AS15,$AS$8:$AS$507),Constants!$B$14),$AG15))</f>
        <v/>
      </c>
      <c r="AU15" s="66" t="str">
        <f aca="false">IF(ISBLANK($C15), "",AM15)</f>
        <v/>
      </c>
      <c r="AV15" s="66" t="str">
        <f aca="false">IF(ISBLANK($C15),"",IF($AG15=Constants!$B$7,RANK(AU15,AU$8:AU$507),$AG15))</f>
        <v/>
      </c>
      <c r="AW15" s="66" t="str">
        <f aca="false">IF(ISBLANK($C15), "",AR15)</f>
        <v/>
      </c>
      <c r="AX15" s="66" t="str">
        <f aca="false">IF(ISBLANK($C15),"",IF($AG15=Constants!$B$7,RANK(AW15,AW$8:AW$507),$AG15))</f>
        <v/>
      </c>
      <c r="AY15" s="66" t="str">
        <f aca="false">IF(ISBLANK($C15), "",AE15)</f>
        <v/>
      </c>
      <c r="AZ15" s="66" t="str">
        <f aca="false">IF(ISBLANK($C15),"",
IF($AG15=Constants!$B$7,
  IF(ISNUMBER(AT15),
    COUNTIFS($AT$8:$AT$507,"&lt;"&amp;$AT15)
    + COUNTIFS($AT$8:$AT$507,$AT15,$AV$8:$AV$507,"&lt;"&amp;$AV15)
    + COUNTIFS($AT$8:$AT$507,$AT15,$AV$8:$AV$507,$AV15,$AX$8:$AX$507,"&lt;"&amp;$AX15)
    + COUNTIFS($AT$8:$AT$507,$AT15,$AV$8:$AV$507,$AV15,$AX$8:$AX$507,$AX15,$AY$8:$AY$507,"&lt;"&amp;$AY15)
    + 1,
  Constants!$B$14),
$AG15))</f>
        <v/>
      </c>
      <c r="BA15" s="66" t="str">
        <f aca="false">IF(ISBLANK(C15),"",IF($AG15=Constants!$B$7, IF(ISNUMBER(AT15),AT15-AZ15,Constants!$B$14),$AG15))</f>
        <v/>
      </c>
      <c r="BB15" s="70"/>
      <c r="BC15" s="84" t="str">
        <f aca="false">IF(ISBLANK($C15),"",TRIM(AK15&amp;" "&amp;AO15))</f>
        <v/>
      </c>
      <c r="BD15" s="72" t="str">
        <f aca="false">IF(ISBLANK($C15),"",IF($AG15&lt;&gt;Constants!$B$7,$AG15,AR15))</f>
        <v/>
      </c>
      <c r="BE15" s="72" t="str">
        <f aca="false">IF(ISBLANK($C15),"",IF($AG15&lt;&gt;Constants!$B$7,$AG15,AM15))</f>
        <v/>
      </c>
      <c r="BF15" s="72" t="str">
        <f aca="false">IF(ISBLANK($C15),"",IF($AG15&lt;&gt;Constants!$B$7,$AG15,AQ15))</f>
        <v/>
      </c>
      <c r="BG15" s="73" t="str">
        <f aca="false">IF(ISBLANK($C15),"",IF($AG15&lt;&gt;Constants!$B$7, $AG15 ,AS15))</f>
        <v/>
      </c>
      <c r="BH15" s="74" t="str">
        <f aca="false">IF(ISBLANK($C15),"",IF($AG15&lt;&gt;Constants!$B$7, $AG15 ,AH15))</f>
        <v/>
      </c>
      <c r="BI15" s="72" t="str">
        <f aca="false">IF(ISBLANK(C15),"",BA15)</f>
        <v/>
      </c>
      <c r="BJ15" s="72" t="str">
        <f aca="false">IF(ISBLANK(C15),"",AZ15)</f>
        <v/>
      </c>
      <c r="BK15" s="75" t="str">
        <f aca="false">IF(ISBLANK(C15),"",IFERROR(_xlfn.SWITCH(BJ15, Constants!$B$4, COUNTA($C$8:$C514)+2, Constants!$B$5, COUNTA($C$8:$C514)+1, Constants!$B$6, COUNTA($C$8:$C514)),BJ15))</f>
        <v/>
      </c>
      <c r="BL15" s="5"/>
      <c r="BM15" s="76" t="n">
        <f aca="false">IF(OR(ISNUMBER(BJ15),BJ15="DQ",BJ15="P",BJ15="NS"),
    1,
    0
)</f>
        <v>0</v>
      </c>
      <c r="BN15" s="76" t="n">
        <v>8</v>
      </c>
      <c r="BO15" s="76" t="str">
        <f aca="false">IF(ISBLANK($C15),"",IF(ISNUMBER(BK15),BK15+ROW($B15)/1000,""))</f>
        <v/>
      </c>
      <c r="BP15" s="76" t="str">
        <f aca="false">IF(ISNUMBER(BO15), RANK(BO15,BO$8:BO$507,1), "")</f>
        <v/>
      </c>
      <c r="BQ15" s="76" t="str">
        <f aca="false">IF(ISBLANK($C15),
    "",
    $B15
)</f>
        <v/>
      </c>
      <c r="BR15" s="76" t="str">
        <f aca="false">IF(ISBLANK($C15),
    "",
    $C15
)</f>
        <v/>
      </c>
      <c r="BS15" s="76" t="str">
        <f aca="false">IF(ISBLANK($C15),
    "",
    $D15
)</f>
        <v/>
      </c>
      <c r="BT15" s="77" t="str">
        <f aca="false">BH15</f>
        <v/>
      </c>
      <c r="BU15" s="78" t="str">
        <f aca="false">BG15</f>
        <v/>
      </c>
      <c r="BV15" s="76" t="str">
        <f aca="false">IF(ISBLANK($C15),
    "",
    BJ15
)</f>
        <v/>
      </c>
      <c r="BW15" s="79" t="str">
        <f aca="false">IF(BN15&gt;BM$7,
    "",
    VLOOKUP(BN15,BP$8:BV514,7,FALSE())
)</f>
        <v/>
      </c>
      <c r="BX15" s="80" t="str">
        <f aca="false">IF(BN15&gt;BM$7,
    "",
    VLOOKUP(BN15,BP$8:BV514,2,FALSE())
)</f>
        <v/>
      </c>
      <c r="BY15" s="80" t="str">
        <f aca="false">IF(BN15&gt;BM$7,
    "",
    VLOOKUP(BN15,BP$8:BV514,3,FALSE())
)</f>
        <v/>
      </c>
      <c r="BZ15" s="80" t="str">
        <f aca="false">IF(BN15&gt;BM$7,
    "",
    VLOOKUP(BN15,BP$8:BV514,4,FALSE())
)</f>
        <v/>
      </c>
      <c r="CA15" s="80" t="str">
        <f aca="false">IF(BN15&gt;BM$7,
    "",
    VLOOKUP(BN15,BP$8:BV514,5,FALSE())
)</f>
        <v/>
      </c>
      <c r="CB15" s="81" t="str">
        <f aca="false">IF(BN15&gt;BM$7,
    "",
    VLOOKUP(BN15,BP$8:BV514,6,FALSE())
)</f>
        <v/>
      </c>
      <c r="CC15" s="53"/>
    </row>
    <row r="16" customFormat="false" ht="15.75" hidden="false" customHeight="false" outlineLevel="0" collapsed="false">
      <c r="A16" s="5"/>
      <c r="B16" s="122"/>
      <c r="C16" s="85"/>
      <c r="D16" s="56"/>
      <c r="E16" s="123"/>
      <c r="F16" s="123"/>
      <c r="G16" s="58"/>
      <c r="H16" s="59"/>
      <c r="I16" s="59"/>
      <c r="J16" s="60"/>
      <c r="K16" s="60"/>
      <c r="L16" s="60"/>
      <c r="M16" s="61"/>
      <c r="N16" s="61"/>
      <c r="O16" s="61"/>
      <c r="P16" s="62"/>
      <c r="Q16" s="63"/>
      <c r="R16" s="64"/>
      <c r="S16" s="65"/>
      <c r="T16" s="66"/>
      <c r="U16" s="66" t="str">
        <f aca="false">IF(ISBLANK($C16),"",IF(G16=Constants!$B$2, TRUE(), IF(G16=Constants!$B$3, FALSE(), TRUE())))</f>
        <v/>
      </c>
      <c r="V16" s="66" t="str">
        <f aca="false">IF(ISBLANK($C16),"",IF(H16=Constants!$B$2, TRUE(), IF(H16=Constants!$B$3, FALSE(), TRUE())))</f>
        <v/>
      </c>
      <c r="W16" s="66" t="str">
        <f aca="false">IF(ISBLANK($C16),"",IF(I16=Constants!$B$2, TRUE(), IF(I16=Constants!$B$3, FALSE(), TRUE())))</f>
        <v/>
      </c>
      <c r="X16" s="66" t="str">
        <f aca="false">IF(ISBLANK($C16),"",IF(AND(ISNUMBER(J16),J16&gt;0),INT(J16),0))</f>
        <v/>
      </c>
      <c r="Y16" s="66" t="str">
        <f aca="false">IF(ISBLANK($C16),"",IF(K16=Constants!$B$2, TRUE(), IF(K16=Constants!$B$3, FALSE(), TRUE())))</f>
        <v/>
      </c>
      <c r="Z16" s="66" t="str">
        <f aca="false">IF(ISBLANK($C16),"",IF(AND(ISNUMBER(L16),L16&gt;0),INT(L16),0))</f>
        <v/>
      </c>
      <c r="AA16" s="68" t="str">
        <f aca="false">IF(ISBLANK($C16),"",IF(ISNUMBER(M16), M16, ""))</f>
        <v/>
      </c>
      <c r="AB16" s="68" t="str">
        <f aca="false">IF(ISBLANK($C16),"",IF(ISNUMBER(N16), N16, ""))</f>
        <v/>
      </c>
      <c r="AC16" s="68" t="str">
        <f aca="false">IF(ISBLANK($C16),"",IF(ISNUMBER(O16), O16, ""))</f>
        <v/>
      </c>
      <c r="AD16" s="69" t="str">
        <f aca="false">IF(ISBLANK($C16),"",IF(ISNUMBER(P16), P16, ""))</f>
        <v/>
      </c>
      <c r="AE16" s="69" t="str">
        <f aca="false">IF(ISBLANK($C16),"",IF(ISNUMBER(Q16), Q16, Constants!$B$13))</f>
        <v/>
      </c>
      <c r="AF16" s="66" t="str">
        <f aca="false">IF(ISBLANK($C16),"",IF(R16=Constants!$B$2, TRUE(), IF(R16=Constants!$B$3, FALSE(), FALSE())))</f>
        <v/>
      </c>
      <c r="AG16" s="66" t="str">
        <f aca="false">IF(ISBLANK(C16), "", IF(AF16, Constants!$B$4,IF(COUNTA(G16:P16)=0, Constants!$B$5, Constants!$B$7)))</f>
        <v/>
      </c>
      <c r="AH16" s="66" t="str">
        <f aca="false">IF(ISBLANK($C16), "",IF($AG16=Constants!$B$7,1,$AG16))</f>
        <v/>
      </c>
      <c r="AI16" s="66" t="str">
        <f aca="false">IF($AG16=Constants!$B$7,POWER(Constants!$B$11,X16)*POWER(Constants!$B$12,Z16),"")</f>
        <v/>
      </c>
      <c r="AJ16" s="66" t="str">
        <f aca="false">IF(AND($AG16=Constants!$B$7, U16, V16) ,IF(OR($AA16="",$AC16=""),"",MAX(0, $AC16-$AA16)),"")</f>
        <v/>
      </c>
      <c r="AK16" s="66" t="str">
        <f aca="false">IF(AND($AG16=Constants!$B$7, U16, V16),IF(OR($AA16="",$AC16=""),$AK$6,""),"")</f>
        <v/>
      </c>
      <c r="AL16" s="66" t="str">
        <f aca="false">IF($AG16=Constants!$B$7,IF(AND(U16,V16,W16,Y16),IF($AJ16="",0,IF($AJ$6=0,Constants!$B$9,Constants!$B$9*AJ16/$AJ$6)), 0),"")</f>
        <v/>
      </c>
      <c r="AM16" s="66" t="str">
        <f aca="false">IF(AL16&lt;&gt;"", AL16*AI16,"")</f>
        <v/>
      </c>
      <c r="AN16" s="66" t="str">
        <f aca="false">IF(AND($AG16=Constants!$B$7, U16, V16) ,IF($AB16="", "", IF(OR($AC16="",$AC16=0),"",MAX(0,1-ABS($AC16-$AB16)/$AC16))),"")</f>
        <v/>
      </c>
      <c r="AO16" s="66" t="str">
        <f aca="false">IF(AND($AG16=Constants!$B$7, U16, V16),IF(AND($AA16&lt;&gt;"",$AB16&lt;&gt;"",$AC16=0),$AO$6,""),"")</f>
        <v/>
      </c>
      <c r="AP16" s="66" t="str">
        <f aca="false">IF($AG16=Constants!$B$7 ,IF(AND(U16,V16,W16,Y16,ISNUMBER(AB16)),IF($AN16="",0,IF($AN$6=0,Constants!$B$10,Constants!$B$10*AN16/$AN$6)), 0),"")</f>
        <v/>
      </c>
      <c r="AQ16" s="66" t="str">
        <f aca="false">IF(AP16&lt;&gt;"", AP16*AI16,"")</f>
        <v/>
      </c>
      <c r="AR16" s="66" t="str">
        <f aca="false">IF($AG16=Constants!$B$7,IF($AD16="",0,IF($AR$6=0,Constants!$B$8,Constants!$B$8*AD16/$AR$6)),"")</f>
        <v/>
      </c>
      <c r="AS16" s="66" t="str">
        <f aca="false">IF($AG16&lt;&gt;Constants!$B$7,$AG16,IF(AK16&amp;AO16&lt;&gt;"",Constants!$B$14,AM16+AQ16+AR16))</f>
        <v/>
      </c>
      <c r="AT16" s="66" t="str">
        <f aca="false">IF(ISBLANK($C16),"",IF($AG16=Constants!$B$7,IF(ISNUMBER(AS16),RANK(AS16,$AS$8:$AS$507),Constants!$B$14),$AG16))</f>
        <v/>
      </c>
      <c r="AU16" s="66" t="str">
        <f aca="false">IF(ISBLANK($C16), "",AM16)</f>
        <v/>
      </c>
      <c r="AV16" s="66" t="str">
        <f aca="false">IF(ISBLANK($C16),"",IF($AG16=Constants!$B$7,RANK(AU16,AU$8:AU$507),$AG16))</f>
        <v/>
      </c>
      <c r="AW16" s="66" t="str">
        <f aca="false">IF(ISBLANK($C16), "",AR16)</f>
        <v/>
      </c>
      <c r="AX16" s="66" t="str">
        <f aca="false">IF(ISBLANK($C16),"",IF($AG16=Constants!$B$7,RANK(AW16,AW$8:AW$507),$AG16))</f>
        <v/>
      </c>
      <c r="AY16" s="66" t="str">
        <f aca="false">IF(ISBLANK($C16), "",AE16)</f>
        <v/>
      </c>
      <c r="AZ16" s="66" t="str">
        <f aca="false">IF(ISBLANK($C16),"",
IF($AG16=Constants!$B$7,
  IF(ISNUMBER(AT16),
    COUNTIFS($AT$8:$AT$507,"&lt;"&amp;$AT16)
    + COUNTIFS($AT$8:$AT$507,$AT16,$AV$8:$AV$507,"&lt;"&amp;$AV16)
    + COUNTIFS($AT$8:$AT$507,$AT16,$AV$8:$AV$507,$AV16,$AX$8:$AX$507,"&lt;"&amp;$AX16)
    + COUNTIFS($AT$8:$AT$507,$AT16,$AV$8:$AV$507,$AV16,$AX$8:$AX$507,$AX16,$AY$8:$AY$507,"&lt;"&amp;$AY16)
    + 1,
  Constants!$B$14),
$AG16))</f>
        <v/>
      </c>
      <c r="BA16" s="66" t="str">
        <f aca="false">IF(ISBLANK(C16),"",IF($AG16=Constants!$B$7, IF(ISNUMBER(AT16),AT16-AZ16,Constants!$B$14),$AG16))</f>
        <v/>
      </c>
      <c r="BB16" s="70"/>
      <c r="BC16" s="84" t="str">
        <f aca="false">IF(ISBLANK($C16),"",TRIM(AK16&amp;" "&amp;AO16))</f>
        <v/>
      </c>
      <c r="BD16" s="72" t="str">
        <f aca="false">IF(ISBLANK($C16),"",IF($AG16&lt;&gt;Constants!$B$7,$AG16,AR16))</f>
        <v/>
      </c>
      <c r="BE16" s="72" t="str">
        <f aca="false">IF(ISBLANK($C16),"",IF($AG16&lt;&gt;Constants!$B$7,$AG16,AM16))</f>
        <v/>
      </c>
      <c r="BF16" s="72" t="str">
        <f aca="false">IF(ISBLANK($C16),"",IF($AG16&lt;&gt;Constants!$B$7,$AG16,AQ16))</f>
        <v/>
      </c>
      <c r="BG16" s="73" t="str">
        <f aca="false">IF(ISBLANK($C16),"",IF($AG16&lt;&gt;Constants!$B$7, $AG16 ,AS16))</f>
        <v/>
      </c>
      <c r="BH16" s="74" t="str">
        <f aca="false">IF(ISBLANK($C16),"",IF($AG16&lt;&gt;Constants!$B$7, $AG16 ,AH16))</f>
        <v/>
      </c>
      <c r="BI16" s="72" t="str">
        <f aca="false">IF(ISBLANK(C16),"",BA16)</f>
        <v/>
      </c>
      <c r="BJ16" s="72" t="str">
        <f aca="false">IF(ISBLANK(C16),"",AZ16)</f>
        <v/>
      </c>
      <c r="BK16" s="75" t="str">
        <f aca="false">IF(ISBLANK(C16),"",IFERROR(_xlfn.SWITCH(BJ16, Constants!$B$4, COUNTA($C$8:$C515)+2, Constants!$B$5, COUNTA($C$8:$C515)+1, Constants!$B$6, COUNTA($C$8:$C515)),BJ16))</f>
        <v/>
      </c>
      <c r="BL16" s="5"/>
      <c r="BM16" s="76" t="n">
        <f aca="false">IF(OR(ISNUMBER(BJ16),BJ16="DQ",BJ16="P",BJ16="NS"),
    1,
    0
)</f>
        <v>0</v>
      </c>
      <c r="BN16" s="76" t="n">
        <v>9</v>
      </c>
      <c r="BO16" s="76" t="str">
        <f aca="false">IF(ISBLANK($C16),"",IF(ISNUMBER(BK16),BK16+ROW($B16)/1000,""))</f>
        <v/>
      </c>
      <c r="BP16" s="76" t="str">
        <f aca="false">IF(ISNUMBER(BO16), RANK(BO16,BO$8:BO$507,1), "")</f>
        <v/>
      </c>
      <c r="BQ16" s="76" t="str">
        <f aca="false">IF(ISBLANK($C16),
    "",
    $B16
)</f>
        <v/>
      </c>
      <c r="BR16" s="76" t="str">
        <f aca="false">IF(ISBLANK($C16),
    "",
    $C16
)</f>
        <v/>
      </c>
      <c r="BS16" s="76" t="str">
        <f aca="false">IF(ISBLANK($C16),
    "",
    $D16
)</f>
        <v/>
      </c>
      <c r="BT16" s="77" t="str">
        <f aca="false">BH16</f>
        <v/>
      </c>
      <c r="BU16" s="78" t="str">
        <f aca="false">BG16</f>
        <v/>
      </c>
      <c r="BV16" s="76" t="str">
        <f aca="false">IF(ISBLANK($C16),
    "",
    BJ16
)</f>
        <v/>
      </c>
      <c r="BW16" s="79" t="str">
        <f aca="false">IF(BN16&gt;BM$7,
    "",
    VLOOKUP(BN16,BP$8:BV515,7,FALSE())
)</f>
        <v/>
      </c>
      <c r="BX16" s="80" t="str">
        <f aca="false">IF(BN16&gt;BM$7,
    "",
    VLOOKUP(BN16,BP$8:BV515,2,FALSE())
)</f>
        <v/>
      </c>
      <c r="BY16" s="80" t="str">
        <f aca="false">IF(BN16&gt;BM$7,
    "",
    VLOOKUP(BN16,BP$8:BV515,3,FALSE())
)</f>
        <v/>
      </c>
      <c r="BZ16" s="80" t="str">
        <f aca="false">IF(BN16&gt;BM$7,
    "",
    VLOOKUP(BN16,BP$8:BV515,4,FALSE())
)</f>
        <v/>
      </c>
      <c r="CA16" s="80" t="str">
        <f aca="false">IF(BN16&gt;BM$7,
    "",
    VLOOKUP(BN16,BP$8:BV515,5,FALSE())
)</f>
        <v/>
      </c>
      <c r="CB16" s="81" t="str">
        <f aca="false">IF(BN16&gt;BM$7,
    "",
    VLOOKUP(BN16,BP$8:BV515,6,FALSE())
)</f>
        <v/>
      </c>
      <c r="CC16" s="53"/>
    </row>
    <row r="17" customFormat="false" ht="15.75" hidden="false" customHeight="false" outlineLevel="0" collapsed="false">
      <c r="A17" s="5"/>
      <c r="B17" s="125"/>
      <c r="C17" s="126"/>
      <c r="D17" s="115"/>
      <c r="E17" s="119"/>
      <c r="F17" s="119"/>
      <c r="G17" s="91"/>
      <c r="H17" s="92"/>
      <c r="I17" s="92"/>
      <c r="J17" s="127"/>
      <c r="K17" s="127"/>
      <c r="L17" s="127"/>
      <c r="M17" s="94"/>
      <c r="N17" s="94"/>
      <c r="O17" s="94"/>
      <c r="P17" s="95"/>
      <c r="Q17" s="96"/>
      <c r="R17" s="128"/>
      <c r="S17" s="98"/>
      <c r="T17" s="99"/>
      <c r="U17" s="99" t="str">
        <f aca="false">IF(ISBLANK($C17),"",IF(G17=Constants!$B$2, TRUE(), IF(G17=Constants!$B$3, FALSE(), TRUE())))</f>
        <v/>
      </c>
      <c r="V17" s="99" t="str">
        <f aca="false">IF(ISBLANK($C17),"",IF(H17=Constants!$B$2, TRUE(), IF(H17=Constants!$B$3, FALSE(), TRUE())))</f>
        <v/>
      </c>
      <c r="W17" s="99" t="str">
        <f aca="false">IF(ISBLANK($C17),"",IF(I17=Constants!$B$2, TRUE(), IF(I17=Constants!$B$3, FALSE(), TRUE())))</f>
        <v/>
      </c>
      <c r="X17" s="99" t="str">
        <f aca="false">IF(ISBLANK($C17),"",IF(AND(ISNUMBER(J17),J17&gt;0),INT(J17),0))</f>
        <v/>
      </c>
      <c r="Y17" s="99" t="str">
        <f aca="false">IF(ISBLANK($C17),"",IF(K17=Constants!$B$2, TRUE(), IF(K17=Constants!$B$3, FALSE(), TRUE())))</f>
        <v/>
      </c>
      <c r="Z17" s="100" t="str">
        <f aca="false">IF(ISBLANK($C17),"",IF(AND(ISNUMBER(L17),L17&gt;0),INT(L17),0))</f>
        <v/>
      </c>
      <c r="AA17" s="101" t="str">
        <f aca="false">IF(ISBLANK($C17),"",IF(ISNUMBER(M17), M17, ""))</f>
        <v/>
      </c>
      <c r="AB17" s="101" t="str">
        <f aca="false">IF(ISBLANK($C17),"",IF(ISNUMBER(N17), N17, ""))</f>
        <v/>
      </c>
      <c r="AC17" s="101" t="str">
        <f aca="false">IF(ISBLANK($C17),"",IF(ISNUMBER(O17), O17, ""))</f>
        <v/>
      </c>
      <c r="AD17" s="102" t="str">
        <f aca="false">IF(ISBLANK($C17),"",IF(ISNUMBER(P17), P17, ""))</f>
        <v/>
      </c>
      <c r="AE17" s="102" t="str">
        <f aca="false">IF(ISBLANK($C17),"",IF(ISNUMBER(Q17), Q17, Constants!$B$13))</f>
        <v/>
      </c>
      <c r="AF17" s="99" t="str">
        <f aca="false">IF(ISBLANK($C17),"",IF(R17=Constants!$B$2, TRUE(), IF(R17=Constants!$B$3, FALSE(), FALSE())))</f>
        <v/>
      </c>
      <c r="AG17" s="99" t="str">
        <f aca="false">IF(ISBLANK(C17), "", IF(AF17, Constants!$B$4,IF(COUNTA(G17:P17)=0, Constants!$B$5, Constants!$B$7)))</f>
        <v/>
      </c>
      <c r="AH17" s="99" t="str">
        <f aca="false">IF(ISBLANK($C17), "",IF($AG17=Constants!$B$7,1,$AG17))</f>
        <v/>
      </c>
      <c r="AI17" s="99" t="str">
        <f aca="false">IF($AG17=Constants!$B$7,POWER(Constants!$B$11,X17)*POWER(Constants!$B$12,Z17),"")</f>
        <v/>
      </c>
      <c r="AJ17" s="99" t="str">
        <f aca="false">IF(AND($AG17=Constants!$B$7, U17, V17) ,IF(OR($AA17="",$AC17=""),"",MAX(0, $AC17-$AA17)),"")</f>
        <v/>
      </c>
      <c r="AK17" s="99" t="str">
        <f aca="false">IF(AND($AG17=Constants!$B$7, U17, V17),IF(OR($AA17="",$AC17=""),$AK$6,""),"")</f>
        <v/>
      </c>
      <c r="AL17" s="99" t="str">
        <f aca="false">IF($AG17=Constants!$B$7,IF(AND(U17,V17,W17,Y17),IF($AJ17="",0,IF($AJ$6=0,Constants!$B$9,Constants!$B$9*AJ17/$AJ$6)), 0),"")</f>
        <v/>
      </c>
      <c r="AM17" s="99" t="str">
        <f aca="false">IF(AL17&lt;&gt;"", AL17*AI17,"")</f>
        <v/>
      </c>
      <c r="AN17" s="99" t="str">
        <f aca="false">IF(AND($AG17=Constants!$B$7, U17, V17) ,IF($AB17="", "", IF(OR($AC17="",$AC17=0),"",MAX(0,1-ABS($AC17-$AB17)/$AC17))),"")</f>
        <v/>
      </c>
      <c r="AO17" s="99" t="str">
        <f aca="false">IF(AND($AG17=Constants!$B$7, U17, V17),IF(AND($AA17&lt;&gt;"",$AB17&lt;&gt;"",$AC17=0),$AO$6,""),"")</f>
        <v/>
      </c>
      <c r="AP17" s="99" t="str">
        <f aca="false">IF($AG17=Constants!$B$7 ,IF(AND(U17,V17,W17,Y17,ISNUMBER(AB17)),IF($AN17="",0,IF($AN$6=0,Constants!$B$10,Constants!$B$10*AN17/$AN$6)), 0),"")</f>
        <v/>
      </c>
      <c r="AQ17" s="99" t="str">
        <f aca="false">IF(AP17&lt;&gt;"", AP17*AI17,"")</f>
        <v/>
      </c>
      <c r="AR17" s="99" t="str">
        <f aca="false">IF($AG17=Constants!$B$7,IF($AD17="",0,IF($AR$6=0,Constants!$B$8,Constants!$B$8*AD17/$AR$6)),"")</f>
        <v/>
      </c>
      <c r="AS17" s="99" t="str">
        <f aca="false">IF($AG17&lt;&gt;Constants!$B$7,$AG17,IF(AK17&amp;AO17&lt;&gt;"",Constants!$B$14,AM17+AQ17+AR17))</f>
        <v/>
      </c>
      <c r="AT17" s="99" t="str">
        <f aca="false">IF(ISBLANK($C17),"",IF($AG17=Constants!$B$7,IF(ISNUMBER(AS17),RANK(AS17,$AS$8:$AS$507),Constants!$B$14),$AG17))</f>
        <v/>
      </c>
      <c r="AU17" s="99" t="str">
        <f aca="false">IF(ISBLANK($C17), "",AM17)</f>
        <v/>
      </c>
      <c r="AV17" s="99" t="str">
        <f aca="false">IF(ISBLANK($C17),"",IF($AG17=Constants!$B$7,RANK(AU17,AU$8:AU$507),$AG17))</f>
        <v/>
      </c>
      <c r="AW17" s="99" t="str">
        <f aca="false">IF(ISBLANK($C17), "",AR17)</f>
        <v/>
      </c>
      <c r="AX17" s="99" t="str">
        <f aca="false">IF(ISBLANK($C17),"",IF($AG17=Constants!$B$7,RANK(AW17,AW$8:AW$507),$AG17))</f>
        <v/>
      </c>
      <c r="AY17" s="99" t="str">
        <f aca="false">IF(ISBLANK($C17), "",AE17)</f>
        <v/>
      </c>
      <c r="AZ17" s="99" t="str">
        <f aca="false">IF(ISBLANK($C17),"",
IF($AG17=Constants!$B$7,
  IF(ISNUMBER(AT17),
    COUNTIFS($AT$8:$AT$507,"&lt;"&amp;$AT17)
    + COUNTIFS($AT$8:$AT$507,$AT17,$AV$8:$AV$507,"&lt;"&amp;$AV17)
    + COUNTIFS($AT$8:$AT$507,$AT17,$AV$8:$AV$507,$AV17,$AX$8:$AX$507,"&lt;"&amp;$AX17)
    + COUNTIFS($AT$8:$AT$507,$AT17,$AV$8:$AV$507,$AV17,$AX$8:$AX$507,$AX17,$AY$8:$AY$507,"&lt;"&amp;$AY17)
    + 1,
  Constants!$B$14),
$AG17))</f>
        <v/>
      </c>
      <c r="BA17" s="99" t="str">
        <f aca="false">IF(ISBLANK(C17),"",IF($AG17=Constants!$B$7, IF(ISNUMBER(AT17),AT17-AZ17,Constants!$B$14),$AG17))</f>
        <v/>
      </c>
      <c r="BB17" s="103"/>
      <c r="BC17" s="104" t="str">
        <f aca="false">IF(ISBLANK($C17),"",TRIM(AK17&amp;" "&amp;AO17))</f>
        <v/>
      </c>
      <c r="BD17" s="105" t="str">
        <f aca="false">IF(ISBLANK($C17),"",IF($AG17&lt;&gt;Constants!$B$7,$AG17,AR17))</f>
        <v/>
      </c>
      <c r="BE17" s="105" t="str">
        <f aca="false">IF(ISBLANK($C17),"",IF($AG17&lt;&gt;Constants!$B$7,$AG17,AM17))</f>
        <v/>
      </c>
      <c r="BF17" s="105" t="str">
        <f aca="false">IF(ISBLANK($C17),"",IF($AG17&lt;&gt;Constants!$B$7,$AG17,AQ17))</f>
        <v/>
      </c>
      <c r="BG17" s="106" t="str">
        <f aca="false">IF(ISBLANK($C17),"",IF($AG17&lt;&gt;Constants!$B$7, $AG17 ,AS17))</f>
        <v/>
      </c>
      <c r="BH17" s="107" t="str">
        <f aca="false">IF(ISBLANK($C17),"",IF($AG17&lt;&gt;Constants!$B$7, $AG17 ,AH17))</f>
        <v/>
      </c>
      <c r="BI17" s="105" t="str">
        <f aca="false">IF(ISBLANK(C17),"",BA17)</f>
        <v/>
      </c>
      <c r="BJ17" s="105" t="str">
        <f aca="false">IF(ISBLANK(C17),"",AZ17)</f>
        <v/>
      </c>
      <c r="BK17" s="108" t="str">
        <f aca="false">IF(ISBLANK(C17),"",IFERROR(_xlfn.SWITCH(BJ17, Constants!$B$4, COUNTA($C$8:$C516)+2, Constants!$B$5, COUNTA($C$8:$C516)+1, Constants!$B$6, COUNTA($C$8:$C516)),BJ17))</f>
        <v/>
      </c>
      <c r="BL17" s="5"/>
      <c r="BM17" s="109" t="n">
        <f aca="false">IF(OR(ISNUMBER(BJ17),BJ17="DQ",BJ17="P",BJ17="NS"),
    1,
    0
)</f>
        <v>0</v>
      </c>
      <c r="BN17" s="109" t="n">
        <v>10</v>
      </c>
      <c r="BO17" s="109" t="str">
        <f aca="false">IF(ISBLANK($C17),"",IF(ISNUMBER(BK17),BK17+ROW($B17)/1000,""))</f>
        <v/>
      </c>
      <c r="BP17" s="109" t="str">
        <f aca="false">IF(ISNUMBER(BO17), RANK(BO17,BO$8:BO$507,1), "")</f>
        <v/>
      </c>
      <c r="BQ17" s="109" t="str">
        <f aca="false">IF(ISBLANK($C17),
    "",
    $B17
)</f>
        <v/>
      </c>
      <c r="BR17" s="109" t="str">
        <f aca="false">IF(ISBLANK($C17),
    "",
    $C17
)</f>
        <v/>
      </c>
      <c r="BS17" s="109" t="str">
        <f aca="false">IF(ISBLANK($C17),
    "",
    $D17
)</f>
        <v/>
      </c>
      <c r="BT17" s="110" t="str">
        <f aca="false">BH17</f>
        <v/>
      </c>
      <c r="BU17" s="111" t="str">
        <f aca="false">BG17</f>
        <v/>
      </c>
      <c r="BV17" s="109" t="str">
        <f aca="false">IF(ISBLANK($C17),
    "",
    BJ17
)</f>
        <v/>
      </c>
      <c r="BW17" s="112" t="str">
        <f aca="false">IF(BN17&gt;BM$7,
    "",
    VLOOKUP(BN17,BP$8:BV516,7,FALSE())
)</f>
        <v/>
      </c>
      <c r="BX17" s="113" t="str">
        <f aca="false">IF(BN17&gt;BM$7,
    "",
    VLOOKUP(BN17,BP$8:BV516,2,FALSE())
)</f>
        <v/>
      </c>
      <c r="BY17" s="113" t="str">
        <f aca="false">IF(BN17&gt;BM$7,
    "",
    VLOOKUP(BN17,BP$8:BV516,3,FALSE())
)</f>
        <v/>
      </c>
      <c r="BZ17" s="113" t="str">
        <f aca="false">IF(BN17&gt;BM$7,
    "",
    VLOOKUP(BN17,BP$8:BV516,4,FALSE())
)</f>
        <v/>
      </c>
      <c r="CA17" s="113" t="str">
        <f aca="false">IF(BN17&gt;BM$7,
    "",
    VLOOKUP(BN17,BP$8:BV516,5,FALSE())
)</f>
        <v/>
      </c>
      <c r="CB17" s="114" t="str">
        <f aca="false">IF(BN17&gt;BM$7,
    "",
    VLOOKUP(BN17,BP$8:BV516,6,FALSE())
)</f>
        <v/>
      </c>
      <c r="CC17" s="53"/>
    </row>
    <row r="18" customFormat="false" ht="15.75" hidden="false" customHeight="false" outlineLevel="0" collapsed="false">
      <c r="A18" s="5"/>
      <c r="B18" s="125"/>
      <c r="C18" s="126"/>
      <c r="D18" s="115"/>
      <c r="E18" s="119"/>
      <c r="F18" s="119"/>
      <c r="G18" s="91"/>
      <c r="H18" s="92"/>
      <c r="I18" s="92"/>
      <c r="J18" s="127"/>
      <c r="K18" s="127"/>
      <c r="L18" s="127"/>
      <c r="M18" s="94"/>
      <c r="N18" s="94"/>
      <c r="O18" s="94"/>
      <c r="P18" s="95"/>
      <c r="Q18" s="96"/>
      <c r="R18" s="128"/>
      <c r="S18" s="98"/>
      <c r="T18" s="99"/>
      <c r="U18" s="99" t="str">
        <f aca="false">IF(ISBLANK($C18),"",IF(G18=Constants!$B$2, TRUE(), IF(G18=Constants!$B$3, FALSE(), TRUE())))</f>
        <v/>
      </c>
      <c r="V18" s="99" t="str">
        <f aca="false">IF(ISBLANK($C18),"",IF(H18=Constants!$B$2, TRUE(), IF(H18=Constants!$B$3, FALSE(), TRUE())))</f>
        <v/>
      </c>
      <c r="W18" s="99" t="str">
        <f aca="false">IF(ISBLANK($C18),"",IF(I18=Constants!$B$2, TRUE(), IF(I18=Constants!$B$3, FALSE(), TRUE())))</f>
        <v/>
      </c>
      <c r="X18" s="99" t="str">
        <f aca="false">IF(ISBLANK($C18),"",IF(AND(ISNUMBER(J18),J18&gt;0),INT(J18),0))</f>
        <v/>
      </c>
      <c r="Y18" s="99" t="str">
        <f aca="false">IF(ISBLANK($C18),"",IF(K18=Constants!$B$2, TRUE(), IF(K18=Constants!$B$3, FALSE(), TRUE())))</f>
        <v/>
      </c>
      <c r="Z18" s="100" t="str">
        <f aca="false">IF(ISBLANK($C18),"",IF(AND(ISNUMBER(L18),L18&gt;0),INT(L18),0))</f>
        <v/>
      </c>
      <c r="AA18" s="101" t="str">
        <f aca="false">IF(ISBLANK($C18),"",IF(ISNUMBER(M18), M18, ""))</f>
        <v/>
      </c>
      <c r="AB18" s="101" t="str">
        <f aca="false">IF(ISBLANK($C18),"",IF(ISNUMBER(N18), N18, ""))</f>
        <v/>
      </c>
      <c r="AC18" s="101" t="str">
        <f aca="false">IF(ISBLANK($C18),"",IF(ISNUMBER(O18), O18, ""))</f>
        <v/>
      </c>
      <c r="AD18" s="102" t="str">
        <f aca="false">IF(ISBLANK($C18),"",IF(ISNUMBER(P18), P18, ""))</f>
        <v/>
      </c>
      <c r="AE18" s="102" t="str">
        <f aca="false">IF(ISBLANK($C18),"",IF(ISNUMBER(Q18), Q18, Constants!$B$13))</f>
        <v/>
      </c>
      <c r="AF18" s="99" t="str">
        <f aca="false">IF(ISBLANK($C18),"",IF(R18=Constants!$B$2, TRUE(), IF(R18=Constants!$B$3, FALSE(), FALSE())))</f>
        <v/>
      </c>
      <c r="AG18" s="99" t="str">
        <f aca="false">IF(ISBLANK(C18), "", IF(AF18, Constants!$B$4,IF(COUNTA(G18:P18)=0, Constants!$B$5, Constants!$B$7)))</f>
        <v/>
      </c>
      <c r="AH18" s="99" t="str">
        <f aca="false">IF(ISBLANK($C18), "",IF($AG18=Constants!$B$7,1,$AG18))</f>
        <v/>
      </c>
      <c r="AI18" s="99" t="str">
        <f aca="false">IF($AG18=Constants!$B$7,POWER(Constants!$B$11,X18)*POWER(Constants!$B$12,Z18),"")</f>
        <v/>
      </c>
      <c r="AJ18" s="99" t="str">
        <f aca="false">IF(AND($AG18=Constants!$B$7, U18, V18) ,IF(OR($AA18="",$AC18=""),"",MAX(0, $AC18-$AA18)),"")</f>
        <v/>
      </c>
      <c r="AK18" s="99" t="str">
        <f aca="false">IF(AND($AG18=Constants!$B$7, U18, V18),IF(OR($AA18="",$AC18=""),$AK$6,""),"")</f>
        <v/>
      </c>
      <c r="AL18" s="99" t="str">
        <f aca="false">IF($AG18=Constants!$B$7,IF(AND(U18,V18,W18,Y18),IF($AJ18="",0,IF($AJ$6=0,Constants!$B$9,Constants!$B$9*AJ18/$AJ$6)), 0),"")</f>
        <v/>
      </c>
      <c r="AM18" s="99" t="str">
        <f aca="false">IF(AL18&lt;&gt;"", AL18*AI18,"")</f>
        <v/>
      </c>
      <c r="AN18" s="99" t="str">
        <f aca="false">IF(AND($AG18=Constants!$B$7, U18, V18) ,IF($AB18="", "", IF(OR($AC18="",$AC18=0),"",MAX(0,1-ABS($AC18-$AB18)/$AC18))),"")</f>
        <v/>
      </c>
      <c r="AO18" s="99" t="str">
        <f aca="false">IF(AND($AG18=Constants!$B$7, U18, V18),IF(AND($AA18&lt;&gt;"",$AB18&lt;&gt;"",$AC18=0),$AO$6,""),"")</f>
        <v/>
      </c>
      <c r="AP18" s="99" t="str">
        <f aca="false">IF($AG18=Constants!$B$7 ,IF(AND(U18,V18,W18,Y18,ISNUMBER(AB18)),IF($AN18="",0,IF($AN$6=0,Constants!$B$10,Constants!$B$10*AN18/$AN$6)), 0),"")</f>
        <v/>
      </c>
      <c r="AQ18" s="99" t="str">
        <f aca="false">IF(AP18&lt;&gt;"", AP18*AI18,"")</f>
        <v/>
      </c>
      <c r="AR18" s="99" t="str">
        <f aca="false">IF($AG18=Constants!$B$7,IF($AD18="",0,IF($AR$6=0,Constants!$B$8,Constants!$B$8*AD18/$AR$6)),"")</f>
        <v/>
      </c>
      <c r="AS18" s="99" t="str">
        <f aca="false">IF($AG18&lt;&gt;Constants!$B$7,$AG18,IF(AK18&amp;AO18&lt;&gt;"",Constants!$B$14,AM18+AQ18+AR18))</f>
        <v/>
      </c>
      <c r="AT18" s="99" t="str">
        <f aca="false">IF(ISBLANK($C18),"",IF($AG18=Constants!$B$7,IF(ISNUMBER(AS18),RANK(AS18,$AS$8:$AS$507),Constants!$B$14),$AG18))</f>
        <v/>
      </c>
      <c r="AU18" s="99" t="str">
        <f aca="false">IF(ISBLANK($C18), "",AM18)</f>
        <v/>
      </c>
      <c r="AV18" s="99" t="str">
        <f aca="false">IF(ISBLANK($C18),"",IF($AG18=Constants!$B$7,RANK(AU18,AU$8:AU$507),$AG18))</f>
        <v/>
      </c>
      <c r="AW18" s="99" t="str">
        <f aca="false">IF(ISBLANK($C18), "",AR18)</f>
        <v/>
      </c>
      <c r="AX18" s="99" t="str">
        <f aca="false">IF(ISBLANK($C18),"",IF($AG18=Constants!$B$7,RANK(AW18,AW$8:AW$507),$AG18))</f>
        <v/>
      </c>
      <c r="AY18" s="99" t="str">
        <f aca="false">IF(ISBLANK($C18), "",AE18)</f>
        <v/>
      </c>
      <c r="AZ18" s="99" t="str">
        <f aca="false">IF(ISBLANK($C18),"",
IF($AG18=Constants!$B$7,
  IF(ISNUMBER(AT18),
    COUNTIFS($AT$8:$AT$507,"&lt;"&amp;$AT18)
    + COUNTIFS($AT$8:$AT$507,$AT18,$AV$8:$AV$507,"&lt;"&amp;$AV18)
    + COUNTIFS($AT$8:$AT$507,$AT18,$AV$8:$AV$507,$AV18,$AX$8:$AX$507,"&lt;"&amp;$AX18)
    + COUNTIFS($AT$8:$AT$507,$AT18,$AV$8:$AV$507,$AV18,$AX$8:$AX$507,$AX18,$AY$8:$AY$507,"&lt;"&amp;$AY18)
    + 1,
  Constants!$B$14),
$AG18))</f>
        <v/>
      </c>
      <c r="BA18" s="99" t="str">
        <f aca="false">IF(ISBLANK(C18),"",IF($AG18=Constants!$B$7, IF(ISNUMBER(AT18),AT18-AZ18,Constants!$B$14),$AG18))</f>
        <v/>
      </c>
      <c r="BB18" s="103"/>
      <c r="BC18" s="104" t="str">
        <f aca="false">IF(ISBLANK($C18),"",TRIM(AK18&amp;" "&amp;AO18))</f>
        <v/>
      </c>
      <c r="BD18" s="105" t="str">
        <f aca="false">IF(ISBLANK($C18),"",IF($AG18&lt;&gt;Constants!$B$7,$AG18,AR18))</f>
        <v/>
      </c>
      <c r="BE18" s="105" t="str">
        <f aca="false">IF(ISBLANK($C18),"",IF($AG18&lt;&gt;Constants!$B$7,$AG18,AM18))</f>
        <v/>
      </c>
      <c r="BF18" s="105" t="str">
        <f aca="false">IF(ISBLANK($C18),"",IF($AG18&lt;&gt;Constants!$B$7,$AG18,AQ18))</f>
        <v/>
      </c>
      <c r="BG18" s="106" t="str">
        <f aca="false">IF(ISBLANK($C18),"",IF($AG18&lt;&gt;Constants!$B$7, $AG18 ,AS18))</f>
        <v/>
      </c>
      <c r="BH18" s="107" t="str">
        <f aca="false">IF(ISBLANK($C18),"",IF($AG18&lt;&gt;Constants!$B$7, $AG18 ,AH18))</f>
        <v/>
      </c>
      <c r="BI18" s="105" t="str">
        <f aca="false">IF(ISBLANK(C18),"",BA18)</f>
        <v/>
      </c>
      <c r="BJ18" s="105" t="str">
        <f aca="false">IF(ISBLANK(C18),"",AZ18)</f>
        <v/>
      </c>
      <c r="BK18" s="108" t="str">
        <f aca="false">IF(ISBLANK(C18),"",IFERROR(_xlfn.SWITCH(BJ18, Constants!$B$4, COUNTA($C$8:$C517)+2, Constants!$B$5, COUNTA($C$8:$C517)+1, Constants!$B$6, COUNTA($C$8:$C517)),BJ18))</f>
        <v/>
      </c>
      <c r="BL18" s="5"/>
      <c r="BM18" s="109" t="n">
        <f aca="false">IF(OR(ISNUMBER(BJ18),BJ18="DQ",BJ18="P",BJ18="NS"),
    1,
    0
)</f>
        <v>0</v>
      </c>
      <c r="BN18" s="109" t="n">
        <v>11</v>
      </c>
      <c r="BO18" s="109" t="str">
        <f aca="false">IF(ISBLANK($C18),"",IF(ISNUMBER(BK18),BK18+ROW($B18)/1000,""))</f>
        <v/>
      </c>
      <c r="BP18" s="109" t="str">
        <f aca="false">IF(ISNUMBER(BO18), RANK(BO18,BO$8:BO$507,1), "")</f>
        <v/>
      </c>
      <c r="BQ18" s="109" t="str">
        <f aca="false">IF(ISBLANK($C18),
    "",
    $B18
)</f>
        <v/>
      </c>
      <c r="BR18" s="109" t="str">
        <f aca="false">IF(ISBLANK($C18),
    "",
    $C18
)</f>
        <v/>
      </c>
      <c r="BS18" s="109" t="str">
        <f aca="false">IF(ISBLANK($C18),
    "",
    $D18
)</f>
        <v/>
      </c>
      <c r="BT18" s="110" t="str">
        <f aca="false">BH18</f>
        <v/>
      </c>
      <c r="BU18" s="111" t="str">
        <f aca="false">BG18</f>
        <v/>
      </c>
      <c r="BV18" s="109" t="str">
        <f aca="false">IF(ISBLANK($C18),
    "",
    BJ18
)</f>
        <v/>
      </c>
      <c r="BW18" s="112" t="str">
        <f aca="false">IF(BN18&gt;BM$7,
    "",
    VLOOKUP(BN18,BP$8:BV517,7,FALSE())
)</f>
        <v/>
      </c>
      <c r="BX18" s="113" t="str">
        <f aca="false">IF(BN18&gt;BM$7,
    "",
    VLOOKUP(BN18,BP$8:BV517,2,FALSE())
)</f>
        <v/>
      </c>
      <c r="BY18" s="113" t="str">
        <f aca="false">IF(BN18&gt;BM$7,
    "",
    VLOOKUP(BN18,BP$8:BV517,3,FALSE())
)</f>
        <v/>
      </c>
      <c r="BZ18" s="113" t="str">
        <f aca="false">IF(BN18&gt;BM$7,
    "",
    VLOOKUP(BN18,BP$8:BV517,4,FALSE())
)</f>
        <v/>
      </c>
      <c r="CA18" s="113" t="str">
        <f aca="false">IF(BN18&gt;BM$7,
    "",
    VLOOKUP(BN18,BP$8:BV517,5,FALSE())
)</f>
        <v/>
      </c>
      <c r="CB18" s="114" t="str">
        <f aca="false">IF(BN18&gt;BM$7,
    "",
    VLOOKUP(BN18,BP$8:BV517,6,FALSE())
)</f>
        <v/>
      </c>
      <c r="CC18" s="53"/>
    </row>
    <row r="19" customFormat="false" ht="15.75" hidden="false" customHeight="false" outlineLevel="0" collapsed="false">
      <c r="A19" s="5"/>
      <c r="B19" s="125"/>
      <c r="C19" s="126"/>
      <c r="D19" s="115"/>
      <c r="E19" s="119"/>
      <c r="F19" s="119"/>
      <c r="G19" s="91"/>
      <c r="H19" s="92"/>
      <c r="I19" s="92"/>
      <c r="J19" s="127"/>
      <c r="K19" s="127"/>
      <c r="L19" s="127"/>
      <c r="M19" s="94"/>
      <c r="N19" s="94"/>
      <c r="O19" s="94"/>
      <c r="P19" s="95"/>
      <c r="Q19" s="96"/>
      <c r="R19" s="128"/>
      <c r="S19" s="98"/>
      <c r="T19" s="99"/>
      <c r="U19" s="99" t="str">
        <f aca="false">IF(ISBLANK($C19),"",IF(G19=Constants!$B$2, TRUE(), IF(G19=Constants!$B$3, FALSE(), TRUE())))</f>
        <v/>
      </c>
      <c r="V19" s="99" t="str">
        <f aca="false">IF(ISBLANK($C19),"",IF(H19=Constants!$B$2, TRUE(), IF(H19=Constants!$B$3, FALSE(), TRUE())))</f>
        <v/>
      </c>
      <c r="W19" s="99" t="str">
        <f aca="false">IF(ISBLANK($C19),"",IF(I19=Constants!$B$2, TRUE(), IF(I19=Constants!$B$3, FALSE(), TRUE())))</f>
        <v/>
      </c>
      <c r="X19" s="99" t="str">
        <f aca="false">IF(ISBLANK($C19),"",IF(AND(ISNUMBER(J19),J19&gt;0),INT(J19),0))</f>
        <v/>
      </c>
      <c r="Y19" s="99" t="str">
        <f aca="false">IF(ISBLANK($C19),"",IF(K19=Constants!$B$2, TRUE(), IF(K19=Constants!$B$3, FALSE(), TRUE())))</f>
        <v/>
      </c>
      <c r="Z19" s="100" t="str">
        <f aca="false">IF(ISBLANK($C19),"",IF(AND(ISNUMBER(L19),L19&gt;0),INT(L19),0))</f>
        <v/>
      </c>
      <c r="AA19" s="101" t="str">
        <f aca="false">IF(ISBLANK($C19),"",IF(ISNUMBER(M19), M19, ""))</f>
        <v/>
      </c>
      <c r="AB19" s="101" t="str">
        <f aca="false">IF(ISBLANK($C19),"",IF(ISNUMBER(N19), N19, ""))</f>
        <v/>
      </c>
      <c r="AC19" s="101" t="str">
        <f aca="false">IF(ISBLANK($C19),"",IF(ISNUMBER(O19), O19, ""))</f>
        <v/>
      </c>
      <c r="AD19" s="102" t="str">
        <f aca="false">IF(ISBLANK($C19),"",IF(ISNUMBER(P19), P19, ""))</f>
        <v/>
      </c>
      <c r="AE19" s="102" t="str">
        <f aca="false">IF(ISBLANK($C19),"",IF(ISNUMBER(Q19), Q19, Constants!$B$13))</f>
        <v/>
      </c>
      <c r="AF19" s="99" t="str">
        <f aca="false">IF(ISBLANK($C19),"",IF(R19=Constants!$B$2, TRUE(), IF(R19=Constants!$B$3, FALSE(), FALSE())))</f>
        <v/>
      </c>
      <c r="AG19" s="99" t="str">
        <f aca="false">IF(ISBLANK(C19), "", IF(AF19, Constants!$B$4,IF(COUNTA(G19:P19)=0, Constants!$B$5, Constants!$B$7)))</f>
        <v/>
      </c>
      <c r="AH19" s="99" t="str">
        <f aca="false">IF(ISBLANK($C19), "",IF($AG19=Constants!$B$7,1,$AG19))</f>
        <v/>
      </c>
      <c r="AI19" s="99" t="str">
        <f aca="false">IF($AG19=Constants!$B$7,POWER(Constants!$B$11,X19)*POWER(Constants!$B$12,Z19),"")</f>
        <v/>
      </c>
      <c r="AJ19" s="99" t="str">
        <f aca="false">IF(AND($AG19=Constants!$B$7, U19, V19) ,IF(OR($AA19="",$AC19=""),"",MAX(0, $AC19-$AA19)),"")</f>
        <v/>
      </c>
      <c r="AK19" s="99" t="str">
        <f aca="false">IF(AND($AG19=Constants!$B$7, U19, V19),IF(OR($AA19="",$AC19=""),$AK$6,""),"")</f>
        <v/>
      </c>
      <c r="AL19" s="99" t="str">
        <f aca="false">IF($AG19=Constants!$B$7,IF(AND(U19,V19,W19,Y19),IF($AJ19="",0,IF($AJ$6=0,Constants!$B$9,Constants!$B$9*AJ19/$AJ$6)), 0),"")</f>
        <v/>
      </c>
      <c r="AM19" s="99" t="str">
        <f aca="false">IF(AL19&lt;&gt;"", AL19*AI19,"")</f>
        <v/>
      </c>
      <c r="AN19" s="99" t="str">
        <f aca="false">IF(AND($AG19=Constants!$B$7, U19, V19) ,IF($AB19="", "", IF(OR($AC19="",$AC19=0),"",MAX(0,1-ABS($AC19-$AB19)/$AC19))),"")</f>
        <v/>
      </c>
      <c r="AO19" s="99" t="str">
        <f aca="false">IF(AND($AG19=Constants!$B$7, U19, V19),IF(AND($AA19&lt;&gt;"",$AB19&lt;&gt;"",$AC19=0),$AO$6,""),"")</f>
        <v/>
      </c>
      <c r="AP19" s="99" t="str">
        <f aca="false">IF($AG19=Constants!$B$7 ,IF(AND(U19,V19,W19,Y19,ISNUMBER(AB19)),IF($AN19="",0,IF($AN$6=0,Constants!$B$10,Constants!$B$10*AN19/$AN$6)), 0),"")</f>
        <v/>
      </c>
      <c r="AQ19" s="99" t="str">
        <f aca="false">IF(AP19&lt;&gt;"", AP19*AI19,"")</f>
        <v/>
      </c>
      <c r="AR19" s="99" t="str">
        <f aca="false">IF($AG19=Constants!$B$7,IF($AD19="",0,IF($AR$6=0,Constants!$B$8,Constants!$B$8*AD19/$AR$6)),"")</f>
        <v/>
      </c>
      <c r="AS19" s="99" t="str">
        <f aca="false">IF($AG19&lt;&gt;Constants!$B$7,$AG19,IF(AK19&amp;AO19&lt;&gt;"",Constants!$B$14,AM19+AQ19+AR19))</f>
        <v/>
      </c>
      <c r="AT19" s="99" t="str">
        <f aca="false">IF(ISBLANK($C19),"",IF($AG19=Constants!$B$7,IF(ISNUMBER(AS19),RANK(AS19,$AS$8:$AS$507),Constants!$B$14),$AG19))</f>
        <v/>
      </c>
      <c r="AU19" s="99" t="str">
        <f aca="false">IF(ISBLANK($C19), "",AM19)</f>
        <v/>
      </c>
      <c r="AV19" s="99" t="str">
        <f aca="false">IF(ISBLANK($C19),"",IF($AG19=Constants!$B$7,RANK(AU19,AU$8:AU$507),$AG19))</f>
        <v/>
      </c>
      <c r="AW19" s="99" t="str">
        <f aca="false">IF(ISBLANK($C19), "",AR19)</f>
        <v/>
      </c>
      <c r="AX19" s="99" t="str">
        <f aca="false">IF(ISBLANK($C19),"",IF($AG19=Constants!$B$7,RANK(AW19,AW$8:AW$507),$AG19))</f>
        <v/>
      </c>
      <c r="AY19" s="99" t="str">
        <f aca="false">IF(ISBLANK($C19), "",AE19)</f>
        <v/>
      </c>
      <c r="AZ19" s="99" t="str">
        <f aca="false">IF(ISBLANK($C19),"",
IF($AG19=Constants!$B$7,
  IF(ISNUMBER(AT19),
    COUNTIFS($AT$8:$AT$507,"&lt;"&amp;$AT19)
    + COUNTIFS($AT$8:$AT$507,$AT19,$AV$8:$AV$507,"&lt;"&amp;$AV19)
    + COUNTIFS($AT$8:$AT$507,$AT19,$AV$8:$AV$507,$AV19,$AX$8:$AX$507,"&lt;"&amp;$AX19)
    + COUNTIFS($AT$8:$AT$507,$AT19,$AV$8:$AV$507,$AV19,$AX$8:$AX$507,$AX19,$AY$8:$AY$507,"&lt;"&amp;$AY19)
    + 1,
  Constants!$B$14),
$AG19))</f>
        <v/>
      </c>
      <c r="BA19" s="99" t="str">
        <f aca="false">IF(ISBLANK(C19),"",IF($AG19=Constants!$B$7, IF(ISNUMBER(AT19),AT19-AZ19,Constants!$B$14),$AG19))</f>
        <v/>
      </c>
      <c r="BB19" s="103"/>
      <c r="BC19" s="104" t="str">
        <f aca="false">IF(ISBLANK($C19),"",TRIM(AK19&amp;" "&amp;AO19))</f>
        <v/>
      </c>
      <c r="BD19" s="105" t="str">
        <f aca="false">IF(ISBLANK($C19),"",IF($AG19&lt;&gt;Constants!$B$7,$AG19,AR19))</f>
        <v/>
      </c>
      <c r="BE19" s="105" t="str">
        <f aca="false">IF(ISBLANK($C19),"",IF($AG19&lt;&gt;Constants!$B$7,$AG19,AM19))</f>
        <v/>
      </c>
      <c r="BF19" s="105" t="str">
        <f aca="false">IF(ISBLANK($C19),"",IF($AG19&lt;&gt;Constants!$B$7,$AG19,AQ19))</f>
        <v/>
      </c>
      <c r="BG19" s="106" t="str">
        <f aca="false">IF(ISBLANK($C19),"",IF($AG19&lt;&gt;Constants!$B$7, $AG19 ,AS19))</f>
        <v/>
      </c>
      <c r="BH19" s="107" t="str">
        <f aca="false">IF(ISBLANK($C19),"",IF($AG19&lt;&gt;Constants!$B$7, $AG19 ,AH19))</f>
        <v/>
      </c>
      <c r="BI19" s="105" t="str">
        <f aca="false">IF(ISBLANK(C19),"",BA19)</f>
        <v/>
      </c>
      <c r="BJ19" s="105" t="str">
        <f aca="false">IF(ISBLANK(C19),"",AZ19)</f>
        <v/>
      </c>
      <c r="BK19" s="108" t="str">
        <f aca="false">IF(ISBLANK(C19),"",IFERROR(_xlfn.SWITCH(BJ19, Constants!$B$4, COUNTA($C$8:$C518)+2, Constants!$B$5, COUNTA($C$8:$C518)+1, Constants!$B$6, COUNTA($C$8:$C518)),BJ19))</f>
        <v/>
      </c>
      <c r="BL19" s="5"/>
      <c r="BM19" s="109" t="n">
        <f aca="false">IF(OR(ISNUMBER(BJ19),BJ19="DQ",BJ19="P",BJ19="NS"),
    1,
    0
)</f>
        <v>0</v>
      </c>
      <c r="BN19" s="109" t="n">
        <v>12</v>
      </c>
      <c r="BO19" s="109" t="str">
        <f aca="false">IF(ISBLANK($C19),"",IF(ISNUMBER(BK19),BK19+ROW($B19)/1000,""))</f>
        <v/>
      </c>
      <c r="BP19" s="109" t="str">
        <f aca="false">IF(ISNUMBER(BO19), RANK(BO19,BO$8:BO$507,1), "")</f>
        <v/>
      </c>
      <c r="BQ19" s="109" t="str">
        <f aca="false">IF(ISBLANK($C19),
    "",
    $B19
)</f>
        <v/>
      </c>
      <c r="BR19" s="109" t="str">
        <f aca="false">IF(ISBLANK($C19),
    "",
    $C19
)</f>
        <v/>
      </c>
      <c r="BS19" s="109" t="str">
        <f aca="false">IF(ISBLANK($C19),
    "",
    $D19
)</f>
        <v/>
      </c>
      <c r="BT19" s="110" t="str">
        <f aca="false">BH19</f>
        <v/>
      </c>
      <c r="BU19" s="111" t="str">
        <f aca="false">BG19</f>
        <v/>
      </c>
      <c r="BV19" s="109" t="str">
        <f aca="false">IF(ISBLANK($C19),
    "",
    BJ19
)</f>
        <v/>
      </c>
      <c r="BW19" s="112" t="str">
        <f aca="false">IF(BN19&gt;BM$7,
    "",
    VLOOKUP(BN19,BP$8:BV518,7,FALSE())
)</f>
        <v/>
      </c>
      <c r="BX19" s="113" t="str">
        <f aca="false">IF(BN19&gt;BM$7,
    "",
    VLOOKUP(BN19,BP$8:BV518,2,FALSE())
)</f>
        <v/>
      </c>
      <c r="BY19" s="113" t="str">
        <f aca="false">IF(BN19&gt;BM$7,
    "",
    VLOOKUP(BN19,BP$8:BV518,3,FALSE())
)</f>
        <v/>
      </c>
      <c r="BZ19" s="113" t="str">
        <f aca="false">IF(BN19&gt;BM$7,
    "",
    VLOOKUP(BN19,BP$8:BV518,4,FALSE())
)</f>
        <v/>
      </c>
      <c r="CA19" s="113" t="str">
        <f aca="false">IF(BN19&gt;BM$7,
    "",
    VLOOKUP(BN19,BP$8:BV518,5,FALSE())
)</f>
        <v/>
      </c>
      <c r="CB19" s="114" t="str">
        <f aca="false">IF(BN19&gt;BM$7,
    "",
    VLOOKUP(BN19,BP$8:BV518,6,FALSE())
)</f>
        <v/>
      </c>
      <c r="CC19" s="53"/>
    </row>
    <row r="20" customFormat="false" ht="15.75" hidden="false" customHeight="false" outlineLevel="0" collapsed="false">
      <c r="A20" s="5"/>
      <c r="B20" s="129"/>
      <c r="C20" s="55"/>
      <c r="D20" s="56"/>
      <c r="E20" s="123"/>
      <c r="F20" s="123"/>
      <c r="G20" s="58"/>
      <c r="H20" s="59"/>
      <c r="I20" s="59"/>
      <c r="J20" s="124"/>
      <c r="K20" s="124"/>
      <c r="L20" s="124"/>
      <c r="M20" s="61"/>
      <c r="N20" s="61"/>
      <c r="O20" s="61"/>
      <c r="P20" s="62"/>
      <c r="Q20" s="63"/>
      <c r="R20" s="83"/>
      <c r="S20" s="65"/>
      <c r="T20" s="66"/>
      <c r="U20" s="66" t="str">
        <f aca="false">IF(ISBLANK($C20),"",IF(G20=Constants!$B$2, TRUE(), IF(G20=Constants!$B$3, FALSE(), TRUE())))</f>
        <v/>
      </c>
      <c r="V20" s="66" t="str">
        <f aca="false">IF(ISBLANK($C20),"",IF(H20=Constants!$B$2, TRUE(), IF(H20=Constants!$B$3, FALSE(), TRUE())))</f>
        <v/>
      </c>
      <c r="W20" s="66" t="str">
        <f aca="false">IF(ISBLANK($C20),"",IF(I20=Constants!$B$2, TRUE(), IF(I20=Constants!$B$3, FALSE(), TRUE())))</f>
        <v/>
      </c>
      <c r="X20" s="66" t="str">
        <f aca="false">IF(ISBLANK($C20),"",IF(AND(ISNUMBER(J20),J20&gt;0),INT(J20),0))</f>
        <v/>
      </c>
      <c r="Y20" s="66" t="str">
        <f aca="false">IF(ISBLANK($C20),"",IF(K20=Constants!$B$2, TRUE(), IF(K20=Constants!$B$3, FALSE(), TRUE())))</f>
        <v/>
      </c>
      <c r="Z20" s="66" t="str">
        <f aca="false">IF(ISBLANK($C20),"",IF(AND(ISNUMBER(L20),L20&gt;0),INT(L20),0))</f>
        <v/>
      </c>
      <c r="AA20" s="68" t="str">
        <f aca="false">IF(ISBLANK($C20),"",IF(ISNUMBER(M20), M20, ""))</f>
        <v/>
      </c>
      <c r="AB20" s="68" t="str">
        <f aca="false">IF(ISBLANK($C20),"",IF(ISNUMBER(N20), N20, ""))</f>
        <v/>
      </c>
      <c r="AC20" s="68" t="str">
        <f aca="false">IF(ISBLANK($C20),"",IF(ISNUMBER(O20), O20, ""))</f>
        <v/>
      </c>
      <c r="AD20" s="69" t="str">
        <f aca="false">IF(ISBLANK($C20),"",IF(ISNUMBER(P20), P20, ""))</f>
        <v/>
      </c>
      <c r="AE20" s="69" t="str">
        <f aca="false">IF(ISBLANK($C20),"",IF(ISNUMBER(Q20), Q20, Constants!$B$13))</f>
        <v/>
      </c>
      <c r="AF20" s="66" t="str">
        <f aca="false">IF(ISBLANK($C20),"",IF(R20=Constants!$B$2, TRUE(), IF(R20=Constants!$B$3, FALSE(), FALSE())))</f>
        <v/>
      </c>
      <c r="AG20" s="66" t="str">
        <f aca="false">IF(ISBLANK(C20), "", IF(AF20, Constants!$B$4,IF(COUNTA(G20:P20)=0, Constants!$B$5, Constants!$B$7)))</f>
        <v/>
      </c>
      <c r="AH20" s="66" t="str">
        <f aca="false">IF(ISBLANK($C20), "",IF($AG20=Constants!$B$7,1,$AG20))</f>
        <v/>
      </c>
      <c r="AI20" s="66" t="str">
        <f aca="false">IF($AG20=Constants!$B$7,POWER(Constants!$B$11,X20)*POWER(Constants!$B$12,Z20),"")</f>
        <v/>
      </c>
      <c r="AJ20" s="66" t="str">
        <f aca="false">IF(AND($AG20=Constants!$B$7, U20, V20) ,IF(OR($AA20="",$AC20=""),"",MAX(0, $AC20-$AA20)),"")</f>
        <v/>
      </c>
      <c r="AK20" s="66" t="str">
        <f aca="false">IF(AND($AG20=Constants!$B$7, U20, V20),IF(OR($AA20="",$AC20=""),$AK$6,""),"")</f>
        <v/>
      </c>
      <c r="AL20" s="66" t="str">
        <f aca="false">IF($AG20=Constants!$B$7,IF(AND(U20,V20,W20,Y20),IF($AJ20="",0,IF($AJ$6=0,Constants!$B$9,Constants!$B$9*AJ20/$AJ$6)), 0),"")</f>
        <v/>
      </c>
      <c r="AM20" s="66" t="str">
        <f aca="false">IF(AL20&lt;&gt;"", AL20*AI20,"")</f>
        <v/>
      </c>
      <c r="AN20" s="66" t="str">
        <f aca="false">IF(AND($AG20=Constants!$B$7, U20, V20) ,IF($AB20="", "", IF(OR($AC20="",$AC20=0),"",MAX(0,1-ABS($AC20-$AB20)/$AC20))),"")</f>
        <v/>
      </c>
      <c r="AO20" s="66" t="str">
        <f aca="false">IF(AND($AG20=Constants!$B$7, U20, V20),IF(AND($AA20&lt;&gt;"",$AB20&lt;&gt;"",$AC20=0),$AO$6,""),"")</f>
        <v/>
      </c>
      <c r="AP20" s="66" t="str">
        <f aca="false">IF($AG20=Constants!$B$7 ,IF(AND(U20,V20,W20,Y20,ISNUMBER(AB20)),IF($AN20="",0,IF($AN$6=0,Constants!$B$10,Constants!$B$10*AN20/$AN$6)), 0),"")</f>
        <v/>
      </c>
      <c r="AQ20" s="66" t="str">
        <f aca="false">IF(AP20&lt;&gt;"", AP20*AI20,"")</f>
        <v/>
      </c>
      <c r="AR20" s="66" t="str">
        <f aca="false">IF($AG20=Constants!$B$7,IF($AD20="",0,IF($AR$6=0,Constants!$B$8,Constants!$B$8*AD20/$AR$6)),"")</f>
        <v/>
      </c>
      <c r="AS20" s="66" t="str">
        <f aca="false">IF($AG20&lt;&gt;Constants!$B$7,$AG20,IF(AK20&amp;AO20&lt;&gt;"",Constants!$B$14,AM20+AQ20+AR20))</f>
        <v/>
      </c>
      <c r="AT20" s="66" t="str">
        <f aca="false">IF(ISBLANK($C20),"",IF($AG20=Constants!$B$7,IF(ISNUMBER(AS20),RANK(AS20,$AS$8:$AS$507),Constants!$B$14),$AG20))</f>
        <v/>
      </c>
      <c r="AU20" s="66" t="str">
        <f aca="false">IF(ISBLANK($C20), "",AM20)</f>
        <v/>
      </c>
      <c r="AV20" s="66" t="str">
        <f aca="false">IF(ISBLANK($C20),"",IF($AG20=Constants!$B$7,RANK(AU20,AU$8:AU$507),$AG20))</f>
        <v/>
      </c>
      <c r="AW20" s="66" t="str">
        <f aca="false">IF(ISBLANK($C20), "",AR20)</f>
        <v/>
      </c>
      <c r="AX20" s="66" t="str">
        <f aca="false">IF(ISBLANK($C20),"",IF($AG20=Constants!$B$7,RANK(AW20,AW$8:AW$507),$AG20))</f>
        <v/>
      </c>
      <c r="AY20" s="66" t="str">
        <f aca="false">IF(ISBLANK($C20), "",AE20)</f>
        <v/>
      </c>
      <c r="AZ20" s="66" t="str">
        <f aca="false">IF(ISBLANK($C20),"",
IF($AG20=Constants!$B$7,
  IF(ISNUMBER(AT20),
    COUNTIFS($AT$8:$AT$507,"&lt;"&amp;$AT20)
    + COUNTIFS($AT$8:$AT$507,$AT20,$AV$8:$AV$507,"&lt;"&amp;$AV20)
    + COUNTIFS($AT$8:$AT$507,$AT20,$AV$8:$AV$507,$AV20,$AX$8:$AX$507,"&lt;"&amp;$AX20)
    + COUNTIFS($AT$8:$AT$507,$AT20,$AV$8:$AV$507,$AV20,$AX$8:$AX$507,$AX20,$AY$8:$AY$507,"&lt;"&amp;$AY20)
    + 1,
  Constants!$B$14),
$AG20))</f>
        <v/>
      </c>
      <c r="BA20" s="66" t="str">
        <f aca="false">IF(ISBLANK(C20),"",IF($AG20=Constants!$B$7, IF(ISNUMBER(AT20),AT20-AZ20,Constants!$B$14),$AG20))</f>
        <v/>
      </c>
      <c r="BB20" s="70"/>
      <c r="BC20" s="84" t="str">
        <f aca="false">IF(ISBLANK($C20),"",TRIM(AK20&amp;" "&amp;AO20))</f>
        <v/>
      </c>
      <c r="BD20" s="72" t="str">
        <f aca="false">IF(ISBLANK($C20),"",IF($AG20&lt;&gt;Constants!$B$7,$AG20,AR20))</f>
        <v/>
      </c>
      <c r="BE20" s="72" t="str">
        <f aca="false">IF(ISBLANK($C20),"",IF($AG20&lt;&gt;Constants!$B$7,$AG20,AM20))</f>
        <v/>
      </c>
      <c r="BF20" s="72" t="str">
        <f aca="false">IF(ISBLANK($C20),"",IF($AG20&lt;&gt;Constants!$B$7,$AG20,AQ20))</f>
        <v/>
      </c>
      <c r="BG20" s="73" t="str">
        <f aca="false">IF(ISBLANK($C20),"",IF($AG20&lt;&gt;Constants!$B$7, $AG20 ,AS20))</f>
        <v/>
      </c>
      <c r="BH20" s="74" t="str">
        <f aca="false">IF(ISBLANK($C20),"",IF($AG20&lt;&gt;Constants!$B$7, $AG20 ,AH20))</f>
        <v/>
      </c>
      <c r="BI20" s="72" t="str">
        <f aca="false">IF(ISBLANK(C20),"",BA20)</f>
        <v/>
      </c>
      <c r="BJ20" s="72" t="str">
        <f aca="false">IF(ISBLANK(C20),"",AZ20)</f>
        <v/>
      </c>
      <c r="BK20" s="75" t="str">
        <f aca="false">IF(ISBLANK(C20),"",IFERROR(_xlfn.SWITCH(BJ20, Constants!$B$4, COUNTA($C$8:$C519)+2, Constants!$B$5, COUNTA($C$8:$C519)+1, Constants!$B$6, COUNTA($C$8:$C519)),BJ20))</f>
        <v/>
      </c>
      <c r="BL20" s="5"/>
      <c r="BM20" s="76" t="n">
        <f aca="false">IF(OR(ISNUMBER(BJ20),BJ20="DQ",BJ20="P",BJ20="NS"),
    1,
    0
)</f>
        <v>0</v>
      </c>
      <c r="BN20" s="76" t="n">
        <v>13</v>
      </c>
      <c r="BO20" s="76" t="str">
        <f aca="false">IF(ISBLANK($C20),"",IF(ISNUMBER(BK20),BK20+ROW($B20)/1000,""))</f>
        <v/>
      </c>
      <c r="BP20" s="76" t="str">
        <f aca="false">IF(ISNUMBER(BO20), RANK(BO20,BO$8:BO$507,1), "")</f>
        <v/>
      </c>
      <c r="BQ20" s="76" t="str">
        <f aca="false">IF(ISBLANK($C20),
    "",
    $B20
)</f>
        <v/>
      </c>
      <c r="BR20" s="76" t="str">
        <f aca="false">IF(ISBLANK($C20),
    "",
    $C20
)</f>
        <v/>
      </c>
      <c r="BS20" s="76" t="str">
        <f aca="false">IF(ISBLANK($C20),
    "",
    $D20
)</f>
        <v/>
      </c>
      <c r="BT20" s="77" t="str">
        <f aca="false">BH20</f>
        <v/>
      </c>
      <c r="BU20" s="78" t="str">
        <f aca="false">BG20</f>
        <v/>
      </c>
      <c r="BV20" s="76" t="str">
        <f aca="false">IF(ISBLANK($C20),
    "",
    BJ20
)</f>
        <v/>
      </c>
      <c r="BW20" s="79" t="str">
        <f aca="false">IF(BN20&gt;BM$7,
    "",
    VLOOKUP(BN20,BP$8:BV519,7,FALSE())
)</f>
        <v/>
      </c>
      <c r="BX20" s="80" t="str">
        <f aca="false">IF(BN20&gt;BM$7,
    "",
    VLOOKUP(BN20,BP$8:BV519,2,FALSE())
)</f>
        <v/>
      </c>
      <c r="BY20" s="80" t="str">
        <f aca="false">IF(BN20&gt;BM$7,
    "",
    VLOOKUP(BN20,BP$8:BV519,3,FALSE())
)</f>
        <v/>
      </c>
      <c r="BZ20" s="80" t="str">
        <f aca="false">IF(BN20&gt;BM$7,
    "",
    VLOOKUP(BN20,BP$8:BV519,4,FALSE())
)</f>
        <v/>
      </c>
      <c r="CA20" s="80" t="str">
        <f aca="false">IF(BN20&gt;BM$7,
    "",
    VLOOKUP(BN20,BP$8:BV519,5,FALSE())
)</f>
        <v/>
      </c>
      <c r="CB20" s="81" t="str">
        <f aca="false">IF(BN20&gt;BM$7,
    "",
    VLOOKUP(BN20,BP$8:BV519,6,FALSE())
)</f>
        <v/>
      </c>
      <c r="CC20" s="53"/>
    </row>
    <row r="21" customFormat="false" ht="15.75" hidden="false" customHeight="false" outlineLevel="0" collapsed="false">
      <c r="A21" s="5"/>
      <c r="B21" s="129"/>
      <c r="C21" s="55"/>
      <c r="D21" s="56"/>
      <c r="E21" s="123"/>
      <c r="F21" s="123"/>
      <c r="G21" s="58"/>
      <c r="H21" s="59"/>
      <c r="I21" s="59"/>
      <c r="J21" s="124"/>
      <c r="K21" s="124"/>
      <c r="L21" s="124"/>
      <c r="M21" s="61"/>
      <c r="N21" s="61"/>
      <c r="O21" s="61"/>
      <c r="P21" s="62"/>
      <c r="Q21" s="63"/>
      <c r="R21" s="83"/>
      <c r="S21" s="65"/>
      <c r="T21" s="66"/>
      <c r="U21" s="66" t="str">
        <f aca="false">IF(ISBLANK($C21),"",IF(G21=Constants!$B$2, TRUE(), IF(G21=Constants!$B$3, FALSE(), TRUE())))</f>
        <v/>
      </c>
      <c r="V21" s="66" t="str">
        <f aca="false">IF(ISBLANK($C21),"",IF(H21=Constants!$B$2, TRUE(), IF(H21=Constants!$B$3, FALSE(), TRUE())))</f>
        <v/>
      </c>
      <c r="W21" s="66" t="str">
        <f aca="false">IF(ISBLANK($C21),"",IF(I21=Constants!$B$2, TRUE(), IF(I21=Constants!$B$3, FALSE(), TRUE())))</f>
        <v/>
      </c>
      <c r="X21" s="66" t="str">
        <f aca="false">IF(ISBLANK($C21),"",IF(AND(ISNUMBER(J21),J21&gt;0),INT(J21),0))</f>
        <v/>
      </c>
      <c r="Y21" s="66" t="str">
        <f aca="false">IF(ISBLANK($C21),"",IF(K21=Constants!$B$2, TRUE(), IF(K21=Constants!$B$3, FALSE(), TRUE())))</f>
        <v/>
      </c>
      <c r="Z21" s="66" t="str">
        <f aca="false">IF(ISBLANK($C21),"",IF(AND(ISNUMBER(L21),L21&gt;0),INT(L21),0))</f>
        <v/>
      </c>
      <c r="AA21" s="68" t="str">
        <f aca="false">IF(ISBLANK($C21),"",IF(ISNUMBER(M21), M21, ""))</f>
        <v/>
      </c>
      <c r="AB21" s="68" t="str">
        <f aca="false">IF(ISBLANK($C21),"",IF(ISNUMBER(N21), N21, ""))</f>
        <v/>
      </c>
      <c r="AC21" s="68" t="str">
        <f aca="false">IF(ISBLANK($C21),"",IF(ISNUMBER(O21), O21, ""))</f>
        <v/>
      </c>
      <c r="AD21" s="69" t="str">
        <f aca="false">IF(ISBLANK($C21),"",IF(ISNUMBER(P21), P21, ""))</f>
        <v/>
      </c>
      <c r="AE21" s="69" t="str">
        <f aca="false">IF(ISBLANK($C21),"",IF(ISNUMBER(Q21), Q21, Constants!$B$13))</f>
        <v/>
      </c>
      <c r="AF21" s="66" t="str">
        <f aca="false">IF(ISBLANK($C21),"",IF(R21=Constants!$B$2, TRUE(), IF(R21=Constants!$B$3, FALSE(), FALSE())))</f>
        <v/>
      </c>
      <c r="AG21" s="66" t="str">
        <f aca="false">IF(ISBLANK(C21), "", IF(AF21, Constants!$B$4,IF(COUNTA(G21:P21)=0, Constants!$B$5, Constants!$B$7)))</f>
        <v/>
      </c>
      <c r="AH21" s="66" t="str">
        <f aca="false">IF(ISBLANK($C21), "",IF($AG21=Constants!$B$7,1,$AG21))</f>
        <v/>
      </c>
      <c r="AI21" s="66" t="str">
        <f aca="false">IF($AG21=Constants!$B$7,POWER(Constants!$B$11,X21)*POWER(Constants!$B$12,Z21),"")</f>
        <v/>
      </c>
      <c r="AJ21" s="66" t="str">
        <f aca="false">IF(AND($AG21=Constants!$B$7, U21, V21) ,IF(OR($AA21="",$AC21=""),"",MAX(0, $AC21-$AA21)),"")</f>
        <v/>
      </c>
      <c r="AK21" s="66" t="str">
        <f aca="false">IF(AND($AG21=Constants!$B$7, U21, V21),IF(OR($AA21="",$AC21=""),$AK$6,""),"")</f>
        <v/>
      </c>
      <c r="AL21" s="66" t="str">
        <f aca="false">IF($AG21=Constants!$B$7,IF(AND(U21,V21,W21,Y21),IF($AJ21="",0,IF($AJ$6=0,Constants!$B$9,Constants!$B$9*AJ21/$AJ$6)), 0),"")</f>
        <v/>
      </c>
      <c r="AM21" s="66" t="str">
        <f aca="false">IF(AL21&lt;&gt;"", AL21*AI21,"")</f>
        <v/>
      </c>
      <c r="AN21" s="66" t="str">
        <f aca="false">IF(AND($AG21=Constants!$B$7, U21, V21) ,IF($AB21="", "", IF(OR($AC21="",$AC21=0),"",MAX(0,1-ABS($AC21-$AB21)/$AC21))),"")</f>
        <v/>
      </c>
      <c r="AO21" s="66" t="str">
        <f aca="false">IF(AND($AG21=Constants!$B$7, U21, V21),IF(AND($AA21&lt;&gt;"",$AB21&lt;&gt;"",$AC21=0),$AO$6,""),"")</f>
        <v/>
      </c>
      <c r="AP21" s="66" t="str">
        <f aca="false">IF($AG21=Constants!$B$7 ,IF(AND(U21,V21,W21,Y21,ISNUMBER(AB21)),IF($AN21="",0,IF($AN$6=0,Constants!$B$10,Constants!$B$10*AN21/$AN$6)), 0),"")</f>
        <v/>
      </c>
      <c r="AQ21" s="66" t="str">
        <f aca="false">IF(AP21&lt;&gt;"", AP21*AI21,"")</f>
        <v/>
      </c>
      <c r="AR21" s="66" t="str">
        <f aca="false">IF($AG21=Constants!$B$7,IF($AD21="",0,IF($AR$6=0,Constants!$B$8,Constants!$B$8*AD21/$AR$6)),"")</f>
        <v/>
      </c>
      <c r="AS21" s="66" t="str">
        <f aca="false">IF($AG21&lt;&gt;Constants!$B$7,$AG21,IF(AK21&amp;AO21&lt;&gt;"",Constants!$B$14,AM21+AQ21+AR21))</f>
        <v/>
      </c>
      <c r="AT21" s="66" t="str">
        <f aca="false">IF(ISBLANK($C21),"",IF($AG21=Constants!$B$7,IF(ISNUMBER(AS21),RANK(AS21,$AS$8:$AS$507),Constants!$B$14),$AG21))</f>
        <v/>
      </c>
      <c r="AU21" s="66" t="str">
        <f aca="false">IF(ISBLANK($C21), "",AM21)</f>
        <v/>
      </c>
      <c r="AV21" s="66" t="str">
        <f aca="false">IF(ISBLANK($C21),"",IF($AG21=Constants!$B$7,RANK(AU21,AU$8:AU$507),$AG21))</f>
        <v/>
      </c>
      <c r="AW21" s="66" t="str">
        <f aca="false">IF(ISBLANK($C21), "",AR21)</f>
        <v/>
      </c>
      <c r="AX21" s="66" t="str">
        <f aca="false">IF(ISBLANK($C21),"",IF($AG21=Constants!$B$7,RANK(AW21,AW$8:AW$507),$AG21))</f>
        <v/>
      </c>
      <c r="AY21" s="66" t="str">
        <f aca="false">IF(ISBLANK($C21), "",AE21)</f>
        <v/>
      </c>
      <c r="AZ21" s="66" t="str">
        <f aca="false">IF(ISBLANK($C21),"",
IF($AG21=Constants!$B$7,
  IF(ISNUMBER(AT21),
    COUNTIFS($AT$8:$AT$507,"&lt;"&amp;$AT21)
    + COUNTIFS($AT$8:$AT$507,$AT21,$AV$8:$AV$507,"&lt;"&amp;$AV21)
    + COUNTIFS($AT$8:$AT$507,$AT21,$AV$8:$AV$507,$AV21,$AX$8:$AX$507,"&lt;"&amp;$AX21)
    + COUNTIFS($AT$8:$AT$507,$AT21,$AV$8:$AV$507,$AV21,$AX$8:$AX$507,$AX21,$AY$8:$AY$507,"&lt;"&amp;$AY21)
    + 1,
  Constants!$B$14),
$AG21))</f>
        <v/>
      </c>
      <c r="BA21" s="66" t="str">
        <f aca="false">IF(ISBLANK(C21),"",IF($AG21=Constants!$B$7, IF(ISNUMBER(AT21),AT21-AZ21,Constants!$B$14),$AG21))</f>
        <v/>
      </c>
      <c r="BB21" s="70"/>
      <c r="BC21" s="84" t="str">
        <f aca="false">IF(ISBLANK($C21),"",TRIM(AK21&amp;" "&amp;AO21))</f>
        <v/>
      </c>
      <c r="BD21" s="72" t="str">
        <f aca="false">IF(ISBLANK($C21),"",IF($AG21&lt;&gt;Constants!$B$7,$AG21,AR21))</f>
        <v/>
      </c>
      <c r="BE21" s="72" t="str">
        <f aca="false">IF(ISBLANK($C21),"",IF($AG21&lt;&gt;Constants!$B$7,$AG21,AM21))</f>
        <v/>
      </c>
      <c r="BF21" s="72" t="str">
        <f aca="false">IF(ISBLANK($C21),"",IF($AG21&lt;&gt;Constants!$B$7,$AG21,AQ21))</f>
        <v/>
      </c>
      <c r="BG21" s="73" t="str">
        <f aca="false">IF(ISBLANK($C21),"",IF($AG21&lt;&gt;Constants!$B$7, $AG21 ,AS21))</f>
        <v/>
      </c>
      <c r="BH21" s="74" t="str">
        <f aca="false">IF(ISBLANK($C21),"",IF($AG21&lt;&gt;Constants!$B$7, $AG21 ,AH21))</f>
        <v/>
      </c>
      <c r="BI21" s="72" t="str">
        <f aca="false">IF(ISBLANK(C21),"",BA21)</f>
        <v/>
      </c>
      <c r="BJ21" s="72" t="str">
        <f aca="false">IF(ISBLANK(C21),"",AZ21)</f>
        <v/>
      </c>
      <c r="BK21" s="75" t="str">
        <f aca="false">IF(ISBLANK(C21),"",IFERROR(_xlfn.SWITCH(BJ21, Constants!$B$4, COUNTA($C$8:$C520)+2, Constants!$B$5, COUNTA($C$8:$C520)+1, Constants!$B$6, COUNTA($C$8:$C520)),BJ21))</f>
        <v/>
      </c>
      <c r="BL21" s="5"/>
      <c r="BM21" s="76" t="n">
        <f aca="false">IF(OR(ISNUMBER(BJ21),BJ21="DQ",BJ21="P",BJ21="NS"),
    1,
    0
)</f>
        <v>0</v>
      </c>
      <c r="BN21" s="76" t="n">
        <v>14</v>
      </c>
      <c r="BO21" s="76" t="str">
        <f aca="false">IF(ISBLANK($C21),"",IF(ISNUMBER(BK21),BK21+ROW($B21)/1000,""))</f>
        <v/>
      </c>
      <c r="BP21" s="76" t="str">
        <f aca="false">IF(ISNUMBER(BO21), RANK(BO21,BO$8:BO$507,1), "")</f>
        <v/>
      </c>
      <c r="BQ21" s="76" t="str">
        <f aca="false">IF(ISBLANK($C21),
    "",
    $B21
)</f>
        <v/>
      </c>
      <c r="BR21" s="76" t="str">
        <f aca="false">IF(ISBLANK($C21),
    "",
    $C21
)</f>
        <v/>
      </c>
      <c r="BS21" s="76" t="str">
        <f aca="false">IF(ISBLANK($C21),
    "",
    $D21
)</f>
        <v/>
      </c>
      <c r="BT21" s="77" t="str">
        <f aca="false">BH21</f>
        <v/>
      </c>
      <c r="BU21" s="78" t="str">
        <f aca="false">BG21</f>
        <v/>
      </c>
      <c r="BV21" s="76" t="str">
        <f aca="false">IF(ISBLANK($C21),
    "",
    BJ21
)</f>
        <v/>
      </c>
      <c r="BW21" s="79" t="str">
        <f aca="false">IF(BN21&gt;BM$7,
    "",
    VLOOKUP(BN21,BP$8:BV520,7,FALSE())
)</f>
        <v/>
      </c>
      <c r="BX21" s="80" t="str">
        <f aca="false">IF(BN21&gt;BM$7,
    "",
    VLOOKUP(BN21,BP$8:BV520,2,FALSE())
)</f>
        <v/>
      </c>
      <c r="BY21" s="80" t="str">
        <f aca="false">IF(BN21&gt;BM$7,
    "",
    VLOOKUP(BN21,BP$8:BV520,3,FALSE())
)</f>
        <v/>
      </c>
      <c r="BZ21" s="80" t="str">
        <f aca="false">IF(BN21&gt;BM$7,
    "",
    VLOOKUP(BN21,BP$8:BV520,4,FALSE())
)</f>
        <v/>
      </c>
      <c r="CA21" s="80" t="str">
        <f aca="false">IF(BN21&gt;BM$7,
    "",
    VLOOKUP(BN21,BP$8:BV520,5,FALSE())
)</f>
        <v/>
      </c>
      <c r="CB21" s="81" t="str">
        <f aca="false">IF(BN21&gt;BM$7,
    "",
    VLOOKUP(BN21,BP$8:BV520,6,FALSE())
)</f>
        <v/>
      </c>
      <c r="CC21" s="53"/>
    </row>
    <row r="22" customFormat="false" ht="15.75" hidden="false" customHeight="false" outlineLevel="0" collapsed="false">
      <c r="A22" s="5"/>
      <c r="B22" s="129"/>
      <c r="C22" s="55"/>
      <c r="D22" s="56"/>
      <c r="E22" s="123"/>
      <c r="F22" s="123"/>
      <c r="G22" s="58"/>
      <c r="H22" s="59"/>
      <c r="I22" s="59"/>
      <c r="J22" s="124"/>
      <c r="K22" s="124"/>
      <c r="L22" s="124"/>
      <c r="M22" s="61"/>
      <c r="N22" s="61"/>
      <c r="O22" s="61"/>
      <c r="P22" s="62"/>
      <c r="Q22" s="63"/>
      <c r="R22" s="83"/>
      <c r="S22" s="65"/>
      <c r="T22" s="66"/>
      <c r="U22" s="66" t="str">
        <f aca="false">IF(ISBLANK($C22),"",IF(G22=Constants!$B$2, TRUE(), IF(G22=Constants!$B$3, FALSE(), TRUE())))</f>
        <v/>
      </c>
      <c r="V22" s="66" t="str">
        <f aca="false">IF(ISBLANK($C22),"",IF(H22=Constants!$B$2, TRUE(), IF(H22=Constants!$B$3, FALSE(), TRUE())))</f>
        <v/>
      </c>
      <c r="W22" s="66" t="str">
        <f aca="false">IF(ISBLANK($C22),"",IF(I22=Constants!$B$2, TRUE(), IF(I22=Constants!$B$3, FALSE(), TRUE())))</f>
        <v/>
      </c>
      <c r="X22" s="66" t="str">
        <f aca="false">IF(ISBLANK($C22),"",IF(AND(ISNUMBER(J22),J22&gt;0),INT(J22),0))</f>
        <v/>
      </c>
      <c r="Y22" s="66" t="str">
        <f aca="false">IF(ISBLANK($C22),"",IF(K22=Constants!$B$2, TRUE(), IF(K22=Constants!$B$3, FALSE(), TRUE())))</f>
        <v/>
      </c>
      <c r="Z22" s="66" t="str">
        <f aca="false">IF(ISBLANK($C22),"",IF(AND(ISNUMBER(L22),L22&gt;0),INT(L22),0))</f>
        <v/>
      </c>
      <c r="AA22" s="68" t="str">
        <f aca="false">IF(ISBLANK($C22),"",IF(ISNUMBER(M22), M22, ""))</f>
        <v/>
      </c>
      <c r="AB22" s="68" t="str">
        <f aca="false">IF(ISBLANK($C22),"",IF(ISNUMBER(N22), N22, ""))</f>
        <v/>
      </c>
      <c r="AC22" s="68" t="str">
        <f aca="false">IF(ISBLANK($C22),"",IF(ISNUMBER(O22), O22, ""))</f>
        <v/>
      </c>
      <c r="AD22" s="69" t="str">
        <f aca="false">IF(ISBLANK($C22),"",IF(ISNUMBER(P22), P22, ""))</f>
        <v/>
      </c>
      <c r="AE22" s="69" t="str">
        <f aca="false">IF(ISBLANK($C22),"",IF(ISNUMBER(Q22), Q22, Constants!$B$13))</f>
        <v/>
      </c>
      <c r="AF22" s="66" t="str">
        <f aca="false">IF(ISBLANK($C22),"",IF(R22=Constants!$B$2, TRUE(), IF(R22=Constants!$B$3, FALSE(), FALSE())))</f>
        <v/>
      </c>
      <c r="AG22" s="66" t="str">
        <f aca="false">IF(ISBLANK(C22), "", IF(AF22, Constants!$B$4,IF(COUNTA(G22:P22)=0, Constants!$B$5, Constants!$B$7)))</f>
        <v/>
      </c>
      <c r="AH22" s="66" t="str">
        <f aca="false">IF(ISBLANK($C22), "",IF($AG22=Constants!$B$7,1,$AG22))</f>
        <v/>
      </c>
      <c r="AI22" s="66" t="str">
        <f aca="false">IF($AG22=Constants!$B$7,POWER(Constants!$B$11,X22)*POWER(Constants!$B$12,Z22),"")</f>
        <v/>
      </c>
      <c r="AJ22" s="66" t="str">
        <f aca="false">IF(AND($AG22=Constants!$B$7, U22, V22) ,IF(OR($AA22="",$AC22=""),"",MAX(0, $AC22-$AA22)),"")</f>
        <v/>
      </c>
      <c r="AK22" s="66" t="str">
        <f aca="false">IF(AND($AG22=Constants!$B$7, U22, V22),IF(OR($AA22="",$AC22=""),$AK$6,""),"")</f>
        <v/>
      </c>
      <c r="AL22" s="66" t="str">
        <f aca="false">IF($AG22=Constants!$B$7,IF(AND(U22,V22,W22,Y22),IF($AJ22="",0,IF($AJ$6=0,Constants!$B$9,Constants!$B$9*AJ22/$AJ$6)), 0),"")</f>
        <v/>
      </c>
      <c r="AM22" s="66" t="str">
        <f aca="false">IF(AL22&lt;&gt;"", AL22*AI22,"")</f>
        <v/>
      </c>
      <c r="AN22" s="66" t="str">
        <f aca="false">IF(AND($AG22=Constants!$B$7, U22, V22) ,IF($AB22="", "", IF(OR($AC22="",$AC22=0),"",MAX(0,1-ABS($AC22-$AB22)/$AC22))),"")</f>
        <v/>
      </c>
      <c r="AO22" s="66" t="str">
        <f aca="false">IF(AND($AG22=Constants!$B$7, U22, V22),IF(AND($AA22&lt;&gt;"",$AB22&lt;&gt;"",$AC22=0),$AO$6,""),"")</f>
        <v/>
      </c>
      <c r="AP22" s="66" t="str">
        <f aca="false">IF($AG22=Constants!$B$7 ,IF(AND(U22,V22,W22,Y22,ISNUMBER(AB22)),IF($AN22="",0,IF($AN$6=0,Constants!$B$10,Constants!$B$10*AN22/$AN$6)), 0),"")</f>
        <v/>
      </c>
      <c r="AQ22" s="66" t="str">
        <f aca="false">IF(AP22&lt;&gt;"", AP22*AI22,"")</f>
        <v/>
      </c>
      <c r="AR22" s="66" t="str">
        <f aca="false">IF($AG22=Constants!$B$7,IF($AD22="",0,IF($AR$6=0,Constants!$B$8,Constants!$B$8*AD22/$AR$6)),"")</f>
        <v/>
      </c>
      <c r="AS22" s="66" t="str">
        <f aca="false">IF($AG22&lt;&gt;Constants!$B$7,$AG22,IF(AK22&amp;AO22&lt;&gt;"",Constants!$B$14,AM22+AQ22+AR22))</f>
        <v/>
      </c>
      <c r="AT22" s="66" t="str">
        <f aca="false">IF(ISBLANK($C22),"",IF($AG22=Constants!$B$7,IF(ISNUMBER(AS22),RANK(AS22,$AS$8:$AS$507),Constants!$B$14),$AG22))</f>
        <v/>
      </c>
      <c r="AU22" s="66" t="str">
        <f aca="false">IF(ISBLANK($C22), "",AM22)</f>
        <v/>
      </c>
      <c r="AV22" s="66" t="str">
        <f aca="false">IF(ISBLANK($C22),"",IF($AG22=Constants!$B$7,RANK(AU22,AU$8:AU$507),$AG22))</f>
        <v/>
      </c>
      <c r="AW22" s="66" t="str">
        <f aca="false">IF(ISBLANK($C22), "",AR22)</f>
        <v/>
      </c>
      <c r="AX22" s="66" t="str">
        <f aca="false">IF(ISBLANK($C22),"",IF($AG22=Constants!$B$7,RANK(AW22,AW$8:AW$507),$AG22))</f>
        <v/>
      </c>
      <c r="AY22" s="66" t="str">
        <f aca="false">IF(ISBLANK($C22), "",AE22)</f>
        <v/>
      </c>
      <c r="AZ22" s="66" t="str">
        <f aca="false">IF(ISBLANK($C22),"",
IF($AG22=Constants!$B$7,
  IF(ISNUMBER(AT22),
    COUNTIFS($AT$8:$AT$507,"&lt;"&amp;$AT22)
    + COUNTIFS($AT$8:$AT$507,$AT22,$AV$8:$AV$507,"&lt;"&amp;$AV22)
    + COUNTIFS($AT$8:$AT$507,$AT22,$AV$8:$AV$507,$AV22,$AX$8:$AX$507,"&lt;"&amp;$AX22)
    + COUNTIFS($AT$8:$AT$507,$AT22,$AV$8:$AV$507,$AV22,$AX$8:$AX$507,$AX22,$AY$8:$AY$507,"&lt;"&amp;$AY22)
    + 1,
  Constants!$B$14),
$AG22))</f>
        <v/>
      </c>
      <c r="BA22" s="66" t="str">
        <f aca="false">IF(ISBLANK(C22),"",IF($AG22=Constants!$B$7, IF(ISNUMBER(AT22),AT22-AZ22,Constants!$B$14),$AG22))</f>
        <v/>
      </c>
      <c r="BB22" s="70"/>
      <c r="BC22" s="84" t="str">
        <f aca="false">IF(ISBLANK($C22),"",TRIM(AK22&amp;" "&amp;AO22))</f>
        <v/>
      </c>
      <c r="BD22" s="72" t="str">
        <f aca="false">IF(ISBLANK($C22),"",IF($AG22&lt;&gt;Constants!$B$7,$AG22,AR22))</f>
        <v/>
      </c>
      <c r="BE22" s="72" t="str">
        <f aca="false">IF(ISBLANK($C22),"",IF($AG22&lt;&gt;Constants!$B$7,$AG22,AM22))</f>
        <v/>
      </c>
      <c r="BF22" s="72" t="str">
        <f aca="false">IF(ISBLANK($C22),"",IF($AG22&lt;&gt;Constants!$B$7,$AG22,AQ22))</f>
        <v/>
      </c>
      <c r="BG22" s="73" t="str">
        <f aca="false">IF(ISBLANK($C22),"",IF($AG22&lt;&gt;Constants!$B$7, $AG22 ,AS22))</f>
        <v/>
      </c>
      <c r="BH22" s="74" t="str">
        <f aca="false">IF(ISBLANK($C22),"",IF($AG22&lt;&gt;Constants!$B$7, $AG22 ,AH22))</f>
        <v/>
      </c>
      <c r="BI22" s="72" t="str">
        <f aca="false">IF(ISBLANK(C22),"",BA22)</f>
        <v/>
      </c>
      <c r="BJ22" s="72" t="str">
        <f aca="false">IF(ISBLANK(C22),"",AZ22)</f>
        <v/>
      </c>
      <c r="BK22" s="75" t="str">
        <f aca="false">IF(ISBLANK(C22),"",IFERROR(_xlfn.SWITCH(BJ22, Constants!$B$4, COUNTA($C$8:$C521)+2, Constants!$B$5, COUNTA($C$8:$C521)+1, Constants!$B$6, COUNTA($C$8:$C521)),BJ22))</f>
        <v/>
      </c>
      <c r="BL22" s="5"/>
      <c r="BM22" s="76" t="n">
        <f aca="false">IF(OR(ISNUMBER(BJ22),BJ22="DQ",BJ22="P",BJ22="NS"),
    1,
    0
)</f>
        <v>0</v>
      </c>
      <c r="BN22" s="76" t="n">
        <v>15</v>
      </c>
      <c r="BO22" s="76" t="str">
        <f aca="false">IF(ISBLANK($C22),"",IF(ISNUMBER(BK22),BK22+ROW($B22)/1000,""))</f>
        <v/>
      </c>
      <c r="BP22" s="76" t="str">
        <f aca="false">IF(ISNUMBER(BO22), RANK(BO22,BO$8:BO$507,1), "")</f>
        <v/>
      </c>
      <c r="BQ22" s="76" t="str">
        <f aca="false">IF(ISBLANK($C22),
    "",
    $B22
)</f>
        <v/>
      </c>
      <c r="BR22" s="76" t="str">
        <f aca="false">IF(ISBLANK($C22),
    "",
    $C22
)</f>
        <v/>
      </c>
      <c r="BS22" s="76" t="str">
        <f aca="false">IF(ISBLANK($C22),
    "",
    $D22
)</f>
        <v/>
      </c>
      <c r="BT22" s="77" t="str">
        <f aca="false">BH22</f>
        <v/>
      </c>
      <c r="BU22" s="78" t="str">
        <f aca="false">BG22</f>
        <v/>
      </c>
      <c r="BV22" s="76" t="str">
        <f aca="false">IF(ISBLANK($C22),
    "",
    BJ22
)</f>
        <v/>
      </c>
      <c r="BW22" s="79" t="str">
        <f aca="false">IF(BN22&gt;BM$7,
    "",
    VLOOKUP(BN22,BP$8:BV521,7,FALSE())
)</f>
        <v/>
      </c>
      <c r="BX22" s="80" t="str">
        <f aca="false">IF(BN22&gt;BM$7,
    "",
    VLOOKUP(BN22,BP$8:BV521,2,FALSE())
)</f>
        <v/>
      </c>
      <c r="BY22" s="80" t="str">
        <f aca="false">IF(BN22&gt;BM$7,
    "",
    VLOOKUP(BN22,BP$8:BV521,3,FALSE())
)</f>
        <v/>
      </c>
      <c r="BZ22" s="80" t="str">
        <f aca="false">IF(BN22&gt;BM$7,
    "",
    VLOOKUP(BN22,BP$8:BV521,4,FALSE())
)</f>
        <v/>
      </c>
      <c r="CA22" s="80" t="str">
        <f aca="false">IF(BN22&gt;BM$7,
    "",
    VLOOKUP(BN22,BP$8:BV521,5,FALSE())
)</f>
        <v/>
      </c>
      <c r="CB22" s="81" t="str">
        <f aca="false">IF(BN22&gt;BM$7,
    "",
    VLOOKUP(BN22,BP$8:BV521,6,FALSE())
)</f>
        <v/>
      </c>
      <c r="CC22" s="53"/>
    </row>
    <row r="23" customFormat="false" ht="15.75" hidden="false" customHeight="false" outlineLevel="0" collapsed="false">
      <c r="A23" s="5"/>
      <c r="B23" s="125"/>
      <c r="C23" s="126"/>
      <c r="D23" s="115"/>
      <c r="E23" s="119"/>
      <c r="F23" s="119"/>
      <c r="G23" s="91"/>
      <c r="H23" s="92"/>
      <c r="I23" s="92"/>
      <c r="J23" s="127"/>
      <c r="K23" s="127"/>
      <c r="L23" s="127"/>
      <c r="M23" s="94"/>
      <c r="N23" s="94"/>
      <c r="O23" s="94"/>
      <c r="P23" s="95"/>
      <c r="Q23" s="96"/>
      <c r="R23" s="128"/>
      <c r="S23" s="98"/>
      <c r="T23" s="99"/>
      <c r="U23" s="99" t="str">
        <f aca="false">IF(ISBLANK($C23),"",IF(G23=Constants!$B$2, TRUE(), IF(G23=Constants!$B$3, FALSE(), TRUE())))</f>
        <v/>
      </c>
      <c r="V23" s="99" t="str">
        <f aca="false">IF(ISBLANK($C23),"",IF(H23=Constants!$B$2, TRUE(), IF(H23=Constants!$B$3, FALSE(), TRUE())))</f>
        <v/>
      </c>
      <c r="W23" s="99" t="str">
        <f aca="false">IF(ISBLANK($C23),"",IF(I23=Constants!$B$2, TRUE(), IF(I23=Constants!$B$3, FALSE(), TRUE())))</f>
        <v/>
      </c>
      <c r="X23" s="99" t="str">
        <f aca="false">IF(ISBLANK($C23),"",IF(AND(ISNUMBER(J23),J23&gt;0),INT(J23),0))</f>
        <v/>
      </c>
      <c r="Y23" s="99" t="str">
        <f aca="false">IF(ISBLANK($C23),"",IF(K23=Constants!$B$2, TRUE(), IF(K23=Constants!$B$3, FALSE(), TRUE())))</f>
        <v/>
      </c>
      <c r="Z23" s="100" t="str">
        <f aca="false">IF(ISBLANK($C23),"",IF(AND(ISNUMBER(L23),L23&gt;0),INT(L23),0))</f>
        <v/>
      </c>
      <c r="AA23" s="101" t="str">
        <f aca="false">IF(ISBLANK($C23),"",IF(ISNUMBER(M23), M23, ""))</f>
        <v/>
      </c>
      <c r="AB23" s="101" t="str">
        <f aca="false">IF(ISBLANK($C23),"",IF(ISNUMBER(N23), N23, ""))</f>
        <v/>
      </c>
      <c r="AC23" s="101" t="str">
        <f aca="false">IF(ISBLANK($C23),"",IF(ISNUMBER(O23), O23, ""))</f>
        <v/>
      </c>
      <c r="AD23" s="102" t="str">
        <f aca="false">IF(ISBLANK($C23),"",IF(ISNUMBER(P23), P23, ""))</f>
        <v/>
      </c>
      <c r="AE23" s="102" t="str">
        <f aca="false">IF(ISBLANK($C23),"",IF(ISNUMBER(Q23), Q23, Constants!$B$13))</f>
        <v/>
      </c>
      <c r="AF23" s="99" t="str">
        <f aca="false">IF(ISBLANK($C23),"",IF(R23=Constants!$B$2, TRUE(), IF(R23=Constants!$B$3, FALSE(), FALSE())))</f>
        <v/>
      </c>
      <c r="AG23" s="99" t="str">
        <f aca="false">IF(ISBLANK(C23), "", IF(AF23, Constants!$B$4,IF(COUNTA(G23:P23)=0, Constants!$B$5, Constants!$B$7)))</f>
        <v/>
      </c>
      <c r="AH23" s="99" t="str">
        <f aca="false">IF(ISBLANK($C23), "",IF($AG23=Constants!$B$7,1,$AG23))</f>
        <v/>
      </c>
      <c r="AI23" s="99" t="str">
        <f aca="false">IF($AG23=Constants!$B$7,POWER(Constants!$B$11,X23)*POWER(Constants!$B$12,Z23),"")</f>
        <v/>
      </c>
      <c r="AJ23" s="99" t="str">
        <f aca="false">IF(AND($AG23=Constants!$B$7, U23, V23) ,IF(OR($AA23="",$AC23=""),"",MAX(0, $AC23-$AA23)),"")</f>
        <v/>
      </c>
      <c r="AK23" s="99" t="str">
        <f aca="false">IF(AND($AG23=Constants!$B$7, U23, V23),IF(OR($AA23="",$AC23=""),$AK$6,""),"")</f>
        <v/>
      </c>
      <c r="AL23" s="99" t="str">
        <f aca="false">IF($AG23=Constants!$B$7,IF(AND(U23,V23,W23,Y23),IF($AJ23="",0,IF($AJ$6=0,Constants!$B$9,Constants!$B$9*AJ23/$AJ$6)), 0),"")</f>
        <v/>
      </c>
      <c r="AM23" s="99" t="str">
        <f aca="false">IF(AL23&lt;&gt;"", AL23*AI23,"")</f>
        <v/>
      </c>
      <c r="AN23" s="99" t="str">
        <f aca="false">IF(AND($AG23=Constants!$B$7, U23, V23) ,IF($AB23="", "", IF(OR($AC23="",$AC23=0),"",MAX(0,1-ABS($AC23-$AB23)/$AC23))),"")</f>
        <v/>
      </c>
      <c r="AO23" s="99" t="str">
        <f aca="false">IF(AND($AG23=Constants!$B$7, U23, V23),IF(AND($AA23&lt;&gt;"",$AB23&lt;&gt;"",$AC23=0),$AO$6,""),"")</f>
        <v/>
      </c>
      <c r="AP23" s="99" t="str">
        <f aca="false">IF($AG23=Constants!$B$7 ,IF(AND(U23,V23,W23,Y23,ISNUMBER(AB23)),IF($AN23="",0,IF($AN$6=0,Constants!$B$10,Constants!$B$10*AN23/$AN$6)), 0),"")</f>
        <v/>
      </c>
      <c r="AQ23" s="99" t="str">
        <f aca="false">IF(AP23&lt;&gt;"", AP23*AI23,"")</f>
        <v/>
      </c>
      <c r="AR23" s="99" t="str">
        <f aca="false">IF($AG23=Constants!$B$7,IF($AD23="",0,IF($AR$6=0,Constants!$B$8,Constants!$B$8*AD23/$AR$6)),"")</f>
        <v/>
      </c>
      <c r="AS23" s="99" t="str">
        <f aca="false">IF($AG23&lt;&gt;Constants!$B$7,$AG23,IF(AK23&amp;AO23&lt;&gt;"",Constants!$B$14,AM23+AQ23+AR23))</f>
        <v/>
      </c>
      <c r="AT23" s="99" t="str">
        <f aca="false">IF(ISBLANK($C23),"",IF($AG23=Constants!$B$7,IF(ISNUMBER(AS23),RANK(AS23,$AS$8:$AS$507),Constants!$B$14),$AG23))</f>
        <v/>
      </c>
      <c r="AU23" s="99" t="str">
        <f aca="false">IF(ISBLANK($C23), "",AM23)</f>
        <v/>
      </c>
      <c r="AV23" s="99" t="str">
        <f aca="false">IF(ISBLANK($C23),"",IF($AG23=Constants!$B$7,RANK(AU23,AU$8:AU$507),$AG23))</f>
        <v/>
      </c>
      <c r="AW23" s="99" t="str">
        <f aca="false">IF(ISBLANK($C23), "",AR23)</f>
        <v/>
      </c>
      <c r="AX23" s="99" t="str">
        <f aca="false">IF(ISBLANK($C23),"",IF($AG23=Constants!$B$7,RANK(AW23,AW$8:AW$507),$AG23))</f>
        <v/>
      </c>
      <c r="AY23" s="99" t="str">
        <f aca="false">IF(ISBLANK($C23), "",AE23)</f>
        <v/>
      </c>
      <c r="AZ23" s="99" t="str">
        <f aca="false">IF(ISBLANK($C23),"",
IF($AG23=Constants!$B$7,
  IF(ISNUMBER(AT23),
    COUNTIFS($AT$8:$AT$507,"&lt;"&amp;$AT23)
    + COUNTIFS($AT$8:$AT$507,$AT23,$AV$8:$AV$507,"&lt;"&amp;$AV23)
    + COUNTIFS($AT$8:$AT$507,$AT23,$AV$8:$AV$507,$AV23,$AX$8:$AX$507,"&lt;"&amp;$AX23)
    + COUNTIFS($AT$8:$AT$507,$AT23,$AV$8:$AV$507,$AV23,$AX$8:$AX$507,$AX23,$AY$8:$AY$507,"&lt;"&amp;$AY23)
    + 1,
  Constants!$B$14),
$AG23))</f>
        <v/>
      </c>
      <c r="BA23" s="99" t="str">
        <f aca="false">IF(ISBLANK(C23),"",IF($AG23=Constants!$B$7, IF(ISNUMBER(AT23),AT23-AZ23,Constants!$B$14),$AG23))</f>
        <v/>
      </c>
      <c r="BB23" s="103"/>
      <c r="BC23" s="104" t="str">
        <f aca="false">IF(ISBLANK($C23),"",TRIM(AK23&amp;" "&amp;AO23))</f>
        <v/>
      </c>
      <c r="BD23" s="105" t="str">
        <f aca="false">IF(ISBLANK($C23),"",IF($AG23&lt;&gt;Constants!$B$7,$AG23,AR23))</f>
        <v/>
      </c>
      <c r="BE23" s="105" t="str">
        <f aca="false">IF(ISBLANK($C23),"",IF($AG23&lt;&gt;Constants!$B$7,$AG23,AM23))</f>
        <v/>
      </c>
      <c r="BF23" s="105" t="str">
        <f aca="false">IF(ISBLANK($C23),"",IF($AG23&lt;&gt;Constants!$B$7,$AG23,AQ23))</f>
        <v/>
      </c>
      <c r="BG23" s="106" t="str">
        <f aca="false">IF(ISBLANK($C23),"",IF($AG23&lt;&gt;Constants!$B$7, $AG23 ,AS23))</f>
        <v/>
      </c>
      <c r="BH23" s="107" t="str">
        <f aca="false">IF(ISBLANK($C23),"",IF($AG23&lt;&gt;Constants!$B$7, $AG23 ,AH23))</f>
        <v/>
      </c>
      <c r="BI23" s="105" t="str">
        <f aca="false">IF(ISBLANK(C23),"",BA23)</f>
        <v/>
      </c>
      <c r="BJ23" s="105" t="str">
        <f aca="false">IF(ISBLANK(C23),"",AZ23)</f>
        <v/>
      </c>
      <c r="BK23" s="108" t="str">
        <f aca="false">IF(ISBLANK(C23),"",IFERROR(_xlfn.SWITCH(BJ23, Constants!$B$4, COUNTA($C$8:$C522)+2, Constants!$B$5, COUNTA($C$8:$C522)+1, Constants!$B$6, COUNTA($C$8:$C522)),BJ23))</f>
        <v/>
      </c>
      <c r="BL23" s="5"/>
      <c r="BM23" s="109" t="n">
        <f aca="false">IF(OR(ISNUMBER(BJ23),BJ23="DQ",BJ23="P",BJ23="NS"),
    1,
    0
)</f>
        <v>0</v>
      </c>
      <c r="BN23" s="109" t="n">
        <v>16</v>
      </c>
      <c r="BO23" s="109" t="str">
        <f aca="false">IF(ISBLANK($C23),"",IF(ISNUMBER(BK23),BK23+ROW($B23)/1000,""))</f>
        <v/>
      </c>
      <c r="BP23" s="109" t="str">
        <f aca="false">IF(ISNUMBER(BO23), RANK(BO23,BO$8:BO$507,1), "")</f>
        <v/>
      </c>
      <c r="BQ23" s="109" t="str">
        <f aca="false">IF(ISBLANK($C23),
    "",
    $B23
)</f>
        <v/>
      </c>
      <c r="BR23" s="109" t="str">
        <f aca="false">IF(ISBLANK($C23),
    "",
    $C23
)</f>
        <v/>
      </c>
      <c r="BS23" s="109" t="str">
        <f aca="false">IF(ISBLANK($C23),
    "",
    $D23
)</f>
        <v/>
      </c>
      <c r="BT23" s="110" t="str">
        <f aca="false">BH23</f>
        <v/>
      </c>
      <c r="BU23" s="111" t="str">
        <f aca="false">BG23</f>
        <v/>
      </c>
      <c r="BV23" s="109" t="str">
        <f aca="false">IF(ISBLANK($C23),
    "",
    BJ23
)</f>
        <v/>
      </c>
      <c r="BW23" s="112" t="str">
        <f aca="false">IF(BN23&gt;BM$7,
    "",
    VLOOKUP(BN23,BP$8:BV522,7,FALSE())
)</f>
        <v/>
      </c>
      <c r="BX23" s="113" t="str">
        <f aca="false">IF(BN23&gt;BM$7,
    "",
    VLOOKUP(BN23,BP$8:BV522,2,FALSE())
)</f>
        <v/>
      </c>
      <c r="BY23" s="113" t="str">
        <f aca="false">IF(BN23&gt;BM$7,
    "",
    VLOOKUP(BN23,BP$8:BV522,3,FALSE())
)</f>
        <v/>
      </c>
      <c r="BZ23" s="113" t="str">
        <f aca="false">IF(BN23&gt;BM$7,
    "",
    VLOOKUP(BN23,BP$8:BV522,4,FALSE())
)</f>
        <v/>
      </c>
      <c r="CA23" s="113" t="str">
        <f aca="false">IF(BN23&gt;BM$7,
    "",
    VLOOKUP(BN23,BP$8:BV522,5,FALSE())
)</f>
        <v/>
      </c>
      <c r="CB23" s="114" t="str">
        <f aca="false">IF(BN23&gt;BM$7,
    "",
    VLOOKUP(BN23,BP$8:BV522,6,FALSE())
)</f>
        <v/>
      </c>
      <c r="CC23" s="53"/>
    </row>
    <row r="24" customFormat="false" ht="15.75" hidden="false" customHeight="false" outlineLevel="0" collapsed="false">
      <c r="A24" s="5"/>
      <c r="B24" s="125"/>
      <c r="C24" s="126"/>
      <c r="D24" s="115"/>
      <c r="E24" s="119"/>
      <c r="F24" s="119"/>
      <c r="G24" s="91"/>
      <c r="H24" s="92"/>
      <c r="I24" s="92"/>
      <c r="J24" s="127"/>
      <c r="K24" s="127"/>
      <c r="L24" s="127"/>
      <c r="M24" s="94"/>
      <c r="N24" s="94"/>
      <c r="O24" s="94"/>
      <c r="P24" s="95"/>
      <c r="Q24" s="96"/>
      <c r="R24" s="128"/>
      <c r="S24" s="98"/>
      <c r="T24" s="99"/>
      <c r="U24" s="99" t="str">
        <f aca="false">IF(ISBLANK($C24),"",IF(G24=Constants!$B$2, TRUE(), IF(G24=Constants!$B$3, FALSE(), TRUE())))</f>
        <v/>
      </c>
      <c r="V24" s="99" t="str">
        <f aca="false">IF(ISBLANK($C24),"",IF(H24=Constants!$B$2, TRUE(), IF(H24=Constants!$B$3, FALSE(), TRUE())))</f>
        <v/>
      </c>
      <c r="W24" s="99" t="str">
        <f aca="false">IF(ISBLANK($C24),"",IF(I24=Constants!$B$2, TRUE(), IF(I24=Constants!$B$3, FALSE(), TRUE())))</f>
        <v/>
      </c>
      <c r="X24" s="99" t="str">
        <f aca="false">IF(ISBLANK($C24),"",IF(AND(ISNUMBER(J24),J24&gt;0),INT(J24),0))</f>
        <v/>
      </c>
      <c r="Y24" s="99" t="str">
        <f aca="false">IF(ISBLANK($C24),"",IF(K24=Constants!$B$2, TRUE(), IF(K24=Constants!$B$3, FALSE(), TRUE())))</f>
        <v/>
      </c>
      <c r="Z24" s="100" t="str">
        <f aca="false">IF(ISBLANK($C24),"",IF(AND(ISNUMBER(L24),L24&gt;0),INT(L24),0))</f>
        <v/>
      </c>
      <c r="AA24" s="101" t="str">
        <f aca="false">IF(ISBLANK($C24),"",IF(ISNUMBER(M24), M24, ""))</f>
        <v/>
      </c>
      <c r="AB24" s="101" t="str">
        <f aca="false">IF(ISBLANK($C24),"",IF(ISNUMBER(N24), N24, ""))</f>
        <v/>
      </c>
      <c r="AC24" s="101" t="str">
        <f aca="false">IF(ISBLANK($C24),"",IF(ISNUMBER(O24), O24, ""))</f>
        <v/>
      </c>
      <c r="AD24" s="102" t="str">
        <f aca="false">IF(ISBLANK($C24),"",IF(ISNUMBER(P24), P24, ""))</f>
        <v/>
      </c>
      <c r="AE24" s="102" t="str">
        <f aca="false">IF(ISBLANK($C24),"",IF(ISNUMBER(Q24), Q24, Constants!$B$13))</f>
        <v/>
      </c>
      <c r="AF24" s="99" t="str">
        <f aca="false">IF(ISBLANK($C24),"",IF(R24=Constants!$B$2, TRUE(), IF(R24=Constants!$B$3, FALSE(), FALSE())))</f>
        <v/>
      </c>
      <c r="AG24" s="99" t="str">
        <f aca="false">IF(ISBLANK(C24), "", IF(AF24, Constants!$B$4,IF(COUNTA(G24:P24)=0, Constants!$B$5, Constants!$B$7)))</f>
        <v/>
      </c>
      <c r="AH24" s="99" t="str">
        <f aca="false">IF(ISBLANK($C24), "",IF($AG24=Constants!$B$7,1,$AG24))</f>
        <v/>
      </c>
      <c r="AI24" s="99" t="str">
        <f aca="false">IF($AG24=Constants!$B$7,POWER(Constants!$B$11,X24)*POWER(Constants!$B$12,Z24),"")</f>
        <v/>
      </c>
      <c r="AJ24" s="99" t="str">
        <f aca="false">IF(AND($AG24=Constants!$B$7, U24, V24) ,IF(OR($AA24="",$AC24=""),"",MAX(0, $AC24-$AA24)),"")</f>
        <v/>
      </c>
      <c r="AK24" s="99" t="str">
        <f aca="false">IF(AND($AG24=Constants!$B$7, U24, V24),IF(OR($AA24="",$AC24=""),$AK$6,""),"")</f>
        <v/>
      </c>
      <c r="AL24" s="99" t="str">
        <f aca="false">IF($AG24=Constants!$B$7,IF(AND(U24,V24,W24,Y24),IF($AJ24="",0,IF($AJ$6=0,Constants!$B$9,Constants!$B$9*AJ24/$AJ$6)), 0),"")</f>
        <v/>
      </c>
      <c r="AM24" s="99" t="str">
        <f aca="false">IF(AL24&lt;&gt;"", AL24*AI24,"")</f>
        <v/>
      </c>
      <c r="AN24" s="99" t="str">
        <f aca="false">IF(AND($AG24=Constants!$B$7, U24, V24) ,IF($AB24="", "", IF(OR($AC24="",$AC24=0),"",MAX(0,1-ABS($AC24-$AB24)/$AC24))),"")</f>
        <v/>
      </c>
      <c r="AO24" s="99" t="str">
        <f aca="false">IF(AND($AG24=Constants!$B$7, U24, V24),IF(AND($AA24&lt;&gt;"",$AB24&lt;&gt;"",$AC24=0),$AO$6,""),"")</f>
        <v/>
      </c>
      <c r="AP24" s="99" t="str">
        <f aca="false">IF($AG24=Constants!$B$7 ,IF(AND(U24,V24,W24,Y24,ISNUMBER(AB24)),IF($AN24="",0,IF($AN$6=0,Constants!$B$10,Constants!$B$10*AN24/$AN$6)), 0),"")</f>
        <v/>
      </c>
      <c r="AQ24" s="99" t="str">
        <f aca="false">IF(AP24&lt;&gt;"", AP24*AI24,"")</f>
        <v/>
      </c>
      <c r="AR24" s="99" t="str">
        <f aca="false">IF($AG24=Constants!$B$7,IF($AD24="",0,IF($AR$6=0,Constants!$B$8,Constants!$B$8*AD24/$AR$6)),"")</f>
        <v/>
      </c>
      <c r="AS24" s="99" t="str">
        <f aca="false">IF($AG24&lt;&gt;Constants!$B$7,$AG24,IF(AK24&amp;AO24&lt;&gt;"",Constants!$B$14,AM24+AQ24+AR24))</f>
        <v/>
      </c>
      <c r="AT24" s="99" t="str">
        <f aca="false">IF(ISBLANK($C24),"",IF($AG24=Constants!$B$7,IF(ISNUMBER(AS24),RANK(AS24,$AS$8:$AS$507),Constants!$B$14),$AG24))</f>
        <v/>
      </c>
      <c r="AU24" s="99" t="str">
        <f aca="false">IF(ISBLANK($C24), "",AM24)</f>
        <v/>
      </c>
      <c r="AV24" s="99" t="str">
        <f aca="false">IF(ISBLANK($C24),"",IF($AG24=Constants!$B$7,RANK(AU24,AU$8:AU$507),$AG24))</f>
        <v/>
      </c>
      <c r="AW24" s="99" t="str">
        <f aca="false">IF(ISBLANK($C24), "",AR24)</f>
        <v/>
      </c>
      <c r="AX24" s="99" t="str">
        <f aca="false">IF(ISBLANK($C24),"",IF($AG24=Constants!$B$7,RANK(AW24,AW$8:AW$507),$AG24))</f>
        <v/>
      </c>
      <c r="AY24" s="99" t="str">
        <f aca="false">IF(ISBLANK($C24), "",AE24)</f>
        <v/>
      </c>
      <c r="AZ24" s="99" t="str">
        <f aca="false">IF(ISBLANK($C24),"",
IF($AG24=Constants!$B$7,
  IF(ISNUMBER(AT24),
    COUNTIFS($AT$8:$AT$507,"&lt;"&amp;$AT24)
    + COUNTIFS($AT$8:$AT$507,$AT24,$AV$8:$AV$507,"&lt;"&amp;$AV24)
    + COUNTIFS($AT$8:$AT$507,$AT24,$AV$8:$AV$507,$AV24,$AX$8:$AX$507,"&lt;"&amp;$AX24)
    + COUNTIFS($AT$8:$AT$507,$AT24,$AV$8:$AV$507,$AV24,$AX$8:$AX$507,$AX24,$AY$8:$AY$507,"&lt;"&amp;$AY24)
    + 1,
  Constants!$B$14),
$AG24))</f>
        <v/>
      </c>
      <c r="BA24" s="99" t="str">
        <f aca="false">IF(ISBLANK(C24),"",IF($AG24=Constants!$B$7, IF(ISNUMBER(AT24),AT24-AZ24,Constants!$B$14),$AG24))</f>
        <v/>
      </c>
      <c r="BB24" s="103"/>
      <c r="BC24" s="104" t="str">
        <f aca="false">IF(ISBLANK($C24),"",TRIM(AK24&amp;" "&amp;AO24))</f>
        <v/>
      </c>
      <c r="BD24" s="105" t="str">
        <f aca="false">IF(ISBLANK($C24),"",IF($AG24&lt;&gt;Constants!$B$7,$AG24,AR24))</f>
        <v/>
      </c>
      <c r="BE24" s="105" t="str">
        <f aca="false">IF(ISBLANK($C24),"",IF($AG24&lt;&gt;Constants!$B$7,$AG24,AM24))</f>
        <v/>
      </c>
      <c r="BF24" s="105" t="str">
        <f aca="false">IF(ISBLANK($C24),"",IF($AG24&lt;&gt;Constants!$B$7,$AG24,AQ24))</f>
        <v/>
      </c>
      <c r="BG24" s="106" t="str">
        <f aca="false">IF(ISBLANK($C24),"",IF($AG24&lt;&gt;Constants!$B$7, $AG24 ,AS24))</f>
        <v/>
      </c>
      <c r="BH24" s="107" t="str">
        <f aca="false">IF(ISBLANK($C24),"",IF($AG24&lt;&gt;Constants!$B$7, $AG24 ,AH24))</f>
        <v/>
      </c>
      <c r="BI24" s="105" t="str">
        <f aca="false">IF(ISBLANK(C24),"",BA24)</f>
        <v/>
      </c>
      <c r="BJ24" s="105" t="str">
        <f aca="false">IF(ISBLANK(C24),"",AZ24)</f>
        <v/>
      </c>
      <c r="BK24" s="108" t="str">
        <f aca="false">IF(ISBLANK(C24),"",IFERROR(_xlfn.SWITCH(BJ24, Constants!$B$4, COUNTA($C$8:$C523)+2, Constants!$B$5, COUNTA($C$8:$C523)+1, Constants!$B$6, COUNTA($C$8:$C523)),BJ24))</f>
        <v/>
      </c>
      <c r="BL24" s="5"/>
      <c r="BM24" s="109" t="n">
        <f aca="false">IF(OR(ISNUMBER(BJ24),BJ24="DQ",BJ24="P",BJ24="NS"),
    1,
    0
)</f>
        <v>0</v>
      </c>
      <c r="BN24" s="109" t="n">
        <v>17</v>
      </c>
      <c r="BO24" s="109" t="str">
        <f aca="false">IF(ISBLANK($C24),"",IF(ISNUMBER(BK24),BK24+ROW($B24)/1000,""))</f>
        <v/>
      </c>
      <c r="BP24" s="109" t="str">
        <f aca="false">IF(ISNUMBER(BO24), RANK(BO24,BO$8:BO$507,1), "")</f>
        <v/>
      </c>
      <c r="BQ24" s="109" t="str">
        <f aca="false">IF(ISBLANK($C24),
    "",
    $B24
)</f>
        <v/>
      </c>
      <c r="BR24" s="109" t="str">
        <f aca="false">IF(ISBLANK($C24),
    "",
    $C24
)</f>
        <v/>
      </c>
      <c r="BS24" s="109" t="str">
        <f aca="false">IF(ISBLANK($C24),
    "",
    $D24
)</f>
        <v/>
      </c>
      <c r="BT24" s="110" t="str">
        <f aca="false">BH24</f>
        <v/>
      </c>
      <c r="BU24" s="111" t="str">
        <f aca="false">BG24</f>
        <v/>
      </c>
      <c r="BV24" s="109" t="str">
        <f aca="false">IF(ISBLANK($C24),
    "",
    BJ24
)</f>
        <v/>
      </c>
      <c r="BW24" s="112" t="str">
        <f aca="false">IF(BN24&gt;BM$7,
    "",
    VLOOKUP(BN24,BP$8:BV523,7,FALSE())
)</f>
        <v/>
      </c>
      <c r="BX24" s="113" t="str">
        <f aca="false">IF(BN24&gt;BM$7,
    "",
    VLOOKUP(BN24,BP$8:BV523,2,FALSE())
)</f>
        <v/>
      </c>
      <c r="BY24" s="113" t="str">
        <f aca="false">IF(BN24&gt;BM$7,
    "",
    VLOOKUP(BN24,BP$8:BV523,3,FALSE())
)</f>
        <v/>
      </c>
      <c r="BZ24" s="113" t="str">
        <f aca="false">IF(BN24&gt;BM$7,
    "",
    VLOOKUP(BN24,BP$8:BV523,4,FALSE())
)</f>
        <v/>
      </c>
      <c r="CA24" s="113" t="str">
        <f aca="false">IF(BN24&gt;BM$7,
    "",
    VLOOKUP(BN24,BP$8:BV523,5,FALSE())
)</f>
        <v/>
      </c>
      <c r="CB24" s="114" t="str">
        <f aca="false">IF(BN24&gt;BM$7,
    "",
    VLOOKUP(BN24,BP$8:BV523,6,FALSE())
)</f>
        <v/>
      </c>
      <c r="CC24" s="53"/>
    </row>
    <row r="25" customFormat="false" ht="15.75" hidden="false" customHeight="false" outlineLevel="0" collapsed="false">
      <c r="A25" s="5"/>
      <c r="B25" s="125"/>
      <c r="C25" s="126"/>
      <c r="D25" s="115"/>
      <c r="E25" s="119"/>
      <c r="F25" s="119"/>
      <c r="G25" s="91"/>
      <c r="H25" s="92"/>
      <c r="I25" s="92"/>
      <c r="J25" s="127"/>
      <c r="K25" s="127"/>
      <c r="L25" s="127"/>
      <c r="M25" s="94"/>
      <c r="N25" s="94"/>
      <c r="O25" s="94"/>
      <c r="P25" s="95"/>
      <c r="Q25" s="96"/>
      <c r="R25" s="128"/>
      <c r="S25" s="98"/>
      <c r="T25" s="99"/>
      <c r="U25" s="99" t="str">
        <f aca="false">IF(ISBLANK($C25),"",IF(G25=Constants!$B$2, TRUE(), IF(G25=Constants!$B$3, FALSE(), TRUE())))</f>
        <v/>
      </c>
      <c r="V25" s="99" t="str">
        <f aca="false">IF(ISBLANK($C25),"",IF(H25=Constants!$B$2, TRUE(), IF(H25=Constants!$B$3, FALSE(), TRUE())))</f>
        <v/>
      </c>
      <c r="W25" s="99" t="str">
        <f aca="false">IF(ISBLANK($C25),"",IF(I25=Constants!$B$2, TRUE(), IF(I25=Constants!$B$3, FALSE(), TRUE())))</f>
        <v/>
      </c>
      <c r="X25" s="99" t="str">
        <f aca="false">IF(ISBLANK($C25),"",IF(AND(ISNUMBER(J25),J25&gt;0),INT(J25),0))</f>
        <v/>
      </c>
      <c r="Y25" s="99" t="str">
        <f aca="false">IF(ISBLANK($C25),"",IF(K25=Constants!$B$2, TRUE(), IF(K25=Constants!$B$3, FALSE(), TRUE())))</f>
        <v/>
      </c>
      <c r="Z25" s="100" t="str">
        <f aca="false">IF(ISBLANK($C25),"",IF(AND(ISNUMBER(L25),L25&gt;0),INT(L25),0))</f>
        <v/>
      </c>
      <c r="AA25" s="101" t="str">
        <f aca="false">IF(ISBLANK($C25),"",IF(ISNUMBER(M25), M25, ""))</f>
        <v/>
      </c>
      <c r="AB25" s="101" t="str">
        <f aca="false">IF(ISBLANK($C25),"",IF(ISNUMBER(N25), N25, ""))</f>
        <v/>
      </c>
      <c r="AC25" s="101" t="str">
        <f aca="false">IF(ISBLANK($C25),"",IF(ISNUMBER(O25), O25, ""))</f>
        <v/>
      </c>
      <c r="AD25" s="102" t="str">
        <f aca="false">IF(ISBLANK($C25),"",IF(ISNUMBER(P25), P25, ""))</f>
        <v/>
      </c>
      <c r="AE25" s="102" t="str">
        <f aca="false">IF(ISBLANK($C25),"",IF(ISNUMBER(Q25), Q25, Constants!$B$13))</f>
        <v/>
      </c>
      <c r="AF25" s="99" t="str">
        <f aca="false">IF(ISBLANK($C25),"",IF(R25=Constants!$B$2, TRUE(), IF(R25=Constants!$B$3, FALSE(), FALSE())))</f>
        <v/>
      </c>
      <c r="AG25" s="99" t="str">
        <f aca="false">IF(ISBLANK(C25), "", IF(AF25, Constants!$B$4,IF(COUNTA(G25:P25)=0, Constants!$B$5, Constants!$B$7)))</f>
        <v/>
      </c>
      <c r="AH25" s="99" t="str">
        <f aca="false">IF(ISBLANK($C25), "",IF($AG25=Constants!$B$7,1,$AG25))</f>
        <v/>
      </c>
      <c r="AI25" s="99" t="str">
        <f aca="false">IF($AG25=Constants!$B$7,POWER(Constants!$B$11,X25)*POWER(Constants!$B$12,Z25),"")</f>
        <v/>
      </c>
      <c r="AJ25" s="99" t="str">
        <f aca="false">IF(AND($AG25=Constants!$B$7, U25, V25) ,IF(OR($AA25="",$AC25=""),"",MAX(0, $AC25-$AA25)),"")</f>
        <v/>
      </c>
      <c r="AK25" s="99" t="str">
        <f aca="false">IF(AND($AG25=Constants!$B$7, U25, V25),IF(OR($AA25="",$AC25=""),$AK$6,""),"")</f>
        <v/>
      </c>
      <c r="AL25" s="99" t="str">
        <f aca="false">IF($AG25=Constants!$B$7,IF(AND(U25,V25,W25,Y25),IF($AJ25="",0,IF($AJ$6=0,Constants!$B$9,Constants!$B$9*AJ25/$AJ$6)), 0),"")</f>
        <v/>
      </c>
      <c r="AM25" s="99" t="str">
        <f aca="false">IF(AL25&lt;&gt;"", AL25*AI25,"")</f>
        <v/>
      </c>
      <c r="AN25" s="99" t="str">
        <f aca="false">IF(AND($AG25=Constants!$B$7, U25, V25) ,IF($AB25="", "", IF(OR($AC25="",$AC25=0),"",MAX(0,1-ABS($AC25-$AB25)/$AC25))),"")</f>
        <v/>
      </c>
      <c r="AO25" s="99" t="str">
        <f aca="false">IF(AND($AG25=Constants!$B$7, U25, V25),IF(AND($AA25&lt;&gt;"",$AB25&lt;&gt;"",$AC25=0),$AO$6,""),"")</f>
        <v/>
      </c>
      <c r="AP25" s="99" t="str">
        <f aca="false">IF($AG25=Constants!$B$7 ,IF(AND(U25,V25,W25,Y25,ISNUMBER(AB25)),IF($AN25="",0,IF($AN$6=0,Constants!$B$10,Constants!$B$10*AN25/$AN$6)), 0),"")</f>
        <v/>
      </c>
      <c r="AQ25" s="99" t="str">
        <f aca="false">IF(AP25&lt;&gt;"", AP25*AI25,"")</f>
        <v/>
      </c>
      <c r="AR25" s="99" t="str">
        <f aca="false">IF($AG25=Constants!$B$7,IF($AD25="",0,IF($AR$6=0,Constants!$B$8,Constants!$B$8*AD25/$AR$6)),"")</f>
        <v/>
      </c>
      <c r="AS25" s="99" t="str">
        <f aca="false">IF($AG25&lt;&gt;Constants!$B$7,$AG25,IF(AK25&amp;AO25&lt;&gt;"",Constants!$B$14,AM25+AQ25+AR25))</f>
        <v/>
      </c>
      <c r="AT25" s="99" t="str">
        <f aca="false">IF(ISBLANK($C25),"",IF($AG25=Constants!$B$7,IF(ISNUMBER(AS25),RANK(AS25,$AS$8:$AS$507),Constants!$B$14),$AG25))</f>
        <v/>
      </c>
      <c r="AU25" s="99" t="str">
        <f aca="false">IF(ISBLANK($C25), "",AM25)</f>
        <v/>
      </c>
      <c r="AV25" s="99" t="str">
        <f aca="false">IF(ISBLANK($C25),"",IF($AG25=Constants!$B$7,RANK(AU25,AU$8:AU$507),$AG25))</f>
        <v/>
      </c>
      <c r="AW25" s="99" t="str">
        <f aca="false">IF(ISBLANK($C25), "",AR25)</f>
        <v/>
      </c>
      <c r="AX25" s="99" t="str">
        <f aca="false">IF(ISBLANK($C25),"",IF($AG25=Constants!$B$7,RANK(AW25,AW$8:AW$507),$AG25))</f>
        <v/>
      </c>
      <c r="AY25" s="99" t="str">
        <f aca="false">IF(ISBLANK($C25), "",AE25)</f>
        <v/>
      </c>
      <c r="AZ25" s="99" t="str">
        <f aca="false">IF(ISBLANK($C25),"",
IF($AG25=Constants!$B$7,
  IF(ISNUMBER(AT25),
    COUNTIFS($AT$8:$AT$507,"&lt;"&amp;$AT25)
    + COUNTIFS($AT$8:$AT$507,$AT25,$AV$8:$AV$507,"&lt;"&amp;$AV25)
    + COUNTIFS($AT$8:$AT$507,$AT25,$AV$8:$AV$507,$AV25,$AX$8:$AX$507,"&lt;"&amp;$AX25)
    + COUNTIFS($AT$8:$AT$507,$AT25,$AV$8:$AV$507,$AV25,$AX$8:$AX$507,$AX25,$AY$8:$AY$507,"&lt;"&amp;$AY25)
    + 1,
  Constants!$B$14),
$AG25))</f>
        <v/>
      </c>
      <c r="BA25" s="99" t="str">
        <f aca="false">IF(ISBLANK(C25),"",IF($AG25=Constants!$B$7, IF(ISNUMBER(AT25),AT25-AZ25,Constants!$B$14),$AG25))</f>
        <v/>
      </c>
      <c r="BB25" s="103"/>
      <c r="BC25" s="104" t="str">
        <f aca="false">IF(ISBLANK($C25),"",TRIM(AK25&amp;" "&amp;AO25))</f>
        <v/>
      </c>
      <c r="BD25" s="105" t="str">
        <f aca="false">IF(ISBLANK($C25),"",IF($AG25&lt;&gt;Constants!$B$7,$AG25,AR25))</f>
        <v/>
      </c>
      <c r="BE25" s="105" t="str">
        <f aca="false">IF(ISBLANK($C25),"",IF($AG25&lt;&gt;Constants!$B$7,$AG25,AM25))</f>
        <v/>
      </c>
      <c r="BF25" s="105" t="str">
        <f aca="false">IF(ISBLANK($C25),"",IF($AG25&lt;&gt;Constants!$B$7,$AG25,AQ25))</f>
        <v/>
      </c>
      <c r="BG25" s="106" t="str">
        <f aca="false">IF(ISBLANK($C25),"",IF($AG25&lt;&gt;Constants!$B$7, $AG25 ,AS25))</f>
        <v/>
      </c>
      <c r="BH25" s="107" t="str">
        <f aca="false">IF(ISBLANK($C25),"",IF($AG25&lt;&gt;Constants!$B$7, $AG25 ,AH25))</f>
        <v/>
      </c>
      <c r="BI25" s="105" t="str">
        <f aca="false">IF(ISBLANK(C25),"",BA25)</f>
        <v/>
      </c>
      <c r="BJ25" s="105" t="str">
        <f aca="false">IF(ISBLANK(C25),"",AZ25)</f>
        <v/>
      </c>
      <c r="BK25" s="108" t="str">
        <f aca="false">IF(ISBLANK(C25),"",IFERROR(_xlfn.SWITCH(BJ25, Constants!$B$4, COUNTA($C$8:$C524)+2, Constants!$B$5, COUNTA($C$8:$C524)+1, Constants!$B$6, COUNTA($C$8:$C524)),BJ25))</f>
        <v/>
      </c>
      <c r="BL25" s="5"/>
      <c r="BM25" s="109" t="n">
        <f aca="false">IF(OR(ISNUMBER(BJ25),BJ25="DQ",BJ25="P",BJ25="NS"),
    1,
    0
)</f>
        <v>0</v>
      </c>
      <c r="BN25" s="109" t="n">
        <v>18</v>
      </c>
      <c r="BO25" s="109" t="str">
        <f aca="false">IF(ISBLANK($C25),"",IF(ISNUMBER(BK25),BK25+ROW($B25)/1000,""))</f>
        <v/>
      </c>
      <c r="BP25" s="109" t="str">
        <f aca="false">IF(ISNUMBER(BO25), RANK(BO25,BO$8:BO$507,1), "")</f>
        <v/>
      </c>
      <c r="BQ25" s="109" t="str">
        <f aca="false">IF(ISBLANK($C25),
    "",
    $B25
)</f>
        <v/>
      </c>
      <c r="BR25" s="109" t="str">
        <f aca="false">IF(ISBLANK($C25),
    "",
    $C25
)</f>
        <v/>
      </c>
      <c r="BS25" s="109" t="str">
        <f aca="false">IF(ISBLANK($C25),
    "",
    $D25
)</f>
        <v/>
      </c>
      <c r="BT25" s="110" t="str">
        <f aca="false">BH25</f>
        <v/>
      </c>
      <c r="BU25" s="111" t="str">
        <f aca="false">BG25</f>
        <v/>
      </c>
      <c r="BV25" s="109" t="str">
        <f aca="false">IF(ISBLANK($C25),
    "",
    BJ25
)</f>
        <v/>
      </c>
      <c r="BW25" s="112" t="str">
        <f aca="false">IF(BN25&gt;BM$7,
    "",
    VLOOKUP(BN25,BP$8:BV524,7,FALSE())
)</f>
        <v/>
      </c>
      <c r="BX25" s="113" t="str">
        <f aca="false">IF(BN25&gt;BM$7,
    "",
    VLOOKUP(BN25,BP$8:BV524,2,FALSE())
)</f>
        <v/>
      </c>
      <c r="BY25" s="113" t="str">
        <f aca="false">IF(BN25&gt;BM$7,
    "",
    VLOOKUP(BN25,BP$8:BV524,3,FALSE())
)</f>
        <v/>
      </c>
      <c r="BZ25" s="113" t="str">
        <f aca="false">IF(BN25&gt;BM$7,
    "",
    VLOOKUP(BN25,BP$8:BV524,4,FALSE())
)</f>
        <v/>
      </c>
      <c r="CA25" s="113" t="str">
        <f aca="false">IF(BN25&gt;BM$7,
    "",
    VLOOKUP(BN25,BP$8:BV524,5,FALSE())
)</f>
        <v/>
      </c>
      <c r="CB25" s="114" t="str">
        <f aca="false">IF(BN25&gt;BM$7,
    "",
    VLOOKUP(BN25,BP$8:BV524,6,FALSE())
)</f>
        <v/>
      </c>
      <c r="CC25" s="53"/>
    </row>
    <row r="26" customFormat="false" ht="15.75" hidden="false" customHeight="false" outlineLevel="0" collapsed="false">
      <c r="A26" s="5"/>
      <c r="B26" s="129"/>
      <c r="C26" s="55"/>
      <c r="D26" s="56"/>
      <c r="E26" s="123"/>
      <c r="F26" s="123"/>
      <c r="G26" s="58"/>
      <c r="H26" s="59"/>
      <c r="I26" s="59"/>
      <c r="J26" s="124"/>
      <c r="K26" s="124"/>
      <c r="L26" s="124"/>
      <c r="M26" s="61"/>
      <c r="N26" s="61"/>
      <c r="O26" s="61"/>
      <c r="P26" s="62"/>
      <c r="Q26" s="63"/>
      <c r="R26" s="83"/>
      <c r="S26" s="65"/>
      <c r="T26" s="66"/>
      <c r="U26" s="66" t="str">
        <f aca="false">IF(ISBLANK($C26),"",IF(G26=Constants!$B$2, TRUE(), IF(G26=Constants!$B$3, FALSE(), TRUE())))</f>
        <v/>
      </c>
      <c r="V26" s="66" t="str">
        <f aca="false">IF(ISBLANK($C26),"",IF(H26=Constants!$B$2, TRUE(), IF(H26=Constants!$B$3, FALSE(), TRUE())))</f>
        <v/>
      </c>
      <c r="W26" s="66" t="str">
        <f aca="false">IF(ISBLANK($C26),"",IF(I26=Constants!$B$2, TRUE(), IF(I26=Constants!$B$3, FALSE(), TRUE())))</f>
        <v/>
      </c>
      <c r="X26" s="66" t="str">
        <f aca="false">IF(ISBLANK($C26),"",IF(AND(ISNUMBER(J26),J26&gt;0),INT(J26),0))</f>
        <v/>
      </c>
      <c r="Y26" s="66" t="str">
        <f aca="false">IF(ISBLANK($C26),"",IF(K26=Constants!$B$2, TRUE(), IF(K26=Constants!$B$3, FALSE(), TRUE())))</f>
        <v/>
      </c>
      <c r="Z26" s="66" t="str">
        <f aca="false">IF(ISBLANK($C26),"",IF(AND(ISNUMBER(L26),L26&gt;0),INT(L26),0))</f>
        <v/>
      </c>
      <c r="AA26" s="68" t="str">
        <f aca="false">IF(ISBLANK($C26),"",IF(ISNUMBER(M26), M26, ""))</f>
        <v/>
      </c>
      <c r="AB26" s="68" t="str">
        <f aca="false">IF(ISBLANK($C26),"",IF(ISNUMBER(N26), N26, ""))</f>
        <v/>
      </c>
      <c r="AC26" s="68" t="str">
        <f aca="false">IF(ISBLANK($C26),"",IF(ISNUMBER(O26), O26, ""))</f>
        <v/>
      </c>
      <c r="AD26" s="69" t="str">
        <f aca="false">IF(ISBLANK($C26),"",IF(ISNUMBER(P26), P26, ""))</f>
        <v/>
      </c>
      <c r="AE26" s="69" t="str">
        <f aca="false">IF(ISBLANK($C26),"",IF(ISNUMBER(Q26), Q26, Constants!$B$13))</f>
        <v/>
      </c>
      <c r="AF26" s="66" t="str">
        <f aca="false">IF(ISBLANK($C26),"",IF(R26=Constants!$B$2, TRUE(), IF(R26=Constants!$B$3, FALSE(), FALSE())))</f>
        <v/>
      </c>
      <c r="AG26" s="66" t="str">
        <f aca="false">IF(ISBLANK(C26), "", IF(AF26, Constants!$B$4,IF(COUNTA(G26:P26)=0, Constants!$B$5, Constants!$B$7)))</f>
        <v/>
      </c>
      <c r="AH26" s="66" t="str">
        <f aca="false">IF(ISBLANK($C26), "",IF($AG26=Constants!$B$7,1,$AG26))</f>
        <v/>
      </c>
      <c r="AI26" s="66" t="str">
        <f aca="false">IF($AG26=Constants!$B$7,POWER(Constants!$B$11,X26)*POWER(Constants!$B$12,Z26),"")</f>
        <v/>
      </c>
      <c r="AJ26" s="66" t="str">
        <f aca="false">IF(AND($AG26=Constants!$B$7, U26, V26) ,IF(OR($AA26="",$AC26=""),"",MAX(0, $AC26-$AA26)),"")</f>
        <v/>
      </c>
      <c r="AK26" s="66" t="str">
        <f aca="false">IF(AND($AG26=Constants!$B$7, U26, V26),IF(OR($AA26="",$AC26=""),$AK$6,""),"")</f>
        <v/>
      </c>
      <c r="AL26" s="66" t="str">
        <f aca="false">IF($AG26=Constants!$B$7,IF(AND(U26,V26,W26,Y26),IF($AJ26="",0,IF($AJ$6=0,Constants!$B$9,Constants!$B$9*AJ26/$AJ$6)), 0),"")</f>
        <v/>
      </c>
      <c r="AM26" s="66" t="str">
        <f aca="false">IF(AL26&lt;&gt;"", AL26*AI26,"")</f>
        <v/>
      </c>
      <c r="AN26" s="66" t="str">
        <f aca="false">IF(AND($AG26=Constants!$B$7, U26, V26) ,IF($AB26="", "", IF(OR($AC26="",$AC26=0),"",MAX(0,1-ABS($AC26-$AB26)/$AC26))),"")</f>
        <v/>
      </c>
      <c r="AO26" s="66" t="str">
        <f aca="false">IF(AND($AG26=Constants!$B$7, U26, V26),IF(AND($AA26&lt;&gt;"",$AB26&lt;&gt;"",$AC26=0),$AO$6,""),"")</f>
        <v/>
      </c>
      <c r="AP26" s="66" t="str">
        <f aca="false">IF($AG26=Constants!$B$7 ,IF(AND(U26,V26,W26,Y26,ISNUMBER(AB26)),IF($AN26="",0,IF($AN$6=0,Constants!$B$10,Constants!$B$10*AN26/$AN$6)), 0),"")</f>
        <v/>
      </c>
      <c r="AQ26" s="66" t="str">
        <f aca="false">IF(AP26&lt;&gt;"", AP26*AI26,"")</f>
        <v/>
      </c>
      <c r="AR26" s="66" t="str">
        <f aca="false">IF($AG26=Constants!$B$7,IF($AD26="",0,IF($AR$6=0,Constants!$B$8,Constants!$B$8*AD26/$AR$6)),"")</f>
        <v/>
      </c>
      <c r="AS26" s="66" t="str">
        <f aca="false">IF($AG26&lt;&gt;Constants!$B$7,$AG26,IF(AK26&amp;AO26&lt;&gt;"",Constants!$B$14,AM26+AQ26+AR26))</f>
        <v/>
      </c>
      <c r="AT26" s="66" t="str">
        <f aca="false">IF(ISBLANK($C26),"",IF($AG26=Constants!$B$7,IF(ISNUMBER(AS26),RANK(AS26,$AS$8:$AS$507),Constants!$B$14),$AG26))</f>
        <v/>
      </c>
      <c r="AU26" s="66" t="str">
        <f aca="false">IF(ISBLANK($C26), "",AM26)</f>
        <v/>
      </c>
      <c r="AV26" s="66" t="str">
        <f aca="false">IF(ISBLANK($C26),"",IF($AG26=Constants!$B$7,RANK(AU26,AU$8:AU$507),$AG26))</f>
        <v/>
      </c>
      <c r="AW26" s="66" t="str">
        <f aca="false">IF(ISBLANK($C26), "",AR26)</f>
        <v/>
      </c>
      <c r="AX26" s="66" t="str">
        <f aca="false">IF(ISBLANK($C26),"",IF($AG26=Constants!$B$7,RANK(AW26,AW$8:AW$507),$AG26))</f>
        <v/>
      </c>
      <c r="AY26" s="66" t="str">
        <f aca="false">IF(ISBLANK($C26), "",AE26)</f>
        <v/>
      </c>
      <c r="AZ26" s="66" t="str">
        <f aca="false">IF(ISBLANK($C26),"",
IF($AG26=Constants!$B$7,
  IF(ISNUMBER(AT26),
    COUNTIFS($AT$8:$AT$507,"&lt;"&amp;$AT26)
    + COUNTIFS($AT$8:$AT$507,$AT26,$AV$8:$AV$507,"&lt;"&amp;$AV26)
    + COUNTIFS($AT$8:$AT$507,$AT26,$AV$8:$AV$507,$AV26,$AX$8:$AX$507,"&lt;"&amp;$AX26)
    + COUNTIFS($AT$8:$AT$507,$AT26,$AV$8:$AV$507,$AV26,$AX$8:$AX$507,$AX26,$AY$8:$AY$507,"&lt;"&amp;$AY26)
    + 1,
  Constants!$B$14),
$AG26))</f>
        <v/>
      </c>
      <c r="BA26" s="66" t="str">
        <f aca="false">IF(ISBLANK(C26),"",IF($AG26=Constants!$B$7, IF(ISNUMBER(AT26),AT26-AZ26,Constants!$B$14),$AG26))</f>
        <v/>
      </c>
      <c r="BB26" s="70"/>
      <c r="BC26" s="84" t="str">
        <f aca="false">IF(ISBLANK($C26),"",TRIM(AK26&amp;" "&amp;AO26))</f>
        <v/>
      </c>
      <c r="BD26" s="72" t="str">
        <f aca="false">IF(ISBLANK($C26),"",IF($AG26&lt;&gt;Constants!$B$7,$AG26,AR26))</f>
        <v/>
      </c>
      <c r="BE26" s="72" t="str">
        <f aca="false">IF(ISBLANK($C26),"",IF($AG26&lt;&gt;Constants!$B$7,$AG26,AM26))</f>
        <v/>
      </c>
      <c r="BF26" s="72" t="str">
        <f aca="false">IF(ISBLANK($C26),"",IF($AG26&lt;&gt;Constants!$B$7,$AG26,AQ26))</f>
        <v/>
      </c>
      <c r="BG26" s="73" t="str">
        <f aca="false">IF(ISBLANK($C26),"",IF($AG26&lt;&gt;Constants!$B$7, $AG26 ,AS26))</f>
        <v/>
      </c>
      <c r="BH26" s="74" t="str">
        <f aca="false">IF(ISBLANK($C26),"",IF($AG26&lt;&gt;Constants!$B$7, $AG26 ,AH26))</f>
        <v/>
      </c>
      <c r="BI26" s="72" t="str">
        <f aca="false">IF(ISBLANK(C26),"",BA26)</f>
        <v/>
      </c>
      <c r="BJ26" s="72" t="str">
        <f aca="false">IF(ISBLANK(C26),"",AZ26)</f>
        <v/>
      </c>
      <c r="BK26" s="75" t="str">
        <f aca="false">IF(ISBLANK(C26),"",IFERROR(_xlfn.SWITCH(BJ26, Constants!$B$4, COUNTA($C$8:$C525)+2, Constants!$B$5, COUNTA($C$8:$C525)+1, Constants!$B$6, COUNTA($C$8:$C525)),BJ26))</f>
        <v/>
      </c>
      <c r="BL26" s="5"/>
      <c r="BM26" s="76" t="n">
        <f aca="false">IF(OR(ISNUMBER(BJ26),BJ26="DQ",BJ26="P",BJ26="NS"),
    1,
    0
)</f>
        <v>0</v>
      </c>
      <c r="BN26" s="76" t="n">
        <v>19</v>
      </c>
      <c r="BO26" s="76" t="str">
        <f aca="false">IF(ISBLANK($C26),"",IF(ISNUMBER(BK26),BK26+ROW($B26)/1000,""))</f>
        <v/>
      </c>
      <c r="BP26" s="76" t="str">
        <f aca="false">IF(ISNUMBER(BO26), RANK(BO26,BO$8:BO$507,1), "")</f>
        <v/>
      </c>
      <c r="BQ26" s="76" t="str">
        <f aca="false">IF(ISBLANK($C26),
    "",
    $B26
)</f>
        <v/>
      </c>
      <c r="BR26" s="76" t="str">
        <f aca="false">IF(ISBLANK($C26),
    "",
    $C26
)</f>
        <v/>
      </c>
      <c r="BS26" s="76" t="str">
        <f aca="false">IF(ISBLANK($C26),
    "",
    $D26
)</f>
        <v/>
      </c>
      <c r="BT26" s="77" t="str">
        <f aca="false">BH26</f>
        <v/>
      </c>
      <c r="BU26" s="78" t="str">
        <f aca="false">BG26</f>
        <v/>
      </c>
      <c r="BV26" s="76" t="str">
        <f aca="false">IF(ISBLANK($C26),
    "",
    BJ26
)</f>
        <v/>
      </c>
      <c r="BW26" s="79" t="str">
        <f aca="false">IF(BN26&gt;BM$7,
    "",
    VLOOKUP(BN26,BP$8:BV525,7,FALSE())
)</f>
        <v/>
      </c>
      <c r="BX26" s="80" t="str">
        <f aca="false">IF(BN26&gt;BM$7,
    "",
    VLOOKUP(BN26,BP$8:BV525,2,FALSE())
)</f>
        <v/>
      </c>
      <c r="BY26" s="80" t="str">
        <f aca="false">IF(BN26&gt;BM$7,
    "",
    VLOOKUP(BN26,BP$8:BV525,3,FALSE())
)</f>
        <v/>
      </c>
      <c r="BZ26" s="80" t="str">
        <f aca="false">IF(BN26&gt;BM$7,
    "",
    VLOOKUP(BN26,BP$8:BV525,4,FALSE())
)</f>
        <v/>
      </c>
      <c r="CA26" s="80" t="str">
        <f aca="false">IF(BN26&gt;BM$7,
    "",
    VLOOKUP(BN26,BP$8:BV525,5,FALSE())
)</f>
        <v/>
      </c>
      <c r="CB26" s="81" t="str">
        <f aca="false">IF(BN26&gt;BM$7,
    "",
    VLOOKUP(BN26,BP$8:BV525,6,FALSE())
)</f>
        <v/>
      </c>
      <c r="CC26" s="53"/>
    </row>
    <row r="27" customFormat="false" ht="15.75" hidden="false" customHeight="false" outlineLevel="0" collapsed="false">
      <c r="A27" s="5"/>
      <c r="B27" s="129"/>
      <c r="C27" s="55"/>
      <c r="D27" s="56"/>
      <c r="E27" s="123"/>
      <c r="F27" s="123"/>
      <c r="G27" s="58"/>
      <c r="H27" s="59"/>
      <c r="I27" s="59"/>
      <c r="J27" s="124"/>
      <c r="K27" s="124"/>
      <c r="L27" s="124"/>
      <c r="M27" s="61"/>
      <c r="N27" s="61"/>
      <c r="O27" s="61"/>
      <c r="P27" s="62"/>
      <c r="Q27" s="63"/>
      <c r="R27" s="83"/>
      <c r="S27" s="65"/>
      <c r="T27" s="66"/>
      <c r="U27" s="66" t="str">
        <f aca="false">IF(ISBLANK($C27),"",IF(G27=Constants!$B$2, TRUE(), IF(G27=Constants!$B$3, FALSE(), TRUE())))</f>
        <v/>
      </c>
      <c r="V27" s="66" t="str">
        <f aca="false">IF(ISBLANK($C27),"",IF(H27=Constants!$B$2, TRUE(), IF(H27=Constants!$B$3, FALSE(), TRUE())))</f>
        <v/>
      </c>
      <c r="W27" s="66" t="str">
        <f aca="false">IF(ISBLANK($C27),"",IF(I27=Constants!$B$2, TRUE(), IF(I27=Constants!$B$3, FALSE(), TRUE())))</f>
        <v/>
      </c>
      <c r="X27" s="66" t="str">
        <f aca="false">IF(ISBLANK($C27),"",IF(AND(ISNUMBER(J27),J27&gt;0),INT(J27),0))</f>
        <v/>
      </c>
      <c r="Y27" s="66" t="str">
        <f aca="false">IF(ISBLANK($C27),"",IF(K27=Constants!$B$2, TRUE(), IF(K27=Constants!$B$3, FALSE(), TRUE())))</f>
        <v/>
      </c>
      <c r="Z27" s="66" t="str">
        <f aca="false">IF(ISBLANK($C27),"",IF(AND(ISNUMBER(L27),L27&gt;0),INT(L27),0))</f>
        <v/>
      </c>
      <c r="AA27" s="68" t="str">
        <f aca="false">IF(ISBLANK($C27),"",IF(ISNUMBER(M27), M27, ""))</f>
        <v/>
      </c>
      <c r="AB27" s="68" t="str">
        <f aca="false">IF(ISBLANK($C27),"",IF(ISNUMBER(N27), N27, ""))</f>
        <v/>
      </c>
      <c r="AC27" s="68" t="str">
        <f aca="false">IF(ISBLANK($C27),"",IF(ISNUMBER(O27), O27, ""))</f>
        <v/>
      </c>
      <c r="AD27" s="69" t="str">
        <f aca="false">IF(ISBLANK($C27),"",IF(ISNUMBER(P27), P27, ""))</f>
        <v/>
      </c>
      <c r="AE27" s="69" t="str">
        <f aca="false">IF(ISBLANK($C27),"",IF(ISNUMBER(Q27), Q27, Constants!$B$13))</f>
        <v/>
      </c>
      <c r="AF27" s="66" t="str">
        <f aca="false">IF(ISBLANK($C27),"",IF(R27=Constants!$B$2, TRUE(), IF(R27=Constants!$B$3, FALSE(), FALSE())))</f>
        <v/>
      </c>
      <c r="AG27" s="66" t="str">
        <f aca="false">IF(ISBLANK(C27), "", IF(AF27, Constants!$B$4,IF(COUNTA(G27:P27)=0, Constants!$B$5, Constants!$B$7)))</f>
        <v/>
      </c>
      <c r="AH27" s="66" t="str">
        <f aca="false">IF(ISBLANK($C27), "",IF($AG27=Constants!$B$7,1,$AG27))</f>
        <v/>
      </c>
      <c r="AI27" s="66" t="str">
        <f aca="false">IF($AG27=Constants!$B$7,POWER(Constants!$B$11,X27)*POWER(Constants!$B$12,Z27),"")</f>
        <v/>
      </c>
      <c r="AJ27" s="66" t="str">
        <f aca="false">IF(AND($AG27=Constants!$B$7, U27, V27) ,IF(OR($AA27="",$AC27=""),"",MAX(0, $AC27-$AA27)),"")</f>
        <v/>
      </c>
      <c r="AK27" s="66" t="str">
        <f aca="false">IF(AND($AG27=Constants!$B$7, U27, V27),IF(OR($AA27="",$AC27=""),$AK$6,""),"")</f>
        <v/>
      </c>
      <c r="AL27" s="66" t="str">
        <f aca="false">IF($AG27=Constants!$B$7,IF(AND(U27,V27,W27,Y27),IF($AJ27="",0,IF($AJ$6=0,Constants!$B$9,Constants!$B$9*AJ27/$AJ$6)), 0),"")</f>
        <v/>
      </c>
      <c r="AM27" s="66" t="str">
        <f aca="false">IF(AL27&lt;&gt;"", AL27*AI27,"")</f>
        <v/>
      </c>
      <c r="AN27" s="66" t="str">
        <f aca="false">IF(AND($AG27=Constants!$B$7, U27, V27) ,IF($AB27="", "", IF(OR($AC27="",$AC27=0),"",MAX(0,1-ABS($AC27-$AB27)/$AC27))),"")</f>
        <v/>
      </c>
      <c r="AO27" s="66" t="str">
        <f aca="false">IF(AND($AG27=Constants!$B$7, U27, V27),IF(AND($AA27&lt;&gt;"",$AB27&lt;&gt;"",$AC27=0),$AO$6,""),"")</f>
        <v/>
      </c>
      <c r="AP27" s="66" t="str">
        <f aca="false">IF($AG27=Constants!$B$7 ,IF(AND(U27,V27,W27,Y27,ISNUMBER(AB27)),IF($AN27="",0,IF($AN$6=0,Constants!$B$10,Constants!$B$10*AN27/$AN$6)), 0),"")</f>
        <v/>
      </c>
      <c r="AQ27" s="66" t="str">
        <f aca="false">IF(AP27&lt;&gt;"", AP27*AI27,"")</f>
        <v/>
      </c>
      <c r="AR27" s="66" t="str">
        <f aca="false">IF($AG27=Constants!$B$7,IF($AD27="",0,IF($AR$6=0,Constants!$B$8,Constants!$B$8*AD27/$AR$6)),"")</f>
        <v/>
      </c>
      <c r="AS27" s="66" t="str">
        <f aca="false">IF($AG27&lt;&gt;Constants!$B$7,$AG27,IF(AK27&amp;AO27&lt;&gt;"",Constants!$B$14,AM27+AQ27+AR27))</f>
        <v/>
      </c>
      <c r="AT27" s="66" t="str">
        <f aca="false">IF(ISBLANK($C27),"",IF($AG27=Constants!$B$7,IF(ISNUMBER(AS27),RANK(AS27,$AS$8:$AS$507),Constants!$B$14),$AG27))</f>
        <v/>
      </c>
      <c r="AU27" s="66" t="str">
        <f aca="false">IF(ISBLANK($C27), "",AM27)</f>
        <v/>
      </c>
      <c r="AV27" s="66" t="str">
        <f aca="false">IF(ISBLANK($C27),"",IF($AG27=Constants!$B$7,RANK(AU27,AU$8:AU$507),$AG27))</f>
        <v/>
      </c>
      <c r="AW27" s="66" t="str">
        <f aca="false">IF(ISBLANK($C27), "",AR27)</f>
        <v/>
      </c>
      <c r="AX27" s="66" t="str">
        <f aca="false">IF(ISBLANK($C27),"",IF($AG27=Constants!$B$7,RANK(AW27,AW$8:AW$507),$AG27))</f>
        <v/>
      </c>
      <c r="AY27" s="66" t="str">
        <f aca="false">IF(ISBLANK($C27), "",AE27)</f>
        <v/>
      </c>
      <c r="AZ27" s="66" t="str">
        <f aca="false">IF(ISBLANK($C27),"",
IF($AG27=Constants!$B$7,
  IF(ISNUMBER(AT27),
    COUNTIFS($AT$8:$AT$507,"&lt;"&amp;$AT27)
    + COUNTIFS($AT$8:$AT$507,$AT27,$AV$8:$AV$507,"&lt;"&amp;$AV27)
    + COUNTIFS($AT$8:$AT$507,$AT27,$AV$8:$AV$507,$AV27,$AX$8:$AX$507,"&lt;"&amp;$AX27)
    + COUNTIFS($AT$8:$AT$507,$AT27,$AV$8:$AV$507,$AV27,$AX$8:$AX$507,$AX27,$AY$8:$AY$507,"&lt;"&amp;$AY27)
    + 1,
  Constants!$B$14),
$AG27))</f>
        <v/>
      </c>
      <c r="BA27" s="66" t="str">
        <f aca="false">IF(ISBLANK(C27),"",IF($AG27=Constants!$B$7, IF(ISNUMBER(AT27),AT27-AZ27,Constants!$B$14),$AG27))</f>
        <v/>
      </c>
      <c r="BB27" s="70"/>
      <c r="BC27" s="84" t="str">
        <f aca="false">IF(ISBLANK($C27),"",TRIM(AK27&amp;" "&amp;AO27))</f>
        <v/>
      </c>
      <c r="BD27" s="72" t="str">
        <f aca="false">IF(ISBLANK($C27),"",IF($AG27&lt;&gt;Constants!$B$7,$AG27,AR27))</f>
        <v/>
      </c>
      <c r="BE27" s="72" t="str">
        <f aca="false">IF(ISBLANK($C27),"",IF($AG27&lt;&gt;Constants!$B$7,$AG27,AM27))</f>
        <v/>
      </c>
      <c r="BF27" s="72" t="str">
        <f aca="false">IF(ISBLANK($C27),"",IF($AG27&lt;&gt;Constants!$B$7,$AG27,AQ27))</f>
        <v/>
      </c>
      <c r="BG27" s="73" t="str">
        <f aca="false">IF(ISBLANK($C27),"",IF($AG27&lt;&gt;Constants!$B$7, $AG27 ,AS27))</f>
        <v/>
      </c>
      <c r="BH27" s="74" t="str">
        <f aca="false">IF(ISBLANK($C27),"",IF($AG27&lt;&gt;Constants!$B$7, $AG27 ,AH27))</f>
        <v/>
      </c>
      <c r="BI27" s="72" t="str">
        <f aca="false">IF(ISBLANK(C27),"",BA27)</f>
        <v/>
      </c>
      <c r="BJ27" s="72" t="str">
        <f aca="false">IF(ISBLANK(C27),"",AZ27)</f>
        <v/>
      </c>
      <c r="BK27" s="75" t="str">
        <f aca="false">IF(ISBLANK(C27),"",IFERROR(_xlfn.SWITCH(BJ27, Constants!$B$4, COUNTA($C$8:$C526)+2, Constants!$B$5, COUNTA($C$8:$C526)+1, Constants!$B$6, COUNTA($C$8:$C526)),BJ27))</f>
        <v/>
      </c>
      <c r="BL27" s="5"/>
      <c r="BM27" s="76" t="n">
        <f aca="false">IF(OR(ISNUMBER(BJ27),BJ27="DQ",BJ27="P",BJ27="NS"),
    1,
    0
)</f>
        <v>0</v>
      </c>
      <c r="BN27" s="76" t="n">
        <v>20</v>
      </c>
      <c r="BO27" s="76" t="str">
        <f aca="false">IF(ISBLANK($C27),"",IF(ISNUMBER(BK27),BK27+ROW($B27)/1000,""))</f>
        <v/>
      </c>
      <c r="BP27" s="76" t="str">
        <f aca="false">IF(ISNUMBER(BO27), RANK(BO27,BO$8:BO$507,1), "")</f>
        <v/>
      </c>
      <c r="BQ27" s="76" t="str">
        <f aca="false">IF(ISBLANK($C27),
    "",
    $B27
)</f>
        <v/>
      </c>
      <c r="BR27" s="76" t="str">
        <f aca="false">IF(ISBLANK($C27),
    "",
    $C27
)</f>
        <v/>
      </c>
      <c r="BS27" s="76" t="str">
        <f aca="false">IF(ISBLANK($C27),
    "",
    $D27
)</f>
        <v/>
      </c>
      <c r="BT27" s="77" t="str">
        <f aca="false">BH27</f>
        <v/>
      </c>
      <c r="BU27" s="78" t="str">
        <f aca="false">BG27</f>
        <v/>
      </c>
      <c r="BV27" s="76" t="str">
        <f aca="false">IF(ISBLANK($C27),
    "",
    BJ27
)</f>
        <v/>
      </c>
      <c r="BW27" s="79" t="str">
        <f aca="false">IF(BN27&gt;BM$7,
    "",
    VLOOKUP(BN27,BP$8:BV526,7,FALSE())
)</f>
        <v/>
      </c>
      <c r="BX27" s="80" t="str">
        <f aca="false">IF(BN27&gt;BM$7,
    "",
    VLOOKUP(BN27,BP$8:BV526,2,FALSE())
)</f>
        <v/>
      </c>
      <c r="BY27" s="80" t="str">
        <f aca="false">IF(BN27&gt;BM$7,
    "",
    VLOOKUP(BN27,BP$8:BV526,3,FALSE())
)</f>
        <v/>
      </c>
      <c r="BZ27" s="80" t="str">
        <f aca="false">IF(BN27&gt;BM$7,
    "",
    VLOOKUP(BN27,BP$8:BV526,4,FALSE())
)</f>
        <v/>
      </c>
      <c r="CA27" s="80" t="str">
        <f aca="false">IF(BN27&gt;BM$7,
    "",
    VLOOKUP(BN27,BP$8:BV526,5,FALSE())
)</f>
        <v/>
      </c>
      <c r="CB27" s="81" t="str">
        <f aca="false">IF(BN27&gt;BM$7,
    "",
    VLOOKUP(BN27,BP$8:BV526,6,FALSE())
)</f>
        <v/>
      </c>
      <c r="CC27" s="53"/>
    </row>
    <row r="28" customFormat="false" ht="15.75" hidden="false" customHeight="false" outlineLevel="0" collapsed="false">
      <c r="A28" s="5"/>
      <c r="B28" s="129"/>
      <c r="C28" s="55"/>
      <c r="D28" s="56"/>
      <c r="E28" s="123"/>
      <c r="F28" s="123"/>
      <c r="G28" s="58"/>
      <c r="H28" s="59"/>
      <c r="I28" s="59"/>
      <c r="J28" s="124"/>
      <c r="K28" s="124"/>
      <c r="L28" s="124"/>
      <c r="M28" s="61"/>
      <c r="N28" s="61"/>
      <c r="O28" s="61"/>
      <c r="P28" s="62"/>
      <c r="Q28" s="63"/>
      <c r="R28" s="83"/>
      <c r="S28" s="65"/>
      <c r="T28" s="66"/>
      <c r="U28" s="66" t="str">
        <f aca="false">IF(ISBLANK($C28),"",IF(G28=Constants!$B$2, TRUE(), IF(G28=Constants!$B$3, FALSE(), TRUE())))</f>
        <v/>
      </c>
      <c r="V28" s="66" t="str">
        <f aca="false">IF(ISBLANK($C28),"",IF(H28=Constants!$B$2, TRUE(), IF(H28=Constants!$B$3, FALSE(), TRUE())))</f>
        <v/>
      </c>
      <c r="W28" s="66" t="str">
        <f aca="false">IF(ISBLANK($C28),"",IF(I28=Constants!$B$2, TRUE(), IF(I28=Constants!$B$3, FALSE(), TRUE())))</f>
        <v/>
      </c>
      <c r="X28" s="66" t="str">
        <f aca="false">IF(ISBLANK($C28),"",IF(AND(ISNUMBER(J28),J28&gt;0),INT(J28),0))</f>
        <v/>
      </c>
      <c r="Y28" s="66" t="str">
        <f aca="false">IF(ISBLANK($C28),"",IF(K28=Constants!$B$2, TRUE(), IF(K28=Constants!$B$3, FALSE(), TRUE())))</f>
        <v/>
      </c>
      <c r="Z28" s="66" t="str">
        <f aca="false">IF(ISBLANK($C28),"",IF(AND(ISNUMBER(L28),L28&gt;0),INT(L28),0))</f>
        <v/>
      </c>
      <c r="AA28" s="68" t="str">
        <f aca="false">IF(ISBLANK($C28),"",IF(ISNUMBER(M28), M28, ""))</f>
        <v/>
      </c>
      <c r="AB28" s="68" t="str">
        <f aca="false">IF(ISBLANK($C28),"",IF(ISNUMBER(N28), N28, ""))</f>
        <v/>
      </c>
      <c r="AC28" s="68" t="str">
        <f aca="false">IF(ISBLANK($C28),"",IF(ISNUMBER(O28), O28, ""))</f>
        <v/>
      </c>
      <c r="AD28" s="69" t="str">
        <f aca="false">IF(ISBLANK($C28),"",IF(ISNUMBER(P28), P28, ""))</f>
        <v/>
      </c>
      <c r="AE28" s="69" t="str">
        <f aca="false">IF(ISBLANK($C28),"",IF(ISNUMBER(Q28), Q28, Constants!$B$13))</f>
        <v/>
      </c>
      <c r="AF28" s="66" t="str">
        <f aca="false">IF(ISBLANK($C28),"",IF(R28=Constants!$B$2, TRUE(), IF(R28=Constants!$B$3, FALSE(), FALSE())))</f>
        <v/>
      </c>
      <c r="AG28" s="66" t="str">
        <f aca="false">IF(ISBLANK(C28), "", IF(AF28, Constants!$B$4,IF(COUNTA(G28:P28)=0, Constants!$B$5, Constants!$B$7)))</f>
        <v/>
      </c>
      <c r="AH28" s="66" t="str">
        <f aca="false">IF(ISBLANK($C28), "",IF($AG28=Constants!$B$7,1,$AG28))</f>
        <v/>
      </c>
      <c r="AI28" s="66" t="str">
        <f aca="false">IF($AG28=Constants!$B$7,POWER(Constants!$B$11,X28)*POWER(Constants!$B$12,Z28),"")</f>
        <v/>
      </c>
      <c r="AJ28" s="66" t="str">
        <f aca="false">IF(AND($AG28=Constants!$B$7, U28, V28) ,IF(OR($AA28="",$AC28=""),"",MAX(0, $AC28-$AA28)),"")</f>
        <v/>
      </c>
      <c r="AK28" s="66" t="str">
        <f aca="false">IF(AND($AG28=Constants!$B$7, U28, V28),IF(OR($AA28="",$AC28=""),$AK$6,""),"")</f>
        <v/>
      </c>
      <c r="AL28" s="66" t="str">
        <f aca="false">IF($AG28=Constants!$B$7,IF(AND(U28,V28,W28,Y28),IF($AJ28="",0,IF($AJ$6=0,Constants!$B$9,Constants!$B$9*AJ28/$AJ$6)), 0),"")</f>
        <v/>
      </c>
      <c r="AM28" s="66" t="str">
        <f aca="false">IF(AL28&lt;&gt;"", AL28*AI28,"")</f>
        <v/>
      </c>
      <c r="AN28" s="66" t="str">
        <f aca="false">IF(AND($AG28=Constants!$B$7, U28, V28) ,IF($AB28="", "", IF(OR($AC28="",$AC28=0),"",MAX(0,1-ABS($AC28-$AB28)/$AC28))),"")</f>
        <v/>
      </c>
      <c r="AO28" s="66" t="str">
        <f aca="false">IF(AND($AG28=Constants!$B$7, U28, V28),IF(AND($AA28&lt;&gt;"",$AB28&lt;&gt;"",$AC28=0),$AO$6,""),"")</f>
        <v/>
      </c>
      <c r="AP28" s="66" t="str">
        <f aca="false">IF($AG28=Constants!$B$7 ,IF(AND(U28,V28,W28,Y28,ISNUMBER(AB28)),IF($AN28="",0,IF($AN$6=0,Constants!$B$10,Constants!$B$10*AN28/$AN$6)), 0),"")</f>
        <v/>
      </c>
      <c r="AQ28" s="66" t="str">
        <f aca="false">IF(AP28&lt;&gt;"", AP28*AI28,"")</f>
        <v/>
      </c>
      <c r="AR28" s="66" t="str">
        <f aca="false">IF($AG28=Constants!$B$7,IF($AD28="",0,IF($AR$6=0,Constants!$B$8,Constants!$B$8*AD28/$AR$6)),"")</f>
        <v/>
      </c>
      <c r="AS28" s="66" t="str">
        <f aca="false">IF($AG28&lt;&gt;Constants!$B$7,$AG28,IF(AK28&amp;AO28&lt;&gt;"",Constants!$B$14,AM28+AQ28+AR28))</f>
        <v/>
      </c>
      <c r="AT28" s="66" t="str">
        <f aca="false">IF(ISBLANK($C28),"",IF($AG28=Constants!$B$7,IF(ISNUMBER(AS28),RANK(AS28,$AS$8:$AS$507),Constants!$B$14),$AG28))</f>
        <v/>
      </c>
      <c r="AU28" s="66" t="str">
        <f aca="false">IF(ISBLANK($C28), "",AM28)</f>
        <v/>
      </c>
      <c r="AV28" s="66" t="str">
        <f aca="false">IF(ISBLANK($C28),"",IF($AG28=Constants!$B$7,RANK(AU28,AU$8:AU$507),$AG28))</f>
        <v/>
      </c>
      <c r="AW28" s="66" t="str">
        <f aca="false">IF(ISBLANK($C28), "",AR28)</f>
        <v/>
      </c>
      <c r="AX28" s="66" t="str">
        <f aca="false">IF(ISBLANK($C28),"",IF($AG28=Constants!$B$7,RANK(AW28,AW$8:AW$507),$AG28))</f>
        <v/>
      </c>
      <c r="AY28" s="66" t="str">
        <f aca="false">IF(ISBLANK($C28), "",AE28)</f>
        <v/>
      </c>
      <c r="AZ28" s="66" t="str">
        <f aca="false">IF(ISBLANK($C28),"",
IF($AG28=Constants!$B$7,
  IF(ISNUMBER(AT28),
    COUNTIFS($AT$8:$AT$507,"&lt;"&amp;$AT28)
    + COUNTIFS($AT$8:$AT$507,$AT28,$AV$8:$AV$507,"&lt;"&amp;$AV28)
    + COUNTIFS($AT$8:$AT$507,$AT28,$AV$8:$AV$507,$AV28,$AX$8:$AX$507,"&lt;"&amp;$AX28)
    + COUNTIFS($AT$8:$AT$507,$AT28,$AV$8:$AV$507,$AV28,$AX$8:$AX$507,$AX28,$AY$8:$AY$507,"&lt;"&amp;$AY28)
    + 1,
  Constants!$B$14),
$AG28))</f>
        <v/>
      </c>
      <c r="BA28" s="66" t="str">
        <f aca="false">IF(ISBLANK(C28),"",IF($AG28=Constants!$B$7, IF(ISNUMBER(AT28),AT28-AZ28,Constants!$B$14),$AG28))</f>
        <v/>
      </c>
      <c r="BB28" s="70"/>
      <c r="BC28" s="84" t="str">
        <f aca="false">IF(ISBLANK($C28),"",TRIM(AK28&amp;" "&amp;AO28))</f>
        <v/>
      </c>
      <c r="BD28" s="72" t="str">
        <f aca="false">IF(ISBLANK($C28),"",IF($AG28&lt;&gt;Constants!$B$7,$AG28,AR28))</f>
        <v/>
      </c>
      <c r="BE28" s="72" t="str">
        <f aca="false">IF(ISBLANK($C28),"",IF($AG28&lt;&gt;Constants!$B$7,$AG28,AM28))</f>
        <v/>
      </c>
      <c r="BF28" s="72" t="str">
        <f aca="false">IF(ISBLANK($C28),"",IF($AG28&lt;&gt;Constants!$B$7,$AG28,AQ28))</f>
        <v/>
      </c>
      <c r="BG28" s="73" t="str">
        <f aca="false">IF(ISBLANK($C28),"",IF($AG28&lt;&gt;Constants!$B$7, $AG28 ,AS28))</f>
        <v/>
      </c>
      <c r="BH28" s="74" t="str">
        <f aca="false">IF(ISBLANK($C28),"",IF($AG28&lt;&gt;Constants!$B$7, $AG28 ,AH28))</f>
        <v/>
      </c>
      <c r="BI28" s="72" t="str">
        <f aca="false">IF(ISBLANK(C28),"",BA28)</f>
        <v/>
      </c>
      <c r="BJ28" s="72" t="str">
        <f aca="false">IF(ISBLANK(C28),"",AZ28)</f>
        <v/>
      </c>
      <c r="BK28" s="75" t="str">
        <f aca="false">IF(ISBLANK(C28),"",IFERROR(_xlfn.SWITCH(BJ28, Constants!$B$4, COUNTA($C$8:$C527)+2, Constants!$B$5, COUNTA($C$8:$C527)+1, Constants!$B$6, COUNTA($C$8:$C527)),BJ28))</f>
        <v/>
      </c>
      <c r="BL28" s="5"/>
      <c r="BM28" s="76" t="n">
        <f aca="false">IF(OR(ISNUMBER(BJ28),BJ28="DQ",BJ28="P",BJ28="NS"),
    1,
    0
)</f>
        <v>0</v>
      </c>
      <c r="BN28" s="76" t="n">
        <v>21</v>
      </c>
      <c r="BO28" s="76" t="str">
        <f aca="false">IF(ISBLANK($C28),"",IF(ISNUMBER(BK28),BK28+ROW($B28)/1000,""))</f>
        <v/>
      </c>
      <c r="BP28" s="76" t="str">
        <f aca="false">IF(ISNUMBER(BO28), RANK(BO28,BO$8:BO$507,1), "")</f>
        <v/>
      </c>
      <c r="BQ28" s="76" t="str">
        <f aca="false">IF(ISBLANK($C28),
    "",
    $B28
)</f>
        <v/>
      </c>
      <c r="BR28" s="76" t="str">
        <f aca="false">IF(ISBLANK($C28),
    "",
    $C28
)</f>
        <v/>
      </c>
      <c r="BS28" s="76" t="str">
        <f aca="false">IF(ISBLANK($C28),
    "",
    $D28
)</f>
        <v/>
      </c>
      <c r="BT28" s="77" t="str">
        <f aca="false">BH28</f>
        <v/>
      </c>
      <c r="BU28" s="78" t="str">
        <f aca="false">BG28</f>
        <v/>
      </c>
      <c r="BV28" s="76" t="str">
        <f aca="false">IF(ISBLANK($C28),
    "",
    BJ28
)</f>
        <v/>
      </c>
      <c r="BW28" s="79" t="str">
        <f aca="false">IF(BN28&gt;BM$7,
    "",
    VLOOKUP(BN28,BP$8:BV527,7,FALSE())
)</f>
        <v/>
      </c>
      <c r="BX28" s="80" t="str">
        <f aca="false">IF(BN28&gt;BM$7,
    "",
    VLOOKUP(BN28,BP$8:BV527,2,FALSE())
)</f>
        <v/>
      </c>
      <c r="BY28" s="80" t="str">
        <f aca="false">IF(BN28&gt;BM$7,
    "",
    VLOOKUP(BN28,BP$8:BV527,3,FALSE())
)</f>
        <v/>
      </c>
      <c r="BZ28" s="80" t="str">
        <f aca="false">IF(BN28&gt;BM$7,
    "",
    VLOOKUP(BN28,BP$8:BV527,4,FALSE())
)</f>
        <v/>
      </c>
      <c r="CA28" s="80" t="str">
        <f aca="false">IF(BN28&gt;BM$7,
    "",
    VLOOKUP(BN28,BP$8:BV527,5,FALSE())
)</f>
        <v/>
      </c>
      <c r="CB28" s="81" t="str">
        <f aca="false">IF(BN28&gt;BM$7,
    "",
    VLOOKUP(BN28,BP$8:BV527,6,FALSE())
)</f>
        <v/>
      </c>
      <c r="CC28" s="53"/>
    </row>
    <row r="29" customFormat="false" ht="15.75" hidden="false" customHeight="false" outlineLevel="0" collapsed="false">
      <c r="A29" s="5"/>
      <c r="B29" s="125"/>
      <c r="C29" s="126"/>
      <c r="D29" s="115"/>
      <c r="E29" s="119"/>
      <c r="F29" s="119"/>
      <c r="G29" s="91"/>
      <c r="H29" s="92"/>
      <c r="I29" s="92"/>
      <c r="J29" s="127"/>
      <c r="K29" s="127"/>
      <c r="L29" s="127"/>
      <c r="M29" s="94"/>
      <c r="N29" s="94"/>
      <c r="O29" s="94"/>
      <c r="P29" s="95"/>
      <c r="Q29" s="96"/>
      <c r="R29" s="128"/>
      <c r="S29" s="98"/>
      <c r="T29" s="99"/>
      <c r="U29" s="99" t="str">
        <f aca="false">IF(ISBLANK($C29),"",IF(G29=Constants!$B$2, TRUE(), IF(G29=Constants!$B$3, FALSE(), TRUE())))</f>
        <v/>
      </c>
      <c r="V29" s="99" t="str">
        <f aca="false">IF(ISBLANK($C29),"",IF(H29=Constants!$B$2, TRUE(), IF(H29=Constants!$B$3, FALSE(), TRUE())))</f>
        <v/>
      </c>
      <c r="W29" s="99" t="str">
        <f aca="false">IF(ISBLANK($C29),"",IF(I29=Constants!$B$2, TRUE(), IF(I29=Constants!$B$3, FALSE(), TRUE())))</f>
        <v/>
      </c>
      <c r="X29" s="99" t="str">
        <f aca="false">IF(ISBLANK($C29),"",IF(AND(ISNUMBER(J29),J29&gt;0),INT(J29),0))</f>
        <v/>
      </c>
      <c r="Y29" s="99" t="str">
        <f aca="false">IF(ISBLANK($C29),"",IF(K29=Constants!$B$2, TRUE(), IF(K29=Constants!$B$3, FALSE(), TRUE())))</f>
        <v/>
      </c>
      <c r="Z29" s="100" t="str">
        <f aca="false">IF(ISBLANK($C29),"",IF(AND(ISNUMBER(L29),L29&gt;0),INT(L29),0))</f>
        <v/>
      </c>
      <c r="AA29" s="101" t="str">
        <f aca="false">IF(ISBLANK($C29),"",IF(ISNUMBER(M29), M29, ""))</f>
        <v/>
      </c>
      <c r="AB29" s="101" t="str">
        <f aca="false">IF(ISBLANK($C29),"",IF(ISNUMBER(N29), N29, ""))</f>
        <v/>
      </c>
      <c r="AC29" s="101" t="str">
        <f aca="false">IF(ISBLANK($C29),"",IF(ISNUMBER(O29), O29, ""))</f>
        <v/>
      </c>
      <c r="AD29" s="102" t="str">
        <f aca="false">IF(ISBLANK($C29),"",IF(ISNUMBER(P29), P29, ""))</f>
        <v/>
      </c>
      <c r="AE29" s="102" t="str">
        <f aca="false">IF(ISBLANK($C29),"",IF(ISNUMBER(Q29), Q29, Constants!$B$13))</f>
        <v/>
      </c>
      <c r="AF29" s="99" t="str">
        <f aca="false">IF(ISBLANK($C29),"",IF(R29=Constants!$B$2, TRUE(), IF(R29=Constants!$B$3, FALSE(), FALSE())))</f>
        <v/>
      </c>
      <c r="AG29" s="99" t="str">
        <f aca="false">IF(ISBLANK(C29), "", IF(AF29, Constants!$B$4,IF(COUNTA(G29:P29)=0, Constants!$B$5, Constants!$B$7)))</f>
        <v/>
      </c>
      <c r="AH29" s="99" t="str">
        <f aca="false">IF(ISBLANK($C29), "",IF($AG29=Constants!$B$7,1,$AG29))</f>
        <v/>
      </c>
      <c r="AI29" s="99" t="str">
        <f aca="false">IF($AG29=Constants!$B$7,POWER(Constants!$B$11,X29)*POWER(Constants!$B$12,Z29),"")</f>
        <v/>
      </c>
      <c r="AJ29" s="99" t="str">
        <f aca="false">IF(AND($AG29=Constants!$B$7, U29, V29) ,IF(OR($AA29="",$AC29=""),"",MAX(0, $AC29-$AA29)),"")</f>
        <v/>
      </c>
      <c r="AK29" s="99" t="str">
        <f aca="false">IF(AND($AG29=Constants!$B$7, U29, V29),IF(OR($AA29="",$AC29=""),$AK$6,""),"")</f>
        <v/>
      </c>
      <c r="AL29" s="99" t="str">
        <f aca="false">IF($AG29=Constants!$B$7,IF(AND(U29,V29,W29,Y29),IF($AJ29="",0,IF($AJ$6=0,Constants!$B$9,Constants!$B$9*AJ29/$AJ$6)), 0),"")</f>
        <v/>
      </c>
      <c r="AM29" s="99" t="str">
        <f aca="false">IF(AL29&lt;&gt;"", AL29*AI29,"")</f>
        <v/>
      </c>
      <c r="AN29" s="99" t="str">
        <f aca="false">IF(AND($AG29=Constants!$B$7, U29, V29) ,IF($AB29="", "", IF(OR($AC29="",$AC29=0),"",MAX(0,1-ABS($AC29-$AB29)/$AC29))),"")</f>
        <v/>
      </c>
      <c r="AO29" s="99" t="str">
        <f aca="false">IF(AND($AG29=Constants!$B$7, U29, V29),IF(AND($AA29&lt;&gt;"",$AB29&lt;&gt;"",$AC29=0),$AO$6,""),"")</f>
        <v/>
      </c>
      <c r="AP29" s="99" t="str">
        <f aca="false">IF($AG29=Constants!$B$7 ,IF(AND(U29,V29,W29,Y29,ISNUMBER(AB29)),IF($AN29="",0,IF($AN$6=0,Constants!$B$10,Constants!$B$10*AN29/$AN$6)), 0),"")</f>
        <v/>
      </c>
      <c r="AQ29" s="99" t="str">
        <f aca="false">IF(AP29&lt;&gt;"", AP29*AI29,"")</f>
        <v/>
      </c>
      <c r="AR29" s="99" t="str">
        <f aca="false">IF($AG29=Constants!$B$7,IF($AD29="",0,IF($AR$6=0,Constants!$B$8,Constants!$B$8*AD29/$AR$6)),"")</f>
        <v/>
      </c>
      <c r="AS29" s="99" t="str">
        <f aca="false">IF($AG29&lt;&gt;Constants!$B$7,$AG29,IF(AK29&amp;AO29&lt;&gt;"",Constants!$B$14,AM29+AQ29+AR29))</f>
        <v/>
      </c>
      <c r="AT29" s="99" t="str">
        <f aca="false">IF(ISBLANK($C29),"",IF($AG29=Constants!$B$7,IF(ISNUMBER(AS29),RANK(AS29,$AS$8:$AS$507),Constants!$B$14),$AG29))</f>
        <v/>
      </c>
      <c r="AU29" s="99" t="str">
        <f aca="false">IF(ISBLANK($C29), "",AM29)</f>
        <v/>
      </c>
      <c r="AV29" s="99" t="str">
        <f aca="false">IF(ISBLANK($C29),"",IF($AG29=Constants!$B$7,RANK(AU29,AU$8:AU$507),$AG29))</f>
        <v/>
      </c>
      <c r="AW29" s="99" t="str">
        <f aca="false">IF(ISBLANK($C29), "",AR29)</f>
        <v/>
      </c>
      <c r="AX29" s="99" t="str">
        <f aca="false">IF(ISBLANK($C29),"",IF($AG29=Constants!$B$7,RANK(AW29,AW$8:AW$507),$AG29))</f>
        <v/>
      </c>
      <c r="AY29" s="99" t="str">
        <f aca="false">IF(ISBLANK($C29), "",AE29)</f>
        <v/>
      </c>
      <c r="AZ29" s="99" t="str">
        <f aca="false">IF(ISBLANK($C29),"",
IF($AG29=Constants!$B$7,
  IF(ISNUMBER(AT29),
    COUNTIFS($AT$8:$AT$507,"&lt;"&amp;$AT29)
    + COUNTIFS($AT$8:$AT$507,$AT29,$AV$8:$AV$507,"&lt;"&amp;$AV29)
    + COUNTIFS($AT$8:$AT$507,$AT29,$AV$8:$AV$507,$AV29,$AX$8:$AX$507,"&lt;"&amp;$AX29)
    + COUNTIFS($AT$8:$AT$507,$AT29,$AV$8:$AV$507,$AV29,$AX$8:$AX$507,$AX29,$AY$8:$AY$507,"&lt;"&amp;$AY29)
    + 1,
  Constants!$B$14),
$AG29))</f>
        <v/>
      </c>
      <c r="BA29" s="99" t="str">
        <f aca="false">IF(ISBLANK(C29),"",IF($AG29=Constants!$B$7, IF(ISNUMBER(AT29),AT29-AZ29,Constants!$B$14),$AG29))</f>
        <v/>
      </c>
      <c r="BB29" s="103"/>
      <c r="BC29" s="104" t="str">
        <f aca="false">IF(ISBLANK($C29),"",TRIM(AK29&amp;" "&amp;AO29))</f>
        <v/>
      </c>
      <c r="BD29" s="105" t="str">
        <f aca="false">IF(ISBLANK($C29),"",IF($AG29&lt;&gt;Constants!$B$7,$AG29,AR29))</f>
        <v/>
      </c>
      <c r="BE29" s="105" t="str">
        <f aca="false">IF(ISBLANK($C29),"",IF($AG29&lt;&gt;Constants!$B$7,$AG29,AM29))</f>
        <v/>
      </c>
      <c r="BF29" s="105" t="str">
        <f aca="false">IF(ISBLANK($C29),"",IF($AG29&lt;&gt;Constants!$B$7,$AG29,AQ29))</f>
        <v/>
      </c>
      <c r="BG29" s="106" t="str">
        <f aca="false">IF(ISBLANK($C29),"",IF($AG29&lt;&gt;Constants!$B$7, $AG29 ,AS29))</f>
        <v/>
      </c>
      <c r="BH29" s="107" t="str">
        <f aca="false">IF(ISBLANK($C29),"",IF($AG29&lt;&gt;Constants!$B$7, $AG29 ,AH29))</f>
        <v/>
      </c>
      <c r="BI29" s="105" t="str">
        <f aca="false">IF(ISBLANK(C29),"",BA29)</f>
        <v/>
      </c>
      <c r="BJ29" s="105" t="str">
        <f aca="false">IF(ISBLANK(C29),"",AZ29)</f>
        <v/>
      </c>
      <c r="BK29" s="108" t="str">
        <f aca="false">IF(ISBLANK(C29),"",IFERROR(_xlfn.SWITCH(BJ29, Constants!$B$4, COUNTA($C$8:$C528)+2, Constants!$B$5, COUNTA($C$8:$C528)+1, Constants!$B$6, COUNTA($C$8:$C528)),BJ29))</f>
        <v/>
      </c>
      <c r="BL29" s="5"/>
      <c r="BM29" s="109" t="n">
        <f aca="false">IF(OR(ISNUMBER(BJ29),BJ29="DQ",BJ29="P",BJ29="NS"),
    1,
    0
)</f>
        <v>0</v>
      </c>
      <c r="BN29" s="109" t="n">
        <v>22</v>
      </c>
      <c r="BO29" s="109" t="str">
        <f aca="false">IF(ISBLANK($C29),"",IF(ISNUMBER(BK29),BK29+ROW($B29)/1000,""))</f>
        <v/>
      </c>
      <c r="BP29" s="109" t="str">
        <f aca="false">IF(ISNUMBER(BO29), RANK(BO29,BO$8:BO$507,1), "")</f>
        <v/>
      </c>
      <c r="BQ29" s="109" t="str">
        <f aca="false">IF(ISBLANK($C29),
    "",
    $B29
)</f>
        <v/>
      </c>
      <c r="BR29" s="109" t="str">
        <f aca="false">IF(ISBLANK($C29),
    "",
    $C29
)</f>
        <v/>
      </c>
      <c r="BS29" s="109" t="str">
        <f aca="false">IF(ISBLANK($C29),
    "",
    $D29
)</f>
        <v/>
      </c>
      <c r="BT29" s="110" t="str">
        <f aca="false">BH29</f>
        <v/>
      </c>
      <c r="BU29" s="111" t="str">
        <f aca="false">BG29</f>
        <v/>
      </c>
      <c r="BV29" s="109" t="str">
        <f aca="false">IF(ISBLANK($C29),
    "",
    BJ29
)</f>
        <v/>
      </c>
      <c r="BW29" s="112" t="str">
        <f aca="false">IF(BN29&gt;BM$7,
    "",
    VLOOKUP(BN29,BP$8:BV528,7,FALSE())
)</f>
        <v/>
      </c>
      <c r="BX29" s="113" t="str">
        <f aca="false">IF(BN29&gt;BM$7,
    "",
    VLOOKUP(BN29,BP$8:BV528,2,FALSE())
)</f>
        <v/>
      </c>
      <c r="BY29" s="113" t="str">
        <f aca="false">IF(BN29&gt;BM$7,
    "",
    VLOOKUP(BN29,BP$8:BV528,3,FALSE())
)</f>
        <v/>
      </c>
      <c r="BZ29" s="113" t="str">
        <f aca="false">IF(BN29&gt;BM$7,
    "",
    VLOOKUP(BN29,BP$8:BV528,4,FALSE())
)</f>
        <v/>
      </c>
      <c r="CA29" s="113" t="str">
        <f aca="false">IF(BN29&gt;BM$7,
    "",
    VLOOKUP(BN29,BP$8:BV528,5,FALSE())
)</f>
        <v/>
      </c>
      <c r="CB29" s="114" t="str">
        <f aca="false">IF(BN29&gt;BM$7,
    "",
    VLOOKUP(BN29,BP$8:BV528,6,FALSE())
)</f>
        <v/>
      </c>
      <c r="CC29" s="53"/>
    </row>
    <row r="30" customFormat="false" ht="15.75" hidden="false" customHeight="false" outlineLevel="0" collapsed="false">
      <c r="A30" s="5"/>
      <c r="B30" s="125"/>
      <c r="C30" s="126"/>
      <c r="D30" s="115"/>
      <c r="E30" s="119"/>
      <c r="F30" s="119"/>
      <c r="G30" s="91"/>
      <c r="H30" s="92"/>
      <c r="I30" s="92"/>
      <c r="J30" s="127"/>
      <c r="K30" s="127"/>
      <c r="L30" s="127"/>
      <c r="M30" s="94"/>
      <c r="N30" s="94"/>
      <c r="O30" s="94"/>
      <c r="P30" s="95"/>
      <c r="Q30" s="96"/>
      <c r="R30" s="128"/>
      <c r="S30" s="98"/>
      <c r="T30" s="99"/>
      <c r="U30" s="99" t="str">
        <f aca="false">IF(ISBLANK($C30),"",IF(G30=Constants!$B$2, TRUE(), IF(G30=Constants!$B$3, FALSE(), TRUE())))</f>
        <v/>
      </c>
      <c r="V30" s="99" t="str">
        <f aca="false">IF(ISBLANK($C30),"",IF(H30=Constants!$B$2, TRUE(), IF(H30=Constants!$B$3, FALSE(), TRUE())))</f>
        <v/>
      </c>
      <c r="W30" s="99" t="str">
        <f aca="false">IF(ISBLANK($C30),"",IF(I30=Constants!$B$2, TRUE(), IF(I30=Constants!$B$3, FALSE(), TRUE())))</f>
        <v/>
      </c>
      <c r="X30" s="99" t="str">
        <f aca="false">IF(ISBLANK($C30),"",IF(AND(ISNUMBER(J30),J30&gt;0),INT(J30),0))</f>
        <v/>
      </c>
      <c r="Y30" s="99" t="str">
        <f aca="false">IF(ISBLANK($C30),"",IF(K30=Constants!$B$2, TRUE(), IF(K30=Constants!$B$3, FALSE(), TRUE())))</f>
        <v/>
      </c>
      <c r="Z30" s="100" t="str">
        <f aca="false">IF(ISBLANK($C30),"",IF(AND(ISNUMBER(L30),L30&gt;0),INT(L30),0))</f>
        <v/>
      </c>
      <c r="AA30" s="101" t="str">
        <f aca="false">IF(ISBLANK($C30),"",IF(ISNUMBER(M30), M30, ""))</f>
        <v/>
      </c>
      <c r="AB30" s="101" t="str">
        <f aca="false">IF(ISBLANK($C30),"",IF(ISNUMBER(N30), N30, ""))</f>
        <v/>
      </c>
      <c r="AC30" s="101" t="str">
        <f aca="false">IF(ISBLANK($C30),"",IF(ISNUMBER(O30), O30, ""))</f>
        <v/>
      </c>
      <c r="AD30" s="102" t="str">
        <f aca="false">IF(ISBLANK($C30),"",IF(ISNUMBER(P30), P30, ""))</f>
        <v/>
      </c>
      <c r="AE30" s="102" t="str">
        <f aca="false">IF(ISBLANK($C30),"",IF(ISNUMBER(Q30), Q30, Constants!$B$13))</f>
        <v/>
      </c>
      <c r="AF30" s="99" t="str">
        <f aca="false">IF(ISBLANK($C30),"",IF(R30=Constants!$B$2, TRUE(), IF(R30=Constants!$B$3, FALSE(), FALSE())))</f>
        <v/>
      </c>
      <c r="AG30" s="99" t="str">
        <f aca="false">IF(ISBLANK(C30), "", IF(AF30, Constants!$B$4,IF(COUNTA(G30:P30)=0, Constants!$B$5, Constants!$B$7)))</f>
        <v/>
      </c>
      <c r="AH30" s="99" t="str">
        <f aca="false">IF(ISBLANK($C30), "",IF($AG30=Constants!$B$7,1,$AG30))</f>
        <v/>
      </c>
      <c r="AI30" s="99" t="str">
        <f aca="false">IF($AG30=Constants!$B$7,POWER(Constants!$B$11,X30)*POWER(Constants!$B$12,Z30),"")</f>
        <v/>
      </c>
      <c r="AJ30" s="99" t="str">
        <f aca="false">IF(AND($AG30=Constants!$B$7, U30, V30) ,IF(OR($AA30="",$AC30=""),"",MAX(0, $AC30-$AA30)),"")</f>
        <v/>
      </c>
      <c r="AK30" s="99" t="str">
        <f aca="false">IF(AND($AG30=Constants!$B$7, U30, V30),IF(OR($AA30="",$AC30=""),$AK$6,""),"")</f>
        <v/>
      </c>
      <c r="AL30" s="99" t="str">
        <f aca="false">IF($AG30=Constants!$B$7,IF(AND(U30,V30,W30,Y30),IF($AJ30="",0,IF($AJ$6=0,Constants!$B$9,Constants!$B$9*AJ30/$AJ$6)), 0),"")</f>
        <v/>
      </c>
      <c r="AM30" s="99" t="str">
        <f aca="false">IF(AL30&lt;&gt;"", AL30*AI30,"")</f>
        <v/>
      </c>
      <c r="AN30" s="99" t="str">
        <f aca="false">IF(AND($AG30=Constants!$B$7, U30, V30) ,IF($AB30="", "", IF(OR($AC30="",$AC30=0),"",MAX(0,1-ABS($AC30-$AB30)/$AC30))),"")</f>
        <v/>
      </c>
      <c r="AO30" s="99" t="str">
        <f aca="false">IF(AND($AG30=Constants!$B$7, U30, V30),IF(AND($AA30&lt;&gt;"",$AB30&lt;&gt;"",$AC30=0),$AO$6,""),"")</f>
        <v/>
      </c>
      <c r="AP30" s="99" t="str">
        <f aca="false">IF($AG30=Constants!$B$7 ,IF(AND(U30,V30,W30,Y30,ISNUMBER(AB30)),IF($AN30="",0,IF($AN$6=0,Constants!$B$10,Constants!$B$10*AN30/$AN$6)), 0),"")</f>
        <v/>
      </c>
      <c r="AQ30" s="99" t="str">
        <f aca="false">IF(AP30&lt;&gt;"", AP30*AI30,"")</f>
        <v/>
      </c>
      <c r="AR30" s="99" t="str">
        <f aca="false">IF($AG30=Constants!$B$7,IF($AD30="",0,IF($AR$6=0,Constants!$B$8,Constants!$B$8*AD30/$AR$6)),"")</f>
        <v/>
      </c>
      <c r="AS30" s="99" t="str">
        <f aca="false">IF($AG30&lt;&gt;Constants!$B$7,$AG30,IF(AK30&amp;AO30&lt;&gt;"",Constants!$B$14,AM30+AQ30+AR30))</f>
        <v/>
      </c>
      <c r="AT30" s="99" t="str">
        <f aca="false">IF(ISBLANK($C30),"",IF($AG30=Constants!$B$7,IF(ISNUMBER(AS30),RANK(AS30,$AS$8:$AS$507),Constants!$B$14),$AG30))</f>
        <v/>
      </c>
      <c r="AU30" s="99" t="str">
        <f aca="false">IF(ISBLANK($C30), "",AM30)</f>
        <v/>
      </c>
      <c r="AV30" s="99" t="str">
        <f aca="false">IF(ISBLANK($C30),"",IF($AG30=Constants!$B$7,RANK(AU30,AU$8:AU$507),$AG30))</f>
        <v/>
      </c>
      <c r="AW30" s="99" t="str">
        <f aca="false">IF(ISBLANK($C30), "",AR30)</f>
        <v/>
      </c>
      <c r="AX30" s="99" t="str">
        <f aca="false">IF(ISBLANK($C30),"",IF($AG30=Constants!$B$7,RANK(AW30,AW$8:AW$507),$AG30))</f>
        <v/>
      </c>
      <c r="AY30" s="99" t="str">
        <f aca="false">IF(ISBLANK($C30), "",AE30)</f>
        <v/>
      </c>
      <c r="AZ30" s="99" t="str">
        <f aca="false">IF(ISBLANK($C30),"",
IF($AG30=Constants!$B$7,
  IF(ISNUMBER(AT30),
    COUNTIFS($AT$8:$AT$507,"&lt;"&amp;$AT30)
    + COUNTIFS($AT$8:$AT$507,$AT30,$AV$8:$AV$507,"&lt;"&amp;$AV30)
    + COUNTIFS($AT$8:$AT$507,$AT30,$AV$8:$AV$507,$AV30,$AX$8:$AX$507,"&lt;"&amp;$AX30)
    + COUNTIFS($AT$8:$AT$507,$AT30,$AV$8:$AV$507,$AV30,$AX$8:$AX$507,$AX30,$AY$8:$AY$507,"&lt;"&amp;$AY30)
    + 1,
  Constants!$B$14),
$AG30))</f>
        <v/>
      </c>
      <c r="BA30" s="99" t="str">
        <f aca="false">IF(ISBLANK(C30),"",IF($AG30=Constants!$B$7, IF(ISNUMBER(AT30),AT30-AZ30,Constants!$B$14),$AG30))</f>
        <v/>
      </c>
      <c r="BB30" s="103"/>
      <c r="BC30" s="104" t="str">
        <f aca="false">IF(ISBLANK($C30),"",TRIM(AK30&amp;" "&amp;AO30))</f>
        <v/>
      </c>
      <c r="BD30" s="105" t="str">
        <f aca="false">IF(ISBLANK($C30),"",IF($AG30&lt;&gt;Constants!$B$7,$AG30,AR30))</f>
        <v/>
      </c>
      <c r="BE30" s="105" t="str">
        <f aca="false">IF(ISBLANK($C30),"",IF($AG30&lt;&gt;Constants!$B$7,$AG30,AM30))</f>
        <v/>
      </c>
      <c r="BF30" s="105" t="str">
        <f aca="false">IF(ISBLANK($C30),"",IF($AG30&lt;&gt;Constants!$B$7,$AG30,AQ30))</f>
        <v/>
      </c>
      <c r="BG30" s="106" t="str">
        <f aca="false">IF(ISBLANK($C30),"",IF($AG30&lt;&gt;Constants!$B$7, $AG30 ,AS30))</f>
        <v/>
      </c>
      <c r="BH30" s="107" t="str">
        <f aca="false">IF(ISBLANK($C30),"",IF($AG30&lt;&gt;Constants!$B$7, $AG30 ,AH30))</f>
        <v/>
      </c>
      <c r="BI30" s="105" t="str">
        <f aca="false">IF(ISBLANK(C30),"",BA30)</f>
        <v/>
      </c>
      <c r="BJ30" s="105" t="str">
        <f aca="false">IF(ISBLANK(C30),"",AZ30)</f>
        <v/>
      </c>
      <c r="BK30" s="108" t="str">
        <f aca="false">IF(ISBLANK(C30),"",IFERROR(_xlfn.SWITCH(BJ30, Constants!$B$4, COUNTA($C$8:$C529)+2, Constants!$B$5, COUNTA($C$8:$C529)+1, Constants!$B$6, COUNTA($C$8:$C529)),BJ30))</f>
        <v/>
      </c>
      <c r="BL30" s="5"/>
      <c r="BM30" s="109" t="n">
        <f aca="false">IF(OR(ISNUMBER(BJ30),BJ30="DQ",BJ30="P",BJ30="NS"),
    1,
    0
)</f>
        <v>0</v>
      </c>
      <c r="BN30" s="109" t="n">
        <v>23</v>
      </c>
      <c r="BO30" s="109" t="str">
        <f aca="false">IF(ISBLANK($C30),"",IF(ISNUMBER(BK30),BK30+ROW($B30)/1000,""))</f>
        <v/>
      </c>
      <c r="BP30" s="109" t="str">
        <f aca="false">IF(ISNUMBER(BO30), RANK(BO30,BO$8:BO$507,1), "")</f>
        <v/>
      </c>
      <c r="BQ30" s="109" t="str">
        <f aca="false">IF(ISBLANK($C30),
    "",
    $B30
)</f>
        <v/>
      </c>
      <c r="BR30" s="109" t="str">
        <f aca="false">IF(ISBLANK($C30),
    "",
    $C30
)</f>
        <v/>
      </c>
      <c r="BS30" s="109" t="str">
        <f aca="false">IF(ISBLANK($C30),
    "",
    $D30
)</f>
        <v/>
      </c>
      <c r="BT30" s="110" t="str">
        <f aca="false">BH30</f>
        <v/>
      </c>
      <c r="BU30" s="111" t="str">
        <f aca="false">BG30</f>
        <v/>
      </c>
      <c r="BV30" s="109" t="str">
        <f aca="false">IF(ISBLANK($C30),
    "",
    BJ30
)</f>
        <v/>
      </c>
      <c r="BW30" s="112" t="str">
        <f aca="false">IF(BN30&gt;BM$7,
    "",
    VLOOKUP(BN30,BP$8:BV529,7,FALSE())
)</f>
        <v/>
      </c>
      <c r="BX30" s="113" t="str">
        <f aca="false">IF(BN30&gt;BM$7,
    "",
    VLOOKUP(BN30,BP$8:BV529,2,FALSE())
)</f>
        <v/>
      </c>
      <c r="BY30" s="113" t="str">
        <f aca="false">IF(BN30&gt;BM$7,
    "",
    VLOOKUP(BN30,BP$8:BV529,3,FALSE())
)</f>
        <v/>
      </c>
      <c r="BZ30" s="113" t="str">
        <f aca="false">IF(BN30&gt;BM$7,
    "",
    VLOOKUP(BN30,BP$8:BV529,4,FALSE())
)</f>
        <v/>
      </c>
      <c r="CA30" s="113" t="str">
        <f aca="false">IF(BN30&gt;BM$7,
    "",
    VLOOKUP(BN30,BP$8:BV529,5,FALSE())
)</f>
        <v/>
      </c>
      <c r="CB30" s="114" t="str">
        <f aca="false">IF(BN30&gt;BM$7,
    "",
    VLOOKUP(BN30,BP$8:BV529,6,FALSE())
)</f>
        <v/>
      </c>
      <c r="CC30" s="53"/>
    </row>
    <row r="31" customFormat="false" ht="15.75" hidden="false" customHeight="false" outlineLevel="0" collapsed="false">
      <c r="A31" s="5"/>
      <c r="B31" s="125"/>
      <c r="C31" s="126"/>
      <c r="D31" s="115"/>
      <c r="E31" s="119"/>
      <c r="F31" s="119"/>
      <c r="G31" s="91"/>
      <c r="H31" s="92"/>
      <c r="I31" s="92"/>
      <c r="J31" s="127"/>
      <c r="K31" s="127"/>
      <c r="L31" s="127"/>
      <c r="M31" s="94"/>
      <c r="N31" s="94"/>
      <c r="O31" s="94"/>
      <c r="P31" s="95"/>
      <c r="Q31" s="96"/>
      <c r="R31" s="128"/>
      <c r="S31" s="98"/>
      <c r="T31" s="99"/>
      <c r="U31" s="99" t="str">
        <f aca="false">IF(ISBLANK($C31),"",IF(G31=Constants!$B$2, TRUE(), IF(G31=Constants!$B$3, FALSE(), TRUE())))</f>
        <v/>
      </c>
      <c r="V31" s="99" t="str">
        <f aca="false">IF(ISBLANK($C31),"",IF(H31=Constants!$B$2, TRUE(), IF(H31=Constants!$B$3, FALSE(), TRUE())))</f>
        <v/>
      </c>
      <c r="W31" s="99" t="str">
        <f aca="false">IF(ISBLANK($C31),"",IF(I31=Constants!$B$2, TRUE(), IF(I31=Constants!$B$3, FALSE(), TRUE())))</f>
        <v/>
      </c>
      <c r="X31" s="99" t="str">
        <f aca="false">IF(ISBLANK($C31),"",IF(AND(ISNUMBER(J31),J31&gt;0),INT(J31),0))</f>
        <v/>
      </c>
      <c r="Y31" s="99" t="str">
        <f aca="false">IF(ISBLANK($C31),"",IF(K31=Constants!$B$2, TRUE(), IF(K31=Constants!$B$3, FALSE(), TRUE())))</f>
        <v/>
      </c>
      <c r="Z31" s="100" t="str">
        <f aca="false">IF(ISBLANK($C31),"",IF(AND(ISNUMBER(L31),L31&gt;0),INT(L31),0))</f>
        <v/>
      </c>
      <c r="AA31" s="101" t="str">
        <f aca="false">IF(ISBLANK($C31),"",IF(ISNUMBER(M31), M31, ""))</f>
        <v/>
      </c>
      <c r="AB31" s="101" t="str">
        <f aca="false">IF(ISBLANK($C31),"",IF(ISNUMBER(N31), N31, ""))</f>
        <v/>
      </c>
      <c r="AC31" s="101" t="str">
        <f aca="false">IF(ISBLANK($C31),"",IF(ISNUMBER(O31), O31, ""))</f>
        <v/>
      </c>
      <c r="AD31" s="102" t="str">
        <f aca="false">IF(ISBLANK($C31),"",IF(ISNUMBER(P31), P31, ""))</f>
        <v/>
      </c>
      <c r="AE31" s="102" t="str">
        <f aca="false">IF(ISBLANK($C31),"",IF(ISNUMBER(Q31), Q31, Constants!$B$13))</f>
        <v/>
      </c>
      <c r="AF31" s="99" t="str">
        <f aca="false">IF(ISBLANK($C31),"",IF(R31=Constants!$B$2, TRUE(), IF(R31=Constants!$B$3, FALSE(), FALSE())))</f>
        <v/>
      </c>
      <c r="AG31" s="99" t="str">
        <f aca="false">IF(ISBLANK(C31), "", IF(AF31, Constants!$B$4,IF(COUNTA(G31:P31)=0, Constants!$B$5, Constants!$B$7)))</f>
        <v/>
      </c>
      <c r="AH31" s="99" t="str">
        <f aca="false">IF(ISBLANK($C31), "",IF($AG31=Constants!$B$7,1,$AG31))</f>
        <v/>
      </c>
      <c r="AI31" s="99" t="str">
        <f aca="false">IF($AG31=Constants!$B$7,POWER(Constants!$B$11,X31)*POWER(Constants!$B$12,Z31),"")</f>
        <v/>
      </c>
      <c r="AJ31" s="99" t="str">
        <f aca="false">IF(AND($AG31=Constants!$B$7, U31, V31) ,IF(OR($AA31="",$AC31=""),"",MAX(0, $AC31-$AA31)),"")</f>
        <v/>
      </c>
      <c r="AK31" s="99" t="str">
        <f aca="false">IF(AND($AG31=Constants!$B$7, U31, V31),IF(OR($AA31="",$AC31=""),$AK$6,""),"")</f>
        <v/>
      </c>
      <c r="AL31" s="99" t="str">
        <f aca="false">IF($AG31=Constants!$B$7,IF(AND(U31,V31,W31,Y31),IF($AJ31="",0,IF($AJ$6=0,Constants!$B$9,Constants!$B$9*AJ31/$AJ$6)), 0),"")</f>
        <v/>
      </c>
      <c r="AM31" s="99" t="str">
        <f aca="false">IF(AL31&lt;&gt;"", AL31*AI31,"")</f>
        <v/>
      </c>
      <c r="AN31" s="99" t="str">
        <f aca="false">IF(AND($AG31=Constants!$B$7, U31, V31) ,IF($AB31="", "", IF(OR($AC31="",$AC31=0),"",MAX(0,1-ABS($AC31-$AB31)/$AC31))),"")</f>
        <v/>
      </c>
      <c r="AO31" s="99" t="str">
        <f aca="false">IF(AND($AG31=Constants!$B$7, U31, V31),IF(AND($AA31&lt;&gt;"",$AB31&lt;&gt;"",$AC31=0),$AO$6,""),"")</f>
        <v/>
      </c>
      <c r="AP31" s="99" t="str">
        <f aca="false">IF($AG31=Constants!$B$7 ,IF(AND(U31,V31,W31,Y31,ISNUMBER(AB31)),IF($AN31="",0,IF($AN$6=0,Constants!$B$10,Constants!$B$10*AN31/$AN$6)), 0),"")</f>
        <v/>
      </c>
      <c r="AQ31" s="99" t="str">
        <f aca="false">IF(AP31&lt;&gt;"", AP31*AI31,"")</f>
        <v/>
      </c>
      <c r="AR31" s="99" t="str">
        <f aca="false">IF($AG31=Constants!$B$7,IF($AD31="",0,IF($AR$6=0,Constants!$B$8,Constants!$B$8*AD31/$AR$6)),"")</f>
        <v/>
      </c>
      <c r="AS31" s="99" t="str">
        <f aca="false">IF($AG31&lt;&gt;Constants!$B$7,$AG31,IF(AK31&amp;AO31&lt;&gt;"",Constants!$B$14,AM31+AQ31+AR31))</f>
        <v/>
      </c>
      <c r="AT31" s="99" t="str">
        <f aca="false">IF(ISBLANK($C31),"",IF($AG31=Constants!$B$7,IF(ISNUMBER(AS31),RANK(AS31,$AS$8:$AS$507),Constants!$B$14),$AG31))</f>
        <v/>
      </c>
      <c r="AU31" s="99" t="str">
        <f aca="false">IF(ISBLANK($C31), "",AM31)</f>
        <v/>
      </c>
      <c r="AV31" s="99" t="str">
        <f aca="false">IF(ISBLANK($C31),"",IF($AG31=Constants!$B$7,RANK(AU31,AU$8:AU$507),$AG31))</f>
        <v/>
      </c>
      <c r="AW31" s="99" t="str">
        <f aca="false">IF(ISBLANK($C31), "",AR31)</f>
        <v/>
      </c>
      <c r="AX31" s="99" t="str">
        <f aca="false">IF(ISBLANK($C31),"",IF($AG31=Constants!$B$7,RANK(AW31,AW$8:AW$507),$AG31))</f>
        <v/>
      </c>
      <c r="AY31" s="99" t="str">
        <f aca="false">IF(ISBLANK($C31), "",AE31)</f>
        <v/>
      </c>
      <c r="AZ31" s="99" t="str">
        <f aca="false">IF(ISBLANK($C31),"",
IF($AG31=Constants!$B$7,
  IF(ISNUMBER(AT31),
    COUNTIFS($AT$8:$AT$507,"&lt;"&amp;$AT31)
    + COUNTIFS($AT$8:$AT$507,$AT31,$AV$8:$AV$507,"&lt;"&amp;$AV31)
    + COUNTIFS($AT$8:$AT$507,$AT31,$AV$8:$AV$507,$AV31,$AX$8:$AX$507,"&lt;"&amp;$AX31)
    + COUNTIFS($AT$8:$AT$507,$AT31,$AV$8:$AV$507,$AV31,$AX$8:$AX$507,$AX31,$AY$8:$AY$507,"&lt;"&amp;$AY31)
    + 1,
  Constants!$B$14),
$AG31))</f>
        <v/>
      </c>
      <c r="BA31" s="99" t="str">
        <f aca="false">IF(ISBLANK(C31),"",IF($AG31=Constants!$B$7, IF(ISNUMBER(AT31),AT31-AZ31,Constants!$B$14),$AG31))</f>
        <v/>
      </c>
      <c r="BB31" s="103"/>
      <c r="BC31" s="104" t="str">
        <f aca="false">IF(ISBLANK($C31),"",TRIM(AK31&amp;" "&amp;AO31))</f>
        <v/>
      </c>
      <c r="BD31" s="105" t="str">
        <f aca="false">IF(ISBLANK($C31),"",IF($AG31&lt;&gt;Constants!$B$7,$AG31,AR31))</f>
        <v/>
      </c>
      <c r="BE31" s="105" t="str">
        <f aca="false">IF(ISBLANK($C31),"",IF($AG31&lt;&gt;Constants!$B$7,$AG31,AM31))</f>
        <v/>
      </c>
      <c r="BF31" s="105" t="str">
        <f aca="false">IF(ISBLANK($C31),"",IF($AG31&lt;&gt;Constants!$B$7,$AG31,AQ31))</f>
        <v/>
      </c>
      <c r="BG31" s="106" t="str">
        <f aca="false">IF(ISBLANK($C31),"",IF($AG31&lt;&gt;Constants!$B$7, $AG31 ,AS31))</f>
        <v/>
      </c>
      <c r="BH31" s="107" t="str">
        <f aca="false">IF(ISBLANK($C31),"",IF($AG31&lt;&gt;Constants!$B$7, $AG31 ,AH31))</f>
        <v/>
      </c>
      <c r="BI31" s="105" t="str">
        <f aca="false">IF(ISBLANK(C31),"",BA31)</f>
        <v/>
      </c>
      <c r="BJ31" s="105" t="str">
        <f aca="false">IF(ISBLANK(C31),"",AZ31)</f>
        <v/>
      </c>
      <c r="BK31" s="108" t="str">
        <f aca="false">IF(ISBLANK(C31),"",IFERROR(_xlfn.SWITCH(BJ31, Constants!$B$4, COUNTA($C$8:$C530)+2, Constants!$B$5, COUNTA($C$8:$C530)+1, Constants!$B$6, COUNTA($C$8:$C530)),BJ31))</f>
        <v/>
      </c>
      <c r="BL31" s="5"/>
      <c r="BM31" s="109" t="n">
        <f aca="false">IF(OR(ISNUMBER(BJ31),BJ31="DQ",BJ31="P",BJ31="NS"),
    1,
    0
)</f>
        <v>0</v>
      </c>
      <c r="BN31" s="109" t="n">
        <v>24</v>
      </c>
      <c r="BO31" s="109" t="str">
        <f aca="false">IF(ISBLANK($C31),"",IF(ISNUMBER(BK31),BK31+ROW($B31)/1000,""))</f>
        <v/>
      </c>
      <c r="BP31" s="109" t="str">
        <f aca="false">IF(ISNUMBER(BO31), RANK(BO31,BO$8:BO$507,1), "")</f>
        <v/>
      </c>
      <c r="BQ31" s="109" t="str">
        <f aca="false">IF(ISBLANK($C31),
    "",
    $B31
)</f>
        <v/>
      </c>
      <c r="BR31" s="109" t="str">
        <f aca="false">IF(ISBLANK($C31),
    "",
    $C31
)</f>
        <v/>
      </c>
      <c r="BS31" s="109" t="str">
        <f aca="false">IF(ISBLANK($C31),
    "",
    $D31
)</f>
        <v/>
      </c>
      <c r="BT31" s="110" t="str">
        <f aca="false">BH31</f>
        <v/>
      </c>
      <c r="BU31" s="111" t="str">
        <f aca="false">BG31</f>
        <v/>
      </c>
      <c r="BV31" s="109" t="str">
        <f aca="false">IF(ISBLANK($C31),
    "",
    BJ31
)</f>
        <v/>
      </c>
      <c r="BW31" s="112" t="str">
        <f aca="false">IF(BN31&gt;BM$7,
    "",
    VLOOKUP(BN31,BP$8:BV530,7,FALSE())
)</f>
        <v/>
      </c>
      <c r="BX31" s="113" t="str">
        <f aca="false">IF(BN31&gt;BM$7,
    "",
    VLOOKUP(BN31,BP$8:BV530,2,FALSE())
)</f>
        <v/>
      </c>
      <c r="BY31" s="113" t="str">
        <f aca="false">IF(BN31&gt;BM$7,
    "",
    VLOOKUP(BN31,BP$8:BV530,3,FALSE())
)</f>
        <v/>
      </c>
      <c r="BZ31" s="113" t="str">
        <f aca="false">IF(BN31&gt;BM$7,
    "",
    VLOOKUP(BN31,BP$8:BV530,4,FALSE())
)</f>
        <v/>
      </c>
      <c r="CA31" s="113" t="str">
        <f aca="false">IF(BN31&gt;BM$7,
    "",
    VLOOKUP(BN31,BP$8:BV530,5,FALSE())
)</f>
        <v/>
      </c>
      <c r="CB31" s="114" t="str">
        <f aca="false">IF(BN31&gt;BM$7,
    "",
    VLOOKUP(BN31,BP$8:BV530,6,FALSE())
)</f>
        <v/>
      </c>
      <c r="CC31" s="53"/>
    </row>
    <row r="32" customFormat="false" ht="15.75" hidden="false" customHeight="false" outlineLevel="0" collapsed="false">
      <c r="A32" s="5"/>
      <c r="B32" s="129"/>
      <c r="C32" s="55"/>
      <c r="D32" s="56"/>
      <c r="E32" s="123"/>
      <c r="F32" s="123"/>
      <c r="G32" s="58"/>
      <c r="H32" s="59"/>
      <c r="I32" s="59"/>
      <c r="J32" s="124"/>
      <c r="K32" s="124"/>
      <c r="L32" s="124"/>
      <c r="M32" s="61"/>
      <c r="N32" s="61"/>
      <c r="O32" s="61"/>
      <c r="P32" s="62"/>
      <c r="Q32" s="63"/>
      <c r="R32" s="83"/>
      <c r="S32" s="65"/>
      <c r="T32" s="66"/>
      <c r="U32" s="66" t="str">
        <f aca="false">IF(ISBLANK($C32),"",IF(G32=Constants!$B$2, TRUE(), IF(G32=Constants!$B$3, FALSE(), TRUE())))</f>
        <v/>
      </c>
      <c r="V32" s="66" t="str">
        <f aca="false">IF(ISBLANK($C32),"",IF(H32=Constants!$B$2, TRUE(), IF(H32=Constants!$B$3, FALSE(), TRUE())))</f>
        <v/>
      </c>
      <c r="W32" s="66" t="str">
        <f aca="false">IF(ISBLANK($C32),"",IF(I32=Constants!$B$2, TRUE(), IF(I32=Constants!$B$3, FALSE(), TRUE())))</f>
        <v/>
      </c>
      <c r="X32" s="66" t="str">
        <f aca="false">IF(ISBLANK($C32),"",IF(AND(ISNUMBER(J32),J32&gt;0),INT(J32),0))</f>
        <v/>
      </c>
      <c r="Y32" s="66" t="str">
        <f aca="false">IF(ISBLANK($C32),"",IF(K32=Constants!$B$2, TRUE(), IF(K32=Constants!$B$3, FALSE(), TRUE())))</f>
        <v/>
      </c>
      <c r="Z32" s="66" t="str">
        <f aca="false">IF(ISBLANK($C32),"",IF(AND(ISNUMBER(L32),L32&gt;0),INT(L32),0))</f>
        <v/>
      </c>
      <c r="AA32" s="68" t="str">
        <f aca="false">IF(ISBLANK($C32),"",IF(ISNUMBER(M32), M32, ""))</f>
        <v/>
      </c>
      <c r="AB32" s="68" t="str">
        <f aca="false">IF(ISBLANK($C32),"",IF(ISNUMBER(N32), N32, ""))</f>
        <v/>
      </c>
      <c r="AC32" s="68" t="str">
        <f aca="false">IF(ISBLANK($C32),"",IF(ISNUMBER(O32), O32, ""))</f>
        <v/>
      </c>
      <c r="AD32" s="69" t="str">
        <f aca="false">IF(ISBLANK($C32),"",IF(ISNUMBER(P32), P32, ""))</f>
        <v/>
      </c>
      <c r="AE32" s="69" t="str">
        <f aca="false">IF(ISBLANK($C32),"",IF(ISNUMBER(Q32), Q32, Constants!$B$13))</f>
        <v/>
      </c>
      <c r="AF32" s="66" t="str">
        <f aca="false">IF(ISBLANK($C32),"",IF(R32=Constants!$B$2, TRUE(), IF(R32=Constants!$B$3, FALSE(), FALSE())))</f>
        <v/>
      </c>
      <c r="AG32" s="66" t="str">
        <f aca="false">IF(ISBLANK(C32), "", IF(AF32, Constants!$B$4,IF(COUNTA(G32:P32)=0, Constants!$B$5, Constants!$B$7)))</f>
        <v/>
      </c>
      <c r="AH32" s="66" t="str">
        <f aca="false">IF(ISBLANK($C32), "",IF($AG32=Constants!$B$7,1,$AG32))</f>
        <v/>
      </c>
      <c r="AI32" s="66" t="str">
        <f aca="false">IF($AG32=Constants!$B$7,POWER(Constants!$B$11,X32)*POWER(Constants!$B$12,Z32),"")</f>
        <v/>
      </c>
      <c r="AJ32" s="66" t="str">
        <f aca="false">IF(AND($AG32=Constants!$B$7, U32, V32) ,IF(OR($AA32="",$AC32=""),"",MAX(0, $AC32-$AA32)),"")</f>
        <v/>
      </c>
      <c r="AK32" s="66" t="str">
        <f aca="false">IF(AND($AG32=Constants!$B$7, U32, V32),IF(OR($AA32="",$AC32=""),$AK$6,""),"")</f>
        <v/>
      </c>
      <c r="AL32" s="66" t="str">
        <f aca="false">IF($AG32=Constants!$B$7,IF(AND(U32,V32,W32,Y32),IF($AJ32="",0,IF($AJ$6=0,Constants!$B$9,Constants!$B$9*AJ32/$AJ$6)), 0),"")</f>
        <v/>
      </c>
      <c r="AM32" s="66" t="str">
        <f aca="false">IF(AL32&lt;&gt;"", AL32*AI32,"")</f>
        <v/>
      </c>
      <c r="AN32" s="66" t="str">
        <f aca="false">IF(AND($AG32=Constants!$B$7, U32, V32) ,IF($AB32="", "", IF(OR($AC32="",$AC32=0),"",MAX(0,1-ABS($AC32-$AB32)/$AC32))),"")</f>
        <v/>
      </c>
      <c r="AO32" s="66" t="str">
        <f aca="false">IF(AND($AG32=Constants!$B$7, U32, V32),IF(AND($AA32&lt;&gt;"",$AB32&lt;&gt;"",$AC32=0),$AO$6,""),"")</f>
        <v/>
      </c>
      <c r="AP32" s="66" t="str">
        <f aca="false">IF($AG32=Constants!$B$7 ,IF(AND(U32,V32,W32,Y32,ISNUMBER(AB32)),IF($AN32="",0,IF($AN$6=0,Constants!$B$10,Constants!$B$10*AN32/$AN$6)), 0),"")</f>
        <v/>
      </c>
      <c r="AQ32" s="66" t="str">
        <f aca="false">IF(AP32&lt;&gt;"", AP32*AI32,"")</f>
        <v/>
      </c>
      <c r="AR32" s="66" t="str">
        <f aca="false">IF($AG32=Constants!$B$7,IF($AD32="",0,IF($AR$6=0,Constants!$B$8,Constants!$B$8*AD32/$AR$6)),"")</f>
        <v/>
      </c>
      <c r="AS32" s="66" t="str">
        <f aca="false">IF($AG32&lt;&gt;Constants!$B$7,$AG32,IF(AK32&amp;AO32&lt;&gt;"",Constants!$B$14,AM32+AQ32+AR32))</f>
        <v/>
      </c>
      <c r="AT32" s="66" t="str">
        <f aca="false">IF(ISBLANK($C32),"",IF($AG32=Constants!$B$7,IF(ISNUMBER(AS32),RANK(AS32,$AS$8:$AS$507),Constants!$B$14),$AG32))</f>
        <v/>
      </c>
      <c r="AU32" s="66" t="str">
        <f aca="false">IF(ISBLANK($C32), "",AM32)</f>
        <v/>
      </c>
      <c r="AV32" s="66" t="str">
        <f aca="false">IF(ISBLANK($C32),"",IF($AG32=Constants!$B$7,RANK(AU32,AU$8:AU$507),$AG32))</f>
        <v/>
      </c>
      <c r="AW32" s="66" t="str">
        <f aca="false">IF(ISBLANK($C32), "",AR32)</f>
        <v/>
      </c>
      <c r="AX32" s="66" t="str">
        <f aca="false">IF(ISBLANK($C32),"",IF($AG32=Constants!$B$7,RANK(AW32,AW$8:AW$507),$AG32))</f>
        <v/>
      </c>
      <c r="AY32" s="66" t="str">
        <f aca="false">IF(ISBLANK($C32), "",AE32)</f>
        <v/>
      </c>
      <c r="AZ32" s="66" t="str">
        <f aca="false">IF(ISBLANK($C32),"",
IF($AG32=Constants!$B$7,
  IF(ISNUMBER(AT32),
    COUNTIFS($AT$8:$AT$507,"&lt;"&amp;$AT32)
    + COUNTIFS($AT$8:$AT$507,$AT32,$AV$8:$AV$507,"&lt;"&amp;$AV32)
    + COUNTIFS($AT$8:$AT$507,$AT32,$AV$8:$AV$507,$AV32,$AX$8:$AX$507,"&lt;"&amp;$AX32)
    + COUNTIFS($AT$8:$AT$507,$AT32,$AV$8:$AV$507,$AV32,$AX$8:$AX$507,$AX32,$AY$8:$AY$507,"&lt;"&amp;$AY32)
    + 1,
  Constants!$B$14),
$AG32))</f>
        <v/>
      </c>
      <c r="BA32" s="66" t="str">
        <f aca="false">IF(ISBLANK(C32),"",IF($AG32=Constants!$B$7, IF(ISNUMBER(AT32),AT32-AZ32,Constants!$B$14),$AG32))</f>
        <v/>
      </c>
      <c r="BB32" s="70"/>
      <c r="BC32" s="84" t="str">
        <f aca="false">IF(ISBLANK($C32),"",TRIM(AK32&amp;" "&amp;AO32))</f>
        <v/>
      </c>
      <c r="BD32" s="72" t="str">
        <f aca="false">IF(ISBLANK($C32),"",IF($AG32&lt;&gt;Constants!$B$7,$AG32,AR32))</f>
        <v/>
      </c>
      <c r="BE32" s="72" t="str">
        <f aca="false">IF(ISBLANK($C32),"",IF($AG32&lt;&gt;Constants!$B$7,$AG32,AM32))</f>
        <v/>
      </c>
      <c r="BF32" s="72" t="str">
        <f aca="false">IF(ISBLANK($C32),"",IF($AG32&lt;&gt;Constants!$B$7,$AG32,AQ32))</f>
        <v/>
      </c>
      <c r="BG32" s="73" t="str">
        <f aca="false">IF(ISBLANK($C32),"",IF($AG32&lt;&gt;Constants!$B$7, $AG32 ,AS32))</f>
        <v/>
      </c>
      <c r="BH32" s="74" t="str">
        <f aca="false">IF(ISBLANK($C32),"",IF($AG32&lt;&gt;Constants!$B$7, $AG32 ,AH32))</f>
        <v/>
      </c>
      <c r="BI32" s="72" t="str">
        <f aca="false">IF(ISBLANK(C32),"",BA32)</f>
        <v/>
      </c>
      <c r="BJ32" s="72" t="str">
        <f aca="false">IF(ISBLANK(C32),"",AZ32)</f>
        <v/>
      </c>
      <c r="BK32" s="75" t="str">
        <f aca="false">IF(ISBLANK(C32),"",IFERROR(_xlfn.SWITCH(BJ32, Constants!$B$4, COUNTA($C$8:$C531)+2, Constants!$B$5, COUNTA($C$8:$C531)+1, Constants!$B$6, COUNTA($C$8:$C531)),BJ32))</f>
        <v/>
      </c>
      <c r="BL32" s="5"/>
      <c r="BM32" s="76" t="n">
        <f aca="false">IF(OR(ISNUMBER(BJ32),BJ32="DQ",BJ32="P",BJ32="NS"),
    1,
    0
)</f>
        <v>0</v>
      </c>
      <c r="BN32" s="76" t="n">
        <v>25</v>
      </c>
      <c r="BO32" s="76" t="str">
        <f aca="false">IF(ISBLANK($C32),"",IF(ISNUMBER(BK32),BK32+ROW($B32)/1000,""))</f>
        <v/>
      </c>
      <c r="BP32" s="76" t="str">
        <f aca="false">IF(ISNUMBER(BO32), RANK(BO32,BO$8:BO$507,1), "")</f>
        <v/>
      </c>
      <c r="BQ32" s="76" t="str">
        <f aca="false">IF(ISBLANK($C32),
    "",
    $B32
)</f>
        <v/>
      </c>
      <c r="BR32" s="76" t="str">
        <f aca="false">IF(ISBLANK($C32),
    "",
    $C32
)</f>
        <v/>
      </c>
      <c r="BS32" s="76" t="str">
        <f aca="false">IF(ISBLANK($C32),
    "",
    $D32
)</f>
        <v/>
      </c>
      <c r="BT32" s="77" t="str">
        <f aca="false">BH32</f>
        <v/>
      </c>
      <c r="BU32" s="78" t="str">
        <f aca="false">BG32</f>
        <v/>
      </c>
      <c r="BV32" s="76" t="str">
        <f aca="false">IF(ISBLANK($C32),
    "",
    BJ32
)</f>
        <v/>
      </c>
      <c r="BW32" s="79" t="str">
        <f aca="false">IF(BN32&gt;BM$7,
    "",
    VLOOKUP(BN32,BP$8:BV531,7,FALSE())
)</f>
        <v/>
      </c>
      <c r="BX32" s="80" t="str">
        <f aca="false">IF(BN32&gt;BM$7,
    "",
    VLOOKUP(BN32,BP$8:BV531,2,FALSE())
)</f>
        <v/>
      </c>
      <c r="BY32" s="80" t="str">
        <f aca="false">IF(BN32&gt;BM$7,
    "",
    VLOOKUP(BN32,BP$8:BV531,3,FALSE())
)</f>
        <v/>
      </c>
      <c r="BZ32" s="80" t="str">
        <f aca="false">IF(BN32&gt;BM$7,
    "",
    VLOOKUP(BN32,BP$8:BV531,4,FALSE())
)</f>
        <v/>
      </c>
      <c r="CA32" s="80" t="str">
        <f aca="false">IF(BN32&gt;BM$7,
    "",
    VLOOKUP(BN32,BP$8:BV531,5,FALSE())
)</f>
        <v/>
      </c>
      <c r="CB32" s="81" t="str">
        <f aca="false">IF(BN32&gt;BM$7,
    "",
    VLOOKUP(BN32,BP$8:BV531,6,FALSE())
)</f>
        <v/>
      </c>
      <c r="CC32" s="53"/>
    </row>
    <row r="33" customFormat="false" ht="15.75" hidden="false" customHeight="false" outlineLevel="0" collapsed="false">
      <c r="A33" s="5"/>
      <c r="B33" s="129"/>
      <c r="C33" s="55"/>
      <c r="D33" s="56"/>
      <c r="E33" s="123"/>
      <c r="F33" s="123"/>
      <c r="G33" s="58"/>
      <c r="H33" s="59"/>
      <c r="I33" s="59"/>
      <c r="J33" s="124"/>
      <c r="K33" s="124"/>
      <c r="L33" s="124"/>
      <c r="M33" s="61"/>
      <c r="N33" s="61"/>
      <c r="O33" s="61"/>
      <c r="P33" s="62"/>
      <c r="Q33" s="63"/>
      <c r="R33" s="83"/>
      <c r="S33" s="65"/>
      <c r="T33" s="66"/>
      <c r="U33" s="66" t="str">
        <f aca="false">IF(ISBLANK($C33),"",IF(G33=Constants!$B$2, TRUE(), IF(G33=Constants!$B$3, FALSE(), TRUE())))</f>
        <v/>
      </c>
      <c r="V33" s="66" t="str">
        <f aca="false">IF(ISBLANK($C33),"",IF(H33=Constants!$B$2, TRUE(), IF(H33=Constants!$B$3, FALSE(), TRUE())))</f>
        <v/>
      </c>
      <c r="W33" s="66" t="str">
        <f aca="false">IF(ISBLANK($C33),"",IF(I33=Constants!$B$2, TRUE(), IF(I33=Constants!$B$3, FALSE(), TRUE())))</f>
        <v/>
      </c>
      <c r="X33" s="66" t="str">
        <f aca="false">IF(ISBLANK($C33),"",IF(AND(ISNUMBER(J33),J33&gt;0),INT(J33),0))</f>
        <v/>
      </c>
      <c r="Y33" s="66" t="str">
        <f aca="false">IF(ISBLANK($C33),"",IF(K33=Constants!$B$2, TRUE(), IF(K33=Constants!$B$3, FALSE(), TRUE())))</f>
        <v/>
      </c>
      <c r="Z33" s="66" t="str">
        <f aca="false">IF(ISBLANK($C33),"",IF(AND(ISNUMBER(L33),L33&gt;0),INT(L33),0))</f>
        <v/>
      </c>
      <c r="AA33" s="68" t="str">
        <f aca="false">IF(ISBLANK($C33),"",IF(ISNUMBER(M33), M33, ""))</f>
        <v/>
      </c>
      <c r="AB33" s="68" t="str">
        <f aca="false">IF(ISBLANK($C33),"",IF(ISNUMBER(N33), N33, ""))</f>
        <v/>
      </c>
      <c r="AC33" s="68" t="str">
        <f aca="false">IF(ISBLANK($C33),"",IF(ISNUMBER(O33), O33, ""))</f>
        <v/>
      </c>
      <c r="AD33" s="69" t="str">
        <f aca="false">IF(ISBLANK($C33),"",IF(ISNUMBER(P33), P33, ""))</f>
        <v/>
      </c>
      <c r="AE33" s="69" t="str">
        <f aca="false">IF(ISBLANK($C33),"",IF(ISNUMBER(Q33), Q33, Constants!$B$13))</f>
        <v/>
      </c>
      <c r="AF33" s="66" t="str">
        <f aca="false">IF(ISBLANK($C33),"",IF(R33=Constants!$B$2, TRUE(), IF(R33=Constants!$B$3, FALSE(), FALSE())))</f>
        <v/>
      </c>
      <c r="AG33" s="66" t="str">
        <f aca="false">IF(ISBLANK(C33), "", IF(AF33, Constants!$B$4,IF(COUNTA(G33:P33)=0, Constants!$B$5, Constants!$B$7)))</f>
        <v/>
      </c>
      <c r="AH33" s="66" t="str">
        <f aca="false">IF(ISBLANK($C33), "",IF($AG33=Constants!$B$7,1,$AG33))</f>
        <v/>
      </c>
      <c r="AI33" s="66" t="str">
        <f aca="false">IF($AG33=Constants!$B$7,POWER(Constants!$B$11,X33)*POWER(Constants!$B$12,Z33),"")</f>
        <v/>
      </c>
      <c r="AJ33" s="66" t="str">
        <f aca="false">IF(AND($AG33=Constants!$B$7, U33, V33) ,IF(OR($AA33="",$AC33=""),"",MAX(0, $AC33-$AA33)),"")</f>
        <v/>
      </c>
      <c r="AK33" s="66" t="str">
        <f aca="false">IF(AND($AG33=Constants!$B$7, U33, V33),IF(OR($AA33="",$AC33=""),$AK$6,""),"")</f>
        <v/>
      </c>
      <c r="AL33" s="66" t="str">
        <f aca="false">IF($AG33=Constants!$B$7,IF(AND(U33,V33,W33,Y33),IF($AJ33="",0,IF($AJ$6=0,Constants!$B$9,Constants!$B$9*AJ33/$AJ$6)), 0),"")</f>
        <v/>
      </c>
      <c r="AM33" s="66" t="str">
        <f aca="false">IF(AL33&lt;&gt;"", AL33*AI33,"")</f>
        <v/>
      </c>
      <c r="AN33" s="66" t="str">
        <f aca="false">IF(AND($AG33=Constants!$B$7, U33, V33) ,IF($AB33="", "", IF(OR($AC33="",$AC33=0),"",MAX(0,1-ABS($AC33-$AB33)/$AC33))),"")</f>
        <v/>
      </c>
      <c r="AO33" s="66" t="str">
        <f aca="false">IF(AND($AG33=Constants!$B$7, U33, V33),IF(AND($AA33&lt;&gt;"",$AB33&lt;&gt;"",$AC33=0),$AO$6,""),"")</f>
        <v/>
      </c>
      <c r="AP33" s="66" t="str">
        <f aca="false">IF($AG33=Constants!$B$7 ,IF(AND(U33,V33,W33,Y33,ISNUMBER(AB33)),IF($AN33="",0,IF($AN$6=0,Constants!$B$10,Constants!$B$10*AN33/$AN$6)), 0),"")</f>
        <v/>
      </c>
      <c r="AQ33" s="66" t="str">
        <f aca="false">IF(AP33&lt;&gt;"", AP33*AI33,"")</f>
        <v/>
      </c>
      <c r="AR33" s="66" t="str">
        <f aca="false">IF($AG33=Constants!$B$7,IF($AD33="",0,IF($AR$6=0,Constants!$B$8,Constants!$B$8*AD33/$AR$6)),"")</f>
        <v/>
      </c>
      <c r="AS33" s="66" t="str">
        <f aca="false">IF($AG33&lt;&gt;Constants!$B$7,$AG33,IF(AK33&amp;AO33&lt;&gt;"",Constants!$B$14,AM33+AQ33+AR33))</f>
        <v/>
      </c>
      <c r="AT33" s="66" t="str">
        <f aca="false">IF(ISBLANK($C33),"",IF($AG33=Constants!$B$7,IF(ISNUMBER(AS33),RANK(AS33,$AS$8:$AS$507),Constants!$B$14),$AG33))</f>
        <v/>
      </c>
      <c r="AU33" s="66" t="str">
        <f aca="false">IF(ISBLANK($C33), "",AM33)</f>
        <v/>
      </c>
      <c r="AV33" s="66" t="str">
        <f aca="false">IF(ISBLANK($C33),"",IF($AG33=Constants!$B$7,RANK(AU33,AU$8:AU$507),$AG33))</f>
        <v/>
      </c>
      <c r="AW33" s="66" t="str">
        <f aca="false">IF(ISBLANK($C33), "",AR33)</f>
        <v/>
      </c>
      <c r="AX33" s="66" t="str">
        <f aca="false">IF(ISBLANK($C33),"",IF($AG33=Constants!$B$7,RANK(AW33,AW$8:AW$507),$AG33))</f>
        <v/>
      </c>
      <c r="AY33" s="66" t="str">
        <f aca="false">IF(ISBLANK($C33), "",AE33)</f>
        <v/>
      </c>
      <c r="AZ33" s="66" t="str">
        <f aca="false">IF(ISBLANK($C33),"",
IF($AG33=Constants!$B$7,
  IF(ISNUMBER(AT33),
    COUNTIFS($AT$8:$AT$507,"&lt;"&amp;$AT33)
    + COUNTIFS($AT$8:$AT$507,$AT33,$AV$8:$AV$507,"&lt;"&amp;$AV33)
    + COUNTIFS($AT$8:$AT$507,$AT33,$AV$8:$AV$507,$AV33,$AX$8:$AX$507,"&lt;"&amp;$AX33)
    + COUNTIFS($AT$8:$AT$507,$AT33,$AV$8:$AV$507,$AV33,$AX$8:$AX$507,$AX33,$AY$8:$AY$507,"&lt;"&amp;$AY33)
    + 1,
  Constants!$B$14),
$AG33))</f>
        <v/>
      </c>
      <c r="BA33" s="66" t="str">
        <f aca="false">IF(ISBLANK(C33),"",IF($AG33=Constants!$B$7, IF(ISNUMBER(AT33),AT33-AZ33,Constants!$B$14),$AG33))</f>
        <v/>
      </c>
      <c r="BB33" s="70"/>
      <c r="BC33" s="84" t="str">
        <f aca="false">IF(ISBLANK($C33),"",TRIM(AK33&amp;" "&amp;AO33))</f>
        <v/>
      </c>
      <c r="BD33" s="72" t="str">
        <f aca="false">IF(ISBLANK($C33),"",IF($AG33&lt;&gt;Constants!$B$7,$AG33,AR33))</f>
        <v/>
      </c>
      <c r="BE33" s="72" t="str">
        <f aca="false">IF(ISBLANK($C33),"",IF($AG33&lt;&gt;Constants!$B$7,$AG33,AM33))</f>
        <v/>
      </c>
      <c r="BF33" s="72" t="str">
        <f aca="false">IF(ISBLANK($C33),"",IF($AG33&lt;&gt;Constants!$B$7,$AG33,AQ33))</f>
        <v/>
      </c>
      <c r="BG33" s="73" t="str">
        <f aca="false">IF(ISBLANK($C33),"",IF($AG33&lt;&gt;Constants!$B$7, $AG33 ,AS33))</f>
        <v/>
      </c>
      <c r="BH33" s="74" t="str">
        <f aca="false">IF(ISBLANK($C33),"",IF($AG33&lt;&gt;Constants!$B$7, $AG33 ,AH33))</f>
        <v/>
      </c>
      <c r="BI33" s="72" t="str">
        <f aca="false">IF(ISBLANK(C33),"",BA33)</f>
        <v/>
      </c>
      <c r="BJ33" s="72" t="str">
        <f aca="false">IF(ISBLANK(C33),"",AZ33)</f>
        <v/>
      </c>
      <c r="BK33" s="75" t="str">
        <f aca="false">IF(ISBLANK(C33),"",IFERROR(_xlfn.SWITCH(BJ33, Constants!$B$4, COUNTA($C$8:$C532)+2, Constants!$B$5, COUNTA($C$8:$C532)+1, Constants!$B$6, COUNTA($C$8:$C532)),BJ33))</f>
        <v/>
      </c>
      <c r="BL33" s="5"/>
      <c r="BM33" s="76" t="n">
        <f aca="false">IF(OR(ISNUMBER(BJ33),BJ33="DQ",BJ33="P",BJ33="NS"),
    1,
    0
)</f>
        <v>0</v>
      </c>
      <c r="BN33" s="76" t="n">
        <v>26</v>
      </c>
      <c r="BO33" s="76" t="str">
        <f aca="false">IF(ISBLANK($C33),"",IF(ISNUMBER(BK33),BK33+ROW($B33)/1000,""))</f>
        <v/>
      </c>
      <c r="BP33" s="76" t="str">
        <f aca="false">IF(ISNUMBER(BO33), RANK(BO33,BO$8:BO$507,1), "")</f>
        <v/>
      </c>
      <c r="BQ33" s="76" t="str">
        <f aca="false">IF(ISBLANK($C33),
    "",
    $B33
)</f>
        <v/>
      </c>
      <c r="BR33" s="76" t="str">
        <f aca="false">IF(ISBLANK($C33),
    "",
    $C33
)</f>
        <v/>
      </c>
      <c r="BS33" s="76" t="str">
        <f aca="false">IF(ISBLANK($C33),
    "",
    $D33
)</f>
        <v/>
      </c>
      <c r="BT33" s="77" t="str">
        <f aca="false">BH33</f>
        <v/>
      </c>
      <c r="BU33" s="78" t="str">
        <f aca="false">BG33</f>
        <v/>
      </c>
      <c r="BV33" s="76" t="str">
        <f aca="false">IF(ISBLANK($C33),
    "",
    BJ33
)</f>
        <v/>
      </c>
      <c r="BW33" s="79" t="str">
        <f aca="false">IF(BN33&gt;BM$7,
    "",
    VLOOKUP(BN33,BP$8:BV532,7,FALSE())
)</f>
        <v/>
      </c>
      <c r="BX33" s="80" t="str">
        <f aca="false">IF(BN33&gt;BM$7,
    "",
    VLOOKUP(BN33,BP$8:BV532,2,FALSE())
)</f>
        <v/>
      </c>
      <c r="BY33" s="80" t="str">
        <f aca="false">IF(BN33&gt;BM$7,
    "",
    VLOOKUP(BN33,BP$8:BV532,3,FALSE())
)</f>
        <v/>
      </c>
      <c r="BZ33" s="80" t="str">
        <f aca="false">IF(BN33&gt;BM$7,
    "",
    VLOOKUP(BN33,BP$8:BV532,4,FALSE())
)</f>
        <v/>
      </c>
      <c r="CA33" s="80" t="str">
        <f aca="false">IF(BN33&gt;BM$7,
    "",
    VLOOKUP(BN33,BP$8:BV532,5,FALSE())
)</f>
        <v/>
      </c>
      <c r="CB33" s="81" t="str">
        <f aca="false">IF(BN33&gt;BM$7,
    "",
    VLOOKUP(BN33,BP$8:BV532,6,FALSE())
)</f>
        <v/>
      </c>
      <c r="CC33" s="53"/>
    </row>
    <row r="34" customFormat="false" ht="15.75" hidden="false" customHeight="false" outlineLevel="0" collapsed="false">
      <c r="A34" s="5"/>
      <c r="B34" s="129"/>
      <c r="C34" s="55"/>
      <c r="D34" s="56"/>
      <c r="E34" s="123"/>
      <c r="F34" s="123"/>
      <c r="G34" s="58"/>
      <c r="H34" s="59"/>
      <c r="I34" s="59"/>
      <c r="J34" s="124"/>
      <c r="K34" s="124"/>
      <c r="L34" s="124"/>
      <c r="M34" s="61"/>
      <c r="N34" s="61"/>
      <c r="O34" s="61"/>
      <c r="P34" s="62"/>
      <c r="Q34" s="63"/>
      <c r="R34" s="83"/>
      <c r="S34" s="65"/>
      <c r="T34" s="66"/>
      <c r="U34" s="66" t="str">
        <f aca="false">IF(ISBLANK($C34),"",IF(G34=Constants!$B$2, TRUE(), IF(G34=Constants!$B$3, FALSE(), TRUE())))</f>
        <v/>
      </c>
      <c r="V34" s="66" t="str">
        <f aca="false">IF(ISBLANK($C34),"",IF(H34=Constants!$B$2, TRUE(), IF(H34=Constants!$B$3, FALSE(), TRUE())))</f>
        <v/>
      </c>
      <c r="W34" s="66" t="str">
        <f aca="false">IF(ISBLANK($C34),"",IF(I34=Constants!$B$2, TRUE(), IF(I34=Constants!$B$3, FALSE(), TRUE())))</f>
        <v/>
      </c>
      <c r="X34" s="66" t="str">
        <f aca="false">IF(ISBLANK($C34),"",IF(AND(ISNUMBER(J34),J34&gt;0),INT(J34),0))</f>
        <v/>
      </c>
      <c r="Y34" s="66" t="str">
        <f aca="false">IF(ISBLANK($C34),"",IF(K34=Constants!$B$2, TRUE(), IF(K34=Constants!$B$3, FALSE(), TRUE())))</f>
        <v/>
      </c>
      <c r="Z34" s="66" t="str">
        <f aca="false">IF(ISBLANK($C34),"",IF(AND(ISNUMBER(L34),L34&gt;0),INT(L34),0))</f>
        <v/>
      </c>
      <c r="AA34" s="68" t="str">
        <f aca="false">IF(ISBLANK($C34),"",IF(ISNUMBER(M34), M34, ""))</f>
        <v/>
      </c>
      <c r="AB34" s="68" t="str">
        <f aca="false">IF(ISBLANK($C34),"",IF(ISNUMBER(N34), N34, ""))</f>
        <v/>
      </c>
      <c r="AC34" s="68" t="str">
        <f aca="false">IF(ISBLANK($C34),"",IF(ISNUMBER(O34), O34, ""))</f>
        <v/>
      </c>
      <c r="AD34" s="69" t="str">
        <f aca="false">IF(ISBLANK($C34),"",IF(ISNUMBER(P34), P34, ""))</f>
        <v/>
      </c>
      <c r="AE34" s="69" t="str">
        <f aca="false">IF(ISBLANK($C34),"",IF(ISNUMBER(Q34), Q34, Constants!$B$13))</f>
        <v/>
      </c>
      <c r="AF34" s="66" t="str">
        <f aca="false">IF(ISBLANK($C34),"",IF(R34=Constants!$B$2, TRUE(), IF(R34=Constants!$B$3, FALSE(), FALSE())))</f>
        <v/>
      </c>
      <c r="AG34" s="66" t="str">
        <f aca="false">IF(ISBLANK(C34), "", IF(AF34, Constants!$B$4,IF(COUNTA(G34:P34)=0, Constants!$B$5, Constants!$B$7)))</f>
        <v/>
      </c>
      <c r="AH34" s="66" t="str">
        <f aca="false">IF(ISBLANK($C34), "",IF($AG34=Constants!$B$7,1,$AG34))</f>
        <v/>
      </c>
      <c r="AI34" s="66" t="str">
        <f aca="false">IF($AG34=Constants!$B$7,POWER(Constants!$B$11,X34)*POWER(Constants!$B$12,Z34),"")</f>
        <v/>
      </c>
      <c r="AJ34" s="66" t="str">
        <f aca="false">IF(AND($AG34=Constants!$B$7, U34, V34) ,IF(OR($AA34="",$AC34=""),"",MAX(0, $AC34-$AA34)),"")</f>
        <v/>
      </c>
      <c r="AK34" s="66" t="str">
        <f aca="false">IF(AND($AG34=Constants!$B$7, U34, V34),IF(OR($AA34="",$AC34=""),$AK$6,""),"")</f>
        <v/>
      </c>
      <c r="AL34" s="66" t="str">
        <f aca="false">IF($AG34=Constants!$B$7,IF(AND(U34,V34,W34,Y34),IF($AJ34="",0,IF($AJ$6=0,Constants!$B$9,Constants!$B$9*AJ34/$AJ$6)), 0),"")</f>
        <v/>
      </c>
      <c r="AM34" s="66" t="str">
        <f aca="false">IF(AL34&lt;&gt;"", AL34*AI34,"")</f>
        <v/>
      </c>
      <c r="AN34" s="66" t="str">
        <f aca="false">IF(AND($AG34=Constants!$B$7, U34, V34) ,IF($AB34="", "", IF(OR($AC34="",$AC34=0),"",MAX(0,1-ABS($AC34-$AB34)/$AC34))),"")</f>
        <v/>
      </c>
      <c r="AO34" s="66" t="str">
        <f aca="false">IF(AND($AG34=Constants!$B$7, U34, V34),IF(AND($AA34&lt;&gt;"",$AB34&lt;&gt;"",$AC34=0),$AO$6,""),"")</f>
        <v/>
      </c>
      <c r="AP34" s="66" t="str">
        <f aca="false">IF($AG34=Constants!$B$7 ,IF(AND(U34,V34,W34,Y34,ISNUMBER(AB34)),IF($AN34="",0,IF($AN$6=0,Constants!$B$10,Constants!$B$10*AN34/$AN$6)), 0),"")</f>
        <v/>
      </c>
      <c r="AQ34" s="66" t="str">
        <f aca="false">IF(AP34&lt;&gt;"", AP34*AI34,"")</f>
        <v/>
      </c>
      <c r="AR34" s="66" t="str">
        <f aca="false">IF($AG34=Constants!$B$7,IF($AD34="",0,IF($AR$6=0,Constants!$B$8,Constants!$B$8*AD34/$AR$6)),"")</f>
        <v/>
      </c>
      <c r="AS34" s="66" t="str">
        <f aca="false">IF($AG34&lt;&gt;Constants!$B$7,$AG34,IF(AK34&amp;AO34&lt;&gt;"",Constants!$B$14,AM34+AQ34+AR34))</f>
        <v/>
      </c>
      <c r="AT34" s="66" t="str">
        <f aca="false">IF(ISBLANK($C34),"",IF($AG34=Constants!$B$7,IF(ISNUMBER(AS34),RANK(AS34,$AS$8:$AS$507),Constants!$B$14),$AG34))</f>
        <v/>
      </c>
      <c r="AU34" s="66" t="str">
        <f aca="false">IF(ISBLANK($C34), "",AM34)</f>
        <v/>
      </c>
      <c r="AV34" s="66" t="str">
        <f aca="false">IF(ISBLANK($C34),"",IF($AG34=Constants!$B$7,RANK(AU34,AU$8:AU$507),$AG34))</f>
        <v/>
      </c>
      <c r="AW34" s="66" t="str">
        <f aca="false">IF(ISBLANK($C34), "",AR34)</f>
        <v/>
      </c>
      <c r="AX34" s="66" t="str">
        <f aca="false">IF(ISBLANK($C34),"",IF($AG34=Constants!$B$7,RANK(AW34,AW$8:AW$507),$AG34))</f>
        <v/>
      </c>
      <c r="AY34" s="66" t="str">
        <f aca="false">IF(ISBLANK($C34), "",AE34)</f>
        <v/>
      </c>
      <c r="AZ34" s="66" t="str">
        <f aca="false">IF(ISBLANK($C34),"",
IF($AG34=Constants!$B$7,
  IF(ISNUMBER(AT34),
    COUNTIFS($AT$8:$AT$507,"&lt;"&amp;$AT34)
    + COUNTIFS($AT$8:$AT$507,$AT34,$AV$8:$AV$507,"&lt;"&amp;$AV34)
    + COUNTIFS($AT$8:$AT$507,$AT34,$AV$8:$AV$507,$AV34,$AX$8:$AX$507,"&lt;"&amp;$AX34)
    + COUNTIFS($AT$8:$AT$507,$AT34,$AV$8:$AV$507,$AV34,$AX$8:$AX$507,$AX34,$AY$8:$AY$507,"&lt;"&amp;$AY34)
    + 1,
  Constants!$B$14),
$AG34))</f>
        <v/>
      </c>
      <c r="BA34" s="66" t="str">
        <f aca="false">IF(ISBLANK(C34),"",IF($AG34=Constants!$B$7, IF(ISNUMBER(AT34),AT34-AZ34,Constants!$B$14),$AG34))</f>
        <v/>
      </c>
      <c r="BB34" s="70"/>
      <c r="BC34" s="84" t="str">
        <f aca="false">IF(ISBLANK($C34),"",TRIM(AK34&amp;" "&amp;AO34))</f>
        <v/>
      </c>
      <c r="BD34" s="72" t="str">
        <f aca="false">IF(ISBLANK($C34),"",IF($AG34&lt;&gt;Constants!$B$7,$AG34,AR34))</f>
        <v/>
      </c>
      <c r="BE34" s="72" t="str">
        <f aca="false">IF(ISBLANK($C34),"",IF($AG34&lt;&gt;Constants!$B$7,$AG34,AM34))</f>
        <v/>
      </c>
      <c r="BF34" s="72" t="str">
        <f aca="false">IF(ISBLANK($C34),"",IF($AG34&lt;&gt;Constants!$B$7,$AG34,AQ34))</f>
        <v/>
      </c>
      <c r="BG34" s="73" t="str">
        <f aca="false">IF(ISBLANK($C34),"",IF($AG34&lt;&gt;Constants!$B$7, $AG34 ,AS34))</f>
        <v/>
      </c>
      <c r="BH34" s="74" t="str">
        <f aca="false">IF(ISBLANK($C34),"",IF($AG34&lt;&gt;Constants!$B$7, $AG34 ,AH34))</f>
        <v/>
      </c>
      <c r="BI34" s="72" t="str">
        <f aca="false">IF(ISBLANK(C34),"",BA34)</f>
        <v/>
      </c>
      <c r="BJ34" s="72" t="str">
        <f aca="false">IF(ISBLANK(C34),"",AZ34)</f>
        <v/>
      </c>
      <c r="BK34" s="75" t="str">
        <f aca="false">IF(ISBLANK(C34),"",IFERROR(_xlfn.SWITCH(BJ34, Constants!$B$4, COUNTA($C$8:$C533)+2, Constants!$B$5, COUNTA($C$8:$C533)+1, Constants!$B$6, COUNTA($C$8:$C533)),BJ34))</f>
        <v/>
      </c>
      <c r="BL34" s="5"/>
      <c r="BM34" s="76" t="n">
        <f aca="false">IF(OR(ISNUMBER(BJ34),BJ34="DQ",BJ34="P",BJ34="NS"),
    1,
    0
)</f>
        <v>0</v>
      </c>
      <c r="BN34" s="76" t="n">
        <v>27</v>
      </c>
      <c r="BO34" s="76" t="str">
        <f aca="false">IF(ISBLANK($C34),"",IF(ISNUMBER(BK34),BK34+ROW($B34)/1000,""))</f>
        <v/>
      </c>
      <c r="BP34" s="76" t="str">
        <f aca="false">IF(ISNUMBER(BO34), RANK(BO34,BO$8:BO$507,1), "")</f>
        <v/>
      </c>
      <c r="BQ34" s="76" t="str">
        <f aca="false">IF(ISBLANK($C34),
    "",
    $B34
)</f>
        <v/>
      </c>
      <c r="BR34" s="76" t="str">
        <f aca="false">IF(ISBLANK($C34),
    "",
    $C34
)</f>
        <v/>
      </c>
      <c r="BS34" s="76" t="str">
        <f aca="false">IF(ISBLANK($C34),
    "",
    $D34
)</f>
        <v/>
      </c>
      <c r="BT34" s="77" t="str">
        <f aca="false">BH34</f>
        <v/>
      </c>
      <c r="BU34" s="78" t="str">
        <f aca="false">BG34</f>
        <v/>
      </c>
      <c r="BV34" s="76" t="str">
        <f aca="false">IF(ISBLANK($C34),
    "",
    BJ34
)</f>
        <v/>
      </c>
      <c r="BW34" s="79" t="str">
        <f aca="false">IF(BN34&gt;BM$7,
    "",
    VLOOKUP(BN34,BP$8:BV533,7,FALSE())
)</f>
        <v/>
      </c>
      <c r="BX34" s="80" t="str">
        <f aca="false">IF(BN34&gt;BM$7,
    "",
    VLOOKUP(BN34,BP$8:BV533,2,FALSE())
)</f>
        <v/>
      </c>
      <c r="BY34" s="80" t="str">
        <f aca="false">IF(BN34&gt;BM$7,
    "",
    VLOOKUP(BN34,BP$8:BV533,3,FALSE())
)</f>
        <v/>
      </c>
      <c r="BZ34" s="80" t="str">
        <f aca="false">IF(BN34&gt;BM$7,
    "",
    VLOOKUP(BN34,BP$8:BV533,4,FALSE())
)</f>
        <v/>
      </c>
      <c r="CA34" s="80" t="str">
        <f aca="false">IF(BN34&gt;BM$7,
    "",
    VLOOKUP(BN34,BP$8:BV533,5,FALSE())
)</f>
        <v/>
      </c>
      <c r="CB34" s="81" t="str">
        <f aca="false">IF(BN34&gt;BM$7,
    "",
    VLOOKUP(BN34,BP$8:BV533,6,FALSE())
)</f>
        <v/>
      </c>
      <c r="CC34" s="53"/>
    </row>
    <row r="35" customFormat="false" ht="15.75" hidden="false" customHeight="false" outlineLevel="0" collapsed="false">
      <c r="A35" s="5"/>
      <c r="B35" s="125"/>
      <c r="C35" s="126"/>
      <c r="D35" s="115"/>
      <c r="E35" s="119"/>
      <c r="F35" s="119"/>
      <c r="G35" s="91"/>
      <c r="H35" s="92"/>
      <c r="I35" s="92"/>
      <c r="J35" s="127"/>
      <c r="K35" s="127"/>
      <c r="L35" s="127"/>
      <c r="M35" s="94"/>
      <c r="N35" s="94"/>
      <c r="O35" s="94"/>
      <c r="P35" s="95"/>
      <c r="Q35" s="96"/>
      <c r="R35" s="128"/>
      <c r="S35" s="98"/>
      <c r="T35" s="99"/>
      <c r="U35" s="99" t="str">
        <f aca="false">IF(ISBLANK($C35),"",IF(G35=Constants!$B$2, TRUE(), IF(G35=Constants!$B$3, FALSE(), TRUE())))</f>
        <v/>
      </c>
      <c r="V35" s="99" t="str">
        <f aca="false">IF(ISBLANK($C35),"",IF(H35=Constants!$B$2, TRUE(), IF(H35=Constants!$B$3, FALSE(), TRUE())))</f>
        <v/>
      </c>
      <c r="W35" s="99" t="str">
        <f aca="false">IF(ISBLANK($C35),"",IF(I35=Constants!$B$2, TRUE(), IF(I35=Constants!$B$3, FALSE(), TRUE())))</f>
        <v/>
      </c>
      <c r="X35" s="99" t="str">
        <f aca="false">IF(ISBLANK($C35),"",IF(AND(ISNUMBER(J35),J35&gt;0),INT(J35),0))</f>
        <v/>
      </c>
      <c r="Y35" s="99" t="str">
        <f aca="false">IF(ISBLANK($C35),"",IF(K35=Constants!$B$2, TRUE(), IF(K35=Constants!$B$3, FALSE(), TRUE())))</f>
        <v/>
      </c>
      <c r="Z35" s="100" t="str">
        <f aca="false">IF(ISBLANK($C35),"",IF(AND(ISNUMBER(L35),L35&gt;0),INT(L35),0))</f>
        <v/>
      </c>
      <c r="AA35" s="101" t="str">
        <f aca="false">IF(ISBLANK($C35),"",IF(ISNUMBER(M35), M35, ""))</f>
        <v/>
      </c>
      <c r="AB35" s="101" t="str">
        <f aca="false">IF(ISBLANK($C35),"",IF(ISNUMBER(N35), N35, ""))</f>
        <v/>
      </c>
      <c r="AC35" s="101" t="str">
        <f aca="false">IF(ISBLANK($C35),"",IF(ISNUMBER(O35), O35, ""))</f>
        <v/>
      </c>
      <c r="AD35" s="102" t="str">
        <f aca="false">IF(ISBLANK($C35),"",IF(ISNUMBER(P35), P35, ""))</f>
        <v/>
      </c>
      <c r="AE35" s="102" t="str">
        <f aca="false">IF(ISBLANK($C35),"",IF(ISNUMBER(Q35), Q35, Constants!$B$13))</f>
        <v/>
      </c>
      <c r="AF35" s="99" t="str">
        <f aca="false">IF(ISBLANK($C35),"",IF(R35=Constants!$B$2, TRUE(), IF(R35=Constants!$B$3, FALSE(), FALSE())))</f>
        <v/>
      </c>
      <c r="AG35" s="99" t="str">
        <f aca="false">IF(ISBLANK(C35), "", IF(AF35, Constants!$B$4,IF(COUNTA(G35:P35)=0, Constants!$B$5, Constants!$B$7)))</f>
        <v/>
      </c>
      <c r="AH35" s="99" t="str">
        <f aca="false">IF(ISBLANK($C35), "",IF($AG35=Constants!$B$7,1,$AG35))</f>
        <v/>
      </c>
      <c r="AI35" s="99" t="str">
        <f aca="false">IF($AG35=Constants!$B$7,POWER(Constants!$B$11,X35)*POWER(Constants!$B$12,Z35),"")</f>
        <v/>
      </c>
      <c r="AJ35" s="99" t="str">
        <f aca="false">IF(AND($AG35=Constants!$B$7, U35, V35) ,IF(OR($AA35="",$AC35=""),"",MAX(0, $AC35-$AA35)),"")</f>
        <v/>
      </c>
      <c r="AK35" s="99" t="str">
        <f aca="false">IF(AND($AG35=Constants!$B$7, U35, V35),IF(OR($AA35="",$AC35=""),$AK$6,""),"")</f>
        <v/>
      </c>
      <c r="AL35" s="99" t="str">
        <f aca="false">IF($AG35=Constants!$B$7,IF(AND(U35,V35,W35,Y35),IF($AJ35="",0,IF($AJ$6=0,Constants!$B$9,Constants!$B$9*AJ35/$AJ$6)), 0),"")</f>
        <v/>
      </c>
      <c r="AM35" s="99" t="str">
        <f aca="false">IF(AL35&lt;&gt;"", AL35*AI35,"")</f>
        <v/>
      </c>
      <c r="AN35" s="99" t="str">
        <f aca="false">IF(AND($AG35=Constants!$B$7, U35, V35) ,IF($AB35="", "", IF(OR($AC35="",$AC35=0),"",MAX(0,1-ABS($AC35-$AB35)/$AC35))),"")</f>
        <v/>
      </c>
      <c r="AO35" s="99" t="str">
        <f aca="false">IF(AND($AG35=Constants!$B$7, U35, V35),IF(AND($AA35&lt;&gt;"",$AB35&lt;&gt;"",$AC35=0),$AO$6,""),"")</f>
        <v/>
      </c>
      <c r="AP35" s="99" t="str">
        <f aca="false">IF($AG35=Constants!$B$7 ,IF(AND(U35,V35,W35,Y35,ISNUMBER(AB35)),IF($AN35="",0,IF($AN$6=0,Constants!$B$10,Constants!$B$10*AN35/$AN$6)), 0),"")</f>
        <v/>
      </c>
      <c r="AQ35" s="99" t="str">
        <f aca="false">IF(AP35&lt;&gt;"", AP35*AI35,"")</f>
        <v/>
      </c>
      <c r="AR35" s="99" t="str">
        <f aca="false">IF($AG35=Constants!$B$7,IF($AD35="",0,IF($AR$6=0,Constants!$B$8,Constants!$B$8*AD35/$AR$6)),"")</f>
        <v/>
      </c>
      <c r="AS35" s="99" t="str">
        <f aca="false">IF($AG35&lt;&gt;Constants!$B$7,$AG35,IF(AK35&amp;AO35&lt;&gt;"",Constants!$B$14,AM35+AQ35+AR35))</f>
        <v/>
      </c>
      <c r="AT35" s="99" t="str">
        <f aca="false">IF(ISBLANK($C35),"",IF($AG35=Constants!$B$7,IF(ISNUMBER(AS35),RANK(AS35,$AS$8:$AS$507),Constants!$B$14),$AG35))</f>
        <v/>
      </c>
      <c r="AU35" s="99" t="str">
        <f aca="false">IF(ISBLANK($C35), "",AM35)</f>
        <v/>
      </c>
      <c r="AV35" s="99" t="str">
        <f aca="false">IF(ISBLANK($C35),"",IF($AG35=Constants!$B$7,RANK(AU35,AU$8:AU$507),$AG35))</f>
        <v/>
      </c>
      <c r="AW35" s="99" t="str">
        <f aca="false">IF(ISBLANK($C35), "",AR35)</f>
        <v/>
      </c>
      <c r="AX35" s="99" t="str">
        <f aca="false">IF(ISBLANK($C35),"",IF($AG35=Constants!$B$7,RANK(AW35,AW$8:AW$507),$AG35))</f>
        <v/>
      </c>
      <c r="AY35" s="99" t="str">
        <f aca="false">IF(ISBLANK($C35), "",AE35)</f>
        <v/>
      </c>
      <c r="AZ35" s="99" t="str">
        <f aca="false">IF(ISBLANK($C35),"",
IF($AG35=Constants!$B$7,
  IF(ISNUMBER(AT35),
    COUNTIFS($AT$8:$AT$507,"&lt;"&amp;$AT35)
    + COUNTIFS($AT$8:$AT$507,$AT35,$AV$8:$AV$507,"&lt;"&amp;$AV35)
    + COUNTIFS($AT$8:$AT$507,$AT35,$AV$8:$AV$507,$AV35,$AX$8:$AX$507,"&lt;"&amp;$AX35)
    + COUNTIFS($AT$8:$AT$507,$AT35,$AV$8:$AV$507,$AV35,$AX$8:$AX$507,$AX35,$AY$8:$AY$507,"&lt;"&amp;$AY35)
    + 1,
  Constants!$B$14),
$AG35))</f>
        <v/>
      </c>
      <c r="BA35" s="99" t="str">
        <f aca="false">IF(ISBLANK(C35),"",IF($AG35=Constants!$B$7, IF(ISNUMBER(AT35),AT35-AZ35,Constants!$B$14),$AG35))</f>
        <v/>
      </c>
      <c r="BB35" s="103"/>
      <c r="BC35" s="104" t="str">
        <f aca="false">IF(ISBLANK($C35),"",TRIM(AK35&amp;" "&amp;AO35))</f>
        <v/>
      </c>
      <c r="BD35" s="105" t="str">
        <f aca="false">IF(ISBLANK($C35),"",IF($AG35&lt;&gt;Constants!$B$7,$AG35,AR35))</f>
        <v/>
      </c>
      <c r="BE35" s="105" t="str">
        <f aca="false">IF(ISBLANK($C35),"",IF($AG35&lt;&gt;Constants!$B$7,$AG35,AM35))</f>
        <v/>
      </c>
      <c r="BF35" s="105" t="str">
        <f aca="false">IF(ISBLANK($C35),"",IF($AG35&lt;&gt;Constants!$B$7,$AG35,AQ35))</f>
        <v/>
      </c>
      <c r="BG35" s="106" t="str">
        <f aca="false">IF(ISBLANK($C35),"",IF($AG35&lt;&gt;Constants!$B$7, $AG35 ,AS35))</f>
        <v/>
      </c>
      <c r="BH35" s="107" t="str">
        <f aca="false">IF(ISBLANK($C35),"",IF($AG35&lt;&gt;Constants!$B$7, $AG35 ,AH35))</f>
        <v/>
      </c>
      <c r="BI35" s="105" t="str">
        <f aca="false">IF(ISBLANK(C35),"",BA35)</f>
        <v/>
      </c>
      <c r="BJ35" s="105" t="str">
        <f aca="false">IF(ISBLANK(C35),"",AZ35)</f>
        <v/>
      </c>
      <c r="BK35" s="108" t="str">
        <f aca="false">IF(ISBLANK(C35),"",IFERROR(_xlfn.SWITCH(BJ35, Constants!$B$4, COUNTA($C$8:$C534)+2, Constants!$B$5, COUNTA($C$8:$C534)+1, Constants!$B$6, COUNTA($C$8:$C534)),BJ35))</f>
        <v/>
      </c>
      <c r="BL35" s="5"/>
      <c r="BM35" s="109" t="n">
        <f aca="false">IF(OR(ISNUMBER(BJ35),BJ35="DQ",BJ35="P",BJ35="NS"),
    1,
    0
)</f>
        <v>0</v>
      </c>
      <c r="BN35" s="109" t="n">
        <v>28</v>
      </c>
      <c r="BO35" s="109" t="str">
        <f aca="false">IF(ISBLANK($C35),"",IF(ISNUMBER(BK35),BK35+ROW($B35)/1000,""))</f>
        <v/>
      </c>
      <c r="BP35" s="109" t="str">
        <f aca="false">IF(ISNUMBER(BO35), RANK(BO35,BO$8:BO$507,1), "")</f>
        <v/>
      </c>
      <c r="BQ35" s="109" t="str">
        <f aca="false">IF(ISBLANK($C35),
    "",
    $B35
)</f>
        <v/>
      </c>
      <c r="BR35" s="109" t="str">
        <f aca="false">IF(ISBLANK($C35),
    "",
    $C35
)</f>
        <v/>
      </c>
      <c r="BS35" s="109" t="str">
        <f aca="false">IF(ISBLANK($C35),
    "",
    $D35
)</f>
        <v/>
      </c>
      <c r="BT35" s="110" t="str">
        <f aca="false">BH35</f>
        <v/>
      </c>
      <c r="BU35" s="111" t="str">
        <f aca="false">BG35</f>
        <v/>
      </c>
      <c r="BV35" s="109" t="str">
        <f aca="false">IF(ISBLANK($C35),
    "",
    BJ35
)</f>
        <v/>
      </c>
      <c r="BW35" s="112" t="str">
        <f aca="false">IF(BN35&gt;BM$7,
    "",
    VLOOKUP(BN35,BP$8:BV534,7,FALSE())
)</f>
        <v/>
      </c>
      <c r="BX35" s="113" t="str">
        <f aca="false">IF(BN35&gt;BM$7,
    "",
    VLOOKUP(BN35,BP$8:BV534,2,FALSE())
)</f>
        <v/>
      </c>
      <c r="BY35" s="113" t="str">
        <f aca="false">IF(BN35&gt;BM$7,
    "",
    VLOOKUP(BN35,BP$8:BV534,3,FALSE())
)</f>
        <v/>
      </c>
      <c r="BZ35" s="113" t="str">
        <f aca="false">IF(BN35&gt;BM$7,
    "",
    VLOOKUP(BN35,BP$8:BV534,4,FALSE())
)</f>
        <v/>
      </c>
      <c r="CA35" s="113" t="str">
        <f aca="false">IF(BN35&gt;BM$7,
    "",
    VLOOKUP(BN35,BP$8:BV534,5,FALSE())
)</f>
        <v/>
      </c>
      <c r="CB35" s="114" t="str">
        <f aca="false">IF(BN35&gt;BM$7,
    "",
    VLOOKUP(BN35,BP$8:BV534,6,FALSE())
)</f>
        <v/>
      </c>
      <c r="CC35" s="53"/>
    </row>
    <row r="36" customFormat="false" ht="15.75" hidden="false" customHeight="false" outlineLevel="0" collapsed="false">
      <c r="A36" s="5"/>
      <c r="B36" s="125"/>
      <c r="C36" s="126"/>
      <c r="D36" s="115"/>
      <c r="E36" s="119"/>
      <c r="F36" s="119"/>
      <c r="G36" s="91"/>
      <c r="H36" s="92"/>
      <c r="I36" s="92"/>
      <c r="J36" s="127"/>
      <c r="K36" s="127"/>
      <c r="L36" s="127"/>
      <c r="M36" s="94"/>
      <c r="N36" s="94"/>
      <c r="O36" s="94"/>
      <c r="P36" s="95"/>
      <c r="Q36" s="96"/>
      <c r="R36" s="128"/>
      <c r="S36" s="98"/>
      <c r="T36" s="99"/>
      <c r="U36" s="99" t="str">
        <f aca="false">IF(ISBLANK($C36),"",IF(G36=Constants!$B$2, TRUE(), IF(G36=Constants!$B$3, FALSE(), TRUE())))</f>
        <v/>
      </c>
      <c r="V36" s="99" t="str">
        <f aca="false">IF(ISBLANK($C36),"",IF(H36=Constants!$B$2, TRUE(), IF(H36=Constants!$B$3, FALSE(), TRUE())))</f>
        <v/>
      </c>
      <c r="W36" s="99" t="str">
        <f aca="false">IF(ISBLANK($C36),"",IF(I36=Constants!$B$2, TRUE(), IF(I36=Constants!$B$3, FALSE(), TRUE())))</f>
        <v/>
      </c>
      <c r="X36" s="99" t="str">
        <f aca="false">IF(ISBLANK($C36),"",IF(AND(ISNUMBER(J36),J36&gt;0),INT(J36),0))</f>
        <v/>
      </c>
      <c r="Y36" s="99" t="str">
        <f aca="false">IF(ISBLANK($C36),"",IF(K36=Constants!$B$2, TRUE(), IF(K36=Constants!$B$3, FALSE(), TRUE())))</f>
        <v/>
      </c>
      <c r="Z36" s="100" t="str">
        <f aca="false">IF(ISBLANK($C36),"",IF(AND(ISNUMBER(L36),L36&gt;0),INT(L36),0))</f>
        <v/>
      </c>
      <c r="AA36" s="101" t="str">
        <f aca="false">IF(ISBLANK($C36),"",IF(ISNUMBER(M36), M36, ""))</f>
        <v/>
      </c>
      <c r="AB36" s="101" t="str">
        <f aca="false">IF(ISBLANK($C36),"",IF(ISNUMBER(N36), N36, ""))</f>
        <v/>
      </c>
      <c r="AC36" s="101" t="str">
        <f aca="false">IF(ISBLANK($C36),"",IF(ISNUMBER(O36), O36, ""))</f>
        <v/>
      </c>
      <c r="AD36" s="102" t="str">
        <f aca="false">IF(ISBLANK($C36),"",IF(ISNUMBER(P36), P36, ""))</f>
        <v/>
      </c>
      <c r="AE36" s="102" t="str">
        <f aca="false">IF(ISBLANK($C36),"",IF(ISNUMBER(Q36), Q36, Constants!$B$13))</f>
        <v/>
      </c>
      <c r="AF36" s="99" t="str">
        <f aca="false">IF(ISBLANK($C36),"",IF(R36=Constants!$B$2, TRUE(), IF(R36=Constants!$B$3, FALSE(), FALSE())))</f>
        <v/>
      </c>
      <c r="AG36" s="99" t="str">
        <f aca="false">IF(ISBLANK(C36), "", IF(AF36, Constants!$B$4,IF(COUNTA(G36:P36)=0, Constants!$B$5, Constants!$B$7)))</f>
        <v/>
      </c>
      <c r="AH36" s="99" t="str">
        <f aca="false">IF(ISBLANK($C36), "",IF($AG36=Constants!$B$7,1,$AG36))</f>
        <v/>
      </c>
      <c r="AI36" s="99" t="str">
        <f aca="false">IF($AG36=Constants!$B$7,POWER(Constants!$B$11,X36)*POWER(Constants!$B$12,Z36),"")</f>
        <v/>
      </c>
      <c r="AJ36" s="99" t="str">
        <f aca="false">IF(AND($AG36=Constants!$B$7, U36, V36) ,IF(OR($AA36="",$AC36=""),"",MAX(0, $AC36-$AA36)),"")</f>
        <v/>
      </c>
      <c r="AK36" s="99" t="str">
        <f aca="false">IF(AND($AG36=Constants!$B$7, U36, V36),IF(OR($AA36="",$AC36=""),$AK$6,""),"")</f>
        <v/>
      </c>
      <c r="AL36" s="99" t="str">
        <f aca="false">IF($AG36=Constants!$B$7,IF(AND(U36,V36,W36,Y36),IF($AJ36="",0,IF($AJ$6=0,Constants!$B$9,Constants!$B$9*AJ36/$AJ$6)), 0),"")</f>
        <v/>
      </c>
      <c r="AM36" s="99" t="str">
        <f aca="false">IF(AL36&lt;&gt;"", AL36*AI36,"")</f>
        <v/>
      </c>
      <c r="AN36" s="99" t="str">
        <f aca="false">IF(AND($AG36=Constants!$B$7, U36, V36) ,IF($AB36="", "", IF(OR($AC36="",$AC36=0),"",MAX(0,1-ABS($AC36-$AB36)/$AC36))),"")</f>
        <v/>
      </c>
      <c r="AO36" s="99" t="str">
        <f aca="false">IF(AND($AG36=Constants!$B$7, U36, V36),IF(AND($AA36&lt;&gt;"",$AB36&lt;&gt;"",$AC36=0),$AO$6,""),"")</f>
        <v/>
      </c>
      <c r="AP36" s="99" t="str">
        <f aca="false">IF($AG36=Constants!$B$7 ,IF(AND(U36,V36,W36,Y36,ISNUMBER(AB36)),IF($AN36="",0,IF($AN$6=0,Constants!$B$10,Constants!$B$10*AN36/$AN$6)), 0),"")</f>
        <v/>
      </c>
      <c r="AQ36" s="99" t="str">
        <f aca="false">IF(AP36&lt;&gt;"", AP36*AI36,"")</f>
        <v/>
      </c>
      <c r="AR36" s="99" t="str">
        <f aca="false">IF($AG36=Constants!$B$7,IF($AD36="",0,IF($AR$6=0,Constants!$B$8,Constants!$B$8*AD36/$AR$6)),"")</f>
        <v/>
      </c>
      <c r="AS36" s="99" t="str">
        <f aca="false">IF($AG36&lt;&gt;Constants!$B$7,$AG36,IF(AK36&amp;AO36&lt;&gt;"",Constants!$B$14,AM36+AQ36+AR36))</f>
        <v/>
      </c>
      <c r="AT36" s="99" t="str">
        <f aca="false">IF(ISBLANK($C36),"",IF($AG36=Constants!$B$7,IF(ISNUMBER(AS36),RANK(AS36,$AS$8:$AS$507),Constants!$B$14),$AG36))</f>
        <v/>
      </c>
      <c r="AU36" s="99" t="str">
        <f aca="false">IF(ISBLANK($C36), "",AM36)</f>
        <v/>
      </c>
      <c r="AV36" s="99" t="str">
        <f aca="false">IF(ISBLANK($C36),"",IF($AG36=Constants!$B$7,RANK(AU36,AU$8:AU$507),$AG36))</f>
        <v/>
      </c>
      <c r="AW36" s="99" t="str">
        <f aca="false">IF(ISBLANK($C36), "",AR36)</f>
        <v/>
      </c>
      <c r="AX36" s="99" t="str">
        <f aca="false">IF(ISBLANK($C36),"",IF($AG36=Constants!$B$7,RANK(AW36,AW$8:AW$507),$AG36))</f>
        <v/>
      </c>
      <c r="AY36" s="99" t="str">
        <f aca="false">IF(ISBLANK($C36), "",AE36)</f>
        <v/>
      </c>
      <c r="AZ36" s="99" t="str">
        <f aca="false">IF(ISBLANK($C36),"",
IF($AG36=Constants!$B$7,
  IF(ISNUMBER(AT36),
    COUNTIFS($AT$8:$AT$507,"&lt;"&amp;$AT36)
    + COUNTIFS($AT$8:$AT$507,$AT36,$AV$8:$AV$507,"&lt;"&amp;$AV36)
    + COUNTIFS($AT$8:$AT$507,$AT36,$AV$8:$AV$507,$AV36,$AX$8:$AX$507,"&lt;"&amp;$AX36)
    + COUNTIFS($AT$8:$AT$507,$AT36,$AV$8:$AV$507,$AV36,$AX$8:$AX$507,$AX36,$AY$8:$AY$507,"&lt;"&amp;$AY36)
    + 1,
  Constants!$B$14),
$AG36))</f>
        <v/>
      </c>
      <c r="BA36" s="99" t="str">
        <f aca="false">IF(ISBLANK(C36),"",IF($AG36=Constants!$B$7, IF(ISNUMBER(AT36),AT36-AZ36,Constants!$B$14),$AG36))</f>
        <v/>
      </c>
      <c r="BB36" s="103"/>
      <c r="BC36" s="104" t="str">
        <f aca="false">IF(ISBLANK($C36),"",TRIM(AK36&amp;" "&amp;AO36))</f>
        <v/>
      </c>
      <c r="BD36" s="105" t="str">
        <f aca="false">IF(ISBLANK($C36),"",IF($AG36&lt;&gt;Constants!$B$7,$AG36,AR36))</f>
        <v/>
      </c>
      <c r="BE36" s="105" t="str">
        <f aca="false">IF(ISBLANK($C36),"",IF($AG36&lt;&gt;Constants!$B$7,$AG36,AM36))</f>
        <v/>
      </c>
      <c r="BF36" s="105" t="str">
        <f aca="false">IF(ISBLANK($C36),"",IF($AG36&lt;&gt;Constants!$B$7,$AG36,AQ36))</f>
        <v/>
      </c>
      <c r="BG36" s="106" t="str">
        <f aca="false">IF(ISBLANK($C36),"",IF($AG36&lt;&gt;Constants!$B$7, $AG36 ,AS36))</f>
        <v/>
      </c>
      <c r="BH36" s="107" t="str">
        <f aca="false">IF(ISBLANK($C36),"",IF($AG36&lt;&gt;Constants!$B$7, $AG36 ,AH36))</f>
        <v/>
      </c>
      <c r="BI36" s="105" t="str">
        <f aca="false">IF(ISBLANK(C36),"",BA36)</f>
        <v/>
      </c>
      <c r="BJ36" s="105" t="str">
        <f aca="false">IF(ISBLANK(C36),"",AZ36)</f>
        <v/>
      </c>
      <c r="BK36" s="108" t="str">
        <f aca="false">IF(ISBLANK(C36),"",IFERROR(_xlfn.SWITCH(BJ36, Constants!$B$4, COUNTA($C$8:$C535)+2, Constants!$B$5, COUNTA($C$8:$C535)+1, Constants!$B$6, COUNTA($C$8:$C535)),BJ36))</f>
        <v/>
      </c>
      <c r="BL36" s="5"/>
      <c r="BM36" s="109" t="n">
        <f aca="false">IF(OR(ISNUMBER(BJ36),BJ36="DQ",BJ36="P",BJ36="NS"),
    1,
    0
)</f>
        <v>0</v>
      </c>
      <c r="BN36" s="109" t="n">
        <v>29</v>
      </c>
      <c r="BO36" s="109" t="str">
        <f aca="false">IF(ISBLANK($C36),"",IF(ISNUMBER(BK36),BK36+ROW($B36)/1000,""))</f>
        <v/>
      </c>
      <c r="BP36" s="109" t="str">
        <f aca="false">IF(ISNUMBER(BO36), RANK(BO36,BO$8:BO$507,1), "")</f>
        <v/>
      </c>
      <c r="BQ36" s="109" t="str">
        <f aca="false">IF(ISBLANK($C36),
    "",
    $B36
)</f>
        <v/>
      </c>
      <c r="BR36" s="109" t="str">
        <f aca="false">IF(ISBLANK($C36),
    "",
    $C36
)</f>
        <v/>
      </c>
      <c r="BS36" s="109" t="str">
        <f aca="false">IF(ISBLANK($C36),
    "",
    $D36
)</f>
        <v/>
      </c>
      <c r="BT36" s="110" t="str">
        <f aca="false">BH36</f>
        <v/>
      </c>
      <c r="BU36" s="111" t="str">
        <f aca="false">BG36</f>
        <v/>
      </c>
      <c r="BV36" s="109" t="str">
        <f aca="false">IF(ISBLANK($C36),
    "",
    BJ36
)</f>
        <v/>
      </c>
      <c r="BW36" s="112" t="str">
        <f aca="false">IF(BN36&gt;BM$7,
    "",
    VLOOKUP(BN36,BP$8:BV535,7,FALSE())
)</f>
        <v/>
      </c>
      <c r="BX36" s="113" t="str">
        <f aca="false">IF(BN36&gt;BM$7,
    "",
    VLOOKUP(BN36,BP$8:BV535,2,FALSE())
)</f>
        <v/>
      </c>
      <c r="BY36" s="113" t="str">
        <f aca="false">IF(BN36&gt;BM$7,
    "",
    VLOOKUP(BN36,BP$8:BV535,3,FALSE())
)</f>
        <v/>
      </c>
      <c r="BZ36" s="113" t="str">
        <f aca="false">IF(BN36&gt;BM$7,
    "",
    VLOOKUP(BN36,BP$8:BV535,4,FALSE())
)</f>
        <v/>
      </c>
      <c r="CA36" s="113" t="str">
        <f aca="false">IF(BN36&gt;BM$7,
    "",
    VLOOKUP(BN36,BP$8:BV535,5,FALSE())
)</f>
        <v/>
      </c>
      <c r="CB36" s="114" t="str">
        <f aca="false">IF(BN36&gt;BM$7,
    "",
    VLOOKUP(BN36,BP$8:BV535,6,FALSE())
)</f>
        <v/>
      </c>
      <c r="CC36" s="53"/>
    </row>
    <row r="37" customFormat="false" ht="15.75" hidden="false" customHeight="false" outlineLevel="0" collapsed="false">
      <c r="A37" s="5"/>
      <c r="B37" s="125"/>
      <c r="C37" s="126"/>
      <c r="D37" s="115"/>
      <c r="E37" s="119"/>
      <c r="F37" s="119"/>
      <c r="G37" s="91"/>
      <c r="H37" s="92"/>
      <c r="I37" s="92"/>
      <c r="J37" s="127"/>
      <c r="K37" s="127"/>
      <c r="L37" s="127"/>
      <c r="M37" s="94"/>
      <c r="N37" s="94"/>
      <c r="O37" s="94"/>
      <c r="P37" s="95"/>
      <c r="Q37" s="96"/>
      <c r="R37" s="128"/>
      <c r="S37" s="98"/>
      <c r="T37" s="99"/>
      <c r="U37" s="99" t="str">
        <f aca="false">IF(ISBLANK($C37),"",IF(G37=Constants!$B$2, TRUE(), IF(G37=Constants!$B$3, FALSE(), TRUE())))</f>
        <v/>
      </c>
      <c r="V37" s="99" t="str">
        <f aca="false">IF(ISBLANK($C37),"",IF(H37=Constants!$B$2, TRUE(), IF(H37=Constants!$B$3, FALSE(), TRUE())))</f>
        <v/>
      </c>
      <c r="W37" s="99" t="str">
        <f aca="false">IF(ISBLANK($C37),"",IF(I37=Constants!$B$2, TRUE(), IF(I37=Constants!$B$3, FALSE(), TRUE())))</f>
        <v/>
      </c>
      <c r="X37" s="99" t="str">
        <f aca="false">IF(ISBLANK($C37),"",IF(AND(ISNUMBER(J37),J37&gt;0),INT(J37),0))</f>
        <v/>
      </c>
      <c r="Y37" s="99" t="str">
        <f aca="false">IF(ISBLANK($C37),"",IF(K37=Constants!$B$2, TRUE(), IF(K37=Constants!$B$3, FALSE(), TRUE())))</f>
        <v/>
      </c>
      <c r="Z37" s="100" t="str">
        <f aca="false">IF(ISBLANK($C37),"",IF(AND(ISNUMBER(L37),L37&gt;0),INT(L37),0))</f>
        <v/>
      </c>
      <c r="AA37" s="101" t="str">
        <f aca="false">IF(ISBLANK($C37),"",IF(ISNUMBER(M37), M37, ""))</f>
        <v/>
      </c>
      <c r="AB37" s="101" t="str">
        <f aca="false">IF(ISBLANK($C37),"",IF(ISNUMBER(N37), N37, ""))</f>
        <v/>
      </c>
      <c r="AC37" s="101" t="str">
        <f aca="false">IF(ISBLANK($C37),"",IF(ISNUMBER(O37), O37, ""))</f>
        <v/>
      </c>
      <c r="AD37" s="102" t="str">
        <f aca="false">IF(ISBLANK($C37),"",IF(ISNUMBER(P37), P37, ""))</f>
        <v/>
      </c>
      <c r="AE37" s="102" t="str">
        <f aca="false">IF(ISBLANK($C37),"",IF(ISNUMBER(Q37), Q37, Constants!$B$13))</f>
        <v/>
      </c>
      <c r="AF37" s="99" t="str">
        <f aca="false">IF(ISBLANK($C37),"",IF(R37=Constants!$B$2, TRUE(), IF(R37=Constants!$B$3, FALSE(), FALSE())))</f>
        <v/>
      </c>
      <c r="AG37" s="99" t="str">
        <f aca="false">IF(ISBLANK(C37), "", IF(AF37, Constants!$B$4,IF(COUNTA(G37:P37)=0, Constants!$B$5, Constants!$B$7)))</f>
        <v/>
      </c>
      <c r="AH37" s="99" t="str">
        <f aca="false">IF(ISBLANK($C37), "",IF($AG37=Constants!$B$7,1,$AG37))</f>
        <v/>
      </c>
      <c r="AI37" s="99" t="str">
        <f aca="false">IF($AG37=Constants!$B$7,POWER(Constants!$B$11,X37)*POWER(Constants!$B$12,Z37),"")</f>
        <v/>
      </c>
      <c r="AJ37" s="99" t="str">
        <f aca="false">IF(AND($AG37=Constants!$B$7, U37, V37) ,IF(OR($AA37="",$AC37=""),"",MAX(0, $AC37-$AA37)),"")</f>
        <v/>
      </c>
      <c r="AK37" s="99" t="str">
        <f aca="false">IF(AND($AG37=Constants!$B$7, U37, V37),IF(OR($AA37="",$AC37=""),$AK$6,""),"")</f>
        <v/>
      </c>
      <c r="AL37" s="99" t="str">
        <f aca="false">IF($AG37=Constants!$B$7,IF(AND(U37,V37,W37,Y37),IF($AJ37="",0,IF($AJ$6=0,Constants!$B$9,Constants!$B$9*AJ37/$AJ$6)), 0),"")</f>
        <v/>
      </c>
      <c r="AM37" s="99" t="str">
        <f aca="false">IF(AL37&lt;&gt;"", AL37*AI37,"")</f>
        <v/>
      </c>
      <c r="AN37" s="99" t="str">
        <f aca="false">IF(AND($AG37=Constants!$B$7, U37, V37) ,IF($AB37="", "", IF(OR($AC37="",$AC37=0),"",MAX(0,1-ABS($AC37-$AB37)/$AC37))),"")</f>
        <v/>
      </c>
      <c r="AO37" s="99" t="str">
        <f aca="false">IF(AND($AG37=Constants!$B$7, U37, V37),IF(AND($AA37&lt;&gt;"",$AB37&lt;&gt;"",$AC37=0),$AO$6,""),"")</f>
        <v/>
      </c>
      <c r="AP37" s="99" t="str">
        <f aca="false">IF($AG37=Constants!$B$7 ,IF(AND(U37,V37,W37,Y37,ISNUMBER(AB37)),IF($AN37="",0,IF($AN$6=0,Constants!$B$10,Constants!$B$10*AN37/$AN$6)), 0),"")</f>
        <v/>
      </c>
      <c r="AQ37" s="99" t="str">
        <f aca="false">IF(AP37&lt;&gt;"", AP37*AI37,"")</f>
        <v/>
      </c>
      <c r="AR37" s="99" t="str">
        <f aca="false">IF($AG37=Constants!$B$7,IF($AD37="",0,IF($AR$6=0,Constants!$B$8,Constants!$B$8*AD37/$AR$6)),"")</f>
        <v/>
      </c>
      <c r="AS37" s="99" t="str">
        <f aca="false">IF($AG37&lt;&gt;Constants!$B$7,$AG37,IF(AK37&amp;AO37&lt;&gt;"",Constants!$B$14,AM37+AQ37+AR37))</f>
        <v/>
      </c>
      <c r="AT37" s="99" t="str">
        <f aca="false">IF(ISBLANK($C37),"",IF($AG37=Constants!$B$7,IF(ISNUMBER(AS37),RANK(AS37,$AS$8:$AS$507),Constants!$B$14),$AG37))</f>
        <v/>
      </c>
      <c r="AU37" s="99" t="str">
        <f aca="false">IF(ISBLANK($C37), "",AM37)</f>
        <v/>
      </c>
      <c r="AV37" s="99" t="str">
        <f aca="false">IF(ISBLANK($C37),"",IF($AG37=Constants!$B$7,RANK(AU37,AU$8:AU$507),$AG37))</f>
        <v/>
      </c>
      <c r="AW37" s="99" t="str">
        <f aca="false">IF(ISBLANK($C37), "",AR37)</f>
        <v/>
      </c>
      <c r="AX37" s="99" t="str">
        <f aca="false">IF(ISBLANK($C37),"",IF($AG37=Constants!$B$7,RANK(AW37,AW$8:AW$507),$AG37))</f>
        <v/>
      </c>
      <c r="AY37" s="99" t="str">
        <f aca="false">IF(ISBLANK($C37), "",AE37)</f>
        <v/>
      </c>
      <c r="AZ37" s="99" t="str">
        <f aca="false">IF(ISBLANK($C37),"",
IF($AG37=Constants!$B$7,
  IF(ISNUMBER(AT37),
    COUNTIFS($AT$8:$AT$507,"&lt;"&amp;$AT37)
    + COUNTIFS($AT$8:$AT$507,$AT37,$AV$8:$AV$507,"&lt;"&amp;$AV37)
    + COUNTIFS($AT$8:$AT$507,$AT37,$AV$8:$AV$507,$AV37,$AX$8:$AX$507,"&lt;"&amp;$AX37)
    + COUNTIFS($AT$8:$AT$507,$AT37,$AV$8:$AV$507,$AV37,$AX$8:$AX$507,$AX37,$AY$8:$AY$507,"&lt;"&amp;$AY37)
    + 1,
  Constants!$B$14),
$AG37))</f>
        <v/>
      </c>
      <c r="BA37" s="99" t="str">
        <f aca="false">IF(ISBLANK(C37),"",IF($AG37=Constants!$B$7, IF(ISNUMBER(AT37),AT37-AZ37,Constants!$B$14),$AG37))</f>
        <v/>
      </c>
      <c r="BB37" s="103"/>
      <c r="BC37" s="104" t="str">
        <f aca="false">IF(ISBLANK($C37),"",TRIM(AK37&amp;" "&amp;AO37))</f>
        <v/>
      </c>
      <c r="BD37" s="105" t="str">
        <f aca="false">IF(ISBLANK($C37),"",IF($AG37&lt;&gt;Constants!$B$7,$AG37,AR37))</f>
        <v/>
      </c>
      <c r="BE37" s="105" t="str">
        <f aca="false">IF(ISBLANK($C37),"",IF($AG37&lt;&gt;Constants!$B$7,$AG37,AM37))</f>
        <v/>
      </c>
      <c r="BF37" s="105" t="str">
        <f aca="false">IF(ISBLANK($C37),"",IF($AG37&lt;&gt;Constants!$B$7,$AG37,AQ37))</f>
        <v/>
      </c>
      <c r="BG37" s="106" t="str">
        <f aca="false">IF(ISBLANK($C37),"",IF($AG37&lt;&gt;Constants!$B$7, $AG37 ,AS37))</f>
        <v/>
      </c>
      <c r="BH37" s="107" t="str">
        <f aca="false">IF(ISBLANK($C37),"",IF($AG37&lt;&gt;Constants!$B$7, $AG37 ,AH37))</f>
        <v/>
      </c>
      <c r="BI37" s="105" t="str">
        <f aca="false">IF(ISBLANK(C37),"",BA37)</f>
        <v/>
      </c>
      <c r="BJ37" s="105" t="str">
        <f aca="false">IF(ISBLANK(C37),"",AZ37)</f>
        <v/>
      </c>
      <c r="BK37" s="108" t="str">
        <f aca="false">IF(ISBLANK(C37),"",IFERROR(_xlfn.SWITCH(BJ37, Constants!$B$4, COUNTA($C$8:$C536)+2, Constants!$B$5, COUNTA($C$8:$C536)+1, Constants!$B$6, COUNTA($C$8:$C536)),BJ37))</f>
        <v/>
      </c>
      <c r="BL37" s="5"/>
      <c r="BM37" s="109" t="n">
        <f aca="false">IF(OR(ISNUMBER(BJ37),BJ37="DQ",BJ37="P",BJ37="NS"),
    1,
    0
)</f>
        <v>0</v>
      </c>
      <c r="BN37" s="109" t="n">
        <v>30</v>
      </c>
      <c r="BO37" s="109" t="str">
        <f aca="false">IF(ISBLANK($C37),"",IF(ISNUMBER(BK37),BK37+ROW($B37)/1000,""))</f>
        <v/>
      </c>
      <c r="BP37" s="109" t="str">
        <f aca="false">IF(ISNUMBER(BO37), RANK(BO37,BO$8:BO$507,1), "")</f>
        <v/>
      </c>
      <c r="BQ37" s="109" t="str">
        <f aca="false">IF(ISBLANK($C37),
    "",
    $B37
)</f>
        <v/>
      </c>
      <c r="BR37" s="109" t="str">
        <f aca="false">IF(ISBLANK($C37),
    "",
    $C37
)</f>
        <v/>
      </c>
      <c r="BS37" s="109" t="str">
        <f aca="false">IF(ISBLANK($C37),
    "",
    $D37
)</f>
        <v/>
      </c>
      <c r="BT37" s="110" t="str">
        <f aca="false">BH37</f>
        <v/>
      </c>
      <c r="BU37" s="111" t="str">
        <f aca="false">BG37</f>
        <v/>
      </c>
      <c r="BV37" s="109" t="str">
        <f aca="false">IF(ISBLANK($C37),
    "",
    BJ37
)</f>
        <v/>
      </c>
      <c r="BW37" s="112" t="str">
        <f aca="false">IF(BN37&gt;BM$7,
    "",
    VLOOKUP(BN37,BP$8:BV536,7,FALSE())
)</f>
        <v/>
      </c>
      <c r="BX37" s="113" t="str">
        <f aca="false">IF(BN37&gt;BM$7,
    "",
    VLOOKUP(BN37,BP$8:BV536,2,FALSE())
)</f>
        <v/>
      </c>
      <c r="BY37" s="113" t="str">
        <f aca="false">IF(BN37&gt;BM$7,
    "",
    VLOOKUP(BN37,BP$8:BV536,3,FALSE())
)</f>
        <v/>
      </c>
      <c r="BZ37" s="113" t="str">
        <f aca="false">IF(BN37&gt;BM$7,
    "",
    VLOOKUP(BN37,BP$8:BV536,4,FALSE())
)</f>
        <v/>
      </c>
      <c r="CA37" s="113" t="str">
        <f aca="false">IF(BN37&gt;BM$7,
    "",
    VLOOKUP(BN37,BP$8:BV536,5,FALSE())
)</f>
        <v/>
      </c>
      <c r="CB37" s="114" t="str">
        <f aca="false">IF(BN37&gt;BM$7,
    "",
    VLOOKUP(BN37,BP$8:BV536,6,FALSE())
)</f>
        <v/>
      </c>
      <c r="CC37" s="53"/>
    </row>
    <row r="38" customFormat="false" ht="15.75" hidden="false" customHeight="false" outlineLevel="0" collapsed="false">
      <c r="A38" s="5"/>
      <c r="B38" s="129"/>
      <c r="C38" s="55"/>
      <c r="D38" s="56"/>
      <c r="E38" s="123"/>
      <c r="F38" s="123"/>
      <c r="G38" s="58"/>
      <c r="H38" s="59"/>
      <c r="I38" s="59"/>
      <c r="J38" s="124"/>
      <c r="K38" s="124"/>
      <c r="L38" s="124"/>
      <c r="M38" s="61"/>
      <c r="N38" s="61"/>
      <c r="O38" s="61"/>
      <c r="P38" s="62"/>
      <c r="Q38" s="63"/>
      <c r="R38" s="83"/>
      <c r="S38" s="65"/>
      <c r="T38" s="66"/>
      <c r="U38" s="66" t="str">
        <f aca="false">IF(ISBLANK($C38),"",IF(G38=Constants!$B$2, TRUE(), IF(G38=Constants!$B$3, FALSE(), TRUE())))</f>
        <v/>
      </c>
      <c r="V38" s="66" t="str">
        <f aca="false">IF(ISBLANK($C38),"",IF(H38=Constants!$B$2, TRUE(), IF(H38=Constants!$B$3, FALSE(), TRUE())))</f>
        <v/>
      </c>
      <c r="W38" s="66" t="str">
        <f aca="false">IF(ISBLANK($C38),"",IF(I38=Constants!$B$2, TRUE(), IF(I38=Constants!$B$3, FALSE(), TRUE())))</f>
        <v/>
      </c>
      <c r="X38" s="66" t="str">
        <f aca="false">IF(ISBLANK($C38),"",IF(AND(ISNUMBER(J38),J38&gt;0),INT(J38),0))</f>
        <v/>
      </c>
      <c r="Y38" s="66" t="str">
        <f aca="false">IF(ISBLANK($C38),"",IF(K38=Constants!$B$2, TRUE(), IF(K38=Constants!$B$3, FALSE(), TRUE())))</f>
        <v/>
      </c>
      <c r="Z38" s="66" t="str">
        <f aca="false">IF(ISBLANK($C38),"",IF(AND(ISNUMBER(L38),L38&gt;0),INT(L38),0))</f>
        <v/>
      </c>
      <c r="AA38" s="68" t="str">
        <f aca="false">IF(ISBLANK($C38),"",IF(ISNUMBER(M38), M38, ""))</f>
        <v/>
      </c>
      <c r="AB38" s="68" t="str">
        <f aca="false">IF(ISBLANK($C38),"",IF(ISNUMBER(N38), N38, ""))</f>
        <v/>
      </c>
      <c r="AC38" s="68" t="str">
        <f aca="false">IF(ISBLANK($C38),"",IF(ISNUMBER(O38), O38, ""))</f>
        <v/>
      </c>
      <c r="AD38" s="69" t="str">
        <f aca="false">IF(ISBLANK($C38),"",IF(ISNUMBER(P38), P38, ""))</f>
        <v/>
      </c>
      <c r="AE38" s="69" t="str">
        <f aca="false">IF(ISBLANK($C38),"",IF(ISNUMBER(Q38), Q38, Constants!$B$13))</f>
        <v/>
      </c>
      <c r="AF38" s="66" t="str">
        <f aca="false">IF(ISBLANK($C38),"",IF(R38=Constants!$B$2, TRUE(), IF(R38=Constants!$B$3, FALSE(), FALSE())))</f>
        <v/>
      </c>
      <c r="AG38" s="66" t="str">
        <f aca="false">IF(ISBLANK(C38), "", IF(AF38, Constants!$B$4,IF(COUNTA(G38:P38)=0, Constants!$B$5, Constants!$B$7)))</f>
        <v/>
      </c>
      <c r="AH38" s="66" t="str">
        <f aca="false">IF(ISBLANK($C38), "",IF($AG38=Constants!$B$7,1,$AG38))</f>
        <v/>
      </c>
      <c r="AI38" s="66" t="str">
        <f aca="false">IF($AG38=Constants!$B$7,POWER(Constants!$B$11,X38)*POWER(Constants!$B$12,Z38),"")</f>
        <v/>
      </c>
      <c r="AJ38" s="66" t="str">
        <f aca="false">IF(AND($AG38=Constants!$B$7, U38, V38) ,IF(OR($AA38="",$AC38=""),"",MAX(0, $AC38-$AA38)),"")</f>
        <v/>
      </c>
      <c r="AK38" s="66" t="str">
        <f aca="false">IF(AND($AG38=Constants!$B$7, U38, V38),IF(OR($AA38="",$AC38=""),$AK$6,""),"")</f>
        <v/>
      </c>
      <c r="AL38" s="66" t="str">
        <f aca="false">IF($AG38=Constants!$B$7,IF(AND(U38,V38,W38,Y38),IF($AJ38="",0,IF($AJ$6=0,Constants!$B$9,Constants!$B$9*AJ38/$AJ$6)), 0),"")</f>
        <v/>
      </c>
      <c r="AM38" s="66" t="str">
        <f aca="false">IF(AL38&lt;&gt;"", AL38*AI38,"")</f>
        <v/>
      </c>
      <c r="AN38" s="66" t="str">
        <f aca="false">IF(AND($AG38=Constants!$B$7, U38, V38) ,IF($AB38="", "", IF(OR($AC38="",$AC38=0),"",MAX(0,1-ABS($AC38-$AB38)/$AC38))),"")</f>
        <v/>
      </c>
      <c r="AO38" s="66" t="str">
        <f aca="false">IF(AND($AG38=Constants!$B$7, U38, V38),IF(AND($AA38&lt;&gt;"",$AB38&lt;&gt;"",$AC38=0),$AO$6,""),"")</f>
        <v/>
      </c>
      <c r="AP38" s="66" t="str">
        <f aca="false">IF($AG38=Constants!$B$7 ,IF(AND(U38,V38,W38,Y38,ISNUMBER(AB38)),IF($AN38="",0,IF($AN$6=0,Constants!$B$10,Constants!$B$10*AN38/$AN$6)), 0),"")</f>
        <v/>
      </c>
      <c r="AQ38" s="66" t="str">
        <f aca="false">IF(AP38&lt;&gt;"", AP38*AI38,"")</f>
        <v/>
      </c>
      <c r="AR38" s="66" t="str">
        <f aca="false">IF($AG38=Constants!$B$7,IF($AD38="",0,IF($AR$6=0,Constants!$B$8,Constants!$B$8*AD38/$AR$6)),"")</f>
        <v/>
      </c>
      <c r="AS38" s="66" t="str">
        <f aca="false">IF($AG38&lt;&gt;Constants!$B$7,$AG38,IF(AK38&amp;AO38&lt;&gt;"",Constants!$B$14,AM38+AQ38+AR38))</f>
        <v/>
      </c>
      <c r="AT38" s="66" t="str">
        <f aca="false">IF(ISBLANK($C38),"",IF($AG38=Constants!$B$7,IF(ISNUMBER(AS38),RANK(AS38,$AS$8:$AS$507),Constants!$B$14),$AG38))</f>
        <v/>
      </c>
      <c r="AU38" s="66" t="str">
        <f aca="false">IF(ISBLANK($C38), "",AM38)</f>
        <v/>
      </c>
      <c r="AV38" s="66" t="str">
        <f aca="false">IF(ISBLANK($C38),"",IF($AG38=Constants!$B$7,RANK(AU38,AU$8:AU$507),$AG38))</f>
        <v/>
      </c>
      <c r="AW38" s="66" t="str">
        <f aca="false">IF(ISBLANK($C38), "",AR38)</f>
        <v/>
      </c>
      <c r="AX38" s="66" t="str">
        <f aca="false">IF(ISBLANK($C38),"",IF($AG38=Constants!$B$7,RANK(AW38,AW$8:AW$507),$AG38))</f>
        <v/>
      </c>
      <c r="AY38" s="66" t="str">
        <f aca="false">IF(ISBLANK($C38), "",AE38)</f>
        <v/>
      </c>
      <c r="AZ38" s="66" t="str">
        <f aca="false">IF(ISBLANK($C38),"",
IF($AG38=Constants!$B$7,
  IF(ISNUMBER(AT38),
    COUNTIFS($AT$8:$AT$507,"&lt;"&amp;$AT38)
    + COUNTIFS($AT$8:$AT$507,$AT38,$AV$8:$AV$507,"&lt;"&amp;$AV38)
    + COUNTIFS($AT$8:$AT$507,$AT38,$AV$8:$AV$507,$AV38,$AX$8:$AX$507,"&lt;"&amp;$AX38)
    + COUNTIFS($AT$8:$AT$507,$AT38,$AV$8:$AV$507,$AV38,$AX$8:$AX$507,$AX38,$AY$8:$AY$507,"&lt;"&amp;$AY38)
    + 1,
  Constants!$B$14),
$AG38))</f>
        <v/>
      </c>
      <c r="BA38" s="66" t="str">
        <f aca="false">IF(ISBLANK(C38),"",IF($AG38=Constants!$B$7, IF(ISNUMBER(AT38),AT38-AZ38,Constants!$B$14),$AG38))</f>
        <v/>
      </c>
      <c r="BB38" s="70"/>
      <c r="BC38" s="84" t="str">
        <f aca="false">IF(ISBLANK($C38),"",TRIM(AK38&amp;" "&amp;AO38))</f>
        <v/>
      </c>
      <c r="BD38" s="72" t="str">
        <f aca="false">IF(ISBLANK($C38),"",IF($AG38&lt;&gt;Constants!$B$7,$AG38,AR38))</f>
        <v/>
      </c>
      <c r="BE38" s="72" t="str">
        <f aca="false">IF(ISBLANK($C38),"",IF($AG38&lt;&gt;Constants!$B$7,$AG38,AM38))</f>
        <v/>
      </c>
      <c r="BF38" s="72" t="str">
        <f aca="false">IF(ISBLANK($C38),"",IF($AG38&lt;&gt;Constants!$B$7,$AG38,AQ38))</f>
        <v/>
      </c>
      <c r="BG38" s="73" t="str">
        <f aca="false">IF(ISBLANK($C38),"",IF($AG38&lt;&gt;Constants!$B$7, $AG38 ,AS38))</f>
        <v/>
      </c>
      <c r="BH38" s="74" t="str">
        <f aca="false">IF(ISBLANK($C38),"",IF($AG38&lt;&gt;Constants!$B$7, $AG38 ,AH38))</f>
        <v/>
      </c>
      <c r="BI38" s="72" t="str">
        <f aca="false">IF(ISBLANK(C38),"",BA38)</f>
        <v/>
      </c>
      <c r="BJ38" s="72" t="str">
        <f aca="false">IF(ISBLANK(C38),"",AZ38)</f>
        <v/>
      </c>
      <c r="BK38" s="75" t="str">
        <f aca="false">IF(ISBLANK(C38),"",IFERROR(_xlfn.SWITCH(BJ38, Constants!$B$4, COUNTA($C$8:$C537)+2, Constants!$B$5, COUNTA($C$8:$C537)+1, Constants!$B$6, COUNTA($C$8:$C537)),BJ38))</f>
        <v/>
      </c>
      <c r="BL38" s="5"/>
      <c r="BM38" s="76" t="n">
        <f aca="false">IF(OR(ISNUMBER(BJ38),BJ38="DQ",BJ38="P",BJ38="NS"),
    1,
    0
)</f>
        <v>0</v>
      </c>
      <c r="BN38" s="76" t="n">
        <v>31</v>
      </c>
      <c r="BO38" s="76" t="str">
        <f aca="false">IF(ISBLANK($C38),"",IF(ISNUMBER(BK38),BK38+ROW($B38)/1000,""))</f>
        <v/>
      </c>
      <c r="BP38" s="76" t="str">
        <f aca="false">IF(ISNUMBER(BO38), RANK(BO38,BO$8:BO$507,1), "")</f>
        <v/>
      </c>
      <c r="BQ38" s="76" t="str">
        <f aca="false">IF(ISBLANK($C38),
    "",
    $B38
)</f>
        <v/>
      </c>
      <c r="BR38" s="76" t="str">
        <f aca="false">IF(ISBLANK($C38),
    "",
    $C38
)</f>
        <v/>
      </c>
      <c r="BS38" s="76" t="str">
        <f aca="false">IF(ISBLANK($C38),
    "",
    $D38
)</f>
        <v/>
      </c>
      <c r="BT38" s="77" t="str">
        <f aca="false">BH38</f>
        <v/>
      </c>
      <c r="BU38" s="78" t="str">
        <f aca="false">BG38</f>
        <v/>
      </c>
      <c r="BV38" s="76" t="str">
        <f aca="false">IF(ISBLANK($C38),
    "",
    BJ38
)</f>
        <v/>
      </c>
      <c r="BW38" s="79" t="str">
        <f aca="false">IF(BN38&gt;BM$7,
    "",
    VLOOKUP(BN38,BP$8:BV537,7,FALSE())
)</f>
        <v/>
      </c>
      <c r="BX38" s="80" t="str">
        <f aca="false">IF(BN38&gt;BM$7,
    "",
    VLOOKUP(BN38,BP$8:BV537,2,FALSE())
)</f>
        <v/>
      </c>
      <c r="BY38" s="80" t="str">
        <f aca="false">IF(BN38&gt;BM$7,
    "",
    VLOOKUP(BN38,BP$8:BV537,3,FALSE())
)</f>
        <v/>
      </c>
      <c r="BZ38" s="80" t="str">
        <f aca="false">IF(BN38&gt;BM$7,
    "",
    VLOOKUP(BN38,BP$8:BV537,4,FALSE())
)</f>
        <v/>
      </c>
      <c r="CA38" s="80" t="str">
        <f aca="false">IF(BN38&gt;BM$7,
    "",
    VLOOKUP(BN38,BP$8:BV537,5,FALSE())
)</f>
        <v/>
      </c>
      <c r="CB38" s="81" t="str">
        <f aca="false">IF(BN38&gt;BM$7,
    "",
    VLOOKUP(BN38,BP$8:BV537,6,FALSE())
)</f>
        <v/>
      </c>
      <c r="CC38" s="53"/>
    </row>
    <row r="39" customFormat="false" ht="15.75" hidden="false" customHeight="false" outlineLevel="0" collapsed="false">
      <c r="A39" s="5"/>
      <c r="B39" s="129"/>
      <c r="C39" s="55"/>
      <c r="D39" s="56"/>
      <c r="E39" s="123"/>
      <c r="F39" s="123"/>
      <c r="G39" s="58"/>
      <c r="H39" s="59"/>
      <c r="I39" s="59"/>
      <c r="J39" s="83"/>
      <c r="K39" s="83"/>
      <c r="L39" s="83"/>
      <c r="M39" s="61"/>
      <c r="N39" s="61"/>
      <c r="O39" s="61"/>
      <c r="P39" s="62"/>
      <c r="Q39" s="63"/>
      <c r="R39" s="83"/>
      <c r="S39" s="65"/>
      <c r="T39" s="66"/>
      <c r="U39" s="66" t="str">
        <f aca="false">IF(ISBLANK($C39),"",IF(G39=Constants!$B$2, TRUE(), IF(G39=Constants!$B$3, FALSE(), TRUE())))</f>
        <v/>
      </c>
      <c r="V39" s="66" t="str">
        <f aca="false">IF(ISBLANK($C39),"",IF(H39=Constants!$B$2, TRUE(), IF(H39=Constants!$B$3, FALSE(), TRUE())))</f>
        <v/>
      </c>
      <c r="W39" s="66" t="str">
        <f aca="false">IF(ISBLANK($C39),"",IF(I39=Constants!$B$2, TRUE(), IF(I39=Constants!$B$3, FALSE(), TRUE())))</f>
        <v/>
      </c>
      <c r="X39" s="66" t="str">
        <f aca="false">IF(ISBLANK($C39),"",IF(AND(ISNUMBER(J39),J39&gt;0),INT(J39),0))</f>
        <v/>
      </c>
      <c r="Y39" s="66" t="str">
        <f aca="false">IF(ISBLANK($C39),"",IF(K39=Constants!$B$2, TRUE(), IF(K39=Constants!$B$3, FALSE(), TRUE())))</f>
        <v/>
      </c>
      <c r="Z39" s="66" t="str">
        <f aca="false">IF(ISBLANK($C39),"",IF(AND(ISNUMBER(L39),L39&gt;0),INT(L39),0))</f>
        <v/>
      </c>
      <c r="AA39" s="68" t="str">
        <f aca="false">IF(ISBLANK($C39),"",IF(ISNUMBER(M39), M39, ""))</f>
        <v/>
      </c>
      <c r="AB39" s="68" t="str">
        <f aca="false">IF(ISBLANK($C39),"",IF(ISNUMBER(N39), N39, ""))</f>
        <v/>
      </c>
      <c r="AC39" s="68" t="str">
        <f aca="false">IF(ISBLANK($C39),"",IF(ISNUMBER(O39), O39, ""))</f>
        <v/>
      </c>
      <c r="AD39" s="69" t="str">
        <f aca="false">IF(ISBLANK($C39),"",IF(ISNUMBER(P39), P39, ""))</f>
        <v/>
      </c>
      <c r="AE39" s="69" t="str">
        <f aca="false">IF(ISBLANK($C39),"",IF(ISNUMBER(Q39), Q39, Constants!$B$13))</f>
        <v/>
      </c>
      <c r="AF39" s="66" t="str">
        <f aca="false">IF(ISBLANK($C39),"",IF(R39=Constants!$B$2, TRUE(), IF(R39=Constants!$B$3, FALSE(), FALSE())))</f>
        <v/>
      </c>
      <c r="AG39" s="66" t="str">
        <f aca="false">IF(ISBLANK(C39), "", IF(AF39, Constants!$B$4,IF(COUNTA(G39:P39)=0, Constants!$B$5, Constants!$B$7)))</f>
        <v/>
      </c>
      <c r="AH39" s="66" t="str">
        <f aca="false">IF(ISBLANK($C39), "",IF($AG39=Constants!$B$7,1,$AG39))</f>
        <v/>
      </c>
      <c r="AI39" s="66" t="str">
        <f aca="false">IF($AG39=Constants!$B$7,POWER(Constants!$B$11,X39)*POWER(Constants!$B$12,Z39),"")</f>
        <v/>
      </c>
      <c r="AJ39" s="66" t="str">
        <f aca="false">IF(AND($AG39=Constants!$B$7, U39, V39) ,IF(OR($AA39="",$AC39=""),"",MAX(0, $AC39-$AA39)),"")</f>
        <v/>
      </c>
      <c r="AK39" s="66" t="str">
        <f aca="false">IF(AND($AG39=Constants!$B$7, U39, V39),IF(OR($AA39="",$AC39=""),$AK$6,""),"")</f>
        <v/>
      </c>
      <c r="AL39" s="66" t="str">
        <f aca="false">IF($AG39=Constants!$B$7,IF(AND(U39,V39,W39,Y39),IF($AJ39="",0,IF($AJ$6=0,Constants!$B$9,Constants!$B$9*AJ39/$AJ$6)), 0),"")</f>
        <v/>
      </c>
      <c r="AM39" s="66" t="str">
        <f aca="false">IF(AL39&lt;&gt;"", AL39*AI39,"")</f>
        <v/>
      </c>
      <c r="AN39" s="66" t="str">
        <f aca="false">IF(AND($AG39=Constants!$B$7, U39, V39) ,IF($AB39="", "", IF(OR($AC39="",$AC39=0),"",MAX(0,1-ABS($AC39-$AB39)/$AC39))),"")</f>
        <v/>
      </c>
      <c r="AO39" s="66" t="str">
        <f aca="false">IF(AND($AG39=Constants!$B$7, U39, V39),IF(AND($AA39&lt;&gt;"",$AB39&lt;&gt;"",$AC39=0),$AO$6,""),"")</f>
        <v/>
      </c>
      <c r="AP39" s="66" t="str">
        <f aca="false">IF($AG39=Constants!$B$7 ,IF(AND(U39,V39,W39,Y39,ISNUMBER(AB39)),IF($AN39="",0,IF($AN$6=0,Constants!$B$10,Constants!$B$10*AN39/$AN$6)), 0),"")</f>
        <v/>
      </c>
      <c r="AQ39" s="66" t="str">
        <f aca="false">IF(AP39&lt;&gt;"", AP39*AI39,"")</f>
        <v/>
      </c>
      <c r="AR39" s="66" t="str">
        <f aca="false">IF($AG39=Constants!$B$7,IF($AD39="",0,IF($AR$6=0,Constants!$B$8,Constants!$B$8*AD39/$AR$6)),"")</f>
        <v/>
      </c>
      <c r="AS39" s="66" t="str">
        <f aca="false">IF($AG39&lt;&gt;Constants!$B$7,$AG39,IF(AK39&amp;AO39&lt;&gt;"",Constants!$B$14,AM39+AQ39+AR39))</f>
        <v/>
      </c>
      <c r="AT39" s="66" t="str">
        <f aca="false">IF(ISBLANK($C39),"",IF($AG39=Constants!$B$7,IF(ISNUMBER(AS39),RANK(AS39,$AS$8:$AS$507),Constants!$B$14),$AG39))</f>
        <v/>
      </c>
      <c r="AU39" s="66" t="str">
        <f aca="false">IF(ISBLANK($C39), "",AM39)</f>
        <v/>
      </c>
      <c r="AV39" s="66" t="str">
        <f aca="false">IF(ISBLANK($C39),"",IF($AG39=Constants!$B$7,RANK(AU39,AU$8:AU$507),$AG39))</f>
        <v/>
      </c>
      <c r="AW39" s="66" t="str">
        <f aca="false">IF(ISBLANK($C39), "",AR39)</f>
        <v/>
      </c>
      <c r="AX39" s="66" t="str">
        <f aca="false">IF(ISBLANK($C39),"",IF($AG39=Constants!$B$7,RANK(AW39,AW$8:AW$507),$AG39))</f>
        <v/>
      </c>
      <c r="AY39" s="66" t="str">
        <f aca="false">IF(ISBLANK($C39), "",AE39)</f>
        <v/>
      </c>
      <c r="AZ39" s="66" t="str">
        <f aca="false">IF(ISBLANK($C39),"",
IF($AG39=Constants!$B$7,
  IF(ISNUMBER(AT39),
    COUNTIFS($AT$8:$AT$507,"&lt;"&amp;$AT39)
    + COUNTIFS($AT$8:$AT$507,$AT39,$AV$8:$AV$507,"&lt;"&amp;$AV39)
    + COUNTIFS($AT$8:$AT$507,$AT39,$AV$8:$AV$507,$AV39,$AX$8:$AX$507,"&lt;"&amp;$AX39)
    + COUNTIFS($AT$8:$AT$507,$AT39,$AV$8:$AV$507,$AV39,$AX$8:$AX$507,$AX39,$AY$8:$AY$507,"&lt;"&amp;$AY39)
    + 1,
  Constants!$B$14),
$AG39))</f>
        <v/>
      </c>
      <c r="BA39" s="66" t="str">
        <f aca="false">IF(ISBLANK(C39),"",IF($AG39=Constants!$B$7, IF(ISNUMBER(AT39),AT39-AZ39,Constants!$B$14),$AG39))</f>
        <v/>
      </c>
      <c r="BB39" s="70"/>
      <c r="BC39" s="84" t="str">
        <f aca="false">IF(ISBLANK($C39),"",TRIM(AK39&amp;" "&amp;AO39))</f>
        <v/>
      </c>
      <c r="BD39" s="72" t="str">
        <f aca="false">IF(ISBLANK($C39),"",IF($AG39&lt;&gt;Constants!$B$7,$AG39,AR39))</f>
        <v/>
      </c>
      <c r="BE39" s="72" t="str">
        <f aca="false">IF(ISBLANK($C39),"",IF($AG39&lt;&gt;Constants!$B$7,$AG39,AM39))</f>
        <v/>
      </c>
      <c r="BF39" s="72" t="str">
        <f aca="false">IF(ISBLANK($C39),"",IF($AG39&lt;&gt;Constants!$B$7,$AG39,AQ39))</f>
        <v/>
      </c>
      <c r="BG39" s="73" t="str">
        <f aca="false">IF(ISBLANK($C39),"",IF($AG39&lt;&gt;Constants!$B$7, $AG39 ,AS39))</f>
        <v/>
      </c>
      <c r="BH39" s="74" t="str">
        <f aca="false">IF(ISBLANK($C39),"",IF($AG39&lt;&gt;Constants!$B$7, $AG39 ,AH39))</f>
        <v/>
      </c>
      <c r="BI39" s="72" t="str">
        <f aca="false">IF(ISBLANK(C39),"",BA39)</f>
        <v/>
      </c>
      <c r="BJ39" s="72" t="str">
        <f aca="false">IF(ISBLANK(C39),"",AZ39)</f>
        <v/>
      </c>
      <c r="BK39" s="75" t="str">
        <f aca="false">IF(ISBLANK(C39),"",IFERROR(_xlfn.SWITCH(BJ39, Constants!$B$4, COUNTA($C$8:$C538)+2, Constants!$B$5, COUNTA($C$8:$C538)+1, Constants!$B$6, COUNTA($C$8:$C538)),BJ39))</f>
        <v/>
      </c>
      <c r="BL39" s="5"/>
      <c r="BM39" s="76" t="n">
        <f aca="false">IF(OR(ISNUMBER(BJ39),BJ39="DQ",BJ39="P",BJ39="NS"),
    1,
    0
)</f>
        <v>0</v>
      </c>
      <c r="BN39" s="76" t="n">
        <v>32</v>
      </c>
      <c r="BO39" s="76" t="str">
        <f aca="false">IF(ISBLANK($C39),"",IF(ISNUMBER(BK39),BK39+ROW($B39)/1000,""))</f>
        <v/>
      </c>
      <c r="BP39" s="76" t="str">
        <f aca="false">IF(ISNUMBER(BO39), RANK(BO39,BO$8:BO$507,1), "")</f>
        <v/>
      </c>
      <c r="BQ39" s="76" t="str">
        <f aca="false">IF(ISBLANK($C39),
    "",
    $B39
)</f>
        <v/>
      </c>
      <c r="BR39" s="76" t="str">
        <f aca="false">IF(ISBLANK($C39),
    "",
    $C39
)</f>
        <v/>
      </c>
      <c r="BS39" s="76" t="str">
        <f aca="false">IF(ISBLANK($C39),
    "",
    $D39
)</f>
        <v/>
      </c>
      <c r="BT39" s="77" t="str">
        <f aca="false">BH39</f>
        <v/>
      </c>
      <c r="BU39" s="78" t="str">
        <f aca="false">BG39</f>
        <v/>
      </c>
      <c r="BV39" s="76" t="str">
        <f aca="false">IF(ISBLANK($C39),
    "",
    BJ39
)</f>
        <v/>
      </c>
      <c r="BW39" s="79" t="str">
        <f aca="false">IF(BN39&gt;BM$7,
    "",
    VLOOKUP(BN39,BP$8:BV538,7,FALSE())
)</f>
        <v/>
      </c>
      <c r="BX39" s="80" t="str">
        <f aca="false">IF(BN39&gt;BM$7,
    "",
    VLOOKUP(BN39,BP$8:BV538,2,FALSE())
)</f>
        <v/>
      </c>
      <c r="BY39" s="80" t="str">
        <f aca="false">IF(BN39&gt;BM$7,
    "",
    VLOOKUP(BN39,BP$8:BV538,3,FALSE())
)</f>
        <v/>
      </c>
      <c r="BZ39" s="80" t="str">
        <f aca="false">IF(BN39&gt;BM$7,
    "",
    VLOOKUP(BN39,BP$8:BV538,4,FALSE())
)</f>
        <v/>
      </c>
      <c r="CA39" s="80" t="str">
        <f aca="false">IF(BN39&gt;BM$7,
    "",
    VLOOKUP(BN39,BP$8:BV538,5,FALSE())
)</f>
        <v/>
      </c>
      <c r="CB39" s="81" t="str">
        <f aca="false">IF(BN39&gt;BM$7,
    "",
    VLOOKUP(BN39,BP$8:BV538,6,FALSE())
)</f>
        <v/>
      </c>
      <c r="CC39" s="53"/>
    </row>
    <row r="40" customFormat="false" ht="15.75" hidden="false" customHeight="false" outlineLevel="0" collapsed="false">
      <c r="A40" s="5"/>
      <c r="B40" s="129"/>
      <c r="C40" s="55"/>
      <c r="D40" s="56"/>
      <c r="E40" s="123"/>
      <c r="F40" s="123"/>
      <c r="G40" s="58"/>
      <c r="H40" s="59"/>
      <c r="I40" s="59"/>
      <c r="J40" s="83"/>
      <c r="K40" s="83"/>
      <c r="L40" s="83"/>
      <c r="M40" s="61"/>
      <c r="N40" s="61"/>
      <c r="O40" s="61"/>
      <c r="P40" s="62"/>
      <c r="Q40" s="63"/>
      <c r="R40" s="83"/>
      <c r="S40" s="65"/>
      <c r="T40" s="66"/>
      <c r="U40" s="66" t="str">
        <f aca="false">IF(ISBLANK($C40),"",IF(G40=Constants!$B$2, TRUE(), IF(G40=Constants!$B$3, FALSE(), TRUE())))</f>
        <v/>
      </c>
      <c r="V40" s="66" t="str">
        <f aca="false">IF(ISBLANK($C40),"",IF(H40=Constants!$B$2, TRUE(), IF(H40=Constants!$B$3, FALSE(), TRUE())))</f>
        <v/>
      </c>
      <c r="W40" s="66" t="str">
        <f aca="false">IF(ISBLANK($C40),"",IF(I40=Constants!$B$2, TRUE(), IF(I40=Constants!$B$3, FALSE(), TRUE())))</f>
        <v/>
      </c>
      <c r="X40" s="66" t="str">
        <f aca="false">IF(ISBLANK($C40),"",IF(AND(ISNUMBER(J40),J40&gt;0),INT(J40),0))</f>
        <v/>
      </c>
      <c r="Y40" s="66" t="str">
        <f aca="false">IF(ISBLANK($C40),"",IF(K40=Constants!$B$2, TRUE(), IF(K40=Constants!$B$3, FALSE(), TRUE())))</f>
        <v/>
      </c>
      <c r="Z40" s="66" t="str">
        <f aca="false">IF(ISBLANK($C40),"",IF(AND(ISNUMBER(L40),L40&gt;0),INT(L40),0))</f>
        <v/>
      </c>
      <c r="AA40" s="68" t="str">
        <f aca="false">IF(ISBLANK($C40),"",IF(ISNUMBER(M40), M40, ""))</f>
        <v/>
      </c>
      <c r="AB40" s="68" t="str">
        <f aca="false">IF(ISBLANK($C40),"",IF(ISNUMBER(N40), N40, ""))</f>
        <v/>
      </c>
      <c r="AC40" s="68" t="str">
        <f aca="false">IF(ISBLANK($C40),"",IF(ISNUMBER(O40), O40, ""))</f>
        <v/>
      </c>
      <c r="AD40" s="69" t="str">
        <f aca="false">IF(ISBLANK($C40),"",IF(ISNUMBER(P40), P40, ""))</f>
        <v/>
      </c>
      <c r="AE40" s="69" t="str">
        <f aca="false">IF(ISBLANK($C40),"",IF(ISNUMBER(Q40), Q40, Constants!$B$13))</f>
        <v/>
      </c>
      <c r="AF40" s="66" t="str">
        <f aca="false">IF(ISBLANK($C40),"",IF(R40=Constants!$B$2, TRUE(), IF(R40=Constants!$B$3, FALSE(), FALSE())))</f>
        <v/>
      </c>
      <c r="AG40" s="66" t="str">
        <f aca="false">IF(ISBLANK(C40), "", IF(AF40, Constants!$B$4,IF(COUNTA(G40:P40)=0, Constants!$B$5, Constants!$B$7)))</f>
        <v/>
      </c>
      <c r="AH40" s="66" t="str">
        <f aca="false">IF(ISBLANK($C40), "",IF($AG40=Constants!$B$7,1,$AG40))</f>
        <v/>
      </c>
      <c r="AI40" s="66" t="str">
        <f aca="false">IF($AG40=Constants!$B$7,POWER(Constants!$B$11,X40)*POWER(Constants!$B$12,Z40),"")</f>
        <v/>
      </c>
      <c r="AJ40" s="66" t="str">
        <f aca="false">IF(AND($AG40=Constants!$B$7, U40, V40) ,IF(OR($AA40="",$AC40=""),"",MAX(0, $AC40-$AA40)),"")</f>
        <v/>
      </c>
      <c r="AK40" s="66" t="str">
        <f aca="false">IF(AND($AG40=Constants!$B$7, U40, V40),IF(OR($AA40="",$AC40=""),$AK$6,""),"")</f>
        <v/>
      </c>
      <c r="AL40" s="66" t="str">
        <f aca="false">IF($AG40=Constants!$B$7,IF(AND(U40,V40,W40,Y40),IF($AJ40="",0,IF($AJ$6=0,Constants!$B$9,Constants!$B$9*AJ40/$AJ$6)), 0),"")</f>
        <v/>
      </c>
      <c r="AM40" s="66" t="str">
        <f aca="false">IF(AL40&lt;&gt;"", AL40*AI40,"")</f>
        <v/>
      </c>
      <c r="AN40" s="66" t="str">
        <f aca="false">IF(AND($AG40=Constants!$B$7, U40, V40) ,IF($AB40="", "", IF(OR($AC40="",$AC40=0),"",MAX(0,1-ABS($AC40-$AB40)/$AC40))),"")</f>
        <v/>
      </c>
      <c r="AO40" s="66" t="str">
        <f aca="false">IF(AND($AG40=Constants!$B$7, U40, V40),IF(AND($AA40&lt;&gt;"",$AB40&lt;&gt;"",$AC40=0),$AO$6,""),"")</f>
        <v/>
      </c>
      <c r="AP40" s="66" t="str">
        <f aca="false">IF($AG40=Constants!$B$7 ,IF(AND(U40,V40,W40,Y40,ISNUMBER(AB40)),IF($AN40="",0,IF($AN$6=0,Constants!$B$10,Constants!$B$10*AN40/$AN$6)), 0),"")</f>
        <v/>
      </c>
      <c r="AQ40" s="66" t="str">
        <f aca="false">IF(AP40&lt;&gt;"", AP40*AI40,"")</f>
        <v/>
      </c>
      <c r="AR40" s="66" t="str">
        <f aca="false">IF($AG40=Constants!$B$7,IF($AD40="",0,IF($AR$6=0,Constants!$B$8,Constants!$B$8*AD40/$AR$6)),"")</f>
        <v/>
      </c>
      <c r="AS40" s="66" t="str">
        <f aca="false">IF($AG40&lt;&gt;Constants!$B$7,$AG40,IF(AK40&amp;AO40&lt;&gt;"",Constants!$B$14,AM40+AQ40+AR40))</f>
        <v/>
      </c>
      <c r="AT40" s="66" t="str">
        <f aca="false">IF(ISBLANK($C40),"",IF($AG40=Constants!$B$7,IF(ISNUMBER(AS40),RANK(AS40,$AS$8:$AS$507),Constants!$B$14),$AG40))</f>
        <v/>
      </c>
      <c r="AU40" s="66" t="str">
        <f aca="false">IF(ISBLANK($C40), "",AM40)</f>
        <v/>
      </c>
      <c r="AV40" s="66" t="str">
        <f aca="false">IF(ISBLANK($C40),"",IF($AG40=Constants!$B$7,RANK(AU40,AU$8:AU$507),$AG40))</f>
        <v/>
      </c>
      <c r="AW40" s="66" t="str">
        <f aca="false">IF(ISBLANK($C40), "",AR40)</f>
        <v/>
      </c>
      <c r="AX40" s="66" t="str">
        <f aca="false">IF(ISBLANK($C40),"",IF($AG40=Constants!$B$7,RANK(AW40,AW$8:AW$507),$AG40))</f>
        <v/>
      </c>
      <c r="AY40" s="66" t="str">
        <f aca="false">IF(ISBLANK($C40), "",AE40)</f>
        <v/>
      </c>
      <c r="AZ40" s="66" t="str">
        <f aca="false">IF(ISBLANK($C40),"",
IF($AG40=Constants!$B$7,
  IF(ISNUMBER(AT40),
    COUNTIFS($AT$8:$AT$507,"&lt;"&amp;$AT40)
    + COUNTIFS($AT$8:$AT$507,$AT40,$AV$8:$AV$507,"&lt;"&amp;$AV40)
    + COUNTIFS($AT$8:$AT$507,$AT40,$AV$8:$AV$507,$AV40,$AX$8:$AX$507,"&lt;"&amp;$AX40)
    + COUNTIFS($AT$8:$AT$507,$AT40,$AV$8:$AV$507,$AV40,$AX$8:$AX$507,$AX40,$AY$8:$AY$507,"&lt;"&amp;$AY40)
    + 1,
  Constants!$B$14),
$AG40))</f>
        <v/>
      </c>
      <c r="BA40" s="66" t="str">
        <f aca="false">IF(ISBLANK(C40),"",IF($AG40=Constants!$B$7, IF(ISNUMBER(AT40),AT40-AZ40,Constants!$B$14),$AG40))</f>
        <v/>
      </c>
      <c r="BB40" s="70"/>
      <c r="BC40" s="84" t="str">
        <f aca="false">IF(ISBLANK($C40),"",TRIM(AK40&amp;" "&amp;AO40))</f>
        <v/>
      </c>
      <c r="BD40" s="72" t="str">
        <f aca="false">IF(ISBLANK($C40),"",IF($AG40&lt;&gt;Constants!$B$7,$AG40,AR40))</f>
        <v/>
      </c>
      <c r="BE40" s="72" t="str">
        <f aca="false">IF(ISBLANK($C40),"",IF($AG40&lt;&gt;Constants!$B$7,$AG40,AM40))</f>
        <v/>
      </c>
      <c r="BF40" s="72" t="str">
        <f aca="false">IF(ISBLANK($C40),"",IF($AG40&lt;&gt;Constants!$B$7,$AG40,AQ40))</f>
        <v/>
      </c>
      <c r="BG40" s="73" t="str">
        <f aca="false">IF(ISBLANK($C40),"",IF($AG40&lt;&gt;Constants!$B$7, $AG40 ,AS40))</f>
        <v/>
      </c>
      <c r="BH40" s="74" t="str">
        <f aca="false">IF(ISBLANK($C40),"",IF($AG40&lt;&gt;Constants!$B$7, $AG40 ,AH40))</f>
        <v/>
      </c>
      <c r="BI40" s="72" t="str">
        <f aca="false">IF(ISBLANK(C40),"",BA40)</f>
        <v/>
      </c>
      <c r="BJ40" s="72" t="str">
        <f aca="false">IF(ISBLANK(C40),"",AZ40)</f>
        <v/>
      </c>
      <c r="BK40" s="75" t="str">
        <f aca="false">IF(ISBLANK(C40),"",IFERROR(_xlfn.SWITCH(BJ40, Constants!$B$4, COUNTA($C$8:$C539)+2, Constants!$B$5, COUNTA($C$8:$C539)+1, Constants!$B$6, COUNTA($C$8:$C539)),BJ40))</f>
        <v/>
      </c>
      <c r="BL40" s="5"/>
      <c r="BM40" s="76" t="n">
        <f aca="false">IF(OR(ISNUMBER(BJ40),BJ40="DQ",BJ40="P",BJ40="NS"),
    1,
    0
)</f>
        <v>0</v>
      </c>
      <c r="BN40" s="76" t="n">
        <v>33</v>
      </c>
      <c r="BO40" s="76" t="str">
        <f aca="false">IF(ISBLANK($C40),"",IF(ISNUMBER(BK40),BK40+ROW($B40)/1000,""))</f>
        <v/>
      </c>
      <c r="BP40" s="76" t="str">
        <f aca="false">IF(ISNUMBER(BO40), RANK(BO40,BO$8:BO$507,1), "")</f>
        <v/>
      </c>
      <c r="BQ40" s="76" t="str">
        <f aca="false">IF(ISBLANK($C40),
    "",
    $B40
)</f>
        <v/>
      </c>
      <c r="BR40" s="76" t="str">
        <f aca="false">IF(ISBLANK($C40),
    "",
    $C40
)</f>
        <v/>
      </c>
      <c r="BS40" s="76" t="str">
        <f aca="false">IF(ISBLANK($C40),
    "",
    $D40
)</f>
        <v/>
      </c>
      <c r="BT40" s="77" t="str">
        <f aca="false">BH40</f>
        <v/>
      </c>
      <c r="BU40" s="78" t="str">
        <f aca="false">BG40</f>
        <v/>
      </c>
      <c r="BV40" s="76" t="str">
        <f aca="false">IF(ISBLANK($C40),
    "",
    BJ40
)</f>
        <v/>
      </c>
      <c r="BW40" s="79" t="str">
        <f aca="false">IF(BN40&gt;BM$7,
    "",
    VLOOKUP(BN40,BP$8:BV539,7,FALSE())
)</f>
        <v/>
      </c>
      <c r="BX40" s="80" t="str">
        <f aca="false">IF(BN40&gt;BM$7,
    "",
    VLOOKUP(BN40,BP$8:BV539,2,FALSE())
)</f>
        <v/>
      </c>
      <c r="BY40" s="80" t="str">
        <f aca="false">IF(BN40&gt;BM$7,
    "",
    VLOOKUP(BN40,BP$8:BV539,3,FALSE())
)</f>
        <v/>
      </c>
      <c r="BZ40" s="80" t="str">
        <f aca="false">IF(BN40&gt;BM$7,
    "",
    VLOOKUP(BN40,BP$8:BV539,4,FALSE())
)</f>
        <v/>
      </c>
      <c r="CA40" s="80" t="str">
        <f aca="false">IF(BN40&gt;BM$7,
    "",
    VLOOKUP(BN40,BP$8:BV539,5,FALSE())
)</f>
        <v/>
      </c>
      <c r="CB40" s="81" t="str">
        <f aca="false">IF(BN40&gt;BM$7,
    "",
    VLOOKUP(BN40,BP$8:BV539,6,FALSE())
)</f>
        <v/>
      </c>
      <c r="CC40" s="53"/>
    </row>
    <row r="41" customFormat="false" ht="15.75" hidden="false" customHeight="false" outlineLevel="0" collapsed="false">
      <c r="A41" s="5"/>
      <c r="B41" s="125"/>
      <c r="C41" s="126"/>
      <c r="D41" s="115"/>
      <c r="E41" s="119"/>
      <c r="F41" s="119"/>
      <c r="G41" s="91"/>
      <c r="H41" s="92"/>
      <c r="I41" s="92"/>
      <c r="J41" s="128"/>
      <c r="K41" s="128"/>
      <c r="L41" s="128"/>
      <c r="M41" s="94"/>
      <c r="N41" s="94"/>
      <c r="O41" s="94"/>
      <c r="P41" s="95"/>
      <c r="Q41" s="96"/>
      <c r="R41" s="128"/>
      <c r="S41" s="98"/>
      <c r="T41" s="99"/>
      <c r="U41" s="99" t="str">
        <f aca="false">IF(ISBLANK($C41),"",IF(G41=Constants!$B$2, TRUE(), IF(G41=Constants!$B$3, FALSE(), TRUE())))</f>
        <v/>
      </c>
      <c r="V41" s="99" t="str">
        <f aca="false">IF(ISBLANK($C41),"",IF(H41=Constants!$B$2, TRUE(), IF(H41=Constants!$B$3, FALSE(), TRUE())))</f>
        <v/>
      </c>
      <c r="W41" s="99" t="str">
        <f aca="false">IF(ISBLANK($C41),"",IF(I41=Constants!$B$2, TRUE(), IF(I41=Constants!$B$3, FALSE(), TRUE())))</f>
        <v/>
      </c>
      <c r="X41" s="99" t="str">
        <f aca="false">IF(ISBLANK($C41),"",IF(AND(ISNUMBER(J41),J41&gt;0),INT(J41),0))</f>
        <v/>
      </c>
      <c r="Y41" s="99" t="str">
        <f aca="false">IF(ISBLANK($C41),"",IF(K41=Constants!$B$2, TRUE(), IF(K41=Constants!$B$3, FALSE(), TRUE())))</f>
        <v/>
      </c>
      <c r="Z41" s="100" t="str">
        <f aca="false">IF(ISBLANK($C41),"",IF(AND(ISNUMBER(L41),L41&gt;0),INT(L41),0))</f>
        <v/>
      </c>
      <c r="AA41" s="101" t="str">
        <f aca="false">IF(ISBLANK($C41),"",IF(ISNUMBER(M41), M41, ""))</f>
        <v/>
      </c>
      <c r="AB41" s="101" t="str">
        <f aca="false">IF(ISBLANK($C41),"",IF(ISNUMBER(N41), N41, ""))</f>
        <v/>
      </c>
      <c r="AC41" s="101" t="str">
        <f aca="false">IF(ISBLANK($C41),"",IF(ISNUMBER(O41), O41, ""))</f>
        <v/>
      </c>
      <c r="AD41" s="102" t="str">
        <f aca="false">IF(ISBLANK($C41),"",IF(ISNUMBER(P41), P41, ""))</f>
        <v/>
      </c>
      <c r="AE41" s="102" t="str">
        <f aca="false">IF(ISBLANK($C41),"",IF(ISNUMBER(Q41), Q41, Constants!$B$13))</f>
        <v/>
      </c>
      <c r="AF41" s="99" t="str">
        <f aca="false">IF(ISBLANK($C41),"",IF(R41=Constants!$B$2, TRUE(), IF(R41=Constants!$B$3, FALSE(), FALSE())))</f>
        <v/>
      </c>
      <c r="AG41" s="99" t="str">
        <f aca="false">IF(ISBLANK(C41), "", IF(AF41, Constants!$B$4,IF(COUNTA(G41:P41)=0, Constants!$B$5, Constants!$B$7)))</f>
        <v/>
      </c>
      <c r="AH41" s="99" t="str">
        <f aca="false">IF(ISBLANK($C41), "",IF($AG41=Constants!$B$7,1,$AG41))</f>
        <v/>
      </c>
      <c r="AI41" s="99" t="str">
        <f aca="false">IF($AG41=Constants!$B$7,POWER(Constants!$B$11,X41)*POWER(Constants!$B$12,Z41),"")</f>
        <v/>
      </c>
      <c r="AJ41" s="99" t="str">
        <f aca="false">IF(AND($AG41=Constants!$B$7, U41, V41) ,IF(OR($AA41="",$AC41=""),"",MAX(0, $AC41-$AA41)),"")</f>
        <v/>
      </c>
      <c r="AK41" s="99" t="str">
        <f aca="false">IF(AND($AG41=Constants!$B$7, U41, V41),IF(OR($AA41="",$AC41=""),$AK$6,""),"")</f>
        <v/>
      </c>
      <c r="AL41" s="99" t="str">
        <f aca="false">IF($AG41=Constants!$B$7,IF(AND(U41,V41,W41,Y41),IF($AJ41="",0,IF($AJ$6=0,Constants!$B$9,Constants!$B$9*AJ41/$AJ$6)), 0),"")</f>
        <v/>
      </c>
      <c r="AM41" s="99" t="str">
        <f aca="false">IF(AL41&lt;&gt;"", AL41*AI41,"")</f>
        <v/>
      </c>
      <c r="AN41" s="99" t="str">
        <f aca="false">IF(AND($AG41=Constants!$B$7, U41, V41) ,IF($AB41="", "", IF(OR($AC41="",$AC41=0),"",MAX(0,1-ABS($AC41-$AB41)/$AC41))),"")</f>
        <v/>
      </c>
      <c r="AO41" s="99" t="str">
        <f aca="false">IF(AND($AG41=Constants!$B$7, U41, V41),IF(AND($AA41&lt;&gt;"",$AB41&lt;&gt;"",$AC41=0),$AO$6,""),"")</f>
        <v/>
      </c>
      <c r="AP41" s="99" t="str">
        <f aca="false">IF($AG41=Constants!$B$7 ,IF(AND(U41,V41,W41,Y41,ISNUMBER(AB41)),IF($AN41="",0,IF($AN$6=0,Constants!$B$10,Constants!$B$10*AN41/$AN$6)), 0),"")</f>
        <v/>
      </c>
      <c r="AQ41" s="99" t="str">
        <f aca="false">IF(AP41&lt;&gt;"", AP41*AI41,"")</f>
        <v/>
      </c>
      <c r="AR41" s="99" t="str">
        <f aca="false">IF($AG41=Constants!$B$7,IF($AD41="",0,IF($AR$6=0,Constants!$B$8,Constants!$B$8*AD41/$AR$6)),"")</f>
        <v/>
      </c>
      <c r="AS41" s="99" t="str">
        <f aca="false">IF($AG41&lt;&gt;Constants!$B$7,$AG41,IF(AK41&amp;AO41&lt;&gt;"",Constants!$B$14,AM41+AQ41+AR41))</f>
        <v/>
      </c>
      <c r="AT41" s="99" t="str">
        <f aca="false">IF(ISBLANK($C41),"",IF($AG41=Constants!$B$7,IF(ISNUMBER(AS41),RANK(AS41,$AS$8:$AS$507),Constants!$B$14),$AG41))</f>
        <v/>
      </c>
      <c r="AU41" s="99" t="str">
        <f aca="false">IF(ISBLANK($C41), "",AM41)</f>
        <v/>
      </c>
      <c r="AV41" s="99" t="str">
        <f aca="false">IF(ISBLANK($C41),"",IF($AG41=Constants!$B$7,RANK(AU41,AU$8:AU$507),$AG41))</f>
        <v/>
      </c>
      <c r="AW41" s="99" t="str">
        <f aca="false">IF(ISBLANK($C41), "",AR41)</f>
        <v/>
      </c>
      <c r="AX41" s="99" t="str">
        <f aca="false">IF(ISBLANK($C41),"",IF($AG41=Constants!$B$7,RANK(AW41,AW$8:AW$507),$AG41))</f>
        <v/>
      </c>
      <c r="AY41" s="99" t="str">
        <f aca="false">IF(ISBLANK($C41), "",AE41)</f>
        <v/>
      </c>
      <c r="AZ41" s="99" t="str">
        <f aca="false">IF(ISBLANK($C41),"",
IF($AG41=Constants!$B$7,
  IF(ISNUMBER(AT41),
    COUNTIFS($AT$8:$AT$507,"&lt;"&amp;$AT41)
    + COUNTIFS($AT$8:$AT$507,$AT41,$AV$8:$AV$507,"&lt;"&amp;$AV41)
    + COUNTIFS($AT$8:$AT$507,$AT41,$AV$8:$AV$507,$AV41,$AX$8:$AX$507,"&lt;"&amp;$AX41)
    + COUNTIFS($AT$8:$AT$507,$AT41,$AV$8:$AV$507,$AV41,$AX$8:$AX$507,$AX41,$AY$8:$AY$507,"&lt;"&amp;$AY41)
    + 1,
  Constants!$B$14),
$AG41))</f>
        <v/>
      </c>
      <c r="BA41" s="99" t="str">
        <f aca="false">IF(ISBLANK(C41),"",IF($AG41=Constants!$B$7, IF(ISNUMBER(AT41),AT41-AZ41,Constants!$B$14),$AG41))</f>
        <v/>
      </c>
      <c r="BB41" s="103"/>
      <c r="BC41" s="104" t="str">
        <f aca="false">IF(ISBLANK($C41),"",TRIM(AK41&amp;" "&amp;AO41))</f>
        <v/>
      </c>
      <c r="BD41" s="105" t="str">
        <f aca="false">IF(ISBLANK($C41),"",IF($AG41&lt;&gt;Constants!$B$7,$AG41,AR41))</f>
        <v/>
      </c>
      <c r="BE41" s="105" t="str">
        <f aca="false">IF(ISBLANK($C41),"",IF($AG41&lt;&gt;Constants!$B$7,$AG41,AM41))</f>
        <v/>
      </c>
      <c r="BF41" s="105" t="str">
        <f aca="false">IF(ISBLANK($C41),"",IF($AG41&lt;&gt;Constants!$B$7,$AG41,AQ41))</f>
        <v/>
      </c>
      <c r="BG41" s="106" t="str">
        <f aca="false">IF(ISBLANK($C41),"",IF($AG41&lt;&gt;Constants!$B$7, $AG41 ,AS41))</f>
        <v/>
      </c>
      <c r="BH41" s="107" t="str">
        <f aca="false">IF(ISBLANK($C41),"",IF($AG41&lt;&gt;Constants!$B$7, $AG41 ,AH41))</f>
        <v/>
      </c>
      <c r="BI41" s="105" t="str">
        <f aca="false">IF(ISBLANK(C41),"",BA41)</f>
        <v/>
      </c>
      <c r="BJ41" s="105" t="str">
        <f aca="false">IF(ISBLANK(C41),"",AZ41)</f>
        <v/>
      </c>
      <c r="BK41" s="108" t="str">
        <f aca="false">IF(ISBLANK(C41),"",IFERROR(_xlfn.SWITCH(BJ41, Constants!$B$4, COUNTA($C$8:$C540)+2, Constants!$B$5, COUNTA($C$8:$C540)+1, Constants!$B$6, COUNTA($C$8:$C540)),BJ41))</f>
        <v/>
      </c>
      <c r="BL41" s="5"/>
      <c r="BM41" s="109" t="n">
        <f aca="false">IF(OR(ISNUMBER(BJ41),BJ41="DQ",BJ41="P",BJ41="NS"),
    1,
    0
)</f>
        <v>0</v>
      </c>
      <c r="BN41" s="109" t="n">
        <v>34</v>
      </c>
      <c r="BO41" s="109" t="str">
        <f aca="false">IF(ISBLANK($C41),"",IF(ISNUMBER(BK41),BK41+ROW($B41)/1000,""))</f>
        <v/>
      </c>
      <c r="BP41" s="109" t="str">
        <f aca="false">IF(ISNUMBER(BO41), RANK(BO41,BO$8:BO$507,1), "")</f>
        <v/>
      </c>
      <c r="BQ41" s="109" t="str">
        <f aca="false">IF(ISBLANK($C41),
    "",
    $B41
)</f>
        <v/>
      </c>
      <c r="BR41" s="109" t="str">
        <f aca="false">IF(ISBLANK($C41),
    "",
    $C41
)</f>
        <v/>
      </c>
      <c r="BS41" s="109" t="str">
        <f aca="false">IF(ISBLANK($C41),
    "",
    $D41
)</f>
        <v/>
      </c>
      <c r="BT41" s="110" t="str">
        <f aca="false">BH41</f>
        <v/>
      </c>
      <c r="BU41" s="111" t="str">
        <f aca="false">BG41</f>
        <v/>
      </c>
      <c r="BV41" s="109" t="str">
        <f aca="false">IF(ISBLANK($C41),
    "",
    BJ41
)</f>
        <v/>
      </c>
      <c r="BW41" s="112" t="str">
        <f aca="false">IF(BN41&gt;BM$7,
    "",
    VLOOKUP(BN41,BP$8:BV540,7,FALSE())
)</f>
        <v/>
      </c>
      <c r="BX41" s="113" t="str">
        <f aca="false">IF(BN41&gt;BM$7,
    "",
    VLOOKUP(BN41,BP$8:BV540,2,FALSE())
)</f>
        <v/>
      </c>
      <c r="BY41" s="113" t="str">
        <f aca="false">IF(BN41&gt;BM$7,
    "",
    VLOOKUP(BN41,BP$8:BV540,3,FALSE())
)</f>
        <v/>
      </c>
      <c r="BZ41" s="113" t="str">
        <f aca="false">IF(BN41&gt;BM$7,
    "",
    VLOOKUP(BN41,BP$8:BV540,4,FALSE())
)</f>
        <v/>
      </c>
      <c r="CA41" s="113" t="str">
        <f aca="false">IF(BN41&gt;BM$7,
    "",
    VLOOKUP(BN41,BP$8:BV540,5,FALSE())
)</f>
        <v/>
      </c>
      <c r="CB41" s="114" t="str">
        <f aca="false">IF(BN41&gt;BM$7,
    "",
    VLOOKUP(BN41,BP$8:BV540,6,FALSE())
)</f>
        <v/>
      </c>
      <c r="CC41" s="53"/>
    </row>
    <row r="42" customFormat="false" ht="15.75" hidden="false" customHeight="false" outlineLevel="0" collapsed="false">
      <c r="A42" s="5"/>
      <c r="B42" s="125"/>
      <c r="C42" s="126"/>
      <c r="D42" s="115"/>
      <c r="E42" s="119"/>
      <c r="F42" s="119"/>
      <c r="G42" s="91"/>
      <c r="H42" s="92"/>
      <c r="I42" s="92"/>
      <c r="J42" s="128"/>
      <c r="K42" s="128"/>
      <c r="L42" s="128"/>
      <c r="M42" s="94"/>
      <c r="N42" s="94"/>
      <c r="O42" s="94"/>
      <c r="P42" s="95"/>
      <c r="Q42" s="96"/>
      <c r="R42" s="128"/>
      <c r="S42" s="98"/>
      <c r="T42" s="99"/>
      <c r="U42" s="99" t="str">
        <f aca="false">IF(ISBLANK($C42),"",IF(G42=Constants!$B$2, TRUE(), IF(G42=Constants!$B$3, FALSE(), TRUE())))</f>
        <v/>
      </c>
      <c r="V42" s="99" t="str">
        <f aca="false">IF(ISBLANK($C42),"",IF(H42=Constants!$B$2, TRUE(), IF(H42=Constants!$B$3, FALSE(), TRUE())))</f>
        <v/>
      </c>
      <c r="W42" s="99" t="str">
        <f aca="false">IF(ISBLANK($C42),"",IF(I42=Constants!$B$2, TRUE(), IF(I42=Constants!$B$3, FALSE(), TRUE())))</f>
        <v/>
      </c>
      <c r="X42" s="99" t="str">
        <f aca="false">IF(ISBLANK($C42),"",IF(AND(ISNUMBER(J42),J42&gt;0),INT(J42),0))</f>
        <v/>
      </c>
      <c r="Y42" s="99" t="str">
        <f aca="false">IF(ISBLANK($C42),"",IF(K42=Constants!$B$2, TRUE(), IF(K42=Constants!$B$3, FALSE(), TRUE())))</f>
        <v/>
      </c>
      <c r="Z42" s="100" t="str">
        <f aca="false">IF(ISBLANK($C42),"",IF(AND(ISNUMBER(L42),L42&gt;0),INT(L42),0))</f>
        <v/>
      </c>
      <c r="AA42" s="101" t="str">
        <f aca="false">IF(ISBLANK($C42),"",IF(ISNUMBER(M42), M42, ""))</f>
        <v/>
      </c>
      <c r="AB42" s="101" t="str">
        <f aca="false">IF(ISBLANK($C42),"",IF(ISNUMBER(N42), N42, ""))</f>
        <v/>
      </c>
      <c r="AC42" s="101" t="str">
        <f aca="false">IF(ISBLANK($C42),"",IF(ISNUMBER(O42), O42, ""))</f>
        <v/>
      </c>
      <c r="AD42" s="102" t="str">
        <f aca="false">IF(ISBLANK($C42),"",IF(ISNUMBER(P42), P42, ""))</f>
        <v/>
      </c>
      <c r="AE42" s="102" t="str">
        <f aca="false">IF(ISBLANK($C42),"",IF(ISNUMBER(Q42), Q42, Constants!$B$13))</f>
        <v/>
      </c>
      <c r="AF42" s="99" t="str">
        <f aca="false">IF(ISBLANK($C42),"",IF(R42=Constants!$B$2, TRUE(), IF(R42=Constants!$B$3, FALSE(), FALSE())))</f>
        <v/>
      </c>
      <c r="AG42" s="99" t="str">
        <f aca="false">IF(ISBLANK(C42), "", IF(AF42, Constants!$B$4,IF(COUNTA(G42:P42)=0, Constants!$B$5, Constants!$B$7)))</f>
        <v/>
      </c>
      <c r="AH42" s="99" t="str">
        <f aca="false">IF(ISBLANK($C42), "",IF($AG42=Constants!$B$7,1,$AG42))</f>
        <v/>
      </c>
      <c r="AI42" s="99" t="str">
        <f aca="false">IF($AG42=Constants!$B$7,POWER(Constants!$B$11,X42)*POWER(Constants!$B$12,Z42),"")</f>
        <v/>
      </c>
      <c r="AJ42" s="99" t="str">
        <f aca="false">IF(AND($AG42=Constants!$B$7, U42, V42) ,IF(OR($AA42="",$AC42=""),"",MAX(0, $AC42-$AA42)),"")</f>
        <v/>
      </c>
      <c r="AK42" s="99" t="str">
        <f aca="false">IF(AND($AG42=Constants!$B$7, U42, V42),IF(OR($AA42="",$AC42=""),$AK$6,""),"")</f>
        <v/>
      </c>
      <c r="AL42" s="99" t="str">
        <f aca="false">IF($AG42=Constants!$B$7,IF(AND(U42,V42,W42,Y42),IF($AJ42="",0,IF($AJ$6=0,Constants!$B$9,Constants!$B$9*AJ42/$AJ$6)), 0),"")</f>
        <v/>
      </c>
      <c r="AM42" s="99" t="str">
        <f aca="false">IF(AL42&lt;&gt;"", AL42*AI42,"")</f>
        <v/>
      </c>
      <c r="AN42" s="99" t="str">
        <f aca="false">IF(AND($AG42=Constants!$B$7, U42, V42) ,IF($AB42="", "", IF(OR($AC42="",$AC42=0),"",MAX(0,1-ABS($AC42-$AB42)/$AC42))),"")</f>
        <v/>
      </c>
      <c r="AO42" s="99" t="str">
        <f aca="false">IF(AND($AG42=Constants!$B$7, U42, V42),IF(AND($AA42&lt;&gt;"",$AB42&lt;&gt;"",$AC42=0),$AO$6,""),"")</f>
        <v/>
      </c>
      <c r="AP42" s="99" t="str">
        <f aca="false">IF($AG42=Constants!$B$7 ,IF(AND(U42,V42,W42,Y42,ISNUMBER(AB42)),IF($AN42="",0,IF($AN$6=0,Constants!$B$10,Constants!$B$10*AN42/$AN$6)), 0),"")</f>
        <v/>
      </c>
      <c r="AQ42" s="99" t="str">
        <f aca="false">IF(AP42&lt;&gt;"", AP42*AI42,"")</f>
        <v/>
      </c>
      <c r="AR42" s="99" t="str">
        <f aca="false">IF($AG42=Constants!$B$7,IF($AD42="",0,IF($AR$6=0,Constants!$B$8,Constants!$B$8*AD42/$AR$6)),"")</f>
        <v/>
      </c>
      <c r="AS42" s="99" t="str">
        <f aca="false">IF($AG42&lt;&gt;Constants!$B$7,$AG42,IF(AK42&amp;AO42&lt;&gt;"",Constants!$B$14,AM42+AQ42+AR42))</f>
        <v/>
      </c>
      <c r="AT42" s="99" t="str">
        <f aca="false">IF(ISBLANK($C42),"",IF($AG42=Constants!$B$7,IF(ISNUMBER(AS42),RANK(AS42,$AS$8:$AS$507),Constants!$B$14),$AG42))</f>
        <v/>
      </c>
      <c r="AU42" s="99" t="str">
        <f aca="false">IF(ISBLANK($C42), "",AM42)</f>
        <v/>
      </c>
      <c r="AV42" s="99" t="str">
        <f aca="false">IF(ISBLANK($C42),"",IF($AG42=Constants!$B$7,RANK(AU42,AU$8:AU$507),$AG42))</f>
        <v/>
      </c>
      <c r="AW42" s="99" t="str">
        <f aca="false">IF(ISBLANK($C42), "",AR42)</f>
        <v/>
      </c>
      <c r="AX42" s="99" t="str">
        <f aca="false">IF(ISBLANK($C42),"",IF($AG42=Constants!$B$7,RANK(AW42,AW$8:AW$507),$AG42))</f>
        <v/>
      </c>
      <c r="AY42" s="99" t="str">
        <f aca="false">IF(ISBLANK($C42), "",AE42)</f>
        <v/>
      </c>
      <c r="AZ42" s="99" t="str">
        <f aca="false">IF(ISBLANK($C42),"",
IF($AG42=Constants!$B$7,
  IF(ISNUMBER(AT42),
    COUNTIFS($AT$8:$AT$507,"&lt;"&amp;$AT42)
    + COUNTIFS($AT$8:$AT$507,$AT42,$AV$8:$AV$507,"&lt;"&amp;$AV42)
    + COUNTIFS($AT$8:$AT$507,$AT42,$AV$8:$AV$507,$AV42,$AX$8:$AX$507,"&lt;"&amp;$AX42)
    + COUNTIFS($AT$8:$AT$507,$AT42,$AV$8:$AV$507,$AV42,$AX$8:$AX$507,$AX42,$AY$8:$AY$507,"&lt;"&amp;$AY42)
    + 1,
  Constants!$B$14),
$AG42))</f>
        <v/>
      </c>
      <c r="BA42" s="99" t="str">
        <f aca="false">IF(ISBLANK(C42),"",IF($AG42=Constants!$B$7, IF(ISNUMBER(AT42),AT42-AZ42,Constants!$B$14),$AG42))</f>
        <v/>
      </c>
      <c r="BB42" s="103"/>
      <c r="BC42" s="104" t="str">
        <f aca="false">IF(ISBLANK($C42),"",TRIM(AK42&amp;" "&amp;AO42))</f>
        <v/>
      </c>
      <c r="BD42" s="105" t="str">
        <f aca="false">IF(ISBLANK($C42),"",IF($AG42&lt;&gt;Constants!$B$7,$AG42,AR42))</f>
        <v/>
      </c>
      <c r="BE42" s="105" t="str">
        <f aca="false">IF(ISBLANK($C42),"",IF($AG42&lt;&gt;Constants!$B$7,$AG42,AM42))</f>
        <v/>
      </c>
      <c r="BF42" s="105" t="str">
        <f aca="false">IF(ISBLANK($C42),"",IF($AG42&lt;&gt;Constants!$B$7,$AG42,AQ42))</f>
        <v/>
      </c>
      <c r="BG42" s="106" t="str">
        <f aca="false">IF(ISBLANK($C42),"",IF($AG42&lt;&gt;Constants!$B$7, $AG42 ,AS42))</f>
        <v/>
      </c>
      <c r="BH42" s="107" t="str">
        <f aca="false">IF(ISBLANK($C42),"",IF($AG42&lt;&gt;Constants!$B$7, $AG42 ,AH42))</f>
        <v/>
      </c>
      <c r="BI42" s="105" t="str">
        <f aca="false">IF(ISBLANK(C42),"",BA42)</f>
        <v/>
      </c>
      <c r="BJ42" s="105" t="str">
        <f aca="false">IF(ISBLANK(C42),"",AZ42)</f>
        <v/>
      </c>
      <c r="BK42" s="108" t="str">
        <f aca="false">IF(ISBLANK(C42),"",IFERROR(_xlfn.SWITCH(BJ42, Constants!$B$4, COUNTA($C$8:$C541)+2, Constants!$B$5, COUNTA($C$8:$C541)+1, Constants!$B$6, COUNTA($C$8:$C541)),BJ42))</f>
        <v/>
      </c>
      <c r="BL42" s="5"/>
      <c r="BM42" s="109" t="n">
        <f aca="false">IF(OR(ISNUMBER(BJ42),BJ42="DQ",BJ42="P",BJ42="NS"),
    1,
    0
)</f>
        <v>0</v>
      </c>
      <c r="BN42" s="109" t="n">
        <v>35</v>
      </c>
      <c r="BO42" s="109" t="str">
        <f aca="false">IF(ISBLANK($C42),"",IF(ISNUMBER(BK42),BK42+ROW($B42)/1000,""))</f>
        <v/>
      </c>
      <c r="BP42" s="109" t="str">
        <f aca="false">IF(ISNUMBER(BO42), RANK(BO42,BO$8:BO$507,1), "")</f>
        <v/>
      </c>
      <c r="BQ42" s="109" t="str">
        <f aca="false">IF(ISBLANK($C42),
    "",
    $B42
)</f>
        <v/>
      </c>
      <c r="BR42" s="109" t="str">
        <f aca="false">IF(ISBLANK($C42),
    "",
    $C42
)</f>
        <v/>
      </c>
      <c r="BS42" s="109" t="str">
        <f aca="false">IF(ISBLANK($C42),
    "",
    $D42
)</f>
        <v/>
      </c>
      <c r="BT42" s="110" t="str">
        <f aca="false">BH42</f>
        <v/>
      </c>
      <c r="BU42" s="111" t="str">
        <f aca="false">BG42</f>
        <v/>
      </c>
      <c r="BV42" s="109" t="str">
        <f aca="false">IF(ISBLANK($C42),
    "",
    BJ42
)</f>
        <v/>
      </c>
      <c r="BW42" s="112" t="str">
        <f aca="false">IF(BN42&gt;BM$7,
    "",
    VLOOKUP(BN42,BP$8:BV541,7,FALSE())
)</f>
        <v/>
      </c>
      <c r="BX42" s="113" t="str">
        <f aca="false">IF(BN42&gt;BM$7,
    "",
    VLOOKUP(BN42,BP$8:BV541,2,FALSE())
)</f>
        <v/>
      </c>
      <c r="BY42" s="113" t="str">
        <f aca="false">IF(BN42&gt;BM$7,
    "",
    VLOOKUP(BN42,BP$8:BV541,3,FALSE())
)</f>
        <v/>
      </c>
      <c r="BZ42" s="113" t="str">
        <f aca="false">IF(BN42&gt;BM$7,
    "",
    VLOOKUP(BN42,BP$8:BV541,4,FALSE())
)</f>
        <v/>
      </c>
      <c r="CA42" s="113" t="str">
        <f aca="false">IF(BN42&gt;BM$7,
    "",
    VLOOKUP(BN42,BP$8:BV541,5,FALSE())
)</f>
        <v/>
      </c>
      <c r="CB42" s="114" t="str">
        <f aca="false">IF(BN42&gt;BM$7,
    "",
    VLOOKUP(BN42,BP$8:BV541,6,FALSE())
)</f>
        <v/>
      </c>
      <c r="CC42" s="53"/>
    </row>
    <row r="43" customFormat="false" ht="15.75" hidden="false" customHeight="false" outlineLevel="0" collapsed="false">
      <c r="A43" s="5"/>
      <c r="B43" s="125"/>
      <c r="C43" s="126"/>
      <c r="D43" s="115"/>
      <c r="E43" s="119"/>
      <c r="F43" s="119"/>
      <c r="G43" s="91"/>
      <c r="H43" s="92"/>
      <c r="I43" s="92"/>
      <c r="J43" s="128"/>
      <c r="K43" s="128"/>
      <c r="L43" s="128"/>
      <c r="M43" s="94"/>
      <c r="N43" s="94"/>
      <c r="O43" s="94"/>
      <c r="P43" s="95"/>
      <c r="Q43" s="96"/>
      <c r="R43" s="128"/>
      <c r="S43" s="98"/>
      <c r="T43" s="99"/>
      <c r="U43" s="99" t="str">
        <f aca="false">IF(ISBLANK($C43),"",IF(G43=Constants!$B$2, TRUE(), IF(G43=Constants!$B$3, FALSE(), TRUE())))</f>
        <v/>
      </c>
      <c r="V43" s="99" t="str">
        <f aca="false">IF(ISBLANK($C43),"",IF(H43=Constants!$B$2, TRUE(), IF(H43=Constants!$B$3, FALSE(), TRUE())))</f>
        <v/>
      </c>
      <c r="W43" s="99" t="str">
        <f aca="false">IF(ISBLANK($C43),"",IF(I43=Constants!$B$2, TRUE(), IF(I43=Constants!$B$3, FALSE(), TRUE())))</f>
        <v/>
      </c>
      <c r="X43" s="99" t="str">
        <f aca="false">IF(ISBLANK($C43),"",IF(AND(ISNUMBER(J43),J43&gt;0),INT(J43),0))</f>
        <v/>
      </c>
      <c r="Y43" s="99" t="str">
        <f aca="false">IF(ISBLANK($C43),"",IF(K43=Constants!$B$2, TRUE(), IF(K43=Constants!$B$3, FALSE(), TRUE())))</f>
        <v/>
      </c>
      <c r="Z43" s="100" t="str">
        <f aca="false">IF(ISBLANK($C43),"",IF(AND(ISNUMBER(L43),L43&gt;0),INT(L43),0))</f>
        <v/>
      </c>
      <c r="AA43" s="101" t="str">
        <f aca="false">IF(ISBLANK($C43),"",IF(ISNUMBER(M43), M43, ""))</f>
        <v/>
      </c>
      <c r="AB43" s="101" t="str">
        <f aca="false">IF(ISBLANK($C43),"",IF(ISNUMBER(N43), N43, ""))</f>
        <v/>
      </c>
      <c r="AC43" s="101" t="str">
        <f aca="false">IF(ISBLANK($C43),"",IF(ISNUMBER(O43), O43, ""))</f>
        <v/>
      </c>
      <c r="AD43" s="102" t="str">
        <f aca="false">IF(ISBLANK($C43),"",IF(ISNUMBER(P43), P43, ""))</f>
        <v/>
      </c>
      <c r="AE43" s="102" t="str">
        <f aca="false">IF(ISBLANK($C43),"",IF(ISNUMBER(Q43), Q43, Constants!$B$13))</f>
        <v/>
      </c>
      <c r="AF43" s="99" t="str">
        <f aca="false">IF(ISBLANK($C43),"",IF(R43=Constants!$B$2, TRUE(), IF(R43=Constants!$B$3, FALSE(), FALSE())))</f>
        <v/>
      </c>
      <c r="AG43" s="99" t="str">
        <f aca="false">IF(ISBLANK(C43), "", IF(AF43, Constants!$B$4,IF(COUNTA(G43:P43)=0, Constants!$B$5, Constants!$B$7)))</f>
        <v/>
      </c>
      <c r="AH43" s="99" t="str">
        <f aca="false">IF(ISBLANK($C43), "",IF($AG43=Constants!$B$7,1,$AG43))</f>
        <v/>
      </c>
      <c r="AI43" s="99" t="str">
        <f aca="false">IF($AG43=Constants!$B$7,POWER(Constants!$B$11,X43)*POWER(Constants!$B$12,Z43),"")</f>
        <v/>
      </c>
      <c r="AJ43" s="99" t="str">
        <f aca="false">IF(AND($AG43=Constants!$B$7, U43, V43) ,IF(OR($AA43="",$AC43=""),"",MAX(0, $AC43-$AA43)),"")</f>
        <v/>
      </c>
      <c r="AK43" s="99" t="str">
        <f aca="false">IF(AND($AG43=Constants!$B$7, U43, V43),IF(OR($AA43="",$AC43=""),$AK$6,""),"")</f>
        <v/>
      </c>
      <c r="AL43" s="99" t="str">
        <f aca="false">IF($AG43=Constants!$B$7,IF(AND(U43,V43,W43,Y43),IF($AJ43="",0,IF($AJ$6=0,Constants!$B$9,Constants!$B$9*AJ43/$AJ$6)), 0),"")</f>
        <v/>
      </c>
      <c r="AM43" s="99" t="str">
        <f aca="false">IF(AL43&lt;&gt;"", AL43*AI43,"")</f>
        <v/>
      </c>
      <c r="AN43" s="99" t="str">
        <f aca="false">IF(AND($AG43=Constants!$B$7, U43, V43) ,IF($AB43="", "", IF(OR($AC43="",$AC43=0),"",MAX(0,1-ABS($AC43-$AB43)/$AC43))),"")</f>
        <v/>
      </c>
      <c r="AO43" s="99" t="str">
        <f aca="false">IF(AND($AG43=Constants!$B$7, U43, V43),IF(AND($AA43&lt;&gt;"",$AB43&lt;&gt;"",$AC43=0),$AO$6,""),"")</f>
        <v/>
      </c>
      <c r="AP43" s="99" t="str">
        <f aca="false">IF($AG43=Constants!$B$7 ,IF(AND(U43,V43,W43,Y43,ISNUMBER(AB43)),IF($AN43="",0,IF($AN$6=0,Constants!$B$10,Constants!$B$10*AN43/$AN$6)), 0),"")</f>
        <v/>
      </c>
      <c r="AQ43" s="99" t="str">
        <f aca="false">IF(AP43&lt;&gt;"", AP43*AI43,"")</f>
        <v/>
      </c>
      <c r="AR43" s="99" t="str">
        <f aca="false">IF($AG43=Constants!$B$7,IF($AD43="",0,IF($AR$6=0,Constants!$B$8,Constants!$B$8*AD43/$AR$6)),"")</f>
        <v/>
      </c>
      <c r="AS43" s="99" t="str">
        <f aca="false">IF($AG43&lt;&gt;Constants!$B$7,$AG43,IF(AK43&amp;AO43&lt;&gt;"",Constants!$B$14,AM43+AQ43+AR43))</f>
        <v/>
      </c>
      <c r="AT43" s="99" t="str">
        <f aca="false">IF(ISBLANK($C43),"",IF($AG43=Constants!$B$7,IF(ISNUMBER(AS43),RANK(AS43,$AS$8:$AS$507),Constants!$B$14),$AG43))</f>
        <v/>
      </c>
      <c r="AU43" s="99" t="str">
        <f aca="false">IF(ISBLANK($C43), "",AM43)</f>
        <v/>
      </c>
      <c r="AV43" s="99" t="str">
        <f aca="false">IF(ISBLANK($C43),"",IF($AG43=Constants!$B$7,RANK(AU43,AU$8:AU$507),$AG43))</f>
        <v/>
      </c>
      <c r="AW43" s="99" t="str">
        <f aca="false">IF(ISBLANK($C43), "",AR43)</f>
        <v/>
      </c>
      <c r="AX43" s="99" t="str">
        <f aca="false">IF(ISBLANK($C43),"",IF($AG43=Constants!$B$7,RANK(AW43,AW$8:AW$507),$AG43))</f>
        <v/>
      </c>
      <c r="AY43" s="99" t="str">
        <f aca="false">IF(ISBLANK($C43), "",AE43)</f>
        <v/>
      </c>
      <c r="AZ43" s="99" t="str">
        <f aca="false">IF(ISBLANK($C43),"",
IF($AG43=Constants!$B$7,
  IF(ISNUMBER(AT43),
    COUNTIFS($AT$8:$AT$507,"&lt;"&amp;$AT43)
    + COUNTIFS($AT$8:$AT$507,$AT43,$AV$8:$AV$507,"&lt;"&amp;$AV43)
    + COUNTIFS($AT$8:$AT$507,$AT43,$AV$8:$AV$507,$AV43,$AX$8:$AX$507,"&lt;"&amp;$AX43)
    + COUNTIFS($AT$8:$AT$507,$AT43,$AV$8:$AV$507,$AV43,$AX$8:$AX$507,$AX43,$AY$8:$AY$507,"&lt;"&amp;$AY43)
    + 1,
  Constants!$B$14),
$AG43))</f>
        <v/>
      </c>
      <c r="BA43" s="99" t="str">
        <f aca="false">IF(ISBLANK(C43),"",IF($AG43=Constants!$B$7, IF(ISNUMBER(AT43),AT43-AZ43,Constants!$B$14),$AG43))</f>
        <v/>
      </c>
      <c r="BB43" s="103"/>
      <c r="BC43" s="104" t="str">
        <f aca="false">IF(ISBLANK($C43),"",TRIM(AK43&amp;" "&amp;AO43))</f>
        <v/>
      </c>
      <c r="BD43" s="105" t="str">
        <f aca="false">IF(ISBLANK($C43),"",IF($AG43&lt;&gt;Constants!$B$7,$AG43,AR43))</f>
        <v/>
      </c>
      <c r="BE43" s="105" t="str">
        <f aca="false">IF(ISBLANK($C43),"",IF($AG43&lt;&gt;Constants!$B$7,$AG43,AM43))</f>
        <v/>
      </c>
      <c r="BF43" s="105" t="str">
        <f aca="false">IF(ISBLANK($C43),"",IF($AG43&lt;&gt;Constants!$B$7,$AG43,AQ43))</f>
        <v/>
      </c>
      <c r="BG43" s="106" t="str">
        <f aca="false">IF(ISBLANK($C43),"",IF($AG43&lt;&gt;Constants!$B$7, $AG43 ,AS43))</f>
        <v/>
      </c>
      <c r="BH43" s="107" t="str">
        <f aca="false">IF(ISBLANK($C43),"",IF($AG43&lt;&gt;Constants!$B$7, $AG43 ,AH43))</f>
        <v/>
      </c>
      <c r="BI43" s="105" t="str">
        <f aca="false">IF(ISBLANK(C43),"",BA43)</f>
        <v/>
      </c>
      <c r="BJ43" s="105" t="str">
        <f aca="false">IF(ISBLANK(C43),"",AZ43)</f>
        <v/>
      </c>
      <c r="BK43" s="108" t="str">
        <f aca="false">IF(ISBLANK(C43),"",IFERROR(_xlfn.SWITCH(BJ43, Constants!$B$4, COUNTA($C$8:$C542)+2, Constants!$B$5, COUNTA($C$8:$C542)+1, Constants!$B$6, COUNTA($C$8:$C542)),BJ43))</f>
        <v/>
      </c>
      <c r="BL43" s="5"/>
      <c r="BM43" s="109" t="n">
        <f aca="false">IF(OR(ISNUMBER(BJ43),BJ43="DQ",BJ43="P",BJ43="NS"),
    1,
    0
)</f>
        <v>0</v>
      </c>
      <c r="BN43" s="109" t="n">
        <v>36</v>
      </c>
      <c r="BO43" s="109" t="str">
        <f aca="false">IF(ISBLANK($C43),"",IF(ISNUMBER(BK43),BK43+ROW($B43)/1000,""))</f>
        <v/>
      </c>
      <c r="BP43" s="109" t="str">
        <f aca="false">IF(ISNUMBER(BO43), RANK(BO43,BO$8:BO$507,1), "")</f>
        <v/>
      </c>
      <c r="BQ43" s="109" t="str">
        <f aca="false">IF(ISBLANK($C43),
    "",
    $B43
)</f>
        <v/>
      </c>
      <c r="BR43" s="109" t="str">
        <f aca="false">IF(ISBLANK($C43),
    "",
    $C43
)</f>
        <v/>
      </c>
      <c r="BS43" s="109" t="str">
        <f aca="false">IF(ISBLANK($C43),
    "",
    $D43
)</f>
        <v/>
      </c>
      <c r="BT43" s="110" t="str">
        <f aca="false">BH43</f>
        <v/>
      </c>
      <c r="BU43" s="111" t="str">
        <f aca="false">BG43</f>
        <v/>
      </c>
      <c r="BV43" s="109" t="str">
        <f aca="false">IF(ISBLANK($C43),
    "",
    BJ43
)</f>
        <v/>
      </c>
      <c r="BW43" s="112" t="str">
        <f aca="false">IF(BN43&gt;BM$7,
    "",
    VLOOKUP(BN43,BP$8:BV542,7,FALSE())
)</f>
        <v/>
      </c>
      <c r="BX43" s="113" t="str">
        <f aca="false">IF(BN43&gt;BM$7,
    "",
    VLOOKUP(BN43,BP$8:BV542,2,FALSE())
)</f>
        <v/>
      </c>
      <c r="BY43" s="113" t="str">
        <f aca="false">IF(BN43&gt;BM$7,
    "",
    VLOOKUP(BN43,BP$8:BV542,3,FALSE())
)</f>
        <v/>
      </c>
      <c r="BZ43" s="113" t="str">
        <f aca="false">IF(BN43&gt;BM$7,
    "",
    VLOOKUP(BN43,BP$8:BV542,4,FALSE())
)</f>
        <v/>
      </c>
      <c r="CA43" s="113" t="str">
        <f aca="false">IF(BN43&gt;BM$7,
    "",
    VLOOKUP(BN43,BP$8:BV542,5,FALSE())
)</f>
        <v/>
      </c>
      <c r="CB43" s="114" t="str">
        <f aca="false">IF(BN43&gt;BM$7,
    "",
    VLOOKUP(BN43,BP$8:BV542,6,FALSE())
)</f>
        <v/>
      </c>
      <c r="CC43" s="53"/>
    </row>
    <row r="44" customFormat="false" ht="15.75" hidden="false" customHeight="false" outlineLevel="0" collapsed="false">
      <c r="A44" s="5"/>
      <c r="B44" s="129"/>
      <c r="C44" s="55"/>
      <c r="D44" s="56"/>
      <c r="E44" s="123"/>
      <c r="F44" s="123"/>
      <c r="G44" s="58"/>
      <c r="H44" s="59"/>
      <c r="I44" s="59"/>
      <c r="J44" s="83"/>
      <c r="K44" s="83"/>
      <c r="L44" s="83"/>
      <c r="M44" s="61"/>
      <c r="N44" s="61"/>
      <c r="O44" s="61"/>
      <c r="P44" s="62"/>
      <c r="Q44" s="63"/>
      <c r="R44" s="83"/>
      <c r="S44" s="65"/>
      <c r="T44" s="66"/>
      <c r="U44" s="66" t="str">
        <f aca="false">IF(ISBLANK($C44),"",IF(G44=Constants!$B$2, TRUE(), IF(G44=Constants!$B$3, FALSE(), TRUE())))</f>
        <v/>
      </c>
      <c r="V44" s="66" t="str">
        <f aca="false">IF(ISBLANK($C44),"",IF(H44=Constants!$B$2, TRUE(), IF(H44=Constants!$B$3, FALSE(), TRUE())))</f>
        <v/>
      </c>
      <c r="W44" s="66" t="str">
        <f aca="false">IF(ISBLANK($C44),"",IF(I44=Constants!$B$2, TRUE(), IF(I44=Constants!$B$3, FALSE(), TRUE())))</f>
        <v/>
      </c>
      <c r="X44" s="66" t="str">
        <f aca="false">IF(ISBLANK($C44),"",IF(AND(ISNUMBER(J44),J44&gt;0),INT(J44),0))</f>
        <v/>
      </c>
      <c r="Y44" s="66" t="str">
        <f aca="false">IF(ISBLANK($C44),"",IF(K44=Constants!$B$2, TRUE(), IF(K44=Constants!$B$3, FALSE(), TRUE())))</f>
        <v/>
      </c>
      <c r="Z44" s="66" t="str">
        <f aca="false">IF(ISBLANK($C44),"",IF(AND(ISNUMBER(L44),L44&gt;0),INT(L44),0))</f>
        <v/>
      </c>
      <c r="AA44" s="68" t="str">
        <f aca="false">IF(ISBLANK($C44),"",IF(ISNUMBER(M44), M44, ""))</f>
        <v/>
      </c>
      <c r="AB44" s="68" t="str">
        <f aca="false">IF(ISBLANK($C44),"",IF(ISNUMBER(N44), N44, ""))</f>
        <v/>
      </c>
      <c r="AC44" s="68" t="str">
        <f aca="false">IF(ISBLANK($C44),"",IF(ISNUMBER(O44), O44, ""))</f>
        <v/>
      </c>
      <c r="AD44" s="69" t="str">
        <f aca="false">IF(ISBLANK($C44),"",IF(ISNUMBER(P44), P44, ""))</f>
        <v/>
      </c>
      <c r="AE44" s="69" t="str">
        <f aca="false">IF(ISBLANK($C44),"",IF(ISNUMBER(Q44), Q44, Constants!$B$13))</f>
        <v/>
      </c>
      <c r="AF44" s="66" t="str">
        <f aca="false">IF(ISBLANK($C44),"",IF(R44=Constants!$B$2, TRUE(), IF(R44=Constants!$B$3, FALSE(), FALSE())))</f>
        <v/>
      </c>
      <c r="AG44" s="66" t="str">
        <f aca="false">IF(ISBLANK(C44), "", IF(AF44, Constants!$B$4,IF(COUNTA(G44:P44)=0, Constants!$B$5, Constants!$B$7)))</f>
        <v/>
      </c>
      <c r="AH44" s="66" t="str">
        <f aca="false">IF(ISBLANK($C44), "",IF($AG44=Constants!$B$7,1,$AG44))</f>
        <v/>
      </c>
      <c r="AI44" s="66" t="str">
        <f aca="false">IF($AG44=Constants!$B$7,POWER(Constants!$B$11,X44)*POWER(Constants!$B$12,Z44),"")</f>
        <v/>
      </c>
      <c r="AJ44" s="66" t="str">
        <f aca="false">IF(AND($AG44=Constants!$B$7, U44, V44) ,IF(OR($AA44="",$AC44=""),"",MAX(0, $AC44-$AA44)),"")</f>
        <v/>
      </c>
      <c r="AK44" s="66" t="str">
        <f aca="false">IF(AND($AG44=Constants!$B$7, U44, V44),IF(OR($AA44="",$AC44=""),$AK$6,""),"")</f>
        <v/>
      </c>
      <c r="AL44" s="66" t="str">
        <f aca="false">IF($AG44=Constants!$B$7,IF(AND(U44,V44,W44,Y44),IF($AJ44="",0,IF($AJ$6=0,Constants!$B$9,Constants!$B$9*AJ44/$AJ$6)), 0),"")</f>
        <v/>
      </c>
      <c r="AM44" s="66" t="str">
        <f aca="false">IF(AL44&lt;&gt;"", AL44*AI44,"")</f>
        <v/>
      </c>
      <c r="AN44" s="66" t="str">
        <f aca="false">IF(AND($AG44=Constants!$B$7, U44, V44) ,IF($AB44="", "", IF(OR($AC44="",$AC44=0),"",MAX(0,1-ABS($AC44-$AB44)/$AC44))),"")</f>
        <v/>
      </c>
      <c r="AO44" s="66" t="str">
        <f aca="false">IF(AND($AG44=Constants!$B$7, U44, V44),IF(AND($AA44&lt;&gt;"",$AB44&lt;&gt;"",$AC44=0),$AO$6,""),"")</f>
        <v/>
      </c>
      <c r="AP44" s="66" t="str">
        <f aca="false">IF($AG44=Constants!$B$7 ,IF(AND(U44,V44,W44,Y44,ISNUMBER(AB44)),IF($AN44="",0,IF($AN$6=0,Constants!$B$10,Constants!$B$10*AN44/$AN$6)), 0),"")</f>
        <v/>
      </c>
      <c r="AQ44" s="66" t="str">
        <f aca="false">IF(AP44&lt;&gt;"", AP44*AI44,"")</f>
        <v/>
      </c>
      <c r="AR44" s="66" t="str">
        <f aca="false">IF($AG44=Constants!$B$7,IF($AD44="",0,IF($AR$6=0,Constants!$B$8,Constants!$B$8*AD44/$AR$6)),"")</f>
        <v/>
      </c>
      <c r="AS44" s="66" t="str">
        <f aca="false">IF($AG44&lt;&gt;Constants!$B$7,$AG44,IF(AK44&amp;AO44&lt;&gt;"",Constants!$B$14,AM44+AQ44+AR44))</f>
        <v/>
      </c>
      <c r="AT44" s="66" t="str">
        <f aca="false">IF(ISBLANK($C44),"",IF($AG44=Constants!$B$7,IF(ISNUMBER(AS44),RANK(AS44,$AS$8:$AS$507),Constants!$B$14),$AG44))</f>
        <v/>
      </c>
      <c r="AU44" s="66" t="str">
        <f aca="false">IF(ISBLANK($C44), "",AM44)</f>
        <v/>
      </c>
      <c r="AV44" s="66" t="str">
        <f aca="false">IF(ISBLANK($C44),"",IF($AG44=Constants!$B$7,RANK(AU44,AU$8:AU$507),$AG44))</f>
        <v/>
      </c>
      <c r="AW44" s="66" t="str">
        <f aca="false">IF(ISBLANK($C44), "",AR44)</f>
        <v/>
      </c>
      <c r="AX44" s="66" t="str">
        <f aca="false">IF(ISBLANK($C44),"",IF($AG44=Constants!$B$7,RANK(AW44,AW$8:AW$507),$AG44))</f>
        <v/>
      </c>
      <c r="AY44" s="66" t="str">
        <f aca="false">IF(ISBLANK($C44), "",AE44)</f>
        <v/>
      </c>
      <c r="AZ44" s="66" t="str">
        <f aca="false">IF(ISBLANK($C44),"",
IF($AG44=Constants!$B$7,
  IF(ISNUMBER(AT44),
    COUNTIFS($AT$8:$AT$507,"&lt;"&amp;$AT44)
    + COUNTIFS($AT$8:$AT$507,$AT44,$AV$8:$AV$507,"&lt;"&amp;$AV44)
    + COUNTIFS($AT$8:$AT$507,$AT44,$AV$8:$AV$507,$AV44,$AX$8:$AX$507,"&lt;"&amp;$AX44)
    + COUNTIFS($AT$8:$AT$507,$AT44,$AV$8:$AV$507,$AV44,$AX$8:$AX$507,$AX44,$AY$8:$AY$507,"&lt;"&amp;$AY44)
    + 1,
  Constants!$B$14),
$AG44))</f>
        <v/>
      </c>
      <c r="BA44" s="66" t="str">
        <f aca="false">IF(ISBLANK(C44),"",IF($AG44=Constants!$B$7, IF(ISNUMBER(AT44),AT44-AZ44,Constants!$B$14),$AG44))</f>
        <v/>
      </c>
      <c r="BB44" s="70"/>
      <c r="BC44" s="84" t="str">
        <f aca="false">IF(ISBLANK($C44),"",TRIM(AK44&amp;" "&amp;AO44))</f>
        <v/>
      </c>
      <c r="BD44" s="72" t="str">
        <f aca="false">IF(ISBLANK($C44),"",IF($AG44&lt;&gt;Constants!$B$7,$AG44,AR44))</f>
        <v/>
      </c>
      <c r="BE44" s="72" t="str">
        <f aca="false">IF(ISBLANK($C44),"",IF($AG44&lt;&gt;Constants!$B$7,$AG44,AM44))</f>
        <v/>
      </c>
      <c r="BF44" s="72" t="str">
        <f aca="false">IF(ISBLANK($C44),"",IF($AG44&lt;&gt;Constants!$B$7,$AG44,AQ44))</f>
        <v/>
      </c>
      <c r="BG44" s="73" t="str">
        <f aca="false">IF(ISBLANK($C44),"",IF($AG44&lt;&gt;Constants!$B$7, $AG44 ,AS44))</f>
        <v/>
      </c>
      <c r="BH44" s="74" t="str">
        <f aca="false">IF(ISBLANK($C44),"",IF($AG44&lt;&gt;Constants!$B$7, $AG44 ,AH44))</f>
        <v/>
      </c>
      <c r="BI44" s="72" t="str">
        <f aca="false">IF(ISBLANK(C44),"",BA44)</f>
        <v/>
      </c>
      <c r="BJ44" s="72" t="str">
        <f aca="false">IF(ISBLANK(C44),"",AZ44)</f>
        <v/>
      </c>
      <c r="BK44" s="75" t="str">
        <f aca="false">IF(ISBLANK(C44),"",IFERROR(_xlfn.SWITCH(BJ44, Constants!$B$4, COUNTA($C$8:$C543)+2, Constants!$B$5, COUNTA($C$8:$C543)+1, Constants!$B$6, COUNTA($C$8:$C543)),BJ44))</f>
        <v/>
      </c>
      <c r="BL44" s="5"/>
      <c r="BM44" s="76" t="n">
        <f aca="false">IF(OR(ISNUMBER(BJ44),BJ44="DQ",BJ44="P",BJ44="NS"),
    1,
    0
)</f>
        <v>0</v>
      </c>
      <c r="BN44" s="76" t="n">
        <v>37</v>
      </c>
      <c r="BO44" s="76" t="str">
        <f aca="false">IF(ISBLANK($C44),"",IF(ISNUMBER(BK44),BK44+ROW($B44)/1000,""))</f>
        <v/>
      </c>
      <c r="BP44" s="76" t="str">
        <f aca="false">IF(ISNUMBER(BO44), RANK(BO44,BO$8:BO$507,1), "")</f>
        <v/>
      </c>
      <c r="BQ44" s="76" t="str">
        <f aca="false">IF(ISBLANK($C44),
    "",
    $B44
)</f>
        <v/>
      </c>
      <c r="BR44" s="76" t="str">
        <f aca="false">IF(ISBLANK($C44),
    "",
    $C44
)</f>
        <v/>
      </c>
      <c r="BS44" s="76" t="str">
        <f aca="false">IF(ISBLANK($C44),
    "",
    $D44
)</f>
        <v/>
      </c>
      <c r="BT44" s="77" t="str">
        <f aca="false">BH44</f>
        <v/>
      </c>
      <c r="BU44" s="78" t="str">
        <f aca="false">BG44</f>
        <v/>
      </c>
      <c r="BV44" s="76" t="str">
        <f aca="false">IF(ISBLANK($C44),
    "",
    BJ44
)</f>
        <v/>
      </c>
      <c r="BW44" s="79" t="str">
        <f aca="false">IF(BN44&gt;BM$7,
    "",
    VLOOKUP(BN44,BP$8:BV543,7,FALSE())
)</f>
        <v/>
      </c>
      <c r="BX44" s="80" t="str">
        <f aca="false">IF(BN44&gt;BM$7,
    "",
    VLOOKUP(BN44,BP$8:BV543,2,FALSE())
)</f>
        <v/>
      </c>
      <c r="BY44" s="80" t="str">
        <f aca="false">IF(BN44&gt;BM$7,
    "",
    VLOOKUP(BN44,BP$8:BV543,3,FALSE())
)</f>
        <v/>
      </c>
      <c r="BZ44" s="80" t="str">
        <f aca="false">IF(BN44&gt;BM$7,
    "",
    VLOOKUP(BN44,BP$8:BV543,4,FALSE())
)</f>
        <v/>
      </c>
      <c r="CA44" s="80" t="str">
        <f aca="false">IF(BN44&gt;BM$7,
    "",
    VLOOKUP(BN44,BP$8:BV543,5,FALSE())
)</f>
        <v/>
      </c>
      <c r="CB44" s="81" t="str">
        <f aca="false">IF(BN44&gt;BM$7,
    "",
    VLOOKUP(BN44,BP$8:BV543,6,FALSE())
)</f>
        <v/>
      </c>
      <c r="CC44" s="53"/>
    </row>
    <row r="45" customFormat="false" ht="15.75" hidden="false" customHeight="false" outlineLevel="0" collapsed="false">
      <c r="A45" s="5"/>
      <c r="B45" s="129"/>
      <c r="C45" s="55"/>
      <c r="D45" s="56"/>
      <c r="E45" s="123"/>
      <c r="F45" s="123"/>
      <c r="G45" s="58"/>
      <c r="H45" s="59"/>
      <c r="I45" s="59"/>
      <c r="J45" s="83"/>
      <c r="K45" s="83"/>
      <c r="L45" s="83"/>
      <c r="M45" s="61"/>
      <c r="N45" s="61"/>
      <c r="O45" s="61"/>
      <c r="P45" s="62"/>
      <c r="Q45" s="63"/>
      <c r="R45" s="83"/>
      <c r="S45" s="65"/>
      <c r="T45" s="66"/>
      <c r="U45" s="66" t="str">
        <f aca="false">IF(ISBLANK($C45),"",IF(G45=Constants!$B$2, TRUE(), IF(G45=Constants!$B$3, FALSE(), TRUE())))</f>
        <v/>
      </c>
      <c r="V45" s="66" t="str">
        <f aca="false">IF(ISBLANK($C45),"",IF(H45=Constants!$B$2, TRUE(), IF(H45=Constants!$B$3, FALSE(), TRUE())))</f>
        <v/>
      </c>
      <c r="W45" s="66" t="str">
        <f aca="false">IF(ISBLANK($C45),"",IF(I45=Constants!$B$2, TRUE(), IF(I45=Constants!$B$3, FALSE(), TRUE())))</f>
        <v/>
      </c>
      <c r="X45" s="66" t="str">
        <f aca="false">IF(ISBLANK($C45),"",IF(AND(ISNUMBER(J45),J45&gt;0),INT(J45),0))</f>
        <v/>
      </c>
      <c r="Y45" s="66" t="str">
        <f aca="false">IF(ISBLANK($C45),"",IF(K45=Constants!$B$2, TRUE(), IF(K45=Constants!$B$3, FALSE(), TRUE())))</f>
        <v/>
      </c>
      <c r="Z45" s="66" t="str">
        <f aca="false">IF(ISBLANK($C45),"",IF(AND(ISNUMBER(L45),L45&gt;0),INT(L45),0))</f>
        <v/>
      </c>
      <c r="AA45" s="68" t="str">
        <f aca="false">IF(ISBLANK($C45),"",IF(ISNUMBER(M45), M45, ""))</f>
        <v/>
      </c>
      <c r="AB45" s="68" t="str">
        <f aca="false">IF(ISBLANK($C45),"",IF(ISNUMBER(N45), N45, ""))</f>
        <v/>
      </c>
      <c r="AC45" s="68" t="str">
        <f aca="false">IF(ISBLANK($C45),"",IF(ISNUMBER(O45), O45, ""))</f>
        <v/>
      </c>
      <c r="AD45" s="69" t="str">
        <f aca="false">IF(ISBLANK($C45),"",IF(ISNUMBER(P45), P45, ""))</f>
        <v/>
      </c>
      <c r="AE45" s="69" t="str">
        <f aca="false">IF(ISBLANK($C45),"",IF(ISNUMBER(Q45), Q45, Constants!$B$13))</f>
        <v/>
      </c>
      <c r="AF45" s="66" t="str">
        <f aca="false">IF(ISBLANK($C45),"",IF(R45=Constants!$B$2, TRUE(), IF(R45=Constants!$B$3, FALSE(), FALSE())))</f>
        <v/>
      </c>
      <c r="AG45" s="66" t="str">
        <f aca="false">IF(ISBLANK(C45), "", IF(AF45, Constants!$B$4,IF(COUNTA(G45:P45)=0, Constants!$B$5, Constants!$B$7)))</f>
        <v/>
      </c>
      <c r="AH45" s="66" t="str">
        <f aca="false">IF(ISBLANK($C45), "",IF($AG45=Constants!$B$7,1,$AG45))</f>
        <v/>
      </c>
      <c r="AI45" s="66" t="str">
        <f aca="false">IF($AG45=Constants!$B$7,POWER(Constants!$B$11,X45)*POWER(Constants!$B$12,Z45),"")</f>
        <v/>
      </c>
      <c r="AJ45" s="66" t="str">
        <f aca="false">IF(AND($AG45=Constants!$B$7, U45, V45) ,IF(OR($AA45="",$AC45=""),"",MAX(0, $AC45-$AA45)),"")</f>
        <v/>
      </c>
      <c r="AK45" s="66" t="str">
        <f aca="false">IF(AND($AG45=Constants!$B$7, U45, V45),IF(OR($AA45="",$AC45=""),$AK$6,""),"")</f>
        <v/>
      </c>
      <c r="AL45" s="66" t="str">
        <f aca="false">IF($AG45=Constants!$B$7,IF(AND(U45,V45,W45,Y45),IF($AJ45="",0,IF($AJ$6=0,Constants!$B$9,Constants!$B$9*AJ45/$AJ$6)), 0),"")</f>
        <v/>
      </c>
      <c r="AM45" s="66" t="str">
        <f aca="false">IF(AL45&lt;&gt;"", AL45*AI45,"")</f>
        <v/>
      </c>
      <c r="AN45" s="66" t="str">
        <f aca="false">IF(AND($AG45=Constants!$B$7, U45, V45) ,IF($AB45="", "", IF(OR($AC45="",$AC45=0),"",MAX(0,1-ABS($AC45-$AB45)/$AC45))),"")</f>
        <v/>
      </c>
      <c r="AO45" s="66" t="str">
        <f aca="false">IF(AND($AG45=Constants!$B$7, U45, V45),IF(AND($AA45&lt;&gt;"",$AB45&lt;&gt;"",$AC45=0),$AO$6,""),"")</f>
        <v/>
      </c>
      <c r="AP45" s="66" t="str">
        <f aca="false">IF($AG45=Constants!$B$7 ,IF(AND(U45,V45,W45,Y45,ISNUMBER(AB45)),IF($AN45="",0,IF($AN$6=0,Constants!$B$10,Constants!$B$10*AN45/$AN$6)), 0),"")</f>
        <v/>
      </c>
      <c r="AQ45" s="66" t="str">
        <f aca="false">IF(AP45&lt;&gt;"", AP45*AI45,"")</f>
        <v/>
      </c>
      <c r="AR45" s="66" t="str">
        <f aca="false">IF($AG45=Constants!$B$7,IF($AD45="",0,IF($AR$6=0,Constants!$B$8,Constants!$B$8*AD45/$AR$6)),"")</f>
        <v/>
      </c>
      <c r="AS45" s="66" t="str">
        <f aca="false">IF($AG45&lt;&gt;Constants!$B$7,$AG45,IF(AK45&amp;AO45&lt;&gt;"",Constants!$B$14,AM45+AQ45+AR45))</f>
        <v/>
      </c>
      <c r="AT45" s="66" t="str">
        <f aca="false">IF(ISBLANK($C45),"",IF($AG45=Constants!$B$7,IF(ISNUMBER(AS45),RANK(AS45,$AS$8:$AS$507),Constants!$B$14),$AG45))</f>
        <v/>
      </c>
      <c r="AU45" s="66" t="str">
        <f aca="false">IF(ISBLANK($C45), "",AM45)</f>
        <v/>
      </c>
      <c r="AV45" s="66" t="str">
        <f aca="false">IF(ISBLANK($C45),"",IF($AG45=Constants!$B$7,RANK(AU45,AU$8:AU$507),$AG45))</f>
        <v/>
      </c>
      <c r="AW45" s="66" t="str">
        <f aca="false">IF(ISBLANK($C45), "",AR45)</f>
        <v/>
      </c>
      <c r="AX45" s="66" t="str">
        <f aca="false">IF(ISBLANK($C45),"",IF($AG45=Constants!$B$7,RANK(AW45,AW$8:AW$507),$AG45))</f>
        <v/>
      </c>
      <c r="AY45" s="66" t="str">
        <f aca="false">IF(ISBLANK($C45), "",AE45)</f>
        <v/>
      </c>
      <c r="AZ45" s="66" t="str">
        <f aca="false">IF(ISBLANK($C45),"",
IF($AG45=Constants!$B$7,
  IF(ISNUMBER(AT45),
    COUNTIFS($AT$8:$AT$507,"&lt;"&amp;$AT45)
    + COUNTIFS($AT$8:$AT$507,$AT45,$AV$8:$AV$507,"&lt;"&amp;$AV45)
    + COUNTIFS($AT$8:$AT$507,$AT45,$AV$8:$AV$507,$AV45,$AX$8:$AX$507,"&lt;"&amp;$AX45)
    + COUNTIFS($AT$8:$AT$507,$AT45,$AV$8:$AV$507,$AV45,$AX$8:$AX$507,$AX45,$AY$8:$AY$507,"&lt;"&amp;$AY45)
    + 1,
  Constants!$B$14),
$AG45))</f>
        <v/>
      </c>
      <c r="BA45" s="66" t="str">
        <f aca="false">IF(ISBLANK(C45),"",IF($AG45=Constants!$B$7, IF(ISNUMBER(AT45),AT45-AZ45,Constants!$B$14),$AG45))</f>
        <v/>
      </c>
      <c r="BB45" s="70"/>
      <c r="BC45" s="84" t="str">
        <f aca="false">IF(ISBLANK($C45),"",TRIM(AK45&amp;" "&amp;AO45))</f>
        <v/>
      </c>
      <c r="BD45" s="72" t="str">
        <f aca="false">IF(ISBLANK($C45),"",IF($AG45&lt;&gt;Constants!$B$7,$AG45,AR45))</f>
        <v/>
      </c>
      <c r="BE45" s="72" t="str">
        <f aca="false">IF(ISBLANK($C45),"",IF($AG45&lt;&gt;Constants!$B$7,$AG45,AM45))</f>
        <v/>
      </c>
      <c r="BF45" s="72" t="str">
        <f aca="false">IF(ISBLANK($C45),"",IF($AG45&lt;&gt;Constants!$B$7,$AG45,AQ45))</f>
        <v/>
      </c>
      <c r="BG45" s="73" t="str">
        <f aca="false">IF(ISBLANK($C45),"",IF($AG45&lt;&gt;Constants!$B$7, $AG45 ,AS45))</f>
        <v/>
      </c>
      <c r="BH45" s="74" t="str">
        <f aca="false">IF(ISBLANK($C45),"",IF($AG45&lt;&gt;Constants!$B$7, $AG45 ,AH45))</f>
        <v/>
      </c>
      <c r="BI45" s="72" t="str">
        <f aca="false">IF(ISBLANK(C45),"",BA45)</f>
        <v/>
      </c>
      <c r="BJ45" s="72" t="str">
        <f aca="false">IF(ISBLANK(C45),"",AZ45)</f>
        <v/>
      </c>
      <c r="BK45" s="75" t="str">
        <f aca="false">IF(ISBLANK(C45),"",IFERROR(_xlfn.SWITCH(BJ45, Constants!$B$4, COUNTA($C$8:$C544)+2, Constants!$B$5, COUNTA($C$8:$C544)+1, Constants!$B$6, COUNTA($C$8:$C544)),BJ45))</f>
        <v/>
      </c>
      <c r="BL45" s="5"/>
      <c r="BM45" s="76" t="n">
        <f aca="false">IF(OR(ISNUMBER(BJ45),BJ45="DQ",BJ45="P",BJ45="NS"),
    1,
    0
)</f>
        <v>0</v>
      </c>
      <c r="BN45" s="76" t="n">
        <v>38</v>
      </c>
      <c r="BO45" s="76" t="str">
        <f aca="false">IF(ISBLANK($C45),"",IF(ISNUMBER(BK45),BK45+ROW($B45)/1000,""))</f>
        <v/>
      </c>
      <c r="BP45" s="76" t="str">
        <f aca="false">IF(ISNUMBER(BO45), RANK(BO45,BO$8:BO$507,1), "")</f>
        <v/>
      </c>
      <c r="BQ45" s="76" t="str">
        <f aca="false">IF(ISBLANK($C45),
    "",
    $B45
)</f>
        <v/>
      </c>
      <c r="BR45" s="76" t="str">
        <f aca="false">IF(ISBLANK($C45),
    "",
    $C45
)</f>
        <v/>
      </c>
      <c r="BS45" s="76" t="str">
        <f aca="false">IF(ISBLANK($C45),
    "",
    $D45
)</f>
        <v/>
      </c>
      <c r="BT45" s="77" t="str">
        <f aca="false">BH45</f>
        <v/>
      </c>
      <c r="BU45" s="78" t="str">
        <f aca="false">BG45</f>
        <v/>
      </c>
      <c r="BV45" s="76" t="str">
        <f aca="false">IF(ISBLANK($C45),
    "",
    BJ45
)</f>
        <v/>
      </c>
      <c r="BW45" s="79" t="str">
        <f aca="false">IF(BN45&gt;BM$7,
    "",
    VLOOKUP(BN45,BP$8:BV544,7,FALSE())
)</f>
        <v/>
      </c>
      <c r="BX45" s="80" t="str">
        <f aca="false">IF(BN45&gt;BM$7,
    "",
    VLOOKUP(BN45,BP$8:BV544,2,FALSE())
)</f>
        <v/>
      </c>
      <c r="BY45" s="80" t="str">
        <f aca="false">IF(BN45&gt;BM$7,
    "",
    VLOOKUP(BN45,BP$8:BV544,3,FALSE())
)</f>
        <v/>
      </c>
      <c r="BZ45" s="80" t="str">
        <f aca="false">IF(BN45&gt;BM$7,
    "",
    VLOOKUP(BN45,BP$8:BV544,4,FALSE())
)</f>
        <v/>
      </c>
      <c r="CA45" s="80" t="str">
        <f aca="false">IF(BN45&gt;BM$7,
    "",
    VLOOKUP(BN45,BP$8:BV544,5,FALSE())
)</f>
        <v/>
      </c>
      <c r="CB45" s="81" t="str">
        <f aca="false">IF(BN45&gt;BM$7,
    "",
    VLOOKUP(BN45,BP$8:BV544,6,FALSE())
)</f>
        <v/>
      </c>
      <c r="CC45" s="53"/>
    </row>
    <row r="46" customFormat="false" ht="15.75" hidden="false" customHeight="false" outlineLevel="0" collapsed="false">
      <c r="A46" s="5"/>
      <c r="B46" s="129"/>
      <c r="C46" s="55"/>
      <c r="D46" s="56"/>
      <c r="E46" s="123"/>
      <c r="F46" s="123"/>
      <c r="G46" s="58"/>
      <c r="H46" s="59"/>
      <c r="I46" s="59"/>
      <c r="J46" s="83"/>
      <c r="K46" s="83"/>
      <c r="L46" s="83"/>
      <c r="M46" s="61"/>
      <c r="N46" s="61"/>
      <c r="O46" s="61"/>
      <c r="P46" s="62"/>
      <c r="Q46" s="63"/>
      <c r="R46" s="83"/>
      <c r="S46" s="65"/>
      <c r="T46" s="66"/>
      <c r="U46" s="66" t="str">
        <f aca="false">IF(ISBLANK($C46),"",IF(G46=Constants!$B$2, TRUE(), IF(G46=Constants!$B$3, FALSE(), TRUE())))</f>
        <v/>
      </c>
      <c r="V46" s="66" t="str">
        <f aca="false">IF(ISBLANK($C46),"",IF(H46=Constants!$B$2, TRUE(), IF(H46=Constants!$B$3, FALSE(), TRUE())))</f>
        <v/>
      </c>
      <c r="W46" s="66" t="str">
        <f aca="false">IF(ISBLANK($C46),"",IF(I46=Constants!$B$2, TRUE(), IF(I46=Constants!$B$3, FALSE(), TRUE())))</f>
        <v/>
      </c>
      <c r="X46" s="66" t="str">
        <f aca="false">IF(ISBLANK($C46),"",IF(AND(ISNUMBER(J46),J46&gt;0),INT(J46),0))</f>
        <v/>
      </c>
      <c r="Y46" s="66" t="str">
        <f aca="false">IF(ISBLANK($C46),"",IF(K46=Constants!$B$2, TRUE(), IF(K46=Constants!$B$3, FALSE(), TRUE())))</f>
        <v/>
      </c>
      <c r="Z46" s="66" t="str">
        <f aca="false">IF(ISBLANK($C46),"",IF(AND(ISNUMBER(L46),L46&gt;0),INT(L46),0))</f>
        <v/>
      </c>
      <c r="AA46" s="68" t="str">
        <f aca="false">IF(ISBLANK($C46),"",IF(ISNUMBER(M46), M46, ""))</f>
        <v/>
      </c>
      <c r="AB46" s="68" t="str">
        <f aca="false">IF(ISBLANK($C46),"",IF(ISNUMBER(N46), N46, ""))</f>
        <v/>
      </c>
      <c r="AC46" s="68" t="str">
        <f aca="false">IF(ISBLANK($C46),"",IF(ISNUMBER(O46), O46, ""))</f>
        <v/>
      </c>
      <c r="AD46" s="69" t="str">
        <f aca="false">IF(ISBLANK($C46),"",IF(ISNUMBER(P46), P46, ""))</f>
        <v/>
      </c>
      <c r="AE46" s="69" t="str">
        <f aca="false">IF(ISBLANK($C46),"",IF(ISNUMBER(Q46), Q46, Constants!$B$13))</f>
        <v/>
      </c>
      <c r="AF46" s="66" t="str">
        <f aca="false">IF(ISBLANK($C46),"",IF(R46=Constants!$B$2, TRUE(), IF(R46=Constants!$B$3, FALSE(), FALSE())))</f>
        <v/>
      </c>
      <c r="AG46" s="66" t="str">
        <f aca="false">IF(ISBLANK(C46), "", IF(AF46, Constants!$B$4,IF(COUNTA(G46:P46)=0, Constants!$B$5, Constants!$B$7)))</f>
        <v/>
      </c>
      <c r="AH46" s="66" t="str">
        <f aca="false">IF(ISBLANK($C46), "",IF($AG46=Constants!$B$7,1,$AG46))</f>
        <v/>
      </c>
      <c r="AI46" s="66" t="str">
        <f aca="false">IF($AG46=Constants!$B$7,POWER(Constants!$B$11,X46)*POWER(Constants!$B$12,Z46),"")</f>
        <v/>
      </c>
      <c r="AJ46" s="66" t="str">
        <f aca="false">IF(AND($AG46=Constants!$B$7, U46, V46) ,IF(OR($AA46="",$AC46=""),"",MAX(0, $AC46-$AA46)),"")</f>
        <v/>
      </c>
      <c r="AK46" s="66" t="str">
        <f aca="false">IF(AND($AG46=Constants!$B$7, U46, V46),IF(OR($AA46="",$AC46=""),$AK$6,""),"")</f>
        <v/>
      </c>
      <c r="AL46" s="66" t="str">
        <f aca="false">IF($AG46=Constants!$B$7,IF(AND(U46,V46,W46,Y46),IF($AJ46="",0,IF($AJ$6=0,Constants!$B$9,Constants!$B$9*AJ46/$AJ$6)), 0),"")</f>
        <v/>
      </c>
      <c r="AM46" s="66" t="str">
        <f aca="false">IF(AL46&lt;&gt;"", AL46*AI46,"")</f>
        <v/>
      </c>
      <c r="AN46" s="66" t="str">
        <f aca="false">IF(AND($AG46=Constants!$B$7, U46, V46) ,IF($AB46="", "", IF(OR($AC46="",$AC46=0),"",MAX(0,1-ABS($AC46-$AB46)/$AC46))),"")</f>
        <v/>
      </c>
      <c r="AO46" s="66" t="str">
        <f aca="false">IF(AND($AG46=Constants!$B$7, U46, V46),IF(AND($AA46&lt;&gt;"",$AB46&lt;&gt;"",$AC46=0),$AO$6,""),"")</f>
        <v/>
      </c>
      <c r="AP46" s="66" t="str">
        <f aca="false">IF($AG46=Constants!$B$7 ,IF(AND(U46,V46,W46,Y46,ISNUMBER(AB46)),IF($AN46="",0,IF($AN$6=0,Constants!$B$10,Constants!$B$10*AN46/$AN$6)), 0),"")</f>
        <v/>
      </c>
      <c r="AQ46" s="66" t="str">
        <f aca="false">IF(AP46&lt;&gt;"", AP46*AI46,"")</f>
        <v/>
      </c>
      <c r="AR46" s="66" t="str">
        <f aca="false">IF($AG46=Constants!$B$7,IF($AD46="",0,IF($AR$6=0,Constants!$B$8,Constants!$B$8*AD46/$AR$6)),"")</f>
        <v/>
      </c>
      <c r="AS46" s="66" t="str">
        <f aca="false">IF($AG46&lt;&gt;Constants!$B$7,$AG46,IF(AK46&amp;AO46&lt;&gt;"",Constants!$B$14,AM46+AQ46+AR46))</f>
        <v/>
      </c>
      <c r="AT46" s="66" t="str">
        <f aca="false">IF(ISBLANK($C46),"",IF($AG46=Constants!$B$7,IF(ISNUMBER(AS46),RANK(AS46,$AS$8:$AS$507),Constants!$B$14),$AG46))</f>
        <v/>
      </c>
      <c r="AU46" s="66" t="str">
        <f aca="false">IF(ISBLANK($C46), "",AM46)</f>
        <v/>
      </c>
      <c r="AV46" s="66" t="str">
        <f aca="false">IF(ISBLANK($C46),"",IF($AG46=Constants!$B$7,RANK(AU46,AU$8:AU$507),$AG46))</f>
        <v/>
      </c>
      <c r="AW46" s="66" t="str">
        <f aca="false">IF(ISBLANK($C46), "",AR46)</f>
        <v/>
      </c>
      <c r="AX46" s="66" t="str">
        <f aca="false">IF(ISBLANK($C46),"",IF($AG46=Constants!$B$7,RANK(AW46,AW$8:AW$507),$AG46))</f>
        <v/>
      </c>
      <c r="AY46" s="66" t="str">
        <f aca="false">IF(ISBLANK($C46), "",AE46)</f>
        <v/>
      </c>
      <c r="AZ46" s="66" t="str">
        <f aca="false">IF(ISBLANK($C46),"",
IF($AG46=Constants!$B$7,
  IF(ISNUMBER(AT46),
    COUNTIFS($AT$8:$AT$507,"&lt;"&amp;$AT46)
    + COUNTIFS($AT$8:$AT$507,$AT46,$AV$8:$AV$507,"&lt;"&amp;$AV46)
    + COUNTIFS($AT$8:$AT$507,$AT46,$AV$8:$AV$507,$AV46,$AX$8:$AX$507,"&lt;"&amp;$AX46)
    + COUNTIFS($AT$8:$AT$507,$AT46,$AV$8:$AV$507,$AV46,$AX$8:$AX$507,$AX46,$AY$8:$AY$507,"&lt;"&amp;$AY46)
    + 1,
  Constants!$B$14),
$AG46))</f>
        <v/>
      </c>
      <c r="BA46" s="66" t="str">
        <f aca="false">IF(ISBLANK(C46),"",IF($AG46=Constants!$B$7, IF(ISNUMBER(AT46),AT46-AZ46,Constants!$B$14),$AG46))</f>
        <v/>
      </c>
      <c r="BB46" s="70"/>
      <c r="BC46" s="84" t="str">
        <f aca="false">IF(ISBLANK($C46),"",TRIM(AK46&amp;" "&amp;AO46))</f>
        <v/>
      </c>
      <c r="BD46" s="72" t="str">
        <f aca="false">IF(ISBLANK($C46),"",IF($AG46&lt;&gt;Constants!$B$7,$AG46,AR46))</f>
        <v/>
      </c>
      <c r="BE46" s="72" t="str">
        <f aca="false">IF(ISBLANK($C46),"",IF($AG46&lt;&gt;Constants!$B$7,$AG46,AM46))</f>
        <v/>
      </c>
      <c r="BF46" s="72" t="str">
        <f aca="false">IF(ISBLANK($C46),"",IF($AG46&lt;&gt;Constants!$B$7,$AG46,AQ46))</f>
        <v/>
      </c>
      <c r="BG46" s="73" t="str">
        <f aca="false">IF(ISBLANK($C46),"",IF($AG46&lt;&gt;Constants!$B$7, $AG46 ,AS46))</f>
        <v/>
      </c>
      <c r="BH46" s="74" t="str">
        <f aca="false">IF(ISBLANK($C46),"",IF($AG46&lt;&gt;Constants!$B$7, $AG46 ,AH46))</f>
        <v/>
      </c>
      <c r="BI46" s="72" t="str">
        <f aca="false">IF(ISBLANK(C46),"",BA46)</f>
        <v/>
      </c>
      <c r="BJ46" s="72" t="str">
        <f aca="false">IF(ISBLANK(C46),"",AZ46)</f>
        <v/>
      </c>
      <c r="BK46" s="75" t="str">
        <f aca="false">IF(ISBLANK(C46),"",IFERROR(_xlfn.SWITCH(BJ46, Constants!$B$4, COUNTA($C$8:$C545)+2, Constants!$B$5, COUNTA($C$8:$C545)+1, Constants!$B$6, COUNTA($C$8:$C545)),BJ46))</f>
        <v/>
      </c>
      <c r="BL46" s="5"/>
      <c r="BM46" s="76" t="n">
        <f aca="false">IF(OR(ISNUMBER(BJ46),BJ46="DQ",BJ46="P",BJ46="NS"),
    1,
    0
)</f>
        <v>0</v>
      </c>
      <c r="BN46" s="76" t="n">
        <v>39</v>
      </c>
      <c r="BO46" s="76" t="str">
        <f aca="false">IF(ISBLANK($C46),"",IF(ISNUMBER(BK46),BK46+ROW($B46)/1000,""))</f>
        <v/>
      </c>
      <c r="BP46" s="76" t="str">
        <f aca="false">IF(ISNUMBER(BO46), RANK(BO46,BO$8:BO$507,1), "")</f>
        <v/>
      </c>
      <c r="BQ46" s="76" t="str">
        <f aca="false">IF(ISBLANK($C46),
    "",
    $B46
)</f>
        <v/>
      </c>
      <c r="BR46" s="76" t="str">
        <f aca="false">IF(ISBLANK($C46),
    "",
    $C46
)</f>
        <v/>
      </c>
      <c r="BS46" s="76" t="str">
        <f aca="false">IF(ISBLANK($C46),
    "",
    $D46
)</f>
        <v/>
      </c>
      <c r="BT46" s="77" t="str">
        <f aca="false">BH46</f>
        <v/>
      </c>
      <c r="BU46" s="78" t="str">
        <f aca="false">BG46</f>
        <v/>
      </c>
      <c r="BV46" s="76" t="str">
        <f aca="false">IF(ISBLANK($C46),
    "",
    BJ46
)</f>
        <v/>
      </c>
      <c r="BW46" s="79" t="str">
        <f aca="false">IF(BN46&gt;BM$7,
    "",
    VLOOKUP(BN46,BP$8:BV545,7,FALSE())
)</f>
        <v/>
      </c>
      <c r="BX46" s="80" t="str">
        <f aca="false">IF(BN46&gt;BM$7,
    "",
    VLOOKUP(BN46,BP$8:BV545,2,FALSE())
)</f>
        <v/>
      </c>
      <c r="BY46" s="80" t="str">
        <f aca="false">IF(BN46&gt;BM$7,
    "",
    VLOOKUP(BN46,BP$8:BV545,3,FALSE())
)</f>
        <v/>
      </c>
      <c r="BZ46" s="80" t="str">
        <f aca="false">IF(BN46&gt;BM$7,
    "",
    VLOOKUP(BN46,BP$8:BV545,4,FALSE())
)</f>
        <v/>
      </c>
      <c r="CA46" s="80" t="str">
        <f aca="false">IF(BN46&gt;BM$7,
    "",
    VLOOKUP(BN46,BP$8:BV545,5,FALSE())
)</f>
        <v/>
      </c>
      <c r="CB46" s="81" t="str">
        <f aca="false">IF(BN46&gt;BM$7,
    "",
    VLOOKUP(BN46,BP$8:BV545,6,FALSE())
)</f>
        <v/>
      </c>
      <c r="CC46" s="53"/>
    </row>
    <row r="47" customFormat="false" ht="15.75" hidden="false" customHeight="false" outlineLevel="0" collapsed="false">
      <c r="A47" s="5"/>
      <c r="B47" s="125"/>
      <c r="C47" s="126"/>
      <c r="D47" s="115"/>
      <c r="E47" s="119"/>
      <c r="F47" s="119"/>
      <c r="G47" s="91"/>
      <c r="H47" s="92"/>
      <c r="I47" s="92"/>
      <c r="J47" s="128"/>
      <c r="K47" s="128"/>
      <c r="L47" s="128"/>
      <c r="M47" s="94"/>
      <c r="N47" s="94"/>
      <c r="O47" s="94"/>
      <c r="P47" s="95"/>
      <c r="Q47" s="96"/>
      <c r="R47" s="128"/>
      <c r="S47" s="98"/>
      <c r="T47" s="99"/>
      <c r="U47" s="99" t="str">
        <f aca="false">IF(ISBLANK($C47),"",IF(G47=Constants!$B$2, TRUE(), IF(G47=Constants!$B$3, FALSE(), TRUE())))</f>
        <v/>
      </c>
      <c r="V47" s="99" t="str">
        <f aca="false">IF(ISBLANK($C47),"",IF(H47=Constants!$B$2, TRUE(), IF(H47=Constants!$B$3, FALSE(), TRUE())))</f>
        <v/>
      </c>
      <c r="W47" s="99" t="str">
        <f aca="false">IF(ISBLANK($C47),"",IF(I47=Constants!$B$2, TRUE(), IF(I47=Constants!$B$3, FALSE(), TRUE())))</f>
        <v/>
      </c>
      <c r="X47" s="99" t="str">
        <f aca="false">IF(ISBLANK($C47),"",IF(AND(ISNUMBER(J47),J47&gt;0),INT(J47),0))</f>
        <v/>
      </c>
      <c r="Y47" s="99" t="str">
        <f aca="false">IF(ISBLANK($C47),"",IF(K47=Constants!$B$2, TRUE(), IF(K47=Constants!$B$3, FALSE(), TRUE())))</f>
        <v/>
      </c>
      <c r="Z47" s="100" t="str">
        <f aca="false">IF(ISBLANK($C47),"",IF(AND(ISNUMBER(L47),L47&gt;0),INT(L47),0))</f>
        <v/>
      </c>
      <c r="AA47" s="101" t="str">
        <f aca="false">IF(ISBLANK($C47),"",IF(ISNUMBER(M47), M47, ""))</f>
        <v/>
      </c>
      <c r="AB47" s="101" t="str">
        <f aca="false">IF(ISBLANK($C47),"",IF(ISNUMBER(N47), N47, ""))</f>
        <v/>
      </c>
      <c r="AC47" s="101" t="str">
        <f aca="false">IF(ISBLANK($C47),"",IF(ISNUMBER(O47), O47, ""))</f>
        <v/>
      </c>
      <c r="AD47" s="102" t="str">
        <f aca="false">IF(ISBLANK($C47),"",IF(ISNUMBER(P47), P47, ""))</f>
        <v/>
      </c>
      <c r="AE47" s="102" t="str">
        <f aca="false">IF(ISBLANK($C47),"",IF(ISNUMBER(Q47), Q47, Constants!$B$13))</f>
        <v/>
      </c>
      <c r="AF47" s="99" t="str">
        <f aca="false">IF(ISBLANK($C47),"",IF(R47=Constants!$B$2, TRUE(), IF(R47=Constants!$B$3, FALSE(), FALSE())))</f>
        <v/>
      </c>
      <c r="AG47" s="99" t="str">
        <f aca="false">IF(ISBLANK(C47), "", IF(AF47, Constants!$B$4,IF(COUNTA(G47:P47)=0, Constants!$B$5, Constants!$B$7)))</f>
        <v/>
      </c>
      <c r="AH47" s="99" t="str">
        <f aca="false">IF(ISBLANK($C47), "",IF($AG47=Constants!$B$7,1,$AG47))</f>
        <v/>
      </c>
      <c r="AI47" s="99" t="str">
        <f aca="false">IF($AG47=Constants!$B$7,POWER(Constants!$B$11,X47)*POWER(Constants!$B$12,Z47),"")</f>
        <v/>
      </c>
      <c r="AJ47" s="99" t="str">
        <f aca="false">IF(AND($AG47=Constants!$B$7, U47, V47) ,IF(OR($AA47="",$AC47=""),"",MAX(0, $AC47-$AA47)),"")</f>
        <v/>
      </c>
      <c r="AK47" s="99" t="str">
        <f aca="false">IF(AND($AG47=Constants!$B$7, U47, V47),IF(OR($AA47="",$AC47=""),$AK$6,""),"")</f>
        <v/>
      </c>
      <c r="AL47" s="99" t="str">
        <f aca="false">IF($AG47=Constants!$B$7,IF(AND(U47,V47,W47,Y47),IF($AJ47="",0,IF($AJ$6=0,Constants!$B$9,Constants!$B$9*AJ47/$AJ$6)), 0),"")</f>
        <v/>
      </c>
      <c r="AM47" s="99" t="str">
        <f aca="false">IF(AL47&lt;&gt;"", AL47*AI47,"")</f>
        <v/>
      </c>
      <c r="AN47" s="99" t="str">
        <f aca="false">IF(AND($AG47=Constants!$B$7, U47, V47) ,IF($AB47="", "", IF(OR($AC47="",$AC47=0),"",MAX(0,1-ABS($AC47-$AB47)/$AC47))),"")</f>
        <v/>
      </c>
      <c r="AO47" s="99" t="str">
        <f aca="false">IF(AND($AG47=Constants!$B$7, U47, V47),IF(AND($AA47&lt;&gt;"",$AB47&lt;&gt;"",$AC47=0),$AO$6,""),"")</f>
        <v/>
      </c>
      <c r="AP47" s="99" t="str">
        <f aca="false">IF($AG47=Constants!$B$7 ,IF(AND(U47,V47,W47,Y47,ISNUMBER(AB47)),IF($AN47="",0,IF($AN$6=0,Constants!$B$10,Constants!$B$10*AN47/$AN$6)), 0),"")</f>
        <v/>
      </c>
      <c r="AQ47" s="99" t="str">
        <f aca="false">IF(AP47&lt;&gt;"", AP47*AI47,"")</f>
        <v/>
      </c>
      <c r="AR47" s="99" t="str">
        <f aca="false">IF($AG47=Constants!$B$7,IF($AD47="",0,IF($AR$6=0,Constants!$B$8,Constants!$B$8*AD47/$AR$6)),"")</f>
        <v/>
      </c>
      <c r="AS47" s="99" t="str">
        <f aca="false">IF($AG47&lt;&gt;Constants!$B$7,$AG47,IF(AK47&amp;AO47&lt;&gt;"",Constants!$B$14,AM47+AQ47+AR47))</f>
        <v/>
      </c>
      <c r="AT47" s="99" t="str">
        <f aca="false">IF(ISBLANK($C47),"",IF($AG47=Constants!$B$7,IF(ISNUMBER(AS47),RANK(AS47,$AS$8:$AS$507),Constants!$B$14),$AG47))</f>
        <v/>
      </c>
      <c r="AU47" s="99" t="str">
        <f aca="false">IF(ISBLANK($C47), "",AM47)</f>
        <v/>
      </c>
      <c r="AV47" s="99" t="str">
        <f aca="false">IF(ISBLANK($C47),"",IF($AG47=Constants!$B$7,RANK(AU47,AU$8:AU$507),$AG47))</f>
        <v/>
      </c>
      <c r="AW47" s="99" t="str">
        <f aca="false">IF(ISBLANK($C47), "",AR47)</f>
        <v/>
      </c>
      <c r="AX47" s="99" t="str">
        <f aca="false">IF(ISBLANK($C47),"",IF($AG47=Constants!$B$7,RANK(AW47,AW$8:AW$507),$AG47))</f>
        <v/>
      </c>
      <c r="AY47" s="99" t="str">
        <f aca="false">IF(ISBLANK($C47), "",AE47)</f>
        <v/>
      </c>
      <c r="AZ47" s="99" t="str">
        <f aca="false">IF(ISBLANK($C47),"",
IF($AG47=Constants!$B$7,
  IF(ISNUMBER(AT47),
    COUNTIFS($AT$8:$AT$507,"&lt;"&amp;$AT47)
    + COUNTIFS($AT$8:$AT$507,$AT47,$AV$8:$AV$507,"&lt;"&amp;$AV47)
    + COUNTIFS($AT$8:$AT$507,$AT47,$AV$8:$AV$507,$AV47,$AX$8:$AX$507,"&lt;"&amp;$AX47)
    + COUNTIFS($AT$8:$AT$507,$AT47,$AV$8:$AV$507,$AV47,$AX$8:$AX$507,$AX47,$AY$8:$AY$507,"&lt;"&amp;$AY47)
    + 1,
  Constants!$B$14),
$AG47))</f>
        <v/>
      </c>
      <c r="BA47" s="99" t="str">
        <f aca="false">IF(ISBLANK(C47),"",IF($AG47=Constants!$B$7, IF(ISNUMBER(AT47),AT47-AZ47,Constants!$B$14),$AG47))</f>
        <v/>
      </c>
      <c r="BB47" s="103"/>
      <c r="BC47" s="104" t="str">
        <f aca="false">IF(ISBLANK($C47),"",TRIM(AK47&amp;" "&amp;AO47))</f>
        <v/>
      </c>
      <c r="BD47" s="105" t="str">
        <f aca="false">IF(ISBLANK($C47),"",IF($AG47&lt;&gt;Constants!$B$7,$AG47,AR47))</f>
        <v/>
      </c>
      <c r="BE47" s="105" t="str">
        <f aca="false">IF(ISBLANK($C47),"",IF($AG47&lt;&gt;Constants!$B$7,$AG47,AM47))</f>
        <v/>
      </c>
      <c r="BF47" s="105" t="str">
        <f aca="false">IF(ISBLANK($C47),"",IF($AG47&lt;&gt;Constants!$B$7,$AG47,AQ47))</f>
        <v/>
      </c>
      <c r="BG47" s="106" t="str">
        <f aca="false">IF(ISBLANK($C47),"",IF($AG47&lt;&gt;Constants!$B$7, $AG47 ,AS47))</f>
        <v/>
      </c>
      <c r="BH47" s="107" t="str">
        <f aca="false">IF(ISBLANK($C47),"",IF($AG47&lt;&gt;Constants!$B$7, $AG47 ,AH47))</f>
        <v/>
      </c>
      <c r="BI47" s="105" t="str">
        <f aca="false">IF(ISBLANK(C47),"",BA47)</f>
        <v/>
      </c>
      <c r="BJ47" s="105" t="str">
        <f aca="false">IF(ISBLANK(C47),"",AZ47)</f>
        <v/>
      </c>
      <c r="BK47" s="108" t="str">
        <f aca="false">IF(ISBLANK(C47),"",IFERROR(_xlfn.SWITCH(BJ47, Constants!$B$4, COUNTA($C$8:$C546)+2, Constants!$B$5, COUNTA($C$8:$C546)+1, Constants!$B$6, COUNTA($C$8:$C546)),BJ47))</f>
        <v/>
      </c>
      <c r="BL47" s="5"/>
      <c r="BM47" s="109" t="n">
        <f aca="false">IF(OR(ISNUMBER(BJ47),BJ47="DQ",BJ47="P",BJ47="NS"),
    1,
    0
)</f>
        <v>0</v>
      </c>
      <c r="BN47" s="109" t="n">
        <v>40</v>
      </c>
      <c r="BO47" s="109" t="str">
        <f aca="false">IF(ISBLANK($C47),"",IF(ISNUMBER(BK47),BK47+ROW($B47)/1000,""))</f>
        <v/>
      </c>
      <c r="BP47" s="109" t="str">
        <f aca="false">IF(ISNUMBER(BO47), RANK(BO47,BO$8:BO$507,1), "")</f>
        <v/>
      </c>
      <c r="BQ47" s="109" t="str">
        <f aca="false">IF(ISBLANK($C47),
    "",
    $B47
)</f>
        <v/>
      </c>
      <c r="BR47" s="109" t="str">
        <f aca="false">IF(ISBLANK($C47),
    "",
    $C47
)</f>
        <v/>
      </c>
      <c r="BS47" s="109" t="str">
        <f aca="false">IF(ISBLANK($C47),
    "",
    $D47
)</f>
        <v/>
      </c>
      <c r="BT47" s="110" t="str">
        <f aca="false">BH47</f>
        <v/>
      </c>
      <c r="BU47" s="111" t="str">
        <f aca="false">BG47</f>
        <v/>
      </c>
      <c r="BV47" s="109" t="str">
        <f aca="false">IF(ISBLANK($C47),
    "",
    BJ47
)</f>
        <v/>
      </c>
      <c r="BW47" s="112" t="str">
        <f aca="false">IF(BN47&gt;BM$7,
    "",
    VLOOKUP(BN47,BP$8:BV546,7,FALSE())
)</f>
        <v/>
      </c>
      <c r="BX47" s="113" t="str">
        <f aca="false">IF(BN47&gt;BM$7,
    "",
    VLOOKUP(BN47,BP$8:BV546,2,FALSE())
)</f>
        <v/>
      </c>
      <c r="BY47" s="113" t="str">
        <f aca="false">IF(BN47&gt;BM$7,
    "",
    VLOOKUP(BN47,BP$8:BV546,3,FALSE())
)</f>
        <v/>
      </c>
      <c r="BZ47" s="113" t="str">
        <f aca="false">IF(BN47&gt;BM$7,
    "",
    VLOOKUP(BN47,BP$8:BV546,4,FALSE())
)</f>
        <v/>
      </c>
      <c r="CA47" s="113" t="str">
        <f aca="false">IF(BN47&gt;BM$7,
    "",
    VLOOKUP(BN47,BP$8:BV546,5,FALSE())
)</f>
        <v/>
      </c>
      <c r="CB47" s="114" t="str">
        <f aca="false">IF(BN47&gt;BM$7,
    "",
    VLOOKUP(BN47,BP$8:BV546,6,FALSE())
)</f>
        <v/>
      </c>
      <c r="CC47" s="53"/>
    </row>
    <row r="48" customFormat="false" ht="15.75" hidden="false" customHeight="false" outlineLevel="0" collapsed="false">
      <c r="A48" s="5"/>
      <c r="B48" s="125"/>
      <c r="C48" s="126"/>
      <c r="D48" s="115"/>
      <c r="E48" s="119"/>
      <c r="F48" s="119"/>
      <c r="G48" s="91"/>
      <c r="H48" s="92"/>
      <c r="I48" s="92"/>
      <c r="J48" s="128"/>
      <c r="K48" s="128"/>
      <c r="L48" s="128"/>
      <c r="M48" s="94"/>
      <c r="N48" s="94"/>
      <c r="O48" s="94"/>
      <c r="P48" s="95"/>
      <c r="Q48" s="96"/>
      <c r="R48" s="128"/>
      <c r="S48" s="98"/>
      <c r="T48" s="99"/>
      <c r="U48" s="99" t="str">
        <f aca="false">IF(ISBLANK($C48),"",IF(G48=Constants!$B$2, TRUE(), IF(G48=Constants!$B$3, FALSE(), TRUE())))</f>
        <v/>
      </c>
      <c r="V48" s="99" t="str">
        <f aca="false">IF(ISBLANK($C48),"",IF(H48=Constants!$B$2, TRUE(), IF(H48=Constants!$B$3, FALSE(), TRUE())))</f>
        <v/>
      </c>
      <c r="W48" s="99" t="str">
        <f aca="false">IF(ISBLANK($C48),"",IF(I48=Constants!$B$2, TRUE(), IF(I48=Constants!$B$3, FALSE(), TRUE())))</f>
        <v/>
      </c>
      <c r="X48" s="99" t="str">
        <f aca="false">IF(ISBLANK($C48),"",IF(AND(ISNUMBER(J48),J48&gt;0),INT(J48),0))</f>
        <v/>
      </c>
      <c r="Y48" s="99" t="str">
        <f aca="false">IF(ISBLANK($C48),"",IF(K48=Constants!$B$2, TRUE(), IF(K48=Constants!$B$3, FALSE(), TRUE())))</f>
        <v/>
      </c>
      <c r="Z48" s="100" t="str">
        <f aca="false">IF(ISBLANK($C48),"",IF(AND(ISNUMBER(L48),L48&gt;0),INT(L48),0))</f>
        <v/>
      </c>
      <c r="AA48" s="101" t="str">
        <f aca="false">IF(ISBLANK($C48),"",IF(ISNUMBER(M48), M48, ""))</f>
        <v/>
      </c>
      <c r="AB48" s="101" t="str">
        <f aca="false">IF(ISBLANK($C48),"",IF(ISNUMBER(N48), N48, ""))</f>
        <v/>
      </c>
      <c r="AC48" s="101" t="str">
        <f aca="false">IF(ISBLANK($C48),"",IF(ISNUMBER(O48), O48, ""))</f>
        <v/>
      </c>
      <c r="AD48" s="102" t="str">
        <f aca="false">IF(ISBLANK($C48),"",IF(ISNUMBER(P48), P48, ""))</f>
        <v/>
      </c>
      <c r="AE48" s="102" t="str">
        <f aca="false">IF(ISBLANK($C48),"",IF(ISNUMBER(Q48), Q48, Constants!$B$13))</f>
        <v/>
      </c>
      <c r="AF48" s="99" t="str">
        <f aca="false">IF(ISBLANK($C48),"",IF(R48=Constants!$B$2, TRUE(), IF(R48=Constants!$B$3, FALSE(), FALSE())))</f>
        <v/>
      </c>
      <c r="AG48" s="99" t="str">
        <f aca="false">IF(ISBLANK(C48), "", IF(AF48, Constants!$B$4,IF(COUNTA(G48:P48)=0, Constants!$B$5, Constants!$B$7)))</f>
        <v/>
      </c>
      <c r="AH48" s="99" t="str">
        <f aca="false">IF(ISBLANK($C48), "",IF($AG48=Constants!$B$7,1,$AG48))</f>
        <v/>
      </c>
      <c r="AI48" s="99" t="str">
        <f aca="false">IF($AG48=Constants!$B$7,POWER(Constants!$B$11,X48)*POWER(Constants!$B$12,Z48),"")</f>
        <v/>
      </c>
      <c r="AJ48" s="99" t="str">
        <f aca="false">IF(AND($AG48=Constants!$B$7, U48, V48) ,IF(OR($AA48="",$AC48=""),"",MAX(0, $AC48-$AA48)),"")</f>
        <v/>
      </c>
      <c r="AK48" s="99" t="str">
        <f aca="false">IF(AND($AG48=Constants!$B$7, U48, V48),IF(OR($AA48="",$AC48=""),$AK$6,""),"")</f>
        <v/>
      </c>
      <c r="AL48" s="99" t="str">
        <f aca="false">IF($AG48=Constants!$B$7,IF(AND(U48,V48,W48,Y48),IF($AJ48="",0,IF($AJ$6=0,Constants!$B$9,Constants!$B$9*AJ48/$AJ$6)), 0),"")</f>
        <v/>
      </c>
      <c r="AM48" s="99" t="str">
        <f aca="false">IF(AL48&lt;&gt;"", AL48*AI48,"")</f>
        <v/>
      </c>
      <c r="AN48" s="99" t="str">
        <f aca="false">IF(AND($AG48=Constants!$B$7, U48, V48) ,IF($AB48="", "", IF(OR($AC48="",$AC48=0),"",MAX(0,1-ABS($AC48-$AB48)/$AC48))),"")</f>
        <v/>
      </c>
      <c r="AO48" s="99" t="str">
        <f aca="false">IF(AND($AG48=Constants!$B$7, U48, V48),IF(AND($AA48&lt;&gt;"",$AB48&lt;&gt;"",$AC48=0),$AO$6,""),"")</f>
        <v/>
      </c>
      <c r="AP48" s="99" t="str">
        <f aca="false">IF($AG48=Constants!$B$7 ,IF(AND(U48,V48,W48,Y48,ISNUMBER(AB48)),IF($AN48="",0,IF($AN$6=0,Constants!$B$10,Constants!$B$10*AN48/$AN$6)), 0),"")</f>
        <v/>
      </c>
      <c r="AQ48" s="99" t="str">
        <f aca="false">IF(AP48&lt;&gt;"", AP48*AI48,"")</f>
        <v/>
      </c>
      <c r="AR48" s="99" t="str">
        <f aca="false">IF($AG48=Constants!$B$7,IF($AD48="",0,IF($AR$6=0,Constants!$B$8,Constants!$B$8*AD48/$AR$6)),"")</f>
        <v/>
      </c>
      <c r="AS48" s="99" t="str">
        <f aca="false">IF($AG48&lt;&gt;Constants!$B$7,$AG48,IF(AK48&amp;AO48&lt;&gt;"",Constants!$B$14,AM48+AQ48+AR48))</f>
        <v/>
      </c>
      <c r="AT48" s="99" t="str">
        <f aca="false">IF(ISBLANK($C48),"",IF($AG48=Constants!$B$7,IF(ISNUMBER(AS48),RANK(AS48,$AS$8:$AS$507),Constants!$B$14),$AG48))</f>
        <v/>
      </c>
      <c r="AU48" s="99" t="str">
        <f aca="false">IF(ISBLANK($C48), "",AM48)</f>
        <v/>
      </c>
      <c r="AV48" s="99" t="str">
        <f aca="false">IF(ISBLANK($C48),"",IF($AG48=Constants!$B$7,RANK(AU48,AU$8:AU$507),$AG48))</f>
        <v/>
      </c>
      <c r="AW48" s="99" t="str">
        <f aca="false">IF(ISBLANK($C48), "",AR48)</f>
        <v/>
      </c>
      <c r="AX48" s="99" t="str">
        <f aca="false">IF(ISBLANK($C48),"",IF($AG48=Constants!$B$7,RANK(AW48,AW$8:AW$507),$AG48))</f>
        <v/>
      </c>
      <c r="AY48" s="99" t="str">
        <f aca="false">IF(ISBLANK($C48), "",AE48)</f>
        <v/>
      </c>
      <c r="AZ48" s="99" t="str">
        <f aca="false">IF(ISBLANK($C48),"",
IF($AG48=Constants!$B$7,
  IF(ISNUMBER(AT48),
    COUNTIFS($AT$8:$AT$507,"&lt;"&amp;$AT48)
    + COUNTIFS($AT$8:$AT$507,$AT48,$AV$8:$AV$507,"&lt;"&amp;$AV48)
    + COUNTIFS($AT$8:$AT$507,$AT48,$AV$8:$AV$507,$AV48,$AX$8:$AX$507,"&lt;"&amp;$AX48)
    + COUNTIFS($AT$8:$AT$507,$AT48,$AV$8:$AV$507,$AV48,$AX$8:$AX$507,$AX48,$AY$8:$AY$507,"&lt;"&amp;$AY48)
    + 1,
  Constants!$B$14),
$AG48))</f>
        <v/>
      </c>
      <c r="BA48" s="99" t="str">
        <f aca="false">IF(ISBLANK(C48),"",IF($AG48=Constants!$B$7, IF(ISNUMBER(AT48),AT48-AZ48,Constants!$B$14),$AG48))</f>
        <v/>
      </c>
      <c r="BB48" s="103"/>
      <c r="BC48" s="104" t="str">
        <f aca="false">IF(ISBLANK($C48),"",TRIM(AK48&amp;" "&amp;AO48))</f>
        <v/>
      </c>
      <c r="BD48" s="105" t="str">
        <f aca="false">IF(ISBLANK($C48),"",IF($AG48&lt;&gt;Constants!$B$7,$AG48,AR48))</f>
        <v/>
      </c>
      <c r="BE48" s="105" t="str">
        <f aca="false">IF(ISBLANK($C48),"",IF($AG48&lt;&gt;Constants!$B$7,$AG48,AM48))</f>
        <v/>
      </c>
      <c r="BF48" s="105" t="str">
        <f aca="false">IF(ISBLANK($C48),"",IF($AG48&lt;&gt;Constants!$B$7,$AG48,AQ48))</f>
        <v/>
      </c>
      <c r="BG48" s="106" t="str">
        <f aca="false">IF(ISBLANK($C48),"",IF($AG48&lt;&gt;Constants!$B$7, $AG48 ,AS48))</f>
        <v/>
      </c>
      <c r="BH48" s="107" t="str">
        <f aca="false">IF(ISBLANK($C48),"",IF($AG48&lt;&gt;Constants!$B$7, $AG48 ,AH48))</f>
        <v/>
      </c>
      <c r="BI48" s="105" t="str">
        <f aca="false">IF(ISBLANK(C48),"",BA48)</f>
        <v/>
      </c>
      <c r="BJ48" s="105" t="str">
        <f aca="false">IF(ISBLANK(C48),"",AZ48)</f>
        <v/>
      </c>
      <c r="BK48" s="108" t="str">
        <f aca="false">IF(ISBLANK(C48),"",IFERROR(_xlfn.SWITCH(BJ48, Constants!$B$4, COUNTA($C$8:$C547)+2, Constants!$B$5, COUNTA($C$8:$C547)+1, Constants!$B$6, COUNTA($C$8:$C547)),BJ48))</f>
        <v/>
      </c>
      <c r="BL48" s="5"/>
      <c r="BM48" s="109" t="n">
        <f aca="false">IF(OR(ISNUMBER(BJ48),BJ48="DQ",BJ48="P",BJ48="NS"),
    1,
    0
)</f>
        <v>0</v>
      </c>
      <c r="BN48" s="109" t="n">
        <v>41</v>
      </c>
      <c r="BO48" s="109" t="str">
        <f aca="false">IF(ISBLANK($C48),"",IF(ISNUMBER(BK48),BK48+ROW($B48)/1000,""))</f>
        <v/>
      </c>
      <c r="BP48" s="109" t="str">
        <f aca="false">IF(ISNUMBER(BO48), RANK(BO48,BO$8:BO$507,1), "")</f>
        <v/>
      </c>
      <c r="BQ48" s="109" t="str">
        <f aca="false">IF(ISBLANK($C48),
    "",
    $B48
)</f>
        <v/>
      </c>
      <c r="BR48" s="109" t="str">
        <f aca="false">IF(ISBLANK($C48),
    "",
    $C48
)</f>
        <v/>
      </c>
      <c r="BS48" s="109" t="str">
        <f aca="false">IF(ISBLANK($C48),
    "",
    $D48
)</f>
        <v/>
      </c>
      <c r="BT48" s="110" t="str">
        <f aca="false">BH48</f>
        <v/>
      </c>
      <c r="BU48" s="111" t="str">
        <f aca="false">BG48</f>
        <v/>
      </c>
      <c r="BV48" s="109" t="str">
        <f aca="false">IF(ISBLANK($C48),
    "",
    BJ48
)</f>
        <v/>
      </c>
      <c r="BW48" s="112" t="str">
        <f aca="false">IF(BN48&gt;BM$7,
    "",
    VLOOKUP(BN48,BP$8:BV547,7,FALSE())
)</f>
        <v/>
      </c>
      <c r="BX48" s="113" t="str">
        <f aca="false">IF(BN48&gt;BM$7,
    "",
    VLOOKUP(BN48,BP$8:BV547,2,FALSE())
)</f>
        <v/>
      </c>
      <c r="BY48" s="113" t="str">
        <f aca="false">IF(BN48&gt;BM$7,
    "",
    VLOOKUP(BN48,BP$8:BV547,3,FALSE())
)</f>
        <v/>
      </c>
      <c r="BZ48" s="113" t="str">
        <f aca="false">IF(BN48&gt;BM$7,
    "",
    VLOOKUP(BN48,BP$8:BV547,4,FALSE())
)</f>
        <v/>
      </c>
      <c r="CA48" s="113" t="str">
        <f aca="false">IF(BN48&gt;BM$7,
    "",
    VLOOKUP(BN48,BP$8:BV547,5,FALSE())
)</f>
        <v/>
      </c>
      <c r="CB48" s="114" t="str">
        <f aca="false">IF(BN48&gt;BM$7,
    "",
    VLOOKUP(BN48,BP$8:BV547,6,FALSE())
)</f>
        <v/>
      </c>
      <c r="CC48" s="53"/>
    </row>
    <row r="49" customFormat="false" ht="15.75" hidden="false" customHeight="false" outlineLevel="0" collapsed="false">
      <c r="A49" s="5"/>
      <c r="B49" s="125"/>
      <c r="C49" s="126"/>
      <c r="D49" s="115"/>
      <c r="E49" s="119"/>
      <c r="F49" s="119"/>
      <c r="G49" s="91"/>
      <c r="H49" s="92"/>
      <c r="I49" s="92"/>
      <c r="J49" s="128"/>
      <c r="K49" s="128"/>
      <c r="L49" s="128"/>
      <c r="M49" s="94"/>
      <c r="N49" s="94"/>
      <c r="O49" s="94"/>
      <c r="P49" s="95"/>
      <c r="Q49" s="96"/>
      <c r="R49" s="128"/>
      <c r="S49" s="98"/>
      <c r="T49" s="99"/>
      <c r="U49" s="99" t="str">
        <f aca="false">IF(ISBLANK($C49),"",IF(G49=Constants!$B$2, TRUE(), IF(G49=Constants!$B$3, FALSE(), TRUE())))</f>
        <v/>
      </c>
      <c r="V49" s="99" t="str">
        <f aca="false">IF(ISBLANK($C49),"",IF(H49=Constants!$B$2, TRUE(), IF(H49=Constants!$B$3, FALSE(), TRUE())))</f>
        <v/>
      </c>
      <c r="W49" s="99" t="str">
        <f aca="false">IF(ISBLANK($C49),"",IF(I49=Constants!$B$2, TRUE(), IF(I49=Constants!$B$3, FALSE(), TRUE())))</f>
        <v/>
      </c>
      <c r="X49" s="99" t="str">
        <f aca="false">IF(ISBLANK($C49),"",IF(AND(ISNUMBER(J49),J49&gt;0),INT(J49),0))</f>
        <v/>
      </c>
      <c r="Y49" s="99" t="str">
        <f aca="false">IF(ISBLANK($C49),"",IF(K49=Constants!$B$2, TRUE(), IF(K49=Constants!$B$3, FALSE(), TRUE())))</f>
        <v/>
      </c>
      <c r="Z49" s="100" t="str">
        <f aca="false">IF(ISBLANK($C49),"",IF(AND(ISNUMBER(L49),L49&gt;0),INT(L49),0))</f>
        <v/>
      </c>
      <c r="AA49" s="101" t="str">
        <f aca="false">IF(ISBLANK($C49),"",IF(ISNUMBER(M49), M49, ""))</f>
        <v/>
      </c>
      <c r="AB49" s="101" t="str">
        <f aca="false">IF(ISBLANK($C49),"",IF(ISNUMBER(N49), N49, ""))</f>
        <v/>
      </c>
      <c r="AC49" s="101" t="str">
        <f aca="false">IF(ISBLANK($C49),"",IF(ISNUMBER(O49), O49, ""))</f>
        <v/>
      </c>
      <c r="AD49" s="102" t="str">
        <f aca="false">IF(ISBLANK($C49),"",IF(ISNUMBER(P49), P49, ""))</f>
        <v/>
      </c>
      <c r="AE49" s="102" t="str">
        <f aca="false">IF(ISBLANK($C49),"",IF(ISNUMBER(Q49), Q49, Constants!$B$13))</f>
        <v/>
      </c>
      <c r="AF49" s="99" t="str">
        <f aca="false">IF(ISBLANK($C49),"",IF(R49=Constants!$B$2, TRUE(), IF(R49=Constants!$B$3, FALSE(), FALSE())))</f>
        <v/>
      </c>
      <c r="AG49" s="99" t="str">
        <f aca="false">IF(ISBLANK(C49), "", IF(AF49, Constants!$B$4,IF(COUNTA(G49:P49)=0, Constants!$B$5, Constants!$B$7)))</f>
        <v/>
      </c>
      <c r="AH49" s="99" t="str">
        <f aca="false">IF(ISBLANK($C49), "",IF($AG49=Constants!$B$7,1,$AG49))</f>
        <v/>
      </c>
      <c r="AI49" s="99" t="str">
        <f aca="false">IF($AG49=Constants!$B$7,POWER(Constants!$B$11,X49)*POWER(Constants!$B$12,Z49),"")</f>
        <v/>
      </c>
      <c r="AJ49" s="99" t="str">
        <f aca="false">IF(AND($AG49=Constants!$B$7, U49, V49) ,IF(OR($AA49="",$AC49=""),"",MAX(0, $AC49-$AA49)),"")</f>
        <v/>
      </c>
      <c r="AK49" s="99" t="str">
        <f aca="false">IF(AND($AG49=Constants!$B$7, U49, V49),IF(OR($AA49="",$AC49=""),$AK$6,""),"")</f>
        <v/>
      </c>
      <c r="AL49" s="99" t="str">
        <f aca="false">IF($AG49=Constants!$B$7,IF(AND(U49,V49,W49,Y49),IF($AJ49="",0,IF($AJ$6=0,Constants!$B$9,Constants!$B$9*AJ49/$AJ$6)), 0),"")</f>
        <v/>
      </c>
      <c r="AM49" s="99" t="str">
        <f aca="false">IF(AL49&lt;&gt;"", AL49*AI49,"")</f>
        <v/>
      </c>
      <c r="AN49" s="99" t="str">
        <f aca="false">IF(AND($AG49=Constants!$B$7, U49, V49) ,IF($AB49="", "", IF(OR($AC49="",$AC49=0),"",MAX(0,1-ABS($AC49-$AB49)/$AC49))),"")</f>
        <v/>
      </c>
      <c r="AO49" s="99" t="str">
        <f aca="false">IF(AND($AG49=Constants!$B$7, U49, V49),IF(AND($AA49&lt;&gt;"",$AB49&lt;&gt;"",$AC49=0),$AO$6,""),"")</f>
        <v/>
      </c>
      <c r="AP49" s="99" t="str">
        <f aca="false">IF($AG49=Constants!$B$7 ,IF(AND(U49,V49,W49,Y49,ISNUMBER(AB49)),IF($AN49="",0,IF($AN$6=0,Constants!$B$10,Constants!$B$10*AN49/$AN$6)), 0),"")</f>
        <v/>
      </c>
      <c r="AQ49" s="99" t="str">
        <f aca="false">IF(AP49&lt;&gt;"", AP49*AI49,"")</f>
        <v/>
      </c>
      <c r="AR49" s="99" t="str">
        <f aca="false">IF($AG49=Constants!$B$7,IF($AD49="",0,IF($AR$6=0,Constants!$B$8,Constants!$B$8*AD49/$AR$6)),"")</f>
        <v/>
      </c>
      <c r="AS49" s="99" t="str">
        <f aca="false">IF($AG49&lt;&gt;Constants!$B$7,$AG49,IF(AK49&amp;AO49&lt;&gt;"",Constants!$B$14,AM49+AQ49+AR49))</f>
        <v/>
      </c>
      <c r="AT49" s="99" t="str">
        <f aca="false">IF(ISBLANK($C49),"",IF($AG49=Constants!$B$7,IF(ISNUMBER(AS49),RANK(AS49,$AS$8:$AS$507),Constants!$B$14),$AG49))</f>
        <v/>
      </c>
      <c r="AU49" s="99" t="str">
        <f aca="false">IF(ISBLANK($C49), "",AM49)</f>
        <v/>
      </c>
      <c r="AV49" s="99" t="str">
        <f aca="false">IF(ISBLANK($C49),"",IF($AG49=Constants!$B$7,RANK(AU49,AU$8:AU$507),$AG49))</f>
        <v/>
      </c>
      <c r="AW49" s="99" t="str">
        <f aca="false">IF(ISBLANK($C49), "",AR49)</f>
        <v/>
      </c>
      <c r="AX49" s="99" t="str">
        <f aca="false">IF(ISBLANK($C49),"",IF($AG49=Constants!$B$7,RANK(AW49,AW$8:AW$507),$AG49))</f>
        <v/>
      </c>
      <c r="AY49" s="99" t="str">
        <f aca="false">IF(ISBLANK($C49), "",AE49)</f>
        <v/>
      </c>
      <c r="AZ49" s="99" t="str">
        <f aca="false">IF(ISBLANK($C49),"",
IF($AG49=Constants!$B$7,
  IF(ISNUMBER(AT49),
    COUNTIFS($AT$8:$AT$507,"&lt;"&amp;$AT49)
    + COUNTIFS($AT$8:$AT$507,$AT49,$AV$8:$AV$507,"&lt;"&amp;$AV49)
    + COUNTIFS($AT$8:$AT$507,$AT49,$AV$8:$AV$507,$AV49,$AX$8:$AX$507,"&lt;"&amp;$AX49)
    + COUNTIFS($AT$8:$AT$507,$AT49,$AV$8:$AV$507,$AV49,$AX$8:$AX$507,$AX49,$AY$8:$AY$507,"&lt;"&amp;$AY49)
    + 1,
  Constants!$B$14),
$AG49))</f>
        <v/>
      </c>
      <c r="BA49" s="99" t="str">
        <f aca="false">IF(ISBLANK(C49),"",IF($AG49=Constants!$B$7, IF(ISNUMBER(AT49),AT49-AZ49,Constants!$B$14),$AG49))</f>
        <v/>
      </c>
      <c r="BB49" s="103"/>
      <c r="BC49" s="104" t="str">
        <f aca="false">IF(ISBLANK($C49),"",TRIM(AK49&amp;" "&amp;AO49))</f>
        <v/>
      </c>
      <c r="BD49" s="105" t="str">
        <f aca="false">IF(ISBLANK($C49),"",IF($AG49&lt;&gt;Constants!$B$7,$AG49,AR49))</f>
        <v/>
      </c>
      <c r="BE49" s="105" t="str">
        <f aca="false">IF(ISBLANK($C49),"",IF($AG49&lt;&gt;Constants!$B$7,$AG49,AM49))</f>
        <v/>
      </c>
      <c r="BF49" s="105" t="str">
        <f aca="false">IF(ISBLANK($C49),"",IF($AG49&lt;&gt;Constants!$B$7,$AG49,AQ49))</f>
        <v/>
      </c>
      <c r="BG49" s="106" t="str">
        <f aca="false">IF(ISBLANK($C49),"",IF($AG49&lt;&gt;Constants!$B$7, $AG49 ,AS49))</f>
        <v/>
      </c>
      <c r="BH49" s="107" t="str">
        <f aca="false">IF(ISBLANK($C49),"",IF($AG49&lt;&gt;Constants!$B$7, $AG49 ,AH49))</f>
        <v/>
      </c>
      <c r="BI49" s="105" t="str">
        <f aca="false">IF(ISBLANK(C49),"",BA49)</f>
        <v/>
      </c>
      <c r="BJ49" s="105" t="str">
        <f aca="false">IF(ISBLANK(C49),"",AZ49)</f>
        <v/>
      </c>
      <c r="BK49" s="108" t="str">
        <f aca="false">IF(ISBLANK(C49),"",IFERROR(_xlfn.SWITCH(BJ49, Constants!$B$4, COUNTA($C$8:$C548)+2, Constants!$B$5, COUNTA($C$8:$C548)+1, Constants!$B$6, COUNTA($C$8:$C548)),BJ49))</f>
        <v/>
      </c>
      <c r="BL49" s="5"/>
      <c r="BM49" s="109" t="n">
        <f aca="false">IF(OR(ISNUMBER(BJ49),BJ49="DQ",BJ49="P",BJ49="NS"),
    1,
    0
)</f>
        <v>0</v>
      </c>
      <c r="BN49" s="109" t="n">
        <v>42</v>
      </c>
      <c r="BO49" s="109" t="str">
        <f aca="false">IF(ISBLANK($C49),"",IF(ISNUMBER(BK49),BK49+ROW($B49)/1000,""))</f>
        <v/>
      </c>
      <c r="BP49" s="109" t="str">
        <f aca="false">IF(ISNUMBER(BO49), RANK(BO49,BO$8:BO$507,1), "")</f>
        <v/>
      </c>
      <c r="BQ49" s="109" t="str">
        <f aca="false">IF(ISBLANK($C49),
    "",
    $B49
)</f>
        <v/>
      </c>
      <c r="BR49" s="109" t="str">
        <f aca="false">IF(ISBLANK($C49),
    "",
    $C49
)</f>
        <v/>
      </c>
      <c r="BS49" s="109" t="str">
        <f aca="false">IF(ISBLANK($C49),
    "",
    $D49
)</f>
        <v/>
      </c>
      <c r="BT49" s="110" t="str">
        <f aca="false">BH49</f>
        <v/>
      </c>
      <c r="BU49" s="111" t="str">
        <f aca="false">BG49</f>
        <v/>
      </c>
      <c r="BV49" s="109" t="str">
        <f aca="false">IF(ISBLANK($C49),
    "",
    BJ49
)</f>
        <v/>
      </c>
      <c r="BW49" s="112" t="str">
        <f aca="false">IF(BN49&gt;BM$7,
    "",
    VLOOKUP(BN49,BP$8:BV548,7,FALSE())
)</f>
        <v/>
      </c>
      <c r="BX49" s="113" t="str">
        <f aca="false">IF(BN49&gt;BM$7,
    "",
    VLOOKUP(BN49,BP$8:BV548,2,FALSE())
)</f>
        <v/>
      </c>
      <c r="BY49" s="113" t="str">
        <f aca="false">IF(BN49&gt;BM$7,
    "",
    VLOOKUP(BN49,BP$8:BV548,3,FALSE())
)</f>
        <v/>
      </c>
      <c r="BZ49" s="113" t="str">
        <f aca="false">IF(BN49&gt;BM$7,
    "",
    VLOOKUP(BN49,BP$8:BV548,4,FALSE())
)</f>
        <v/>
      </c>
      <c r="CA49" s="113" t="str">
        <f aca="false">IF(BN49&gt;BM$7,
    "",
    VLOOKUP(BN49,BP$8:BV548,5,FALSE())
)</f>
        <v/>
      </c>
      <c r="CB49" s="114" t="str">
        <f aca="false">IF(BN49&gt;BM$7,
    "",
    VLOOKUP(BN49,BP$8:BV548,6,FALSE())
)</f>
        <v/>
      </c>
      <c r="CC49" s="53"/>
    </row>
    <row r="50" customFormat="false" ht="15.75" hidden="false" customHeight="false" outlineLevel="0" collapsed="false">
      <c r="A50" s="5"/>
      <c r="B50" s="129"/>
      <c r="C50" s="55"/>
      <c r="D50" s="56"/>
      <c r="E50" s="123"/>
      <c r="F50" s="123"/>
      <c r="G50" s="58"/>
      <c r="H50" s="59"/>
      <c r="I50" s="59"/>
      <c r="J50" s="83"/>
      <c r="K50" s="83"/>
      <c r="L50" s="83"/>
      <c r="M50" s="61"/>
      <c r="N50" s="61"/>
      <c r="O50" s="61"/>
      <c r="P50" s="62"/>
      <c r="Q50" s="63"/>
      <c r="R50" s="83"/>
      <c r="S50" s="65"/>
      <c r="T50" s="66"/>
      <c r="U50" s="66" t="str">
        <f aca="false">IF(ISBLANK($C50),"",IF(G50=Constants!$B$2, TRUE(), IF(G50=Constants!$B$3, FALSE(), TRUE())))</f>
        <v/>
      </c>
      <c r="V50" s="66" t="str">
        <f aca="false">IF(ISBLANK($C50),"",IF(H50=Constants!$B$2, TRUE(), IF(H50=Constants!$B$3, FALSE(), TRUE())))</f>
        <v/>
      </c>
      <c r="W50" s="66" t="str">
        <f aca="false">IF(ISBLANK($C50),"",IF(I50=Constants!$B$2, TRUE(), IF(I50=Constants!$B$3, FALSE(), TRUE())))</f>
        <v/>
      </c>
      <c r="X50" s="66" t="str">
        <f aca="false">IF(ISBLANK($C50),"",IF(AND(ISNUMBER(J50),J50&gt;0),INT(J50),0))</f>
        <v/>
      </c>
      <c r="Y50" s="66" t="str">
        <f aca="false">IF(ISBLANK($C50),"",IF(K50=Constants!$B$2, TRUE(), IF(K50=Constants!$B$3, FALSE(), TRUE())))</f>
        <v/>
      </c>
      <c r="Z50" s="66" t="str">
        <f aca="false">IF(ISBLANK($C50),"",IF(AND(ISNUMBER(L50),L50&gt;0),INT(L50),0))</f>
        <v/>
      </c>
      <c r="AA50" s="68" t="str">
        <f aca="false">IF(ISBLANK($C50),"",IF(ISNUMBER(M50), M50, ""))</f>
        <v/>
      </c>
      <c r="AB50" s="68" t="str">
        <f aca="false">IF(ISBLANK($C50),"",IF(ISNUMBER(N50), N50, ""))</f>
        <v/>
      </c>
      <c r="AC50" s="68" t="str">
        <f aca="false">IF(ISBLANK($C50),"",IF(ISNUMBER(O50), O50, ""))</f>
        <v/>
      </c>
      <c r="AD50" s="69" t="str">
        <f aca="false">IF(ISBLANK($C50),"",IF(ISNUMBER(P50), P50, ""))</f>
        <v/>
      </c>
      <c r="AE50" s="69" t="str">
        <f aca="false">IF(ISBLANK($C50),"",IF(ISNUMBER(Q50), Q50, Constants!$B$13))</f>
        <v/>
      </c>
      <c r="AF50" s="66" t="str">
        <f aca="false">IF(ISBLANK($C50),"",IF(R50=Constants!$B$2, TRUE(), IF(R50=Constants!$B$3, FALSE(), FALSE())))</f>
        <v/>
      </c>
      <c r="AG50" s="66" t="str">
        <f aca="false">IF(ISBLANK(C50), "", IF(AF50, Constants!$B$4,IF(COUNTA(G50:P50)=0, Constants!$B$5, Constants!$B$7)))</f>
        <v/>
      </c>
      <c r="AH50" s="66" t="str">
        <f aca="false">IF(ISBLANK($C50), "",IF($AG50=Constants!$B$7,1,$AG50))</f>
        <v/>
      </c>
      <c r="AI50" s="66" t="str">
        <f aca="false">IF($AG50=Constants!$B$7,POWER(Constants!$B$11,X50)*POWER(Constants!$B$12,Z50),"")</f>
        <v/>
      </c>
      <c r="AJ50" s="66" t="str">
        <f aca="false">IF(AND($AG50=Constants!$B$7, U50, V50) ,IF(OR($AA50="",$AC50=""),"",MAX(0, $AC50-$AA50)),"")</f>
        <v/>
      </c>
      <c r="AK50" s="66" t="str">
        <f aca="false">IF(AND($AG50=Constants!$B$7, U50, V50),IF(OR($AA50="",$AC50=""),$AK$6,""),"")</f>
        <v/>
      </c>
      <c r="AL50" s="66" t="str">
        <f aca="false">IF($AG50=Constants!$B$7,IF(AND(U50,V50,W50,Y50),IF($AJ50="",0,IF($AJ$6=0,Constants!$B$9,Constants!$B$9*AJ50/$AJ$6)), 0),"")</f>
        <v/>
      </c>
      <c r="AM50" s="66" t="str">
        <f aca="false">IF(AL50&lt;&gt;"", AL50*AI50,"")</f>
        <v/>
      </c>
      <c r="AN50" s="66" t="str">
        <f aca="false">IF(AND($AG50=Constants!$B$7, U50, V50) ,IF($AB50="", "", IF(OR($AC50="",$AC50=0),"",MAX(0,1-ABS($AC50-$AB50)/$AC50))),"")</f>
        <v/>
      </c>
      <c r="AO50" s="66" t="str">
        <f aca="false">IF(AND($AG50=Constants!$B$7, U50, V50),IF(AND($AA50&lt;&gt;"",$AB50&lt;&gt;"",$AC50=0),$AO$6,""),"")</f>
        <v/>
      </c>
      <c r="AP50" s="66" t="str">
        <f aca="false">IF($AG50=Constants!$B$7 ,IF(AND(U50,V50,W50,Y50,ISNUMBER(AB50)),IF($AN50="",0,IF($AN$6=0,Constants!$B$10,Constants!$B$10*AN50/$AN$6)), 0),"")</f>
        <v/>
      </c>
      <c r="AQ50" s="66" t="str">
        <f aca="false">IF(AP50&lt;&gt;"", AP50*AI50,"")</f>
        <v/>
      </c>
      <c r="AR50" s="66" t="str">
        <f aca="false">IF($AG50=Constants!$B$7,IF($AD50="",0,IF($AR$6=0,Constants!$B$8,Constants!$B$8*AD50/$AR$6)),"")</f>
        <v/>
      </c>
      <c r="AS50" s="66" t="str">
        <f aca="false">IF($AG50&lt;&gt;Constants!$B$7,$AG50,IF(AK50&amp;AO50&lt;&gt;"",Constants!$B$14,AM50+AQ50+AR50))</f>
        <v/>
      </c>
      <c r="AT50" s="66" t="str">
        <f aca="false">IF(ISBLANK($C50),"",IF($AG50=Constants!$B$7,IF(ISNUMBER(AS50),RANK(AS50,$AS$8:$AS$507),Constants!$B$14),$AG50))</f>
        <v/>
      </c>
      <c r="AU50" s="66" t="str">
        <f aca="false">IF(ISBLANK($C50), "",AM50)</f>
        <v/>
      </c>
      <c r="AV50" s="66" t="str">
        <f aca="false">IF(ISBLANK($C50),"",IF($AG50=Constants!$B$7,RANK(AU50,AU$8:AU$507),$AG50))</f>
        <v/>
      </c>
      <c r="AW50" s="66" t="str">
        <f aca="false">IF(ISBLANK($C50), "",AR50)</f>
        <v/>
      </c>
      <c r="AX50" s="66" t="str">
        <f aca="false">IF(ISBLANK($C50),"",IF($AG50=Constants!$B$7,RANK(AW50,AW$8:AW$507),$AG50))</f>
        <v/>
      </c>
      <c r="AY50" s="66" t="str">
        <f aca="false">IF(ISBLANK($C50), "",AE50)</f>
        <v/>
      </c>
      <c r="AZ50" s="66" t="str">
        <f aca="false">IF(ISBLANK($C50),"",
IF($AG50=Constants!$B$7,
  IF(ISNUMBER(AT50),
    COUNTIFS($AT$8:$AT$507,"&lt;"&amp;$AT50)
    + COUNTIFS($AT$8:$AT$507,$AT50,$AV$8:$AV$507,"&lt;"&amp;$AV50)
    + COUNTIFS($AT$8:$AT$507,$AT50,$AV$8:$AV$507,$AV50,$AX$8:$AX$507,"&lt;"&amp;$AX50)
    + COUNTIFS($AT$8:$AT$507,$AT50,$AV$8:$AV$507,$AV50,$AX$8:$AX$507,$AX50,$AY$8:$AY$507,"&lt;"&amp;$AY50)
    + 1,
  Constants!$B$14),
$AG50))</f>
        <v/>
      </c>
      <c r="BA50" s="66" t="str">
        <f aca="false">IF(ISBLANK(C50),"",IF($AG50=Constants!$B$7, IF(ISNUMBER(AT50),AT50-AZ50,Constants!$B$14),$AG50))</f>
        <v/>
      </c>
      <c r="BB50" s="70"/>
      <c r="BC50" s="84" t="str">
        <f aca="false">IF(ISBLANK($C50),"",TRIM(AK50&amp;" "&amp;AO50))</f>
        <v/>
      </c>
      <c r="BD50" s="72" t="str">
        <f aca="false">IF(ISBLANK($C50),"",IF($AG50&lt;&gt;Constants!$B$7,$AG50,AR50))</f>
        <v/>
      </c>
      <c r="BE50" s="72" t="str">
        <f aca="false">IF(ISBLANK($C50),"",IF($AG50&lt;&gt;Constants!$B$7,$AG50,AM50))</f>
        <v/>
      </c>
      <c r="BF50" s="72" t="str">
        <f aca="false">IF(ISBLANK($C50),"",IF($AG50&lt;&gt;Constants!$B$7,$AG50,AQ50))</f>
        <v/>
      </c>
      <c r="BG50" s="73" t="str">
        <f aca="false">IF(ISBLANK($C50),"",IF($AG50&lt;&gt;Constants!$B$7, $AG50 ,AS50))</f>
        <v/>
      </c>
      <c r="BH50" s="74" t="str">
        <f aca="false">IF(ISBLANK($C50),"",IF($AG50&lt;&gt;Constants!$B$7, $AG50 ,AH50))</f>
        <v/>
      </c>
      <c r="BI50" s="72" t="str">
        <f aca="false">IF(ISBLANK(C50),"",BA50)</f>
        <v/>
      </c>
      <c r="BJ50" s="72" t="str">
        <f aca="false">IF(ISBLANK(C50),"",AZ50)</f>
        <v/>
      </c>
      <c r="BK50" s="75" t="str">
        <f aca="false">IF(ISBLANK(C50),"",IFERROR(_xlfn.SWITCH(BJ50, Constants!$B$4, COUNTA($C$8:$C549)+2, Constants!$B$5, COUNTA($C$8:$C549)+1, Constants!$B$6, COUNTA($C$8:$C549)),BJ50))</f>
        <v/>
      </c>
      <c r="BL50" s="5"/>
      <c r="BM50" s="76" t="n">
        <f aca="false">IF(OR(ISNUMBER(BJ50),BJ50="DQ",BJ50="P",BJ50="NS"),
    1,
    0
)</f>
        <v>0</v>
      </c>
      <c r="BN50" s="76" t="n">
        <v>43</v>
      </c>
      <c r="BO50" s="76" t="str">
        <f aca="false">IF(ISBLANK($C50),"",IF(ISNUMBER(BK50),BK50+ROW($B50)/1000,""))</f>
        <v/>
      </c>
      <c r="BP50" s="76" t="str">
        <f aca="false">IF(ISNUMBER(BO50), RANK(BO50,BO$8:BO$507,1), "")</f>
        <v/>
      </c>
      <c r="BQ50" s="76" t="str">
        <f aca="false">IF(ISBLANK($C50),
    "",
    $B50
)</f>
        <v/>
      </c>
      <c r="BR50" s="76" t="str">
        <f aca="false">IF(ISBLANK($C50),
    "",
    $C50
)</f>
        <v/>
      </c>
      <c r="BS50" s="76" t="str">
        <f aca="false">IF(ISBLANK($C50),
    "",
    $D50
)</f>
        <v/>
      </c>
      <c r="BT50" s="77" t="str">
        <f aca="false">BH50</f>
        <v/>
      </c>
      <c r="BU50" s="78" t="str">
        <f aca="false">BG50</f>
        <v/>
      </c>
      <c r="BV50" s="76" t="str">
        <f aca="false">IF(ISBLANK($C50),
    "",
    BJ50
)</f>
        <v/>
      </c>
      <c r="BW50" s="79" t="str">
        <f aca="false">IF(BN50&gt;BM$7,
    "",
    VLOOKUP(BN50,BP$8:BV549,7,FALSE())
)</f>
        <v/>
      </c>
      <c r="BX50" s="80" t="str">
        <f aca="false">IF(BN50&gt;BM$7,
    "",
    VLOOKUP(BN50,BP$8:BV549,2,FALSE())
)</f>
        <v/>
      </c>
      <c r="BY50" s="80" t="str">
        <f aca="false">IF(BN50&gt;BM$7,
    "",
    VLOOKUP(BN50,BP$8:BV549,3,FALSE())
)</f>
        <v/>
      </c>
      <c r="BZ50" s="80" t="str">
        <f aca="false">IF(BN50&gt;BM$7,
    "",
    VLOOKUP(BN50,BP$8:BV549,4,FALSE())
)</f>
        <v/>
      </c>
      <c r="CA50" s="80" t="str">
        <f aca="false">IF(BN50&gt;BM$7,
    "",
    VLOOKUP(BN50,BP$8:BV549,5,FALSE())
)</f>
        <v/>
      </c>
      <c r="CB50" s="81" t="str">
        <f aca="false">IF(BN50&gt;BM$7,
    "",
    VLOOKUP(BN50,BP$8:BV549,6,FALSE())
)</f>
        <v/>
      </c>
      <c r="CC50" s="53"/>
    </row>
    <row r="51" customFormat="false" ht="15.75" hidden="false" customHeight="false" outlineLevel="0" collapsed="false">
      <c r="A51" s="5"/>
      <c r="B51" s="129"/>
      <c r="C51" s="55"/>
      <c r="D51" s="56"/>
      <c r="E51" s="123"/>
      <c r="F51" s="123"/>
      <c r="G51" s="58"/>
      <c r="H51" s="59"/>
      <c r="I51" s="59"/>
      <c r="J51" s="83"/>
      <c r="K51" s="83"/>
      <c r="L51" s="83"/>
      <c r="M51" s="61"/>
      <c r="N51" s="61"/>
      <c r="O51" s="61"/>
      <c r="P51" s="62"/>
      <c r="Q51" s="63"/>
      <c r="R51" s="83"/>
      <c r="S51" s="65"/>
      <c r="T51" s="66"/>
      <c r="U51" s="66" t="str">
        <f aca="false">IF(ISBLANK($C51),"",IF(G51=Constants!$B$2, TRUE(), IF(G51=Constants!$B$3, FALSE(), TRUE())))</f>
        <v/>
      </c>
      <c r="V51" s="66" t="str">
        <f aca="false">IF(ISBLANK($C51),"",IF(H51=Constants!$B$2, TRUE(), IF(H51=Constants!$B$3, FALSE(), TRUE())))</f>
        <v/>
      </c>
      <c r="W51" s="66" t="str">
        <f aca="false">IF(ISBLANK($C51),"",IF(I51=Constants!$B$2, TRUE(), IF(I51=Constants!$B$3, FALSE(), TRUE())))</f>
        <v/>
      </c>
      <c r="X51" s="66" t="str">
        <f aca="false">IF(ISBLANK($C51),"",IF(AND(ISNUMBER(J51),J51&gt;0),INT(J51),0))</f>
        <v/>
      </c>
      <c r="Y51" s="66" t="str">
        <f aca="false">IF(ISBLANK($C51),"",IF(K51=Constants!$B$2, TRUE(), IF(K51=Constants!$B$3, FALSE(), TRUE())))</f>
        <v/>
      </c>
      <c r="Z51" s="66" t="str">
        <f aca="false">IF(ISBLANK($C51),"",IF(AND(ISNUMBER(L51),L51&gt;0),INT(L51),0))</f>
        <v/>
      </c>
      <c r="AA51" s="68" t="str">
        <f aca="false">IF(ISBLANK($C51),"",IF(ISNUMBER(M51), M51, ""))</f>
        <v/>
      </c>
      <c r="AB51" s="68" t="str">
        <f aca="false">IF(ISBLANK($C51),"",IF(ISNUMBER(N51), N51, ""))</f>
        <v/>
      </c>
      <c r="AC51" s="68" t="str">
        <f aca="false">IF(ISBLANK($C51),"",IF(ISNUMBER(O51), O51, ""))</f>
        <v/>
      </c>
      <c r="AD51" s="69" t="str">
        <f aca="false">IF(ISBLANK($C51),"",IF(ISNUMBER(P51), P51, ""))</f>
        <v/>
      </c>
      <c r="AE51" s="69" t="str">
        <f aca="false">IF(ISBLANK($C51),"",IF(ISNUMBER(Q51), Q51, Constants!$B$13))</f>
        <v/>
      </c>
      <c r="AF51" s="66" t="str">
        <f aca="false">IF(ISBLANK($C51),"",IF(R51=Constants!$B$2, TRUE(), IF(R51=Constants!$B$3, FALSE(), FALSE())))</f>
        <v/>
      </c>
      <c r="AG51" s="66" t="str">
        <f aca="false">IF(ISBLANK(C51), "", IF(AF51, Constants!$B$4,IF(COUNTA(G51:P51)=0, Constants!$B$5, Constants!$B$7)))</f>
        <v/>
      </c>
      <c r="AH51" s="66" t="str">
        <f aca="false">IF(ISBLANK($C51), "",IF($AG51=Constants!$B$7,1,$AG51))</f>
        <v/>
      </c>
      <c r="AI51" s="66" t="str">
        <f aca="false">IF($AG51=Constants!$B$7,POWER(Constants!$B$11,X51)*POWER(Constants!$B$12,Z51),"")</f>
        <v/>
      </c>
      <c r="AJ51" s="66" t="str">
        <f aca="false">IF(AND($AG51=Constants!$B$7, U51, V51) ,IF(OR($AA51="",$AC51=""),"",MAX(0, $AC51-$AA51)),"")</f>
        <v/>
      </c>
      <c r="AK51" s="66" t="str">
        <f aca="false">IF(AND($AG51=Constants!$B$7, U51, V51),IF(OR($AA51="",$AC51=""),$AK$6,""),"")</f>
        <v/>
      </c>
      <c r="AL51" s="66" t="str">
        <f aca="false">IF($AG51=Constants!$B$7,IF(AND(U51,V51,W51,Y51),IF($AJ51="",0,IF($AJ$6=0,Constants!$B$9,Constants!$B$9*AJ51/$AJ$6)), 0),"")</f>
        <v/>
      </c>
      <c r="AM51" s="66" t="str">
        <f aca="false">IF(AL51&lt;&gt;"", AL51*AI51,"")</f>
        <v/>
      </c>
      <c r="AN51" s="66" t="str">
        <f aca="false">IF(AND($AG51=Constants!$B$7, U51, V51) ,IF($AB51="", "", IF(OR($AC51="",$AC51=0),"",MAX(0,1-ABS($AC51-$AB51)/$AC51))),"")</f>
        <v/>
      </c>
      <c r="AO51" s="66" t="str">
        <f aca="false">IF(AND($AG51=Constants!$B$7, U51, V51),IF(AND($AA51&lt;&gt;"",$AB51&lt;&gt;"",$AC51=0),$AO$6,""),"")</f>
        <v/>
      </c>
      <c r="AP51" s="66" t="str">
        <f aca="false">IF($AG51=Constants!$B$7 ,IF(AND(U51,V51,W51,Y51,ISNUMBER(AB51)),IF($AN51="",0,IF($AN$6=0,Constants!$B$10,Constants!$B$10*AN51/$AN$6)), 0),"")</f>
        <v/>
      </c>
      <c r="AQ51" s="66" t="str">
        <f aca="false">IF(AP51&lt;&gt;"", AP51*AI51,"")</f>
        <v/>
      </c>
      <c r="AR51" s="66" t="str">
        <f aca="false">IF($AG51=Constants!$B$7,IF($AD51="",0,IF($AR$6=0,Constants!$B$8,Constants!$B$8*AD51/$AR$6)),"")</f>
        <v/>
      </c>
      <c r="AS51" s="66" t="str">
        <f aca="false">IF($AG51&lt;&gt;Constants!$B$7,$AG51,IF(AK51&amp;AO51&lt;&gt;"",Constants!$B$14,AM51+AQ51+AR51))</f>
        <v/>
      </c>
      <c r="AT51" s="66" t="str">
        <f aca="false">IF(ISBLANK($C51),"",IF($AG51=Constants!$B$7,IF(ISNUMBER(AS51),RANK(AS51,$AS$8:$AS$507),Constants!$B$14),$AG51))</f>
        <v/>
      </c>
      <c r="AU51" s="66" t="str">
        <f aca="false">IF(ISBLANK($C51), "",AM51)</f>
        <v/>
      </c>
      <c r="AV51" s="66" t="str">
        <f aca="false">IF(ISBLANK($C51),"",IF($AG51=Constants!$B$7,RANK(AU51,AU$8:AU$507),$AG51))</f>
        <v/>
      </c>
      <c r="AW51" s="66" t="str">
        <f aca="false">IF(ISBLANK($C51), "",AR51)</f>
        <v/>
      </c>
      <c r="AX51" s="66" t="str">
        <f aca="false">IF(ISBLANK($C51),"",IF($AG51=Constants!$B$7,RANK(AW51,AW$8:AW$507),$AG51))</f>
        <v/>
      </c>
      <c r="AY51" s="66" t="str">
        <f aca="false">IF(ISBLANK($C51), "",AE51)</f>
        <v/>
      </c>
      <c r="AZ51" s="66" t="str">
        <f aca="false">IF(ISBLANK($C51),"",
IF($AG51=Constants!$B$7,
  IF(ISNUMBER(AT51),
    COUNTIFS($AT$8:$AT$507,"&lt;"&amp;$AT51)
    + COUNTIFS($AT$8:$AT$507,$AT51,$AV$8:$AV$507,"&lt;"&amp;$AV51)
    + COUNTIFS($AT$8:$AT$507,$AT51,$AV$8:$AV$507,$AV51,$AX$8:$AX$507,"&lt;"&amp;$AX51)
    + COUNTIFS($AT$8:$AT$507,$AT51,$AV$8:$AV$507,$AV51,$AX$8:$AX$507,$AX51,$AY$8:$AY$507,"&lt;"&amp;$AY51)
    + 1,
  Constants!$B$14),
$AG51))</f>
        <v/>
      </c>
      <c r="BA51" s="66" t="str">
        <f aca="false">IF(ISBLANK(C51),"",IF($AG51=Constants!$B$7, IF(ISNUMBER(AT51),AT51-AZ51,Constants!$B$14),$AG51))</f>
        <v/>
      </c>
      <c r="BB51" s="70"/>
      <c r="BC51" s="84" t="str">
        <f aca="false">IF(ISBLANK($C51),"",TRIM(AK51&amp;" "&amp;AO51))</f>
        <v/>
      </c>
      <c r="BD51" s="72" t="str">
        <f aca="false">IF(ISBLANK($C51),"",IF($AG51&lt;&gt;Constants!$B$7,$AG51,AR51))</f>
        <v/>
      </c>
      <c r="BE51" s="72" t="str">
        <f aca="false">IF(ISBLANK($C51),"",IF($AG51&lt;&gt;Constants!$B$7,$AG51,AM51))</f>
        <v/>
      </c>
      <c r="BF51" s="72" t="str">
        <f aca="false">IF(ISBLANK($C51),"",IF($AG51&lt;&gt;Constants!$B$7,$AG51,AQ51))</f>
        <v/>
      </c>
      <c r="BG51" s="73" t="str">
        <f aca="false">IF(ISBLANK($C51),"",IF($AG51&lt;&gt;Constants!$B$7, $AG51 ,AS51))</f>
        <v/>
      </c>
      <c r="BH51" s="74" t="str">
        <f aca="false">IF(ISBLANK($C51),"",IF($AG51&lt;&gt;Constants!$B$7, $AG51 ,AH51))</f>
        <v/>
      </c>
      <c r="BI51" s="72" t="str">
        <f aca="false">IF(ISBLANK(C51),"",BA51)</f>
        <v/>
      </c>
      <c r="BJ51" s="72" t="str">
        <f aca="false">IF(ISBLANK(C51),"",AZ51)</f>
        <v/>
      </c>
      <c r="BK51" s="75" t="str">
        <f aca="false">IF(ISBLANK(C51),"",IFERROR(_xlfn.SWITCH(BJ51, Constants!$B$4, COUNTA($C$8:$C550)+2, Constants!$B$5, COUNTA($C$8:$C550)+1, Constants!$B$6, COUNTA($C$8:$C550)),BJ51))</f>
        <v/>
      </c>
      <c r="BL51" s="5"/>
      <c r="BM51" s="76" t="n">
        <f aca="false">IF(OR(ISNUMBER(BJ51),BJ51="DQ",BJ51="P",BJ51="NS"),
    1,
    0
)</f>
        <v>0</v>
      </c>
      <c r="BN51" s="76" t="n">
        <v>44</v>
      </c>
      <c r="BO51" s="76" t="str">
        <f aca="false">IF(ISBLANK($C51),"",IF(ISNUMBER(BK51),BK51+ROW($B51)/1000,""))</f>
        <v/>
      </c>
      <c r="BP51" s="76" t="str">
        <f aca="false">IF(ISNUMBER(BO51), RANK(BO51,BO$8:BO$507,1), "")</f>
        <v/>
      </c>
      <c r="BQ51" s="76" t="str">
        <f aca="false">IF(ISBLANK($C51),
    "",
    $B51
)</f>
        <v/>
      </c>
      <c r="BR51" s="76" t="str">
        <f aca="false">IF(ISBLANK($C51),
    "",
    $C51
)</f>
        <v/>
      </c>
      <c r="BS51" s="76" t="str">
        <f aca="false">IF(ISBLANK($C51),
    "",
    $D51
)</f>
        <v/>
      </c>
      <c r="BT51" s="77" t="str">
        <f aca="false">BH51</f>
        <v/>
      </c>
      <c r="BU51" s="78" t="str">
        <f aca="false">BG51</f>
        <v/>
      </c>
      <c r="BV51" s="76" t="str">
        <f aca="false">IF(ISBLANK($C51),
    "",
    BJ51
)</f>
        <v/>
      </c>
      <c r="BW51" s="79" t="str">
        <f aca="false">IF(BN51&gt;BM$7,
    "",
    VLOOKUP(BN51,BP$8:BV550,7,FALSE())
)</f>
        <v/>
      </c>
      <c r="BX51" s="80" t="str">
        <f aca="false">IF(BN51&gt;BM$7,
    "",
    VLOOKUP(BN51,BP$8:BV550,2,FALSE())
)</f>
        <v/>
      </c>
      <c r="BY51" s="80" t="str">
        <f aca="false">IF(BN51&gt;BM$7,
    "",
    VLOOKUP(BN51,BP$8:BV550,3,FALSE())
)</f>
        <v/>
      </c>
      <c r="BZ51" s="80" t="str">
        <f aca="false">IF(BN51&gt;BM$7,
    "",
    VLOOKUP(BN51,BP$8:BV550,4,FALSE())
)</f>
        <v/>
      </c>
      <c r="CA51" s="80" t="str">
        <f aca="false">IF(BN51&gt;BM$7,
    "",
    VLOOKUP(BN51,BP$8:BV550,5,FALSE())
)</f>
        <v/>
      </c>
      <c r="CB51" s="81" t="str">
        <f aca="false">IF(BN51&gt;BM$7,
    "",
    VLOOKUP(BN51,BP$8:BV550,6,FALSE())
)</f>
        <v/>
      </c>
      <c r="CC51" s="53"/>
    </row>
    <row r="52" customFormat="false" ht="15.75" hidden="false" customHeight="false" outlineLevel="0" collapsed="false">
      <c r="A52" s="5"/>
      <c r="B52" s="129"/>
      <c r="C52" s="55"/>
      <c r="D52" s="56"/>
      <c r="E52" s="123"/>
      <c r="F52" s="123"/>
      <c r="G52" s="58"/>
      <c r="H52" s="59"/>
      <c r="I52" s="59"/>
      <c r="J52" s="83"/>
      <c r="K52" s="83"/>
      <c r="L52" s="83"/>
      <c r="M52" s="61"/>
      <c r="N52" s="61"/>
      <c r="O52" s="61"/>
      <c r="P52" s="62"/>
      <c r="Q52" s="63"/>
      <c r="R52" s="83"/>
      <c r="S52" s="65"/>
      <c r="T52" s="66"/>
      <c r="U52" s="66" t="str">
        <f aca="false">IF(ISBLANK($C52),"",IF(G52=Constants!$B$2, TRUE(), IF(G52=Constants!$B$3, FALSE(), TRUE())))</f>
        <v/>
      </c>
      <c r="V52" s="66" t="str">
        <f aca="false">IF(ISBLANK($C52),"",IF(H52=Constants!$B$2, TRUE(), IF(H52=Constants!$B$3, FALSE(), TRUE())))</f>
        <v/>
      </c>
      <c r="W52" s="66" t="str">
        <f aca="false">IF(ISBLANK($C52),"",IF(I52=Constants!$B$2, TRUE(), IF(I52=Constants!$B$3, FALSE(), TRUE())))</f>
        <v/>
      </c>
      <c r="X52" s="66" t="str">
        <f aca="false">IF(ISBLANK($C52),"",IF(AND(ISNUMBER(J52),J52&gt;0),INT(J52),0))</f>
        <v/>
      </c>
      <c r="Y52" s="66" t="str">
        <f aca="false">IF(ISBLANK($C52),"",IF(K52=Constants!$B$2, TRUE(), IF(K52=Constants!$B$3, FALSE(), TRUE())))</f>
        <v/>
      </c>
      <c r="Z52" s="66" t="str">
        <f aca="false">IF(ISBLANK($C52),"",IF(AND(ISNUMBER(L52),L52&gt;0),INT(L52),0))</f>
        <v/>
      </c>
      <c r="AA52" s="68" t="str">
        <f aca="false">IF(ISBLANK($C52),"",IF(ISNUMBER(M52), M52, ""))</f>
        <v/>
      </c>
      <c r="AB52" s="68" t="str">
        <f aca="false">IF(ISBLANK($C52),"",IF(ISNUMBER(N52), N52, ""))</f>
        <v/>
      </c>
      <c r="AC52" s="68" t="str">
        <f aca="false">IF(ISBLANK($C52),"",IF(ISNUMBER(O52), O52, ""))</f>
        <v/>
      </c>
      <c r="AD52" s="69" t="str">
        <f aca="false">IF(ISBLANK($C52),"",IF(ISNUMBER(P52), P52, ""))</f>
        <v/>
      </c>
      <c r="AE52" s="69" t="str">
        <f aca="false">IF(ISBLANK($C52),"",IF(ISNUMBER(Q52), Q52, Constants!$B$13))</f>
        <v/>
      </c>
      <c r="AF52" s="66" t="str">
        <f aca="false">IF(ISBLANK($C52),"",IF(R52=Constants!$B$2, TRUE(), IF(R52=Constants!$B$3, FALSE(), FALSE())))</f>
        <v/>
      </c>
      <c r="AG52" s="66" t="str">
        <f aca="false">IF(ISBLANK(C52), "", IF(AF52, Constants!$B$4,IF(COUNTA(G52:P52)=0, Constants!$B$5, Constants!$B$7)))</f>
        <v/>
      </c>
      <c r="AH52" s="66" t="str">
        <f aca="false">IF(ISBLANK($C52), "",IF($AG52=Constants!$B$7,1,$AG52))</f>
        <v/>
      </c>
      <c r="AI52" s="66" t="str">
        <f aca="false">IF($AG52=Constants!$B$7,POWER(Constants!$B$11,X52)*POWER(Constants!$B$12,Z52),"")</f>
        <v/>
      </c>
      <c r="AJ52" s="66" t="str">
        <f aca="false">IF(AND($AG52=Constants!$B$7, U52, V52) ,IF(OR($AA52="",$AC52=""),"",MAX(0, $AC52-$AA52)),"")</f>
        <v/>
      </c>
      <c r="AK52" s="66" t="str">
        <f aca="false">IF(AND($AG52=Constants!$B$7, U52, V52),IF(OR($AA52="",$AC52=""),$AK$6,""),"")</f>
        <v/>
      </c>
      <c r="AL52" s="66" t="str">
        <f aca="false">IF($AG52=Constants!$B$7,IF(AND(U52,V52,W52,Y52),IF($AJ52="",0,IF($AJ$6=0,Constants!$B$9,Constants!$B$9*AJ52/$AJ$6)), 0),"")</f>
        <v/>
      </c>
      <c r="AM52" s="66" t="str">
        <f aca="false">IF(AL52&lt;&gt;"", AL52*AI52,"")</f>
        <v/>
      </c>
      <c r="AN52" s="66" t="str">
        <f aca="false">IF(AND($AG52=Constants!$B$7, U52, V52) ,IF($AB52="", "", IF(OR($AC52="",$AC52=0),"",MAX(0,1-ABS($AC52-$AB52)/$AC52))),"")</f>
        <v/>
      </c>
      <c r="AO52" s="66" t="str">
        <f aca="false">IF(AND($AG52=Constants!$B$7, U52, V52),IF(AND($AA52&lt;&gt;"",$AB52&lt;&gt;"",$AC52=0),$AO$6,""),"")</f>
        <v/>
      </c>
      <c r="AP52" s="66" t="str">
        <f aca="false">IF($AG52=Constants!$B$7 ,IF(AND(U52,V52,W52,Y52,ISNUMBER(AB52)),IF($AN52="",0,IF($AN$6=0,Constants!$B$10,Constants!$B$10*AN52/$AN$6)), 0),"")</f>
        <v/>
      </c>
      <c r="AQ52" s="66" t="str">
        <f aca="false">IF(AP52&lt;&gt;"", AP52*AI52,"")</f>
        <v/>
      </c>
      <c r="AR52" s="66" t="str">
        <f aca="false">IF($AG52=Constants!$B$7,IF($AD52="",0,IF($AR$6=0,Constants!$B$8,Constants!$B$8*AD52/$AR$6)),"")</f>
        <v/>
      </c>
      <c r="AS52" s="66" t="str">
        <f aca="false">IF($AG52&lt;&gt;Constants!$B$7,$AG52,IF(AK52&amp;AO52&lt;&gt;"",Constants!$B$14,AM52+AQ52+AR52))</f>
        <v/>
      </c>
      <c r="AT52" s="66" t="str">
        <f aca="false">IF(ISBLANK($C52),"",IF($AG52=Constants!$B$7,IF(ISNUMBER(AS52),RANK(AS52,$AS$8:$AS$507),Constants!$B$14),$AG52))</f>
        <v/>
      </c>
      <c r="AU52" s="66" t="str">
        <f aca="false">IF(ISBLANK($C52), "",AM52)</f>
        <v/>
      </c>
      <c r="AV52" s="66" t="str">
        <f aca="false">IF(ISBLANK($C52),"",IF($AG52=Constants!$B$7,RANK(AU52,AU$8:AU$507),$AG52))</f>
        <v/>
      </c>
      <c r="AW52" s="66" t="str">
        <f aca="false">IF(ISBLANK($C52), "",AR52)</f>
        <v/>
      </c>
      <c r="AX52" s="66" t="str">
        <f aca="false">IF(ISBLANK($C52),"",IF($AG52=Constants!$B$7,RANK(AW52,AW$8:AW$507),$AG52))</f>
        <v/>
      </c>
      <c r="AY52" s="66" t="str">
        <f aca="false">IF(ISBLANK($C52), "",AE52)</f>
        <v/>
      </c>
      <c r="AZ52" s="66" t="str">
        <f aca="false">IF(ISBLANK($C52),"",
IF($AG52=Constants!$B$7,
  IF(ISNUMBER(AT52),
    COUNTIFS($AT$8:$AT$507,"&lt;"&amp;$AT52)
    + COUNTIFS($AT$8:$AT$507,$AT52,$AV$8:$AV$507,"&lt;"&amp;$AV52)
    + COUNTIFS($AT$8:$AT$507,$AT52,$AV$8:$AV$507,$AV52,$AX$8:$AX$507,"&lt;"&amp;$AX52)
    + COUNTIFS($AT$8:$AT$507,$AT52,$AV$8:$AV$507,$AV52,$AX$8:$AX$507,$AX52,$AY$8:$AY$507,"&lt;"&amp;$AY52)
    + 1,
  Constants!$B$14),
$AG52))</f>
        <v/>
      </c>
      <c r="BA52" s="66" t="str">
        <f aca="false">IF(ISBLANK(C52),"",IF($AG52=Constants!$B$7, IF(ISNUMBER(AT52),AT52-AZ52,Constants!$B$14),$AG52))</f>
        <v/>
      </c>
      <c r="BB52" s="70"/>
      <c r="BC52" s="84" t="str">
        <f aca="false">IF(ISBLANK($C52),"",TRIM(AK52&amp;" "&amp;AO52))</f>
        <v/>
      </c>
      <c r="BD52" s="72" t="str">
        <f aca="false">IF(ISBLANK($C52),"",IF($AG52&lt;&gt;Constants!$B$7,$AG52,AR52))</f>
        <v/>
      </c>
      <c r="BE52" s="72" t="str">
        <f aca="false">IF(ISBLANK($C52),"",IF($AG52&lt;&gt;Constants!$B$7,$AG52,AM52))</f>
        <v/>
      </c>
      <c r="BF52" s="72" t="str">
        <f aca="false">IF(ISBLANK($C52),"",IF($AG52&lt;&gt;Constants!$B$7,$AG52,AQ52))</f>
        <v/>
      </c>
      <c r="BG52" s="73" t="str">
        <f aca="false">IF(ISBLANK($C52),"",IF($AG52&lt;&gt;Constants!$B$7, $AG52 ,AS52))</f>
        <v/>
      </c>
      <c r="BH52" s="74" t="str">
        <f aca="false">IF(ISBLANK($C52),"",IF($AG52&lt;&gt;Constants!$B$7, $AG52 ,AH52))</f>
        <v/>
      </c>
      <c r="BI52" s="72" t="str">
        <f aca="false">IF(ISBLANK(C52),"",BA52)</f>
        <v/>
      </c>
      <c r="BJ52" s="72" t="str">
        <f aca="false">IF(ISBLANK(C52),"",AZ52)</f>
        <v/>
      </c>
      <c r="BK52" s="75" t="str">
        <f aca="false">IF(ISBLANK(C52),"",IFERROR(_xlfn.SWITCH(BJ52, Constants!$B$4, COUNTA($C$8:$C551)+2, Constants!$B$5, COUNTA($C$8:$C551)+1, Constants!$B$6, COUNTA($C$8:$C551)),BJ52))</f>
        <v/>
      </c>
      <c r="BL52" s="5"/>
      <c r="BM52" s="76" t="n">
        <f aca="false">IF(OR(ISNUMBER(BJ52),BJ52="DQ",BJ52="P",BJ52="NS"),
    1,
    0
)</f>
        <v>0</v>
      </c>
      <c r="BN52" s="76" t="n">
        <v>45</v>
      </c>
      <c r="BO52" s="76" t="str">
        <f aca="false">IF(ISBLANK($C52),"",IF(ISNUMBER(BK52),BK52+ROW($B52)/1000,""))</f>
        <v/>
      </c>
      <c r="BP52" s="76" t="str">
        <f aca="false">IF(ISNUMBER(BO52), RANK(BO52,BO$8:BO$507,1), "")</f>
        <v/>
      </c>
      <c r="BQ52" s="76" t="str">
        <f aca="false">IF(ISBLANK($C52),
    "",
    $B52
)</f>
        <v/>
      </c>
      <c r="BR52" s="76" t="str">
        <f aca="false">IF(ISBLANK($C52),
    "",
    $C52
)</f>
        <v/>
      </c>
      <c r="BS52" s="76" t="str">
        <f aca="false">IF(ISBLANK($C52),
    "",
    $D52
)</f>
        <v/>
      </c>
      <c r="BT52" s="77" t="str">
        <f aca="false">BH52</f>
        <v/>
      </c>
      <c r="BU52" s="78" t="str">
        <f aca="false">BG52</f>
        <v/>
      </c>
      <c r="BV52" s="76" t="str">
        <f aca="false">IF(ISBLANK($C52),
    "",
    BJ52
)</f>
        <v/>
      </c>
      <c r="BW52" s="79" t="str">
        <f aca="false">IF(BN52&gt;BM$7,
    "",
    VLOOKUP(BN52,BP$8:BV551,7,FALSE())
)</f>
        <v/>
      </c>
      <c r="BX52" s="80" t="str">
        <f aca="false">IF(BN52&gt;BM$7,
    "",
    VLOOKUP(BN52,BP$8:BV551,2,FALSE())
)</f>
        <v/>
      </c>
      <c r="BY52" s="80" t="str">
        <f aca="false">IF(BN52&gt;BM$7,
    "",
    VLOOKUP(BN52,BP$8:BV551,3,FALSE())
)</f>
        <v/>
      </c>
      <c r="BZ52" s="80" t="str">
        <f aca="false">IF(BN52&gt;BM$7,
    "",
    VLOOKUP(BN52,BP$8:BV551,4,FALSE())
)</f>
        <v/>
      </c>
      <c r="CA52" s="80" t="str">
        <f aca="false">IF(BN52&gt;BM$7,
    "",
    VLOOKUP(BN52,BP$8:BV551,5,FALSE())
)</f>
        <v/>
      </c>
      <c r="CB52" s="81" t="str">
        <f aca="false">IF(BN52&gt;BM$7,
    "",
    VLOOKUP(BN52,BP$8:BV551,6,FALSE())
)</f>
        <v/>
      </c>
      <c r="CC52" s="53"/>
    </row>
    <row r="53" customFormat="false" ht="15.75" hidden="false" customHeight="false" outlineLevel="0" collapsed="false">
      <c r="A53" s="5"/>
      <c r="B53" s="125"/>
      <c r="C53" s="126"/>
      <c r="D53" s="115"/>
      <c r="E53" s="119"/>
      <c r="F53" s="119"/>
      <c r="G53" s="91"/>
      <c r="H53" s="92"/>
      <c r="I53" s="92"/>
      <c r="J53" s="128"/>
      <c r="K53" s="128"/>
      <c r="L53" s="128"/>
      <c r="M53" s="94"/>
      <c r="N53" s="94"/>
      <c r="O53" s="94"/>
      <c r="P53" s="95"/>
      <c r="Q53" s="96"/>
      <c r="R53" s="128"/>
      <c r="S53" s="98"/>
      <c r="T53" s="99"/>
      <c r="U53" s="99" t="str">
        <f aca="false">IF(ISBLANK($C53),"",IF(G53=Constants!$B$2, TRUE(), IF(G53=Constants!$B$3, FALSE(), TRUE())))</f>
        <v/>
      </c>
      <c r="V53" s="99" t="str">
        <f aca="false">IF(ISBLANK($C53),"",IF(H53=Constants!$B$2, TRUE(), IF(H53=Constants!$B$3, FALSE(), TRUE())))</f>
        <v/>
      </c>
      <c r="W53" s="99" t="str">
        <f aca="false">IF(ISBLANK($C53),"",IF(I53=Constants!$B$2, TRUE(), IF(I53=Constants!$B$3, FALSE(), TRUE())))</f>
        <v/>
      </c>
      <c r="X53" s="99" t="str">
        <f aca="false">IF(ISBLANK($C53),"",IF(AND(ISNUMBER(J53),J53&gt;0),INT(J53),0))</f>
        <v/>
      </c>
      <c r="Y53" s="99" t="str">
        <f aca="false">IF(ISBLANK($C53),"",IF(K53=Constants!$B$2, TRUE(), IF(K53=Constants!$B$3, FALSE(), TRUE())))</f>
        <v/>
      </c>
      <c r="Z53" s="100" t="str">
        <f aca="false">IF(ISBLANK($C53),"",IF(AND(ISNUMBER(L53),L53&gt;0),INT(L53),0))</f>
        <v/>
      </c>
      <c r="AA53" s="101" t="str">
        <f aca="false">IF(ISBLANK($C53),"",IF(ISNUMBER(M53), M53, ""))</f>
        <v/>
      </c>
      <c r="AB53" s="101" t="str">
        <f aca="false">IF(ISBLANK($C53),"",IF(ISNUMBER(N53), N53, ""))</f>
        <v/>
      </c>
      <c r="AC53" s="101" t="str">
        <f aca="false">IF(ISBLANK($C53),"",IF(ISNUMBER(O53), O53, ""))</f>
        <v/>
      </c>
      <c r="AD53" s="102" t="str">
        <f aca="false">IF(ISBLANK($C53),"",IF(ISNUMBER(P53), P53, ""))</f>
        <v/>
      </c>
      <c r="AE53" s="102" t="str">
        <f aca="false">IF(ISBLANK($C53),"",IF(ISNUMBER(Q53), Q53, Constants!$B$13))</f>
        <v/>
      </c>
      <c r="AF53" s="99" t="str">
        <f aca="false">IF(ISBLANK($C53),"",IF(R53=Constants!$B$2, TRUE(), IF(R53=Constants!$B$3, FALSE(), FALSE())))</f>
        <v/>
      </c>
      <c r="AG53" s="99" t="str">
        <f aca="false">IF(ISBLANK(C53), "", IF(AF53, Constants!$B$4,IF(COUNTA(G53:P53)=0, Constants!$B$5, Constants!$B$7)))</f>
        <v/>
      </c>
      <c r="AH53" s="99" t="str">
        <f aca="false">IF(ISBLANK($C53), "",IF($AG53=Constants!$B$7,1,$AG53))</f>
        <v/>
      </c>
      <c r="AI53" s="99" t="str">
        <f aca="false">IF($AG53=Constants!$B$7,POWER(Constants!$B$11,X53)*POWER(Constants!$B$12,Z53),"")</f>
        <v/>
      </c>
      <c r="AJ53" s="99" t="str">
        <f aca="false">IF(AND($AG53=Constants!$B$7, U53, V53) ,IF(OR($AA53="",$AC53=""),"",MAX(0, $AC53-$AA53)),"")</f>
        <v/>
      </c>
      <c r="AK53" s="99" t="str">
        <f aca="false">IF(AND($AG53=Constants!$B$7, U53, V53),IF(OR($AA53="",$AC53=""),$AK$6,""),"")</f>
        <v/>
      </c>
      <c r="AL53" s="99" t="str">
        <f aca="false">IF($AG53=Constants!$B$7,IF(AND(U53,V53,W53,Y53),IF($AJ53="",0,IF($AJ$6=0,Constants!$B$9,Constants!$B$9*AJ53/$AJ$6)), 0),"")</f>
        <v/>
      </c>
      <c r="AM53" s="99" t="str">
        <f aca="false">IF(AL53&lt;&gt;"", AL53*AI53,"")</f>
        <v/>
      </c>
      <c r="AN53" s="99" t="str">
        <f aca="false">IF(AND($AG53=Constants!$B$7, U53, V53) ,IF($AB53="", "", IF(OR($AC53="",$AC53=0),"",MAX(0,1-ABS($AC53-$AB53)/$AC53))),"")</f>
        <v/>
      </c>
      <c r="AO53" s="99" t="str">
        <f aca="false">IF(AND($AG53=Constants!$B$7, U53, V53),IF(AND($AA53&lt;&gt;"",$AB53&lt;&gt;"",$AC53=0),$AO$6,""),"")</f>
        <v/>
      </c>
      <c r="AP53" s="99" t="str">
        <f aca="false">IF($AG53=Constants!$B$7 ,IF(AND(U53,V53,W53,Y53,ISNUMBER(AB53)),IF($AN53="",0,IF($AN$6=0,Constants!$B$10,Constants!$B$10*AN53/$AN$6)), 0),"")</f>
        <v/>
      </c>
      <c r="AQ53" s="99" t="str">
        <f aca="false">IF(AP53&lt;&gt;"", AP53*AI53,"")</f>
        <v/>
      </c>
      <c r="AR53" s="99" t="str">
        <f aca="false">IF($AG53=Constants!$B$7,IF($AD53="",0,IF($AR$6=0,Constants!$B$8,Constants!$B$8*AD53/$AR$6)),"")</f>
        <v/>
      </c>
      <c r="AS53" s="99" t="str">
        <f aca="false">IF($AG53&lt;&gt;Constants!$B$7,$AG53,IF(AK53&amp;AO53&lt;&gt;"",Constants!$B$14,AM53+AQ53+AR53))</f>
        <v/>
      </c>
      <c r="AT53" s="99" t="str">
        <f aca="false">IF(ISBLANK($C53),"",IF($AG53=Constants!$B$7,IF(ISNUMBER(AS53),RANK(AS53,$AS$8:$AS$507),Constants!$B$14),$AG53))</f>
        <v/>
      </c>
      <c r="AU53" s="99" t="str">
        <f aca="false">IF(ISBLANK($C53), "",AM53)</f>
        <v/>
      </c>
      <c r="AV53" s="99" t="str">
        <f aca="false">IF(ISBLANK($C53),"",IF($AG53=Constants!$B$7,RANK(AU53,AU$8:AU$507),$AG53))</f>
        <v/>
      </c>
      <c r="AW53" s="99" t="str">
        <f aca="false">IF(ISBLANK($C53), "",AR53)</f>
        <v/>
      </c>
      <c r="AX53" s="99" t="str">
        <f aca="false">IF(ISBLANK($C53),"",IF($AG53=Constants!$B$7,RANK(AW53,AW$8:AW$507),$AG53))</f>
        <v/>
      </c>
      <c r="AY53" s="99" t="str">
        <f aca="false">IF(ISBLANK($C53), "",AE53)</f>
        <v/>
      </c>
      <c r="AZ53" s="99" t="str">
        <f aca="false">IF(ISBLANK($C53),"",
IF($AG53=Constants!$B$7,
  IF(ISNUMBER(AT53),
    COUNTIFS($AT$8:$AT$507,"&lt;"&amp;$AT53)
    + COUNTIFS($AT$8:$AT$507,$AT53,$AV$8:$AV$507,"&lt;"&amp;$AV53)
    + COUNTIFS($AT$8:$AT$507,$AT53,$AV$8:$AV$507,$AV53,$AX$8:$AX$507,"&lt;"&amp;$AX53)
    + COUNTIFS($AT$8:$AT$507,$AT53,$AV$8:$AV$507,$AV53,$AX$8:$AX$507,$AX53,$AY$8:$AY$507,"&lt;"&amp;$AY53)
    + 1,
  Constants!$B$14),
$AG53))</f>
        <v/>
      </c>
      <c r="BA53" s="99" t="str">
        <f aca="false">IF(ISBLANK(C53),"",IF($AG53=Constants!$B$7, IF(ISNUMBER(AT53),AT53-AZ53,Constants!$B$14),$AG53))</f>
        <v/>
      </c>
      <c r="BB53" s="103"/>
      <c r="BC53" s="104" t="str">
        <f aca="false">IF(ISBLANK($C53),"",TRIM(AK53&amp;" "&amp;AO53))</f>
        <v/>
      </c>
      <c r="BD53" s="105" t="str">
        <f aca="false">IF(ISBLANK($C53),"",IF($AG53&lt;&gt;Constants!$B$7,$AG53,AR53))</f>
        <v/>
      </c>
      <c r="BE53" s="105" t="str">
        <f aca="false">IF(ISBLANK($C53),"",IF($AG53&lt;&gt;Constants!$B$7,$AG53,AM53))</f>
        <v/>
      </c>
      <c r="BF53" s="105" t="str">
        <f aca="false">IF(ISBLANK($C53),"",IF($AG53&lt;&gt;Constants!$B$7,$AG53,AQ53))</f>
        <v/>
      </c>
      <c r="BG53" s="106" t="str">
        <f aca="false">IF(ISBLANK($C53),"",IF($AG53&lt;&gt;Constants!$B$7, $AG53 ,AS53))</f>
        <v/>
      </c>
      <c r="BH53" s="107" t="str">
        <f aca="false">IF(ISBLANK($C53),"",IF($AG53&lt;&gt;Constants!$B$7, $AG53 ,AH53))</f>
        <v/>
      </c>
      <c r="BI53" s="105" t="str">
        <f aca="false">IF(ISBLANK(C53),"",BA53)</f>
        <v/>
      </c>
      <c r="BJ53" s="105" t="str">
        <f aca="false">IF(ISBLANK(C53),"",AZ53)</f>
        <v/>
      </c>
      <c r="BK53" s="108" t="str">
        <f aca="false">IF(ISBLANK(C53),"",IFERROR(_xlfn.SWITCH(BJ53, Constants!$B$4, COUNTA($C$8:$C552)+2, Constants!$B$5, COUNTA($C$8:$C552)+1, Constants!$B$6, COUNTA($C$8:$C552)),BJ53))</f>
        <v/>
      </c>
      <c r="BL53" s="5"/>
      <c r="BM53" s="109" t="n">
        <f aca="false">IF(OR(ISNUMBER(BJ53),BJ53="DQ",BJ53="P",BJ53="NS"),
    1,
    0
)</f>
        <v>0</v>
      </c>
      <c r="BN53" s="109" t="n">
        <v>46</v>
      </c>
      <c r="BO53" s="109" t="str">
        <f aca="false">IF(ISBLANK($C53),"",IF(ISNUMBER(BK53),BK53+ROW($B53)/1000,""))</f>
        <v/>
      </c>
      <c r="BP53" s="109" t="str">
        <f aca="false">IF(ISNUMBER(BO53), RANK(BO53,BO$8:BO$507,1), "")</f>
        <v/>
      </c>
      <c r="BQ53" s="109" t="str">
        <f aca="false">IF(ISBLANK($C53),
    "",
    $B53
)</f>
        <v/>
      </c>
      <c r="BR53" s="109" t="str">
        <f aca="false">IF(ISBLANK($C53),
    "",
    $C53
)</f>
        <v/>
      </c>
      <c r="BS53" s="109" t="str">
        <f aca="false">IF(ISBLANK($C53),
    "",
    $D53
)</f>
        <v/>
      </c>
      <c r="BT53" s="110" t="str">
        <f aca="false">BH53</f>
        <v/>
      </c>
      <c r="BU53" s="111" t="str">
        <f aca="false">BG53</f>
        <v/>
      </c>
      <c r="BV53" s="109" t="str">
        <f aca="false">IF(ISBLANK($C53),
    "",
    BJ53
)</f>
        <v/>
      </c>
      <c r="BW53" s="112" t="str">
        <f aca="false">IF(BN53&gt;BM$7,
    "",
    VLOOKUP(BN53,BP$8:BV552,7,FALSE())
)</f>
        <v/>
      </c>
      <c r="BX53" s="113" t="str">
        <f aca="false">IF(BN53&gt;BM$7,
    "",
    VLOOKUP(BN53,BP$8:BV552,2,FALSE())
)</f>
        <v/>
      </c>
      <c r="BY53" s="113" t="str">
        <f aca="false">IF(BN53&gt;BM$7,
    "",
    VLOOKUP(BN53,BP$8:BV552,3,FALSE())
)</f>
        <v/>
      </c>
      <c r="BZ53" s="113" t="str">
        <f aca="false">IF(BN53&gt;BM$7,
    "",
    VLOOKUP(BN53,BP$8:BV552,4,FALSE())
)</f>
        <v/>
      </c>
      <c r="CA53" s="113" t="str">
        <f aca="false">IF(BN53&gt;BM$7,
    "",
    VLOOKUP(BN53,BP$8:BV552,5,FALSE())
)</f>
        <v/>
      </c>
      <c r="CB53" s="114" t="str">
        <f aca="false">IF(BN53&gt;BM$7,
    "",
    VLOOKUP(BN53,BP$8:BV552,6,FALSE())
)</f>
        <v/>
      </c>
      <c r="CC53" s="53"/>
    </row>
    <row r="54" customFormat="false" ht="15.75" hidden="false" customHeight="false" outlineLevel="0" collapsed="false">
      <c r="A54" s="5"/>
      <c r="B54" s="125"/>
      <c r="C54" s="126"/>
      <c r="D54" s="115"/>
      <c r="E54" s="119"/>
      <c r="F54" s="119"/>
      <c r="G54" s="91"/>
      <c r="H54" s="92"/>
      <c r="I54" s="92"/>
      <c r="J54" s="128"/>
      <c r="K54" s="128"/>
      <c r="L54" s="128"/>
      <c r="M54" s="94"/>
      <c r="N54" s="94"/>
      <c r="O54" s="94"/>
      <c r="P54" s="95"/>
      <c r="Q54" s="96"/>
      <c r="R54" s="128"/>
      <c r="S54" s="98"/>
      <c r="T54" s="99"/>
      <c r="U54" s="99" t="str">
        <f aca="false">IF(ISBLANK($C54),"",IF(G54=Constants!$B$2, TRUE(), IF(G54=Constants!$B$3, FALSE(), TRUE())))</f>
        <v/>
      </c>
      <c r="V54" s="99" t="str">
        <f aca="false">IF(ISBLANK($C54),"",IF(H54=Constants!$B$2, TRUE(), IF(H54=Constants!$B$3, FALSE(), TRUE())))</f>
        <v/>
      </c>
      <c r="W54" s="99" t="str">
        <f aca="false">IF(ISBLANK($C54),"",IF(I54=Constants!$B$2, TRUE(), IF(I54=Constants!$B$3, FALSE(), TRUE())))</f>
        <v/>
      </c>
      <c r="X54" s="99" t="str">
        <f aca="false">IF(ISBLANK($C54),"",IF(AND(ISNUMBER(J54),J54&gt;0),INT(J54),0))</f>
        <v/>
      </c>
      <c r="Y54" s="99" t="str">
        <f aca="false">IF(ISBLANK($C54),"",IF(K54=Constants!$B$2, TRUE(), IF(K54=Constants!$B$3, FALSE(), TRUE())))</f>
        <v/>
      </c>
      <c r="Z54" s="100" t="str">
        <f aca="false">IF(ISBLANK($C54),"",IF(AND(ISNUMBER(L54),L54&gt;0),INT(L54),0))</f>
        <v/>
      </c>
      <c r="AA54" s="101" t="str">
        <f aca="false">IF(ISBLANK($C54),"",IF(ISNUMBER(M54), M54, ""))</f>
        <v/>
      </c>
      <c r="AB54" s="101" t="str">
        <f aca="false">IF(ISBLANK($C54),"",IF(ISNUMBER(N54), N54, ""))</f>
        <v/>
      </c>
      <c r="AC54" s="101" t="str">
        <f aca="false">IF(ISBLANK($C54),"",IF(ISNUMBER(O54), O54, ""))</f>
        <v/>
      </c>
      <c r="AD54" s="102" t="str">
        <f aca="false">IF(ISBLANK($C54),"",IF(ISNUMBER(P54), P54, ""))</f>
        <v/>
      </c>
      <c r="AE54" s="102" t="str">
        <f aca="false">IF(ISBLANK($C54),"",IF(ISNUMBER(Q54), Q54, Constants!$B$13))</f>
        <v/>
      </c>
      <c r="AF54" s="99" t="str">
        <f aca="false">IF(ISBLANK($C54),"",IF(R54=Constants!$B$2, TRUE(), IF(R54=Constants!$B$3, FALSE(), FALSE())))</f>
        <v/>
      </c>
      <c r="AG54" s="99" t="str">
        <f aca="false">IF(ISBLANK(C54), "", IF(AF54, Constants!$B$4,IF(COUNTA(G54:P54)=0, Constants!$B$5, Constants!$B$7)))</f>
        <v/>
      </c>
      <c r="AH54" s="99" t="str">
        <f aca="false">IF(ISBLANK($C54), "",IF($AG54=Constants!$B$7,1,$AG54))</f>
        <v/>
      </c>
      <c r="AI54" s="99" t="str">
        <f aca="false">IF($AG54=Constants!$B$7,POWER(Constants!$B$11,X54)*POWER(Constants!$B$12,Z54),"")</f>
        <v/>
      </c>
      <c r="AJ54" s="99" t="str">
        <f aca="false">IF(AND($AG54=Constants!$B$7, U54, V54) ,IF(OR($AA54="",$AC54=""),"",MAX(0, $AC54-$AA54)),"")</f>
        <v/>
      </c>
      <c r="AK54" s="99" t="str">
        <f aca="false">IF(AND($AG54=Constants!$B$7, U54, V54),IF(OR($AA54="",$AC54=""),$AK$6,""),"")</f>
        <v/>
      </c>
      <c r="AL54" s="99" t="str">
        <f aca="false">IF($AG54=Constants!$B$7,IF(AND(U54,V54,W54,Y54),IF($AJ54="",0,IF($AJ$6=0,Constants!$B$9,Constants!$B$9*AJ54/$AJ$6)), 0),"")</f>
        <v/>
      </c>
      <c r="AM54" s="99" t="str">
        <f aca="false">IF(AL54&lt;&gt;"", AL54*AI54,"")</f>
        <v/>
      </c>
      <c r="AN54" s="99" t="str">
        <f aca="false">IF(AND($AG54=Constants!$B$7, U54, V54) ,IF($AB54="", "", IF(OR($AC54="",$AC54=0),"",MAX(0,1-ABS($AC54-$AB54)/$AC54))),"")</f>
        <v/>
      </c>
      <c r="AO54" s="99" t="str">
        <f aca="false">IF(AND($AG54=Constants!$B$7, U54, V54),IF(AND($AA54&lt;&gt;"",$AB54&lt;&gt;"",$AC54=0),$AO$6,""),"")</f>
        <v/>
      </c>
      <c r="AP54" s="99" t="str">
        <f aca="false">IF($AG54=Constants!$B$7 ,IF(AND(U54,V54,W54,Y54,ISNUMBER(AB54)),IF($AN54="",0,IF($AN$6=0,Constants!$B$10,Constants!$B$10*AN54/$AN$6)), 0),"")</f>
        <v/>
      </c>
      <c r="AQ54" s="99" t="str">
        <f aca="false">IF(AP54&lt;&gt;"", AP54*AI54,"")</f>
        <v/>
      </c>
      <c r="AR54" s="99" t="str">
        <f aca="false">IF($AG54=Constants!$B$7,IF($AD54="",0,IF($AR$6=0,Constants!$B$8,Constants!$B$8*AD54/$AR$6)),"")</f>
        <v/>
      </c>
      <c r="AS54" s="99" t="str">
        <f aca="false">IF($AG54&lt;&gt;Constants!$B$7,$AG54,IF(AK54&amp;AO54&lt;&gt;"",Constants!$B$14,AM54+AQ54+AR54))</f>
        <v/>
      </c>
      <c r="AT54" s="99" t="str">
        <f aca="false">IF(ISBLANK($C54),"",IF($AG54=Constants!$B$7,IF(ISNUMBER(AS54),RANK(AS54,$AS$8:$AS$507),Constants!$B$14),$AG54))</f>
        <v/>
      </c>
      <c r="AU54" s="99" t="str">
        <f aca="false">IF(ISBLANK($C54), "",AM54)</f>
        <v/>
      </c>
      <c r="AV54" s="99" t="str">
        <f aca="false">IF(ISBLANK($C54),"",IF($AG54=Constants!$B$7,RANK(AU54,AU$8:AU$507),$AG54))</f>
        <v/>
      </c>
      <c r="AW54" s="99" t="str">
        <f aca="false">IF(ISBLANK($C54), "",AR54)</f>
        <v/>
      </c>
      <c r="AX54" s="99" t="str">
        <f aca="false">IF(ISBLANK($C54),"",IF($AG54=Constants!$B$7,RANK(AW54,AW$8:AW$507),$AG54))</f>
        <v/>
      </c>
      <c r="AY54" s="99" t="str">
        <f aca="false">IF(ISBLANK($C54), "",AE54)</f>
        <v/>
      </c>
      <c r="AZ54" s="99" t="str">
        <f aca="false">IF(ISBLANK($C54),"",
IF($AG54=Constants!$B$7,
  IF(ISNUMBER(AT54),
    COUNTIFS($AT$8:$AT$507,"&lt;"&amp;$AT54)
    + COUNTIFS($AT$8:$AT$507,$AT54,$AV$8:$AV$507,"&lt;"&amp;$AV54)
    + COUNTIFS($AT$8:$AT$507,$AT54,$AV$8:$AV$507,$AV54,$AX$8:$AX$507,"&lt;"&amp;$AX54)
    + COUNTIFS($AT$8:$AT$507,$AT54,$AV$8:$AV$507,$AV54,$AX$8:$AX$507,$AX54,$AY$8:$AY$507,"&lt;"&amp;$AY54)
    + 1,
  Constants!$B$14),
$AG54))</f>
        <v/>
      </c>
      <c r="BA54" s="99" t="str">
        <f aca="false">IF(ISBLANK(C54),"",IF($AG54=Constants!$B$7, IF(ISNUMBER(AT54),AT54-AZ54,Constants!$B$14),$AG54))</f>
        <v/>
      </c>
      <c r="BB54" s="103"/>
      <c r="BC54" s="104" t="str">
        <f aca="false">IF(ISBLANK($C54),"",TRIM(AK54&amp;" "&amp;AO54))</f>
        <v/>
      </c>
      <c r="BD54" s="105" t="str">
        <f aca="false">IF(ISBLANK($C54),"",IF($AG54&lt;&gt;Constants!$B$7,$AG54,AR54))</f>
        <v/>
      </c>
      <c r="BE54" s="105" t="str">
        <f aca="false">IF(ISBLANK($C54),"",IF($AG54&lt;&gt;Constants!$B$7,$AG54,AM54))</f>
        <v/>
      </c>
      <c r="BF54" s="105" t="str">
        <f aca="false">IF(ISBLANK($C54),"",IF($AG54&lt;&gt;Constants!$B$7,$AG54,AQ54))</f>
        <v/>
      </c>
      <c r="BG54" s="106" t="str">
        <f aca="false">IF(ISBLANK($C54),"",IF($AG54&lt;&gt;Constants!$B$7, $AG54 ,AS54))</f>
        <v/>
      </c>
      <c r="BH54" s="107" t="str">
        <f aca="false">IF(ISBLANK($C54),"",IF($AG54&lt;&gt;Constants!$B$7, $AG54 ,AH54))</f>
        <v/>
      </c>
      <c r="BI54" s="105" t="str">
        <f aca="false">IF(ISBLANK(C54),"",BA54)</f>
        <v/>
      </c>
      <c r="BJ54" s="105" t="str">
        <f aca="false">IF(ISBLANK(C54),"",AZ54)</f>
        <v/>
      </c>
      <c r="BK54" s="108" t="str">
        <f aca="false">IF(ISBLANK(C54),"",IFERROR(_xlfn.SWITCH(BJ54, Constants!$B$4, COUNTA($C$8:$C553)+2, Constants!$B$5, COUNTA($C$8:$C553)+1, Constants!$B$6, COUNTA($C$8:$C553)),BJ54))</f>
        <v/>
      </c>
      <c r="BL54" s="5"/>
      <c r="BM54" s="109" t="n">
        <f aca="false">IF(OR(ISNUMBER(BJ54),BJ54="DQ",BJ54="P",BJ54="NS"),
    1,
    0
)</f>
        <v>0</v>
      </c>
      <c r="BN54" s="109" t="n">
        <v>47</v>
      </c>
      <c r="BO54" s="109" t="str">
        <f aca="false">IF(ISBLANK($C54),"",IF(ISNUMBER(BK54),BK54+ROW($B54)/1000,""))</f>
        <v/>
      </c>
      <c r="BP54" s="109" t="str">
        <f aca="false">IF(ISNUMBER(BO54), RANK(BO54,BO$8:BO$507,1), "")</f>
        <v/>
      </c>
      <c r="BQ54" s="109" t="str">
        <f aca="false">IF(ISBLANK($C54),
    "",
    $B54
)</f>
        <v/>
      </c>
      <c r="BR54" s="109" t="str">
        <f aca="false">IF(ISBLANK($C54),
    "",
    $C54
)</f>
        <v/>
      </c>
      <c r="BS54" s="109" t="str">
        <f aca="false">IF(ISBLANK($C54),
    "",
    $D54
)</f>
        <v/>
      </c>
      <c r="BT54" s="110" t="str">
        <f aca="false">BH54</f>
        <v/>
      </c>
      <c r="BU54" s="111" t="str">
        <f aca="false">BG54</f>
        <v/>
      </c>
      <c r="BV54" s="109" t="str">
        <f aca="false">IF(ISBLANK($C54),
    "",
    BJ54
)</f>
        <v/>
      </c>
      <c r="BW54" s="112" t="str">
        <f aca="false">IF(BN54&gt;BM$7,
    "",
    VLOOKUP(BN54,BP$8:BV553,7,FALSE())
)</f>
        <v/>
      </c>
      <c r="BX54" s="113" t="str">
        <f aca="false">IF(BN54&gt;BM$7,
    "",
    VLOOKUP(BN54,BP$8:BV553,2,FALSE())
)</f>
        <v/>
      </c>
      <c r="BY54" s="113" t="str">
        <f aca="false">IF(BN54&gt;BM$7,
    "",
    VLOOKUP(BN54,BP$8:BV553,3,FALSE())
)</f>
        <v/>
      </c>
      <c r="BZ54" s="113" t="str">
        <f aca="false">IF(BN54&gt;BM$7,
    "",
    VLOOKUP(BN54,BP$8:BV553,4,FALSE())
)</f>
        <v/>
      </c>
      <c r="CA54" s="113" t="str">
        <f aca="false">IF(BN54&gt;BM$7,
    "",
    VLOOKUP(BN54,BP$8:BV553,5,FALSE())
)</f>
        <v/>
      </c>
      <c r="CB54" s="114" t="str">
        <f aca="false">IF(BN54&gt;BM$7,
    "",
    VLOOKUP(BN54,BP$8:BV553,6,FALSE())
)</f>
        <v/>
      </c>
      <c r="CC54" s="53"/>
    </row>
    <row r="55" customFormat="false" ht="15.75" hidden="false" customHeight="false" outlineLevel="0" collapsed="false">
      <c r="A55" s="5"/>
      <c r="B55" s="125"/>
      <c r="C55" s="126"/>
      <c r="D55" s="115"/>
      <c r="E55" s="119"/>
      <c r="F55" s="119"/>
      <c r="G55" s="91"/>
      <c r="H55" s="92"/>
      <c r="I55" s="92"/>
      <c r="J55" s="128"/>
      <c r="K55" s="128"/>
      <c r="L55" s="128"/>
      <c r="M55" s="94"/>
      <c r="N55" s="94"/>
      <c r="O55" s="94"/>
      <c r="P55" s="95"/>
      <c r="Q55" s="96"/>
      <c r="R55" s="128"/>
      <c r="S55" s="98"/>
      <c r="T55" s="99"/>
      <c r="U55" s="99" t="str">
        <f aca="false">IF(ISBLANK($C55),"",IF(G55=Constants!$B$2, TRUE(), IF(G55=Constants!$B$3, FALSE(), TRUE())))</f>
        <v/>
      </c>
      <c r="V55" s="99" t="str">
        <f aca="false">IF(ISBLANK($C55),"",IF(H55=Constants!$B$2, TRUE(), IF(H55=Constants!$B$3, FALSE(), TRUE())))</f>
        <v/>
      </c>
      <c r="W55" s="99" t="str">
        <f aca="false">IF(ISBLANK($C55),"",IF(I55=Constants!$B$2, TRUE(), IF(I55=Constants!$B$3, FALSE(), TRUE())))</f>
        <v/>
      </c>
      <c r="X55" s="99" t="str">
        <f aca="false">IF(ISBLANK($C55),"",IF(AND(ISNUMBER(J55),J55&gt;0),INT(J55),0))</f>
        <v/>
      </c>
      <c r="Y55" s="99" t="str">
        <f aca="false">IF(ISBLANK($C55),"",IF(K55=Constants!$B$2, TRUE(), IF(K55=Constants!$B$3, FALSE(), TRUE())))</f>
        <v/>
      </c>
      <c r="Z55" s="100" t="str">
        <f aca="false">IF(ISBLANK($C55),"",IF(AND(ISNUMBER(L55),L55&gt;0),INT(L55),0))</f>
        <v/>
      </c>
      <c r="AA55" s="101" t="str">
        <f aca="false">IF(ISBLANK($C55),"",IF(ISNUMBER(M55), M55, ""))</f>
        <v/>
      </c>
      <c r="AB55" s="101" t="str">
        <f aca="false">IF(ISBLANK($C55),"",IF(ISNUMBER(N55), N55, ""))</f>
        <v/>
      </c>
      <c r="AC55" s="101" t="str">
        <f aca="false">IF(ISBLANK($C55),"",IF(ISNUMBER(O55), O55, ""))</f>
        <v/>
      </c>
      <c r="AD55" s="102" t="str">
        <f aca="false">IF(ISBLANK($C55),"",IF(ISNUMBER(P55), P55, ""))</f>
        <v/>
      </c>
      <c r="AE55" s="102" t="str">
        <f aca="false">IF(ISBLANK($C55),"",IF(ISNUMBER(Q55), Q55, Constants!$B$13))</f>
        <v/>
      </c>
      <c r="AF55" s="99" t="str">
        <f aca="false">IF(ISBLANK($C55),"",IF(R55=Constants!$B$2, TRUE(), IF(R55=Constants!$B$3, FALSE(), FALSE())))</f>
        <v/>
      </c>
      <c r="AG55" s="99" t="str">
        <f aca="false">IF(ISBLANK(C55), "", IF(AF55, Constants!$B$4,IF(COUNTA(G55:P55)=0, Constants!$B$5, Constants!$B$7)))</f>
        <v/>
      </c>
      <c r="AH55" s="99" t="str">
        <f aca="false">IF(ISBLANK($C55), "",IF($AG55=Constants!$B$7,1,$AG55))</f>
        <v/>
      </c>
      <c r="AI55" s="99" t="str">
        <f aca="false">IF($AG55=Constants!$B$7,POWER(Constants!$B$11,X55)*POWER(Constants!$B$12,Z55),"")</f>
        <v/>
      </c>
      <c r="AJ55" s="99" t="str">
        <f aca="false">IF(AND($AG55=Constants!$B$7, U55, V55) ,IF(OR($AA55="",$AC55=""),"",MAX(0, $AC55-$AA55)),"")</f>
        <v/>
      </c>
      <c r="AK55" s="99" t="str">
        <f aca="false">IF(AND($AG55=Constants!$B$7, U55, V55),IF(OR($AA55="",$AC55=""),$AK$6,""),"")</f>
        <v/>
      </c>
      <c r="AL55" s="99" t="str">
        <f aca="false">IF($AG55=Constants!$B$7,IF(AND(U55,V55,W55,Y55),IF($AJ55="",0,IF($AJ$6=0,Constants!$B$9,Constants!$B$9*AJ55/$AJ$6)), 0),"")</f>
        <v/>
      </c>
      <c r="AM55" s="99" t="str">
        <f aca="false">IF(AL55&lt;&gt;"", AL55*AI55,"")</f>
        <v/>
      </c>
      <c r="AN55" s="99" t="str">
        <f aca="false">IF(AND($AG55=Constants!$B$7, U55, V55) ,IF($AB55="", "", IF(OR($AC55="",$AC55=0),"",MAX(0,1-ABS($AC55-$AB55)/$AC55))),"")</f>
        <v/>
      </c>
      <c r="AO55" s="99" t="str">
        <f aca="false">IF(AND($AG55=Constants!$B$7, U55, V55),IF(AND($AA55&lt;&gt;"",$AB55&lt;&gt;"",$AC55=0),$AO$6,""),"")</f>
        <v/>
      </c>
      <c r="AP55" s="99" t="str">
        <f aca="false">IF($AG55=Constants!$B$7 ,IF(AND(U55,V55,W55,Y55,ISNUMBER(AB55)),IF($AN55="",0,IF($AN$6=0,Constants!$B$10,Constants!$B$10*AN55/$AN$6)), 0),"")</f>
        <v/>
      </c>
      <c r="AQ55" s="99" t="str">
        <f aca="false">IF(AP55&lt;&gt;"", AP55*AI55,"")</f>
        <v/>
      </c>
      <c r="AR55" s="99" t="str">
        <f aca="false">IF($AG55=Constants!$B$7,IF($AD55="",0,IF($AR$6=0,Constants!$B$8,Constants!$B$8*AD55/$AR$6)),"")</f>
        <v/>
      </c>
      <c r="AS55" s="99" t="str">
        <f aca="false">IF($AG55&lt;&gt;Constants!$B$7,$AG55,IF(AK55&amp;AO55&lt;&gt;"",Constants!$B$14,AM55+AQ55+AR55))</f>
        <v/>
      </c>
      <c r="AT55" s="99" t="str">
        <f aca="false">IF(ISBLANK($C55),"",IF($AG55=Constants!$B$7,IF(ISNUMBER(AS55),RANK(AS55,$AS$8:$AS$507),Constants!$B$14),$AG55))</f>
        <v/>
      </c>
      <c r="AU55" s="99" t="str">
        <f aca="false">IF(ISBLANK($C55), "",AM55)</f>
        <v/>
      </c>
      <c r="AV55" s="99" t="str">
        <f aca="false">IF(ISBLANK($C55),"",IF($AG55=Constants!$B$7,RANK(AU55,AU$8:AU$507),$AG55))</f>
        <v/>
      </c>
      <c r="AW55" s="99" t="str">
        <f aca="false">IF(ISBLANK($C55), "",AR55)</f>
        <v/>
      </c>
      <c r="AX55" s="99" t="str">
        <f aca="false">IF(ISBLANK($C55),"",IF($AG55=Constants!$B$7,RANK(AW55,AW$8:AW$507),$AG55))</f>
        <v/>
      </c>
      <c r="AY55" s="99" t="str">
        <f aca="false">IF(ISBLANK($C55), "",AE55)</f>
        <v/>
      </c>
      <c r="AZ55" s="99" t="str">
        <f aca="false">IF(ISBLANK($C55),"",
IF($AG55=Constants!$B$7,
  IF(ISNUMBER(AT55),
    COUNTIFS($AT$8:$AT$507,"&lt;"&amp;$AT55)
    + COUNTIFS($AT$8:$AT$507,$AT55,$AV$8:$AV$507,"&lt;"&amp;$AV55)
    + COUNTIFS($AT$8:$AT$507,$AT55,$AV$8:$AV$507,$AV55,$AX$8:$AX$507,"&lt;"&amp;$AX55)
    + COUNTIFS($AT$8:$AT$507,$AT55,$AV$8:$AV$507,$AV55,$AX$8:$AX$507,$AX55,$AY$8:$AY$507,"&lt;"&amp;$AY55)
    + 1,
  Constants!$B$14),
$AG55))</f>
        <v/>
      </c>
      <c r="BA55" s="99" t="str">
        <f aca="false">IF(ISBLANK(C55),"",IF($AG55=Constants!$B$7, IF(ISNUMBER(AT55),AT55-AZ55,Constants!$B$14),$AG55))</f>
        <v/>
      </c>
      <c r="BB55" s="103"/>
      <c r="BC55" s="104" t="str">
        <f aca="false">IF(ISBLANK($C55),"",TRIM(AK55&amp;" "&amp;AO55))</f>
        <v/>
      </c>
      <c r="BD55" s="105" t="str">
        <f aca="false">IF(ISBLANK($C55),"",IF($AG55&lt;&gt;Constants!$B$7,$AG55,AR55))</f>
        <v/>
      </c>
      <c r="BE55" s="105" t="str">
        <f aca="false">IF(ISBLANK($C55),"",IF($AG55&lt;&gt;Constants!$B$7,$AG55,AM55))</f>
        <v/>
      </c>
      <c r="BF55" s="105" t="str">
        <f aca="false">IF(ISBLANK($C55),"",IF($AG55&lt;&gt;Constants!$B$7,$AG55,AQ55))</f>
        <v/>
      </c>
      <c r="BG55" s="106" t="str">
        <f aca="false">IF(ISBLANK($C55),"",IF($AG55&lt;&gt;Constants!$B$7, $AG55 ,AS55))</f>
        <v/>
      </c>
      <c r="BH55" s="107" t="str">
        <f aca="false">IF(ISBLANK($C55),"",IF($AG55&lt;&gt;Constants!$B$7, $AG55 ,AH55))</f>
        <v/>
      </c>
      <c r="BI55" s="105" t="str">
        <f aca="false">IF(ISBLANK(C55),"",BA55)</f>
        <v/>
      </c>
      <c r="BJ55" s="105" t="str">
        <f aca="false">IF(ISBLANK(C55),"",AZ55)</f>
        <v/>
      </c>
      <c r="BK55" s="108" t="str">
        <f aca="false">IF(ISBLANK(C55),"",IFERROR(_xlfn.SWITCH(BJ55, Constants!$B$4, COUNTA($C$8:$C554)+2, Constants!$B$5, COUNTA($C$8:$C554)+1, Constants!$B$6, COUNTA($C$8:$C554)),BJ55))</f>
        <v/>
      </c>
      <c r="BL55" s="5"/>
      <c r="BM55" s="109" t="n">
        <f aca="false">IF(OR(ISNUMBER(BJ55),BJ55="DQ",BJ55="P",BJ55="NS"),
    1,
    0
)</f>
        <v>0</v>
      </c>
      <c r="BN55" s="109" t="n">
        <v>48</v>
      </c>
      <c r="BO55" s="109" t="str">
        <f aca="false">IF(ISBLANK($C55),"",IF(ISNUMBER(BK55),BK55+ROW($B55)/1000,""))</f>
        <v/>
      </c>
      <c r="BP55" s="109" t="str">
        <f aca="false">IF(ISNUMBER(BO55), RANK(BO55,BO$8:BO$507,1), "")</f>
        <v/>
      </c>
      <c r="BQ55" s="109" t="str">
        <f aca="false">IF(ISBLANK($C55),
    "",
    $B55
)</f>
        <v/>
      </c>
      <c r="BR55" s="109" t="str">
        <f aca="false">IF(ISBLANK($C55),
    "",
    $C55
)</f>
        <v/>
      </c>
      <c r="BS55" s="109" t="str">
        <f aca="false">IF(ISBLANK($C55),
    "",
    $D55
)</f>
        <v/>
      </c>
      <c r="BT55" s="110" t="str">
        <f aca="false">BH55</f>
        <v/>
      </c>
      <c r="BU55" s="111" t="str">
        <f aca="false">BG55</f>
        <v/>
      </c>
      <c r="BV55" s="109" t="str">
        <f aca="false">IF(ISBLANK($C55),
    "",
    BJ55
)</f>
        <v/>
      </c>
      <c r="BW55" s="112" t="str">
        <f aca="false">IF(BN55&gt;BM$7,
    "",
    VLOOKUP(BN55,BP$8:BV554,7,FALSE())
)</f>
        <v/>
      </c>
      <c r="BX55" s="113" t="str">
        <f aca="false">IF(BN55&gt;BM$7,
    "",
    VLOOKUP(BN55,BP$8:BV554,2,FALSE())
)</f>
        <v/>
      </c>
      <c r="BY55" s="113" t="str">
        <f aca="false">IF(BN55&gt;BM$7,
    "",
    VLOOKUP(BN55,BP$8:BV554,3,FALSE())
)</f>
        <v/>
      </c>
      <c r="BZ55" s="113" t="str">
        <f aca="false">IF(BN55&gt;BM$7,
    "",
    VLOOKUP(BN55,BP$8:BV554,4,FALSE())
)</f>
        <v/>
      </c>
      <c r="CA55" s="113" t="str">
        <f aca="false">IF(BN55&gt;BM$7,
    "",
    VLOOKUP(BN55,BP$8:BV554,5,FALSE())
)</f>
        <v/>
      </c>
      <c r="CB55" s="114" t="str">
        <f aca="false">IF(BN55&gt;BM$7,
    "",
    VLOOKUP(BN55,BP$8:BV554,6,FALSE())
)</f>
        <v/>
      </c>
      <c r="CC55" s="53"/>
    </row>
    <row r="56" customFormat="false" ht="15.75" hidden="false" customHeight="false" outlineLevel="0" collapsed="false">
      <c r="A56" s="5"/>
      <c r="B56" s="129"/>
      <c r="C56" s="55"/>
      <c r="D56" s="56"/>
      <c r="E56" s="123"/>
      <c r="F56" s="123"/>
      <c r="G56" s="58"/>
      <c r="H56" s="59"/>
      <c r="I56" s="59"/>
      <c r="J56" s="83"/>
      <c r="K56" s="83"/>
      <c r="L56" s="83"/>
      <c r="M56" s="61"/>
      <c r="N56" s="61"/>
      <c r="O56" s="61"/>
      <c r="P56" s="62"/>
      <c r="Q56" s="63"/>
      <c r="R56" s="83"/>
      <c r="S56" s="65"/>
      <c r="T56" s="66"/>
      <c r="U56" s="66" t="str">
        <f aca="false">IF(ISBLANK($C56),"",IF(G56=Constants!$B$2, TRUE(), IF(G56=Constants!$B$3, FALSE(), TRUE())))</f>
        <v/>
      </c>
      <c r="V56" s="66" t="str">
        <f aca="false">IF(ISBLANK($C56),"",IF(H56=Constants!$B$2, TRUE(), IF(H56=Constants!$B$3, FALSE(), TRUE())))</f>
        <v/>
      </c>
      <c r="W56" s="66" t="str">
        <f aca="false">IF(ISBLANK($C56),"",IF(I56=Constants!$B$2, TRUE(), IF(I56=Constants!$B$3, FALSE(), TRUE())))</f>
        <v/>
      </c>
      <c r="X56" s="66" t="str">
        <f aca="false">IF(ISBLANK($C56),"",IF(AND(ISNUMBER(J56),J56&gt;0),INT(J56),0))</f>
        <v/>
      </c>
      <c r="Y56" s="66" t="str">
        <f aca="false">IF(ISBLANK($C56),"",IF(K56=Constants!$B$2, TRUE(), IF(K56=Constants!$B$3, FALSE(), TRUE())))</f>
        <v/>
      </c>
      <c r="Z56" s="66" t="str">
        <f aca="false">IF(ISBLANK($C56),"",IF(AND(ISNUMBER(L56),L56&gt;0),INT(L56),0))</f>
        <v/>
      </c>
      <c r="AA56" s="68" t="str">
        <f aca="false">IF(ISBLANK($C56),"",IF(ISNUMBER(M56), M56, ""))</f>
        <v/>
      </c>
      <c r="AB56" s="68" t="str">
        <f aca="false">IF(ISBLANK($C56),"",IF(ISNUMBER(N56), N56, ""))</f>
        <v/>
      </c>
      <c r="AC56" s="68" t="str">
        <f aca="false">IF(ISBLANK($C56),"",IF(ISNUMBER(O56), O56, ""))</f>
        <v/>
      </c>
      <c r="AD56" s="69" t="str">
        <f aca="false">IF(ISBLANK($C56),"",IF(ISNUMBER(P56), P56, ""))</f>
        <v/>
      </c>
      <c r="AE56" s="69" t="str">
        <f aca="false">IF(ISBLANK($C56),"",IF(ISNUMBER(Q56), Q56, Constants!$B$13))</f>
        <v/>
      </c>
      <c r="AF56" s="66" t="str">
        <f aca="false">IF(ISBLANK($C56),"",IF(R56=Constants!$B$2, TRUE(), IF(R56=Constants!$B$3, FALSE(), FALSE())))</f>
        <v/>
      </c>
      <c r="AG56" s="66" t="str">
        <f aca="false">IF(ISBLANK(C56), "", IF(AF56, Constants!$B$4,IF(COUNTA(G56:P56)=0, Constants!$B$5, Constants!$B$7)))</f>
        <v/>
      </c>
      <c r="AH56" s="66" t="str">
        <f aca="false">IF(ISBLANK($C56), "",IF($AG56=Constants!$B$7,1,$AG56))</f>
        <v/>
      </c>
      <c r="AI56" s="66" t="str">
        <f aca="false">IF($AG56=Constants!$B$7,POWER(Constants!$B$11,X56)*POWER(Constants!$B$12,Z56),"")</f>
        <v/>
      </c>
      <c r="AJ56" s="66" t="str">
        <f aca="false">IF(AND($AG56=Constants!$B$7, U56, V56) ,IF(OR($AA56="",$AC56=""),"",MAX(0, $AC56-$AA56)),"")</f>
        <v/>
      </c>
      <c r="AK56" s="66" t="str">
        <f aca="false">IF(AND($AG56=Constants!$B$7, U56, V56),IF(OR($AA56="",$AC56=""),$AK$6,""),"")</f>
        <v/>
      </c>
      <c r="AL56" s="66" t="str">
        <f aca="false">IF($AG56=Constants!$B$7,IF(AND(U56,V56,W56,Y56),IF($AJ56="",0,IF($AJ$6=0,Constants!$B$9,Constants!$B$9*AJ56/$AJ$6)), 0),"")</f>
        <v/>
      </c>
      <c r="AM56" s="66" t="str">
        <f aca="false">IF(AL56&lt;&gt;"", AL56*AI56,"")</f>
        <v/>
      </c>
      <c r="AN56" s="66" t="str">
        <f aca="false">IF(AND($AG56=Constants!$B$7, U56, V56) ,IF($AB56="", "", IF(OR($AC56="",$AC56=0),"",MAX(0,1-ABS($AC56-$AB56)/$AC56))),"")</f>
        <v/>
      </c>
      <c r="AO56" s="66" t="str">
        <f aca="false">IF(AND($AG56=Constants!$B$7, U56, V56),IF(AND($AA56&lt;&gt;"",$AB56&lt;&gt;"",$AC56=0),$AO$6,""),"")</f>
        <v/>
      </c>
      <c r="AP56" s="66" t="str">
        <f aca="false">IF($AG56=Constants!$B$7 ,IF(AND(U56,V56,W56,Y56,ISNUMBER(AB56)),IF($AN56="",0,IF($AN$6=0,Constants!$B$10,Constants!$B$10*AN56/$AN$6)), 0),"")</f>
        <v/>
      </c>
      <c r="AQ56" s="66" t="str">
        <f aca="false">IF(AP56&lt;&gt;"", AP56*AI56,"")</f>
        <v/>
      </c>
      <c r="AR56" s="66" t="str">
        <f aca="false">IF($AG56=Constants!$B$7,IF($AD56="",0,IF($AR$6=0,Constants!$B$8,Constants!$B$8*AD56/$AR$6)),"")</f>
        <v/>
      </c>
      <c r="AS56" s="66" t="str">
        <f aca="false">IF($AG56&lt;&gt;Constants!$B$7,$AG56,IF(AK56&amp;AO56&lt;&gt;"",Constants!$B$14,AM56+AQ56+AR56))</f>
        <v/>
      </c>
      <c r="AT56" s="66" t="str">
        <f aca="false">IF(ISBLANK($C56),"",IF($AG56=Constants!$B$7,IF(ISNUMBER(AS56),RANK(AS56,$AS$8:$AS$507),Constants!$B$14),$AG56))</f>
        <v/>
      </c>
      <c r="AU56" s="66" t="str">
        <f aca="false">IF(ISBLANK($C56), "",AM56)</f>
        <v/>
      </c>
      <c r="AV56" s="66" t="str">
        <f aca="false">IF(ISBLANK($C56),"",IF($AG56=Constants!$B$7,RANK(AU56,AU$8:AU$507),$AG56))</f>
        <v/>
      </c>
      <c r="AW56" s="66" t="str">
        <f aca="false">IF(ISBLANK($C56), "",AR56)</f>
        <v/>
      </c>
      <c r="AX56" s="66" t="str">
        <f aca="false">IF(ISBLANK($C56),"",IF($AG56=Constants!$B$7,RANK(AW56,AW$8:AW$507),$AG56))</f>
        <v/>
      </c>
      <c r="AY56" s="66" t="str">
        <f aca="false">IF(ISBLANK($C56), "",AE56)</f>
        <v/>
      </c>
      <c r="AZ56" s="66" t="str">
        <f aca="false">IF(ISBLANK($C56),"",
IF($AG56=Constants!$B$7,
  IF(ISNUMBER(AT56),
    COUNTIFS($AT$8:$AT$507,"&lt;"&amp;$AT56)
    + COUNTIFS($AT$8:$AT$507,$AT56,$AV$8:$AV$507,"&lt;"&amp;$AV56)
    + COUNTIFS($AT$8:$AT$507,$AT56,$AV$8:$AV$507,$AV56,$AX$8:$AX$507,"&lt;"&amp;$AX56)
    + COUNTIFS($AT$8:$AT$507,$AT56,$AV$8:$AV$507,$AV56,$AX$8:$AX$507,$AX56,$AY$8:$AY$507,"&lt;"&amp;$AY56)
    + 1,
  Constants!$B$14),
$AG56))</f>
        <v/>
      </c>
      <c r="BA56" s="66" t="str">
        <f aca="false">IF(ISBLANK(C56),"",IF($AG56=Constants!$B$7, IF(ISNUMBER(AT56),AT56-AZ56,Constants!$B$14),$AG56))</f>
        <v/>
      </c>
      <c r="BB56" s="70"/>
      <c r="BC56" s="84" t="str">
        <f aca="false">IF(ISBLANK($C56),"",TRIM(AK56&amp;" "&amp;AO56))</f>
        <v/>
      </c>
      <c r="BD56" s="72" t="str">
        <f aca="false">IF(ISBLANK($C56),"",IF($AG56&lt;&gt;Constants!$B$7,$AG56,AR56))</f>
        <v/>
      </c>
      <c r="BE56" s="72" t="str">
        <f aca="false">IF(ISBLANK($C56),"",IF($AG56&lt;&gt;Constants!$B$7,$AG56,AM56))</f>
        <v/>
      </c>
      <c r="BF56" s="72" t="str">
        <f aca="false">IF(ISBLANK($C56),"",IF($AG56&lt;&gt;Constants!$B$7,$AG56,AQ56))</f>
        <v/>
      </c>
      <c r="BG56" s="73" t="str">
        <f aca="false">IF(ISBLANK($C56),"",IF($AG56&lt;&gt;Constants!$B$7, $AG56 ,AS56))</f>
        <v/>
      </c>
      <c r="BH56" s="74" t="str">
        <f aca="false">IF(ISBLANK($C56),"",IF($AG56&lt;&gt;Constants!$B$7, $AG56 ,AH56))</f>
        <v/>
      </c>
      <c r="BI56" s="72" t="str">
        <f aca="false">IF(ISBLANK(C56),"",BA56)</f>
        <v/>
      </c>
      <c r="BJ56" s="72" t="str">
        <f aca="false">IF(ISBLANK(C56),"",AZ56)</f>
        <v/>
      </c>
      <c r="BK56" s="75" t="str">
        <f aca="false">IF(ISBLANK(C56),"",IFERROR(_xlfn.SWITCH(BJ56, Constants!$B$4, COUNTA($C$8:$C555)+2, Constants!$B$5, COUNTA($C$8:$C555)+1, Constants!$B$6, COUNTA($C$8:$C555)),BJ56))</f>
        <v/>
      </c>
      <c r="BL56" s="5"/>
      <c r="BM56" s="76" t="n">
        <f aca="false">IF(OR(ISNUMBER(BJ56),BJ56="DQ",BJ56="P",BJ56="NS"),
    1,
    0
)</f>
        <v>0</v>
      </c>
      <c r="BN56" s="76" t="n">
        <v>49</v>
      </c>
      <c r="BO56" s="76" t="str">
        <f aca="false">IF(ISBLANK($C56),"",IF(ISNUMBER(BK56),BK56+ROW($B56)/1000,""))</f>
        <v/>
      </c>
      <c r="BP56" s="76" t="str">
        <f aca="false">IF(ISNUMBER(BO56), RANK(BO56,BO$8:BO$507,1), "")</f>
        <v/>
      </c>
      <c r="BQ56" s="76" t="str">
        <f aca="false">IF(ISBLANK($C56),
    "",
    $B56
)</f>
        <v/>
      </c>
      <c r="BR56" s="76" t="str">
        <f aca="false">IF(ISBLANK($C56),
    "",
    $C56
)</f>
        <v/>
      </c>
      <c r="BS56" s="76" t="str">
        <f aca="false">IF(ISBLANK($C56),
    "",
    $D56
)</f>
        <v/>
      </c>
      <c r="BT56" s="77" t="str">
        <f aca="false">BH56</f>
        <v/>
      </c>
      <c r="BU56" s="78" t="str">
        <f aca="false">BG56</f>
        <v/>
      </c>
      <c r="BV56" s="76" t="str">
        <f aca="false">IF(ISBLANK($C56),
    "",
    BJ56
)</f>
        <v/>
      </c>
      <c r="BW56" s="79" t="str">
        <f aca="false">IF(BN56&gt;BM$7,
    "",
    VLOOKUP(BN56,BP$8:BV555,7,FALSE())
)</f>
        <v/>
      </c>
      <c r="BX56" s="80" t="str">
        <f aca="false">IF(BN56&gt;BM$7,
    "",
    VLOOKUP(BN56,BP$8:BV555,2,FALSE())
)</f>
        <v/>
      </c>
      <c r="BY56" s="80" t="str">
        <f aca="false">IF(BN56&gt;BM$7,
    "",
    VLOOKUP(BN56,BP$8:BV555,3,FALSE())
)</f>
        <v/>
      </c>
      <c r="BZ56" s="80" t="str">
        <f aca="false">IF(BN56&gt;BM$7,
    "",
    VLOOKUP(BN56,BP$8:BV555,4,FALSE())
)</f>
        <v/>
      </c>
      <c r="CA56" s="80" t="str">
        <f aca="false">IF(BN56&gt;BM$7,
    "",
    VLOOKUP(BN56,BP$8:BV555,5,FALSE())
)</f>
        <v/>
      </c>
      <c r="CB56" s="81" t="str">
        <f aca="false">IF(BN56&gt;BM$7,
    "",
    VLOOKUP(BN56,BP$8:BV555,6,FALSE())
)</f>
        <v/>
      </c>
      <c r="CC56" s="53"/>
    </row>
    <row r="57" customFormat="false" ht="15.75" hidden="false" customHeight="false" outlineLevel="0" collapsed="false">
      <c r="A57" s="5"/>
      <c r="B57" s="129"/>
      <c r="C57" s="55"/>
      <c r="D57" s="56"/>
      <c r="E57" s="123"/>
      <c r="F57" s="123"/>
      <c r="G57" s="58"/>
      <c r="H57" s="59"/>
      <c r="I57" s="59"/>
      <c r="J57" s="83"/>
      <c r="K57" s="83"/>
      <c r="L57" s="83"/>
      <c r="M57" s="61"/>
      <c r="N57" s="61"/>
      <c r="O57" s="61"/>
      <c r="P57" s="62"/>
      <c r="Q57" s="63"/>
      <c r="R57" s="83"/>
      <c r="S57" s="65"/>
      <c r="T57" s="66"/>
      <c r="U57" s="66" t="str">
        <f aca="false">IF(ISBLANK($C57),"",IF(G57=Constants!$B$2, TRUE(), IF(G57=Constants!$B$3, FALSE(), TRUE())))</f>
        <v/>
      </c>
      <c r="V57" s="66" t="str">
        <f aca="false">IF(ISBLANK($C57),"",IF(H57=Constants!$B$2, TRUE(), IF(H57=Constants!$B$3, FALSE(), TRUE())))</f>
        <v/>
      </c>
      <c r="W57" s="66" t="str">
        <f aca="false">IF(ISBLANK($C57),"",IF(I57=Constants!$B$2, TRUE(), IF(I57=Constants!$B$3, FALSE(), TRUE())))</f>
        <v/>
      </c>
      <c r="X57" s="66" t="str">
        <f aca="false">IF(ISBLANK($C57),"",IF(AND(ISNUMBER(J57),J57&gt;0),INT(J57),0))</f>
        <v/>
      </c>
      <c r="Y57" s="66" t="str">
        <f aca="false">IF(ISBLANK($C57),"",IF(K57=Constants!$B$2, TRUE(), IF(K57=Constants!$B$3, FALSE(), TRUE())))</f>
        <v/>
      </c>
      <c r="Z57" s="66" t="str">
        <f aca="false">IF(ISBLANK($C57),"",IF(AND(ISNUMBER(L57),L57&gt;0),INT(L57),0))</f>
        <v/>
      </c>
      <c r="AA57" s="68" t="str">
        <f aca="false">IF(ISBLANK($C57),"",IF(ISNUMBER(M57), M57, ""))</f>
        <v/>
      </c>
      <c r="AB57" s="68" t="str">
        <f aca="false">IF(ISBLANK($C57),"",IF(ISNUMBER(N57), N57, ""))</f>
        <v/>
      </c>
      <c r="AC57" s="68" t="str">
        <f aca="false">IF(ISBLANK($C57),"",IF(ISNUMBER(O57), O57, ""))</f>
        <v/>
      </c>
      <c r="AD57" s="69" t="str">
        <f aca="false">IF(ISBLANK($C57),"",IF(ISNUMBER(P57), P57, ""))</f>
        <v/>
      </c>
      <c r="AE57" s="69" t="str">
        <f aca="false">IF(ISBLANK($C57),"",IF(ISNUMBER(Q57), Q57, Constants!$B$13))</f>
        <v/>
      </c>
      <c r="AF57" s="66" t="str">
        <f aca="false">IF(ISBLANK($C57),"",IF(R57=Constants!$B$2, TRUE(), IF(R57=Constants!$B$3, FALSE(), FALSE())))</f>
        <v/>
      </c>
      <c r="AG57" s="66" t="str">
        <f aca="false">IF(ISBLANK(C57), "", IF(AF57, Constants!$B$4,IF(COUNTA(G57:P57)=0, Constants!$B$5, Constants!$B$7)))</f>
        <v/>
      </c>
      <c r="AH57" s="66" t="str">
        <f aca="false">IF(ISBLANK($C57), "",IF($AG57=Constants!$B$7,1,$AG57))</f>
        <v/>
      </c>
      <c r="AI57" s="66" t="str">
        <f aca="false">IF($AG57=Constants!$B$7,POWER(Constants!$B$11,X57)*POWER(Constants!$B$12,Z57),"")</f>
        <v/>
      </c>
      <c r="AJ57" s="66" t="str">
        <f aca="false">IF(AND($AG57=Constants!$B$7, U57, V57) ,IF(OR($AA57="",$AC57=""),"",MAX(0, $AC57-$AA57)),"")</f>
        <v/>
      </c>
      <c r="AK57" s="66" t="str">
        <f aca="false">IF(AND($AG57=Constants!$B$7, U57, V57),IF(OR($AA57="",$AC57=""),$AK$6,""),"")</f>
        <v/>
      </c>
      <c r="AL57" s="66" t="str">
        <f aca="false">IF($AG57=Constants!$B$7,IF(AND(U57,V57,W57,Y57),IF($AJ57="",0,IF($AJ$6=0,Constants!$B$9,Constants!$B$9*AJ57/$AJ$6)), 0),"")</f>
        <v/>
      </c>
      <c r="AM57" s="66" t="str">
        <f aca="false">IF(AL57&lt;&gt;"", AL57*AI57,"")</f>
        <v/>
      </c>
      <c r="AN57" s="66" t="str">
        <f aca="false">IF(AND($AG57=Constants!$B$7, U57, V57) ,IF($AB57="", "", IF(OR($AC57="",$AC57=0),"",MAX(0,1-ABS($AC57-$AB57)/$AC57))),"")</f>
        <v/>
      </c>
      <c r="AO57" s="66" t="str">
        <f aca="false">IF(AND($AG57=Constants!$B$7, U57, V57),IF(AND($AA57&lt;&gt;"",$AB57&lt;&gt;"",$AC57=0),$AO$6,""),"")</f>
        <v/>
      </c>
      <c r="AP57" s="66" t="str">
        <f aca="false">IF($AG57=Constants!$B$7 ,IF(AND(U57,V57,W57,Y57,ISNUMBER(AB57)),IF($AN57="",0,IF($AN$6=0,Constants!$B$10,Constants!$B$10*AN57/$AN$6)), 0),"")</f>
        <v/>
      </c>
      <c r="AQ57" s="66" t="str">
        <f aca="false">IF(AP57&lt;&gt;"", AP57*AI57,"")</f>
        <v/>
      </c>
      <c r="AR57" s="66" t="str">
        <f aca="false">IF($AG57=Constants!$B$7,IF($AD57="",0,IF($AR$6=0,Constants!$B$8,Constants!$B$8*AD57/$AR$6)),"")</f>
        <v/>
      </c>
      <c r="AS57" s="66" t="str">
        <f aca="false">IF($AG57&lt;&gt;Constants!$B$7,$AG57,IF(AK57&amp;AO57&lt;&gt;"",Constants!$B$14,AM57+AQ57+AR57))</f>
        <v/>
      </c>
      <c r="AT57" s="66" t="str">
        <f aca="false">IF(ISBLANK($C57),"",IF($AG57=Constants!$B$7,IF(ISNUMBER(AS57),RANK(AS57,$AS$8:$AS$507),Constants!$B$14),$AG57))</f>
        <v/>
      </c>
      <c r="AU57" s="66" t="str">
        <f aca="false">IF(ISBLANK($C57), "",AM57)</f>
        <v/>
      </c>
      <c r="AV57" s="66" t="str">
        <f aca="false">IF(ISBLANK($C57),"",IF($AG57=Constants!$B$7,RANK(AU57,AU$8:AU$507),$AG57))</f>
        <v/>
      </c>
      <c r="AW57" s="66" t="str">
        <f aca="false">IF(ISBLANK($C57), "",AR57)</f>
        <v/>
      </c>
      <c r="AX57" s="66" t="str">
        <f aca="false">IF(ISBLANK($C57),"",IF($AG57=Constants!$B$7,RANK(AW57,AW$8:AW$507),$AG57))</f>
        <v/>
      </c>
      <c r="AY57" s="66" t="str">
        <f aca="false">IF(ISBLANK($C57), "",AE57)</f>
        <v/>
      </c>
      <c r="AZ57" s="66" t="str">
        <f aca="false">IF(ISBLANK($C57),"",
IF($AG57=Constants!$B$7,
  IF(ISNUMBER(AT57),
    COUNTIFS($AT$8:$AT$507,"&lt;"&amp;$AT57)
    + COUNTIFS($AT$8:$AT$507,$AT57,$AV$8:$AV$507,"&lt;"&amp;$AV57)
    + COUNTIFS($AT$8:$AT$507,$AT57,$AV$8:$AV$507,$AV57,$AX$8:$AX$507,"&lt;"&amp;$AX57)
    + COUNTIFS($AT$8:$AT$507,$AT57,$AV$8:$AV$507,$AV57,$AX$8:$AX$507,$AX57,$AY$8:$AY$507,"&lt;"&amp;$AY57)
    + 1,
  Constants!$B$14),
$AG57))</f>
        <v/>
      </c>
      <c r="BA57" s="66" t="str">
        <f aca="false">IF(ISBLANK(C57),"",IF($AG57=Constants!$B$7, IF(ISNUMBER(AT57),AT57-AZ57,Constants!$B$14),$AG57))</f>
        <v/>
      </c>
      <c r="BB57" s="70"/>
      <c r="BC57" s="84" t="str">
        <f aca="false">IF(ISBLANK($C57),"",TRIM(AK57&amp;" "&amp;AO57))</f>
        <v/>
      </c>
      <c r="BD57" s="72" t="str">
        <f aca="false">IF(ISBLANK($C57),"",IF($AG57&lt;&gt;Constants!$B$7,$AG57,AR57))</f>
        <v/>
      </c>
      <c r="BE57" s="72" t="str">
        <f aca="false">IF(ISBLANK($C57),"",IF($AG57&lt;&gt;Constants!$B$7,$AG57,AM57))</f>
        <v/>
      </c>
      <c r="BF57" s="72" t="str">
        <f aca="false">IF(ISBLANK($C57),"",IF($AG57&lt;&gt;Constants!$B$7,$AG57,AQ57))</f>
        <v/>
      </c>
      <c r="BG57" s="73" t="str">
        <f aca="false">IF(ISBLANK($C57),"",IF($AG57&lt;&gt;Constants!$B$7, $AG57 ,AS57))</f>
        <v/>
      </c>
      <c r="BH57" s="74" t="str">
        <f aca="false">IF(ISBLANK($C57),"",IF($AG57&lt;&gt;Constants!$B$7, $AG57 ,AH57))</f>
        <v/>
      </c>
      <c r="BI57" s="72" t="str">
        <f aca="false">IF(ISBLANK(C57),"",BA57)</f>
        <v/>
      </c>
      <c r="BJ57" s="72" t="str">
        <f aca="false">IF(ISBLANK(C57),"",AZ57)</f>
        <v/>
      </c>
      <c r="BK57" s="75" t="str">
        <f aca="false">IF(ISBLANK(C57),"",IFERROR(_xlfn.SWITCH(BJ57, Constants!$B$4, COUNTA($C$8:$C556)+2, Constants!$B$5, COUNTA($C$8:$C556)+1, Constants!$B$6, COUNTA($C$8:$C556)),BJ57))</f>
        <v/>
      </c>
      <c r="BL57" s="5"/>
      <c r="BM57" s="76" t="n">
        <f aca="false">IF(OR(ISNUMBER(BJ57),BJ57="DQ",BJ57="P",BJ57="NS"),
    1,
    0
)</f>
        <v>0</v>
      </c>
      <c r="BN57" s="76" t="n">
        <v>50</v>
      </c>
      <c r="BO57" s="76" t="str">
        <f aca="false">IF(ISBLANK($C57),"",IF(ISNUMBER(BK57),BK57+ROW($B57)/1000,""))</f>
        <v/>
      </c>
      <c r="BP57" s="76" t="str">
        <f aca="false">IF(ISNUMBER(BO57), RANK(BO57,BO$8:BO$507,1), "")</f>
        <v/>
      </c>
      <c r="BQ57" s="76" t="str">
        <f aca="false">IF(ISBLANK($C57),
    "",
    $B57
)</f>
        <v/>
      </c>
      <c r="BR57" s="76" t="str">
        <f aca="false">IF(ISBLANK($C57),
    "",
    $C57
)</f>
        <v/>
      </c>
      <c r="BS57" s="76" t="str">
        <f aca="false">IF(ISBLANK($C57),
    "",
    $D57
)</f>
        <v/>
      </c>
      <c r="BT57" s="77" t="str">
        <f aca="false">BH57</f>
        <v/>
      </c>
      <c r="BU57" s="78" t="str">
        <f aca="false">BG57</f>
        <v/>
      </c>
      <c r="BV57" s="76" t="str">
        <f aca="false">IF(ISBLANK($C57),
    "",
    BJ57
)</f>
        <v/>
      </c>
      <c r="BW57" s="79" t="str">
        <f aca="false">IF(BN57&gt;BM$7,
    "",
    VLOOKUP(BN57,BP$8:BV556,7,FALSE())
)</f>
        <v/>
      </c>
      <c r="BX57" s="80" t="str">
        <f aca="false">IF(BN57&gt;BM$7,
    "",
    VLOOKUP(BN57,BP$8:BV556,2,FALSE())
)</f>
        <v/>
      </c>
      <c r="BY57" s="80" t="str">
        <f aca="false">IF(BN57&gt;BM$7,
    "",
    VLOOKUP(BN57,BP$8:BV556,3,FALSE())
)</f>
        <v/>
      </c>
      <c r="BZ57" s="80" t="str">
        <f aca="false">IF(BN57&gt;BM$7,
    "",
    VLOOKUP(BN57,BP$8:BV556,4,FALSE())
)</f>
        <v/>
      </c>
      <c r="CA57" s="80" t="str">
        <f aca="false">IF(BN57&gt;BM$7,
    "",
    VLOOKUP(BN57,BP$8:BV556,5,FALSE())
)</f>
        <v/>
      </c>
      <c r="CB57" s="81" t="str">
        <f aca="false">IF(BN57&gt;BM$7,
    "",
    VLOOKUP(BN57,BP$8:BV556,6,FALSE())
)</f>
        <v/>
      </c>
      <c r="CC57" s="53"/>
    </row>
    <row r="58" customFormat="false" ht="15.75" hidden="false" customHeight="false" outlineLevel="0" collapsed="false">
      <c r="A58" s="5"/>
      <c r="B58" s="129"/>
      <c r="C58" s="55"/>
      <c r="D58" s="56"/>
      <c r="E58" s="123"/>
      <c r="F58" s="123"/>
      <c r="G58" s="58"/>
      <c r="H58" s="59"/>
      <c r="I58" s="59"/>
      <c r="J58" s="83"/>
      <c r="K58" s="83"/>
      <c r="L58" s="83"/>
      <c r="M58" s="61"/>
      <c r="N58" s="61"/>
      <c r="O58" s="61"/>
      <c r="P58" s="62"/>
      <c r="Q58" s="63"/>
      <c r="R58" s="83"/>
      <c r="S58" s="65"/>
      <c r="T58" s="66"/>
      <c r="U58" s="66" t="str">
        <f aca="false">IF(ISBLANK($C58),"",IF(G58=Constants!$B$2, TRUE(), IF(G58=Constants!$B$3, FALSE(), TRUE())))</f>
        <v/>
      </c>
      <c r="V58" s="66" t="str">
        <f aca="false">IF(ISBLANK($C58),"",IF(H58=Constants!$B$2, TRUE(), IF(H58=Constants!$B$3, FALSE(), TRUE())))</f>
        <v/>
      </c>
      <c r="W58" s="66" t="str">
        <f aca="false">IF(ISBLANK($C58),"",IF(I58=Constants!$B$2, TRUE(), IF(I58=Constants!$B$3, FALSE(), TRUE())))</f>
        <v/>
      </c>
      <c r="X58" s="66" t="str">
        <f aca="false">IF(ISBLANK($C58),"",IF(AND(ISNUMBER(J58),J58&gt;0),INT(J58),0))</f>
        <v/>
      </c>
      <c r="Y58" s="66" t="str">
        <f aca="false">IF(ISBLANK($C58),"",IF(K58=Constants!$B$2, TRUE(), IF(K58=Constants!$B$3, FALSE(), TRUE())))</f>
        <v/>
      </c>
      <c r="Z58" s="66" t="str">
        <f aca="false">IF(ISBLANK($C58),"",IF(AND(ISNUMBER(L58),L58&gt;0),INT(L58),0))</f>
        <v/>
      </c>
      <c r="AA58" s="68" t="str">
        <f aca="false">IF(ISBLANK($C58),"",IF(ISNUMBER(M58), M58, ""))</f>
        <v/>
      </c>
      <c r="AB58" s="68" t="str">
        <f aca="false">IF(ISBLANK($C58),"",IF(ISNUMBER(N58), N58, ""))</f>
        <v/>
      </c>
      <c r="AC58" s="68" t="str">
        <f aca="false">IF(ISBLANK($C58),"",IF(ISNUMBER(O58), O58, ""))</f>
        <v/>
      </c>
      <c r="AD58" s="69" t="str">
        <f aca="false">IF(ISBLANK($C58),"",IF(ISNUMBER(P58), P58, ""))</f>
        <v/>
      </c>
      <c r="AE58" s="69" t="str">
        <f aca="false">IF(ISBLANK($C58),"",IF(ISNUMBER(Q58), Q58, Constants!$B$13))</f>
        <v/>
      </c>
      <c r="AF58" s="66" t="str">
        <f aca="false">IF(ISBLANK($C58),"",IF(R58=Constants!$B$2, TRUE(), IF(R58=Constants!$B$3, FALSE(), FALSE())))</f>
        <v/>
      </c>
      <c r="AG58" s="66" t="str">
        <f aca="false">IF(ISBLANK(C58), "", IF(AF58, Constants!$B$4,IF(COUNTA(G58:P58)=0, Constants!$B$5, Constants!$B$7)))</f>
        <v/>
      </c>
      <c r="AH58" s="66" t="str">
        <f aca="false">IF(ISBLANK($C58), "",IF($AG58=Constants!$B$7,1,$AG58))</f>
        <v/>
      </c>
      <c r="AI58" s="66" t="str">
        <f aca="false">IF($AG58=Constants!$B$7,POWER(Constants!$B$11,X58)*POWER(Constants!$B$12,Z58),"")</f>
        <v/>
      </c>
      <c r="AJ58" s="66" t="str">
        <f aca="false">IF(AND($AG58=Constants!$B$7, U58, V58) ,IF(OR($AA58="",$AC58=""),"",MAX(0, $AC58-$AA58)),"")</f>
        <v/>
      </c>
      <c r="AK58" s="66" t="str">
        <f aca="false">IF(AND($AG58=Constants!$B$7, U58, V58),IF(OR($AA58="",$AC58=""),$AK$6,""),"")</f>
        <v/>
      </c>
      <c r="AL58" s="66" t="str">
        <f aca="false">IF($AG58=Constants!$B$7,IF(AND(U58,V58,W58,Y58),IF($AJ58="",0,IF($AJ$6=0,Constants!$B$9,Constants!$B$9*AJ58/$AJ$6)), 0),"")</f>
        <v/>
      </c>
      <c r="AM58" s="66" t="str">
        <f aca="false">IF(AL58&lt;&gt;"", AL58*AI58,"")</f>
        <v/>
      </c>
      <c r="AN58" s="66" t="str">
        <f aca="false">IF(AND($AG58=Constants!$B$7, U58, V58) ,IF($AB58="", "", IF(OR($AC58="",$AC58=0),"",MAX(0,1-ABS($AC58-$AB58)/$AC58))),"")</f>
        <v/>
      </c>
      <c r="AO58" s="66" t="str">
        <f aca="false">IF(AND($AG58=Constants!$B$7, U58, V58),IF(AND($AA58&lt;&gt;"",$AB58&lt;&gt;"",$AC58=0),$AO$6,""),"")</f>
        <v/>
      </c>
      <c r="AP58" s="66" t="str">
        <f aca="false">IF($AG58=Constants!$B$7 ,IF(AND(U58,V58,W58,Y58,ISNUMBER(AB58)),IF($AN58="",0,IF($AN$6=0,Constants!$B$10,Constants!$B$10*AN58/$AN$6)), 0),"")</f>
        <v/>
      </c>
      <c r="AQ58" s="66" t="str">
        <f aca="false">IF(AP58&lt;&gt;"", AP58*AI58,"")</f>
        <v/>
      </c>
      <c r="AR58" s="66" t="str">
        <f aca="false">IF($AG58=Constants!$B$7,IF($AD58="",0,IF($AR$6=0,Constants!$B$8,Constants!$B$8*AD58/$AR$6)),"")</f>
        <v/>
      </c>
      <c r="AS58" s="66" t="str">
        <f aca="false">IF($AG58&lt;&gt;Constants!$B$7,$AG58,IF(AK58&amp;AO58&lt;&gt;"",Constants!$B$14,AM58+AQ58+AR58))</f>
        <v/>
      </c>
      <c r="AT58" s="66" t="str">
        <f aca="false">IF(ISBLANK($C58),"",IF($AG58=Constants!$B$7,IF(ISNUMBER(AS58),RANK(AS58,$AS$8:$AS$507),Constants!$B$14),$AG58))</f>
        <v/>
      </c>
      <c r="AU58" s="66" t="str">
        <f aca="false">IF(ISBLANK($C58), "",AM58)</f>
        <v/>
      </c>
      <c r="AV58" s="66" t="str">
        <f aca="false">IF(ISBLANK($C58),"",IF($AG58=Constants!$B$7,RANK(AU58,AU$8:AU$507),$AG58))</f>
        <v/>
      </c>
      <c r="AW58" s="66" t="str">
        <f aca="false">IF(ISBLANK($C58), "",AR58)</f>
        <v/>
      </c>
      <c r="AX58" s="66" t="str">
        <f aca="false">IF(ISBLANK($C58),"",IF($AG58=Constants!$B$7,RANK(AW58,AW$8:AW$507),$AG58))</f>
        <v/>
      </c>
      <c r="AY58" s="66" t="str">
        <f aca="false">IF(ISBLANK($C58), "",AE58)</f>
        <v/>
      </c>
      <c r="AZ58" s="66" t="str">
        <f aca="false">IF(ISBLANK($C58),"",
IF($AG58=Constants!$B$7,
  IF(ISNUMBER(AT58),
    COUNTIFS($AT$8:$AT$507,"&lt;"&amp;$AT58)
    + COUNTIFS($AT$8:$AT$507,$AT58,$AV$8:$AV$507,"&lt;"&amp;$AV58)
    + COUNTIFS($AT$8:$AT$507,$AT58,$AV$8:$AV$507,$AV58,$AX$8:$AX$507,"&lt;"&amp;$AX58)
    + COUNTIFS($AT$8:$AT$507,$AT58,$AV$8:$AV$507,$AV58,$AX$8:$AX$507,$AX58,$AY$8:$AY$507,"&lt;"&amp;$AY58)
    + 1,
  Constants!$B$14),
$AG58))</f>
        <v/>
      </c>
      <c r="BA58" s="66" t="str">
        <f aca="false">IF(ISBLANK(C58),"",IF($AG58=Constants!$B$7, IF(ISNUMBER(AT58),AT58-AZ58,Constants!$B$14),$AG58))</f>
        <v/>
      </c>
      <c r="BB58" s="70"/>
      <c r="BC58" s="84" t="str">
        <f aca="false">IF(ISBLANK($C58),"",TRIM(AK58&amp;" "&amp;AO58))</f>
        <v/>
      </c>
      <c r="BD58" s="72" t="str">
        <f aca="false">IF(ISBLANK($C58),"",IF($AG58&lt;&gt;Constants!$B$7,$AG58,AR58))</f>
        <v/>
      </c>
      <c r="BE58" s="72" t="str">
        <f aca="false">IF(ISBLANK($C58),"",IF($AG58&lt;&gt;Constants!$B$7,$AG58,AM58))</f>
        <v/>
      </c>
      <c r="BF58" s="72" t="str">
        <f aca="false">IF(ISBLANK($C58),"",IF($AG58&lt;&gt;Constants!$B$7,$AG58,AQ58))</f>
        <v/>
      </c>
      <c r="BG58" s="73" t="str">
        <f aca="false">IF(ISBLANK($C58),"",IF($AG58&lt;&gt;Constants!$B$7, $AG58 ,AS58))</f>
        <v/>
      </c>
      <c r="BH58" s="74" t="str">
        <f aca="false">IF(ISBLANK($C58),"",IF($AG58&lt;&gt;Constants!$B$7, $AG58 ,AH58))</f>
        <v/>
      </c>
      <c r="BI58" s="72" t="str">
        <f aca="false">IF(ISBLANK(C58),"",BA58)</f>
        <v/>
      </c>
      <c r="BJ58" s="72" t="str">
        <f aca="false">IF(ISBLANK(C58),"",AZ58)</f>
        <v/>
      </c>
      <c r="BK58" s="75" t="str">
        <f aca="false">IF(ISBLANK(C58),"",IFERROR(_xlfn.SWITCH(BJ58, Constants!$B$4, COUNTA($C$8:$C557)+2, Constants!$B$5, COUNTA($C$8:$C557)+1, Constants!$B$6, COUNTA($C$8:$C557)),BJ58))</f>
        <v/>
      </c>
      <c r="BL58" s="5"/>
      <c r="BM58" s="76" t="n">
        <f aca="false">IF(OR(ISNUMBER(BJ58),BJ58="DQ",BJ58="P",BJ58="NS"),
    1,
    0
)</f>
        <v>0</v>
      </c>
      <c r="BN58" s="76" t="n">
        <v>51</v>
      </c>
      <c r="BO58" s="76" t="str">
        <f aca="false">IF(ISBLANK($C58),"",IF(ISNUMBER(BK58),BK58+ROW($B58)/1000,""))</f>
        <v/>
      </c>
      <c r="BP58" s="76" t="str">
        <f aca="false">IF(ISNUMBER(BO58), RANK(BO58,BO$8:BO$507,1), "")</f>
        <v/>
      </c>
      <c r="BQ58" s="76" t="str">
        <f aca="false">IF(ISBLANK($C58),
    "",
    $B58
)</f>
        <v/>
      </c>
      <c r="BR58" s="76" t="str">
        <f aca="false">IF(ISBLANK($C58),
    "",
    $C58
)</f>
        <v/>
      </c>
      <c r="BS58" s="76" t="str">
        <f aca="false">IF(ISBLANK($C58),
    "",
    $D58
)</f>
        <v/>
      </c>
      <c r="BT58" s="77" t="str">
        <f aca="false">BH58</f>
        <v/>
      </c>
      <c r="BU58" s="78" t="str">
        <f aca="false">BG58</f>
        <v/>
      </c>
      <c r="BV58" s="76" t="str">
        <f aca="false">IF(ISBLANK($C58),
    "",
    BJ58
)</f>
        <v/>
      </c>
      <c r="BW58" s="79" t="str">
        <f aca="false">IF(BN58&gt;BM$7,
    "",
    VLOOKUP(BN58,BP$8:BV557,7,FALSE())
)</f>
        <v/>
      </c>
      <c r="BX58" s="80" t="str">
        <f aca="false">IF(BN58&gt;BM$7,
    "",
    VLOOKUP(BN58,BP$8:BV557,2,FALSE())
)</f>
        <v/>
      </c>
      <c r="BY58" s="80" t="str">
        <f aca="false">IF(BN58&gt;BM$7,
    "",
    VLOOKUP(BN58,BP$8:BV557,3,FALSE())
)</f>
        <v/>
      </c>
      <c r="BZ58" s="80" t="str">
        <f aca="false">IF(BN58&gt;BM$7,
    "",
    VLOOKUP(BN58,BP$8:BV557,4,FALSE())
)</f>
        <v/>
      </c>
      <c r="CA58" s="80" t="str">
        <f aca="false">IF(BN58&gt;BM$7,
    "",
    VLOOKUP(BN58,BP$8:BV557,5,FALSE())
)</f>
        <v/>
      </c>
      <c r="CB58" s="81" t="str">
        <f aca="false">IF(BN58&gt;BM$7,
    "",
    VLOOKUP(BN58,BP$8:BV557,6,FALSE())
)</f>
        <v/>
      </c>
      <c r="CC58" s="53"/>
    </row>
    <row r="59" customFormat="false" ht="15.75" hidden="false" customHeight="false" outlineLevel="0" collapsed="false">
      <c r="A59" s="5"/>
      <c r="B59" s="125"/>
      <c r="C59" s="126"/>
      <c r="D59" s="115"/>
      <c r="E59" s="119"/>
      <c r="F59" s="119"/>
      <c r="G59" s="91"/>
      <c r="H59" s="92"/>
      <c r="I59" s="92"/>
      <c r="J59" s="128"/>
      <c r="K59" s="128"/>
      <c r="L59" s="128"/>
      <c r="M59" s="94"/>
      <c r="N59" s="94"/>
      <c r="O59" s="94"/>
      <c r="P59" s="95"/>
      <c r="Q59" s="96"/>
      <c r="R59" s="128"/>
      <c r="S59" s="98"/>
      <c r="T59" s="99"/>
      <c r="U59" s="99" t="str">
        <f aca="false">IF(ISBLANK($C59),"",IF(G59=Constants!$B$2, TRUE(), IF(G59=Constants!$B$3, FALSE(), TRUE())))</f>
        <v/>
      </c>
      <c r="V59" s="99" t="str">
        <f aca="false">IF(ISBLANK($C59),"",IF(H59=Constants!$B$2, TRUE(), IF(H59=Constants!$B$3, FALSE(), TRUE())))</f>
        <v/>
      </c>
      <c r="W59" s="99" t="str">
        <f aca="false">IF(ISBLANK($C59),"",IF(I59=Constants!$B$2, TRUE(), IF(I59=Constants!$B$3, FALSE(), TRUE())))</f>
        <v/>
      </c>
      <c r="X59" s="99" t="str">
        <f aca="false">IF(ISBLANK($C59),"",IF(AND(ISNUMBER(J59),J59&gt;0),INT(J59),0))</f>
        <v/>
      </c>
      <c r="Y59" s="99" t="str">
        <f aca="false">IF(ISBLANK($C59),"",IF(K59=Constants!$B$2, TRUE(), IF(K59=Constants!$B$3, FALSE(), TRUE())))</f>
        <v/>
      </c>
      <c r="Z59" s="100" t="str">
        <f aca="false">IF(ISBLANK($C59),"",IF(AND(ISNUMBER(L59),L59&gt;0),INT(L59),0))</f>
        <v/>
      </c>
      <c r="AA59" s="101" t="str">
        <f aca="false">IF(ISBLANK($C59),"",IF(ISNUMBER(M59), M59, ""))</f>
        <v/>
      </c>
      <c r="AB59" s="101" t="str">
        <f aca="false">IF(ISBLANK($C59),"",IF(ISNUMBER(N59), N59, ""))</f>
        <v/>
      </c>
      <c r="AC59" s="101" t="str">
        <f aca="false">IF(ISBLANK($C59),"",IF(ISNUMBER(O59), O59, ""))</f>
        <v/>
      </c>
      <c r="AD59" s="102" t="str">
        <f aca="false">IF(ISBLANK($C59),"",IF(ISNUMBER(P59), P59, ""))</f>
        <v/>
      </c>
      <c r="AE59" s="102" t="str">
        <f aca="false">IF(ISBLANK($C59),"",IF(ISNUMBER(Q59), Q59, Constants!$B$13))</f>
        <v/>
      </c>
      <c r="AF59" s="99" t="str">
        <f aca="false">IF(ISBLANK($C59),"",IF(R59=Constants!$B$2, TRUE(), IF(R59=Constants!$B$3, FALSE(), FALSE())))</f>
        <v/>
      </c>
      <c r="AG59" s="99" t="str">
        <f aca="false">IF(ISBLANK(C59), "", IF(AF59, Constants!$B$4,IF(COUNTA(G59:P59)=0, Constants!$B$5, Constants!$B$7)))</f>
        <v/>
      </c>
      <c r="AH59" s="99" t="str">
        <f aca="false">IF(ISBLANK($C59), "",IF($AG59=Constants!$B$7,1,$AG59))</f>
        <v/>
      </c>
      <c r="AI59" s="99" t="str">
        <f aca="false">IF($AG59=Constants!$B$7,POWER(Constants!$B$11,X59)*POWER(Constants!$B$12,Z59),"")</f>
        <v/>
      </c>
      <c r="AJ59" s="99" t="str">
        <f aca="false">IF(AND($AG59=Constants!$B$7, U59, V59) ,IF(OR($AA59="",$AC59=""),"",MAX(0, $AC59-$AA59)),"")</f>
        <v/>
      </c>
      <c r="AK59" s="99" t="str">
        <f aca="false">IF(AND($AG59=Constants!$B$7, U59, V59),IF(OR($AA59="",$AC59=""),$AK$6,""),"")</f>
        <v/>
      </c>
      <c r="AL59" s="99" t="str">
        <f aca="false">IF($AG59=Constants!$B$7,IF(AND(U59,V59,W59,Y59),IF($AJ59="",0,IF($AJ$6=0,Constants!$B$9,Constants!$B$9*AJ59/$AJ$6)), 0),"")</f>
        <v/>
      </c>
      <c r="AM59" s="99" t="str">
        <f aca="false">IF(AL59&lt;&gt;"", AL59*AI59,"")</f>
        <v/>
      </c>
      <c r="AN59" s="99" t="str">
        <f aca="false">IF(AND($AG59=Constants!$B$7, U59, V59) ,IF($AB59="", "", IF(OR($AC59="",$AC59=0),"",MAX(0,1-ABS($AC59-$AB59)/$AC59))),"")</f>
        <v/>
      </c>
      <c r="AO59" s="99" t="str">
        <f aca="false">IF(AND($AG59=Constants!$B$7, U59, V59),IF(AND($AA59&lt;&gt;"",$AB59&lt;&gt;"",$AC59=0),$AO$6,""),"")</f>
        <v/>
      </c>
      <c r="AP59" s="99" t="str">
        <f aca="false">IF($AG59=Constants!$B$7 ,IF(AND(U59,V59,W59,Y59,ISNUMBER(AB59)),IF($AN59="",0,IF($AN$6=0,Constants!$B$10,Constants!$B$10*AN59/$AN$6)), 0),"")</f>
        <v/>
      </c>
      <c r="AQ59" s="99" t="str">
        <f aca="false">IF(AP59&lt;&gt;"", AP59*AI59,"")</f>
        <v/>
      </c>
      <c r="AR59" s="99" t="str">
        <f aca="false">IF($AG59=Constants!$B$7,IF($AD59="",0,IF($AR$6=0,Constants!$B$8,Constants!$B$8*AD59/$AR$6)),"")</f>
        <v/>
      </c>
      <c r="AS59" s="99" t="str">
        <f aca="false">IF($AG59&lt;&gt;Constants!$B$7,$AG59,IF(AK59&amp;AO59&lt;&gt;"",Constants!$B$14,AM59+AQ59+AR59))</f>
        <v/>
      </c>
      <c r="AT59" s="99" t="str">
        <f aca="false">IF(ISBLANK($C59),"",IF($AG59=Constants!$B$7,IF(ISNUMBER(AS59),RANK(AS59,$AS$8:$AS$507),Constants!$B$14),$AG59))</f>
        <v/>
      </c>
      <c r="AU59" s="99" t="str">
        <f aca="false">IF(ISBLANK($C59), "",AM59)</f>
        <v/>
      </c>
      <c r="AV59" s="99" t="str">
        <f aca="false">IF(ISBLANK($C59),"",IF($AG59=Constants!$B$7,RANK(AU59,AU$8:AU$507),$AG59))</f>
        <v/>
      </c>
      <c r="AW59" s="99" t="str">
        <f aca="false">IF(ISBLANK($C59), "",AR59)</f>
        <v/>
      </c>
      <c r="AX59" s="99" t="str">
        <f aca="false">IF(ISBLANK($C59),"",IF($AG59=Constants!$B$7,RANK(AW59,AW$8:AW$507),$AG59))</f>
        <v/>
      </c>
      <c r="AY59" s="99" t="str">
        <f aca="false">IF(ISBLANK($C59), "",AE59)</f>
        <v/>
      </c>
      <c r="AZ59" s="99" t="str">
        <f aca="false">IF(ISBLANK($C59),"",
IF($AG59=Constants!$B$7,
  IF(ISNUMBER(AT59),
    COUNTIFS($AT$8:$AT$507,"&lt;"&amp;$AT59)
    + COUNTIFS($AT$8:$AT$507,$AT59,$AV$8:$AV$507,"&lt;"&amp;$AV59)
    + COUNTIFS($AT$8:$AT$507,$AT59,$AV$8:$AV$507,$AV59,$AX$8:$AX$507,"&lt;"&amp;$AX59)
    + COUNTIFS($AT$8:$AT$507,$AT59,$AV$8:$AV$507,$AV59,$AX$8:$AX$507,$AX59,$AY$8:$AY$507,"&lt;"&amp;$AY59)
    + 1,
  Constants!$B$14),
$AG59))</f>
        <v/>
      </c>
      <c r="BA59" s="99" t="str">
        <f aca="false">IF(ISBLANK(C59),"",IF($AG59=Constants!$B$7, IF(ISNUMBER(AT59),AT59-AZ59,Constants!$B$14),$AG59))</f>
        <v/>
      </c>
      <c r="BB59" s="103"/>
      <c r="BC59" s="104" t="str">
        <f aca="false">IF(ISBLANK($C59),"",TRIM(AK59&amp;" "&amp;AO59))</f>
        <v/>
      </c>
      <c r="BD59" s="105" t="str">
        <f aca="false">IF(ISBLANK($C59),"",IF($AG59&lt;&gt;Constants!$B$7,$AG59,AR59))</f>
        <v/>
      </c>
      <c r="BE59" s="105" t="str">
        <f aca="false">IF(ISBLANK($C59),"",IF($AG59&lt;&gt;Constants!$B$7,$AG59,AM59))</f>
        <v/>
      </c>
      <c r="BF59" s="105" t="str">
        <f aca="false">IF(ISBLANK($C59),"",IF($AG59&lt;&gt;Constants!$B$7,$AG59,AQ59))</f>
        <v/>
      </c>
      <c r="BG59" s="106" t="str">
        <f aca="false">IF(ISBLANK($C59),"",IF($AG59&lt;&gt;Constants!$B$7, $AG59 ,AS59))</f>
        <v/>
      </c>
      <c r="BH59" s="107" t="str">
        <f aca="false">IF(ISBLANK($C59),"",IF($AG59&lt;&gt;Constants!$B$7, $AG59 ,AH59))</f>
        <v/>
      </c>
      <c r="BI59" s="105" t="str">
        <f aca="false">IF(ISBLANK(C59),"",BA59)</f>
        <v/>
      </c>
      <c r="BJ59" s="105" t="str">
        <f aca="false">IF(ISBLANK(C59),"",AZ59)</f>
        <v/>
      </c>
      <c r="BK59" s="108" t="str">
        <f aca="false">IF(ISBLANK(C59),"",IFERROR(_xlfn.SWITCH(BJ59, Constants!$B$4, COUNTA($C$8:$C558)+2, Constants!$B$5, COUNTA($C$8:$C558)+1, Constants!$B$6, COUNTA($C$8:$C558)),BJ59))</f>
        <v/>
      </c>
      <c r="BL59" s="5"/>
      <c r="BM59" s="109" t="n">
        <f aca="false">IF(OR(ISNUMBER(BJ59),BJ59="DQ",BJ59="P",BJ59="NS"),
    1,
    0
)</f>
        <v>0</v>
      </c>
      <c r="BN59" s="109" t="n">
        <v>52</v>
      </c>
      <c r="BO59" s="109" t="str">
        <f aca="false">IF(ISBLANK($C59),"",IF(ISNUMBER(BK59),BK59+ROW($B59)/1000,""))</f>
        <v/>
      </c>
      <c r="BP59" s="109" t="str">
        <f aca="false">IF(ISNUMBER(BO59), RANK(BO59,BO$8:BO$507,1), "")</f>
        <v/>
      </c>
      <c r="BQ59" s="109" t="str">
        <f aca="false">IF(ISBLANK($C59),
    "",
    $B59
)</f>
        <v/>
      </c>
      <c r="BR59" s="109" t="str">
        <f aca="false">IF(ISBLANK($C59),
    "",
    $C59
)</f>
        <v/>
      </c>
      <c r="BS59" s="109" t="str">
        <f aca="false">IF(ISBLANK($C59),
    "",
    $D59
)</f>
        <v/>
      </c>
      <c r="BT59" s="110" t="str">
        <f aca="false">BH59</f>
        <v/>
      </c>
      <c r="BU59" s="111" t="str">
        <f aca="false">BG59</f>
        <v/>
      </c>
      <c r="BV59" s="109" t="str">
        <f aca="false">IF(ISBLANK($C59),
    "",
    BJ59
)</f>
        <v/>
      </c>
      <c r="BW59" s="112" t="str">
        <f aca="false">IF(BN59&gt;BM$7,
    "",
    VLOOKUP(BN59,BP$8:BV558,7,FALSE())
)</f>
        <v/>
      </c>
      <c r="BX59" s="113" t="str">
        <f aca="false">IF(BN59&gt;BM$7,
    "",
    VLOOKUP(BN59,BP$8:BV558,2,FALSE())
)</f>
        <v/>
      </c>
      <c r="BY59" s="113" t="str">
        <f aca="false">IF(BN59&gt;BM$7,
    "",
    VLOOKUP(BN59,BP$8:BV558,3,FALSE())
)</f>
        <v/>
      </c>
      <c r="BZ59" s="113" t="str">
        <f aca="false">IF(BN59&gt;BM$7,
    "",
    VLOOKUP(BN59,BP$8:BV558,4,FALSE())
)</f>
        <v/>
      </c>
      <c r="CA59" s="113" t="str">
        <f aca="false">IF(BN59&gt;BM$7,
    "",
    VLOOKUP(BN59,BP$8:BV558,5,FALSE())
)</f>
        <v/>
      </c>
      <c r="CB59" s="114" t="str">
        <f aca="false">IF(BN59&gt;BM$7,
    "",
    VLOOKUP(BN59,BP$8:BV558,6,FALSE())
)</f>
        <v/>
      </c>
      <c r="CC59" s="53"/>
    </row>
    <row r="60" customFormat="false" ht="15.75" hidden="false" customHeight="false" outlineLevel="0" collapsed="false">
      <c r="A60" s="5"/>
      <c r="B60" s="125"/>
      <c r="C60" s="126"/>
      <c r="D60" s="115"/>
      <c r="E60" s="119"/>
      <c r="F60" s="119"/>
      <c r="G60" s="91"/>
      <c r="H60" s="92"/>
      <c r="I60" s="92"/>
      <c r="J60" s="128"/>
      <c r="K60" s="128"/>
      <c r="L60" s="128"/>
      <c r="M60" s="94"/>
      <c r="N60" s="94"/>
      <c r="O60" s="94"/>
      <c r="P60" s="95"/>
      <c r="Q60" s="96"/>
      <c r="R60" s="128"/>
      <c r="S60" s="98"/>
      <c r="T60" s="99"/>
      <c r="U60" s="99" t="str">
        <f aca="false">IF(ISBLANK($C60),"",IF(G60=Constants!$B$2, TRUE(), IF(G60=Constants!$B$3, FALSE(), TRUE())))</f>
        <v/>
      </c>
      <c r="V60" s="99" t="str">
        <f aca="false">IF(ISBLANK($C60),"",IF(H60=Constants!$B$2, TRUE(), IF(H60=Constants!$B$3, FALSE(), TRUE())))</f>
        <v/>
      </c>
      <c r="W60" s="99" t="str">
        <f aca="false">IF(ISBLANK($C60),"",IF(I60=Constants!$B$2, TRUE(), IF(I60=Constants!$B$3, FALSE(), TRUE())))</f>
        <v/>
      </c>
      <c r="X60" s="99" t="str">
        <f aca="false">IF(ISBLANK($C60),"",IF(AND(ISNUMBER(J60),J60&gt;0),INT(J60),0))</f>
        <v/>
      </c>
      <c r="Y60" s="99" t="str">
        <f aca="false">IF(ISBLANK($C60),"",IF(K60=Constants!$B$2, TRUE(), IF(K60=Constants!$B$3, FALSE(), TRUE())))</f>
        <v/>
      </c>
      <c r="Z60" s="100" t="str">
        <f aca="false">IF(ISBLANK($C60),"",IF(AND(ISNUMBER(L60),L60&gt;0),INT(L60),0))</f>
        <v/>
      </c>
      <c r="AA60" s="101" t="str">
        <f aca="false">IF(ISBLANK($C60),"",IF(ISNUMBER(M60), M60, ""))</f>
        <v/>
      </c>
      <c r="AB60" s="101" t="str">
        <f aca="false">IF(ISBLANK($C60),"",IF(ISNUMBER(N60), N60, ""))</f>
        <v/>
      </c>
      <c r="AC60" s="101" t="str">
        <f aca="false">IF(ISBLANK($C60),"",IF(ISNUMBER(O60), O60, ""))</f>
        <v/>
      </c>
      <c r="AD60" s="102" t="str">
        <f aca="false">IF(ISBLANK($C60),"",IF(ISNUMBER(P60), P60, ""))</f>
        <v/>
      </c>
      <c r="AE60" s="102" t="str">
        <f aca="false">IF(ISBLANK($C60),"",IF(ISNUMBER(Q60), Q60, Constants!$B$13))</f>
        <v/>
      </c>
      <c r="AF60" s="99" t="str">
        <f aca="false">IF(ISBLANK($C60),"",IF(R60=Constants!$B$2, TRUE(), IF(R60=Constants!$B$3, FALSE(), FALSE())))</f>
        <v/>
      </c>
      <c r="AG60" s="99" t="str">
        <f aca="false">IF(ISBLANK(C60), "", IF(AF60, Constants!$B$4,IF(COUNTA(G60:P60)=0, Constants!$B$5, Constants!$B$7)))</f>
        <v/>
      </c>
      <c r="AH60" s="99" t="str">
        <f aca="false">IF(ISBLANK($C60), "",IF($AG60=Constants!$B$7,1,$AG60))</f>
        <v/>
      </c>
      <c r="AI60" s="99" t="str">
        <f aca="false">IF($AG60=Constants!$B$7,POWER(Constants!$B$11,X60)*POWER(Constants!$B$12,Z60),"")</f>
        <v/>
      </c>
      <c r="AJ60" s="99" t="str">
        <f aca="false">IF(AND($AG60=Constants!$B$7, U60, V60) ,IF(OR($AA60="",$AC60=""),"",MAX(0, $AC60-$AA60)),"")</f>
        <v/>
      </c>
      <c r="AK60" s="99" t="str">
        <f aca="false">IF(AND($AG60=Constants!$B$7, U60, V60),IF(OR($AA60="",$AC60=""),$AK$6,""),"")</f>
        <v/>
      </c>
      <c r="AL60" s="99" t="str">
        <f aca="false">IF($AG60=Constants!$B$7,IF(AND(U60,V60,W60,Y60),IF($AJ60="",0,IF($AJ$6=0,Constants!$B$9,Constants!$B$9*AJ60/$AJ$6)), 0),"")</f>
        <v/>
      </c>
      <c r="AM60" s="99" t="str">
        <f aca="false">IF(AL60&lt;&gt;"", AL60*AI60,"")</f>
        <v/>
      </c>
      <c r="AN60" s="99" t="str">
        <f aca="false">IF(AND($AG60=Constants!$B$7, U60, V60) ,IF($AB60="", "", IF(OR($AC60="",$AC60=0),"",MAX(0,1-ABS($AC60-$AB60)/$AC60))),"")</f>
        <v/>
      </c>
      <c r="AO60" s="99" t="str">
        <f aca="false">IF(AND($AG60=Constants!$B$7, U60, V60),IF(AND($AA60&lt;&gt;"",$AB60&lt;&gt;"",$AC60=0),$AO$6,""),"")</f>
        <v/>
      </c>
      <c r="AP60" s="99" t="str">
        <f aca="false">IF($AG60=Constants!$B$7 ,IF(AND(U60,V60,W60,Y60,ISNUMBER(AB60)),IF($AN60="",0,IF($AN$6=0,Constants!$B$10,Constants!$B$10*AN60/$AN$6)), 0),"")</f>
        <v/>
      </c>
      <c r="AQ60" s="99" t="str">
        <f aca="false">IF(AP60&lt;&gt;"", AP60*AI60,"")</f>
        <v/>
      </c>
      <c r="AR60" s="99" t="str">
        <f aca="false">IF($AG60=Constants!$B$7,IF($AD60="",0,IF($AR$6=0,Constants!$B$8,Constants!$B$8*AD60/$AR$6)),"")</f>
        <v/>
      </c>
      <c r="AS60" s="99" t="str">
        <f aca="false">IF($AG60&lt;&gt;Constants!$B$7,$AG60,IF(AK60&amp;AO60&lt;&gt;"",Constants!$B$14,AM60+AQ60+AR60))</f>
        <v/>
      </c>
      <c r="AT60" s="99" t="str">
        <f aca="false">IF(ISBLANK($C60),"",IF($AG60=Constants!$B$7,IF(ISNUMBER(AS60),RANK(AS60,$AS$8:$AS$507),Constants!$B$14),$AG60))</f>
        <v/>
      </c>
      <c r="AU60" s="99" t="str">
        <f aca="false">IF(ISBLANK($C60), "",AM60)</f>
        <v/>
      </c>
      <c r="AV60" s="99" t="str">
        <f aca="false">IF(ISBLANK($C60),"",IF($AG60=Constants!$B$7,RANK(AU60,AU$8:AU$507),$AG60))</f>
        <v/>
      </c>
      <c r="AW60" s="99" t="str">
        <f aca="false">IF(ISBLANK($C60), "",AR60)</f>
        <v/>
      </c>
      <c r="AX60" s="99" t="str">
        <f aca="false">IF(ISBLANK($C60),"",IF($AG60=Constants!$B$7,RANK(AW60,AW$8:AW$507),$AG60))</f>
        <v/>
      </c>
      <c r="AY60" s="99" t="str">
        <f aca="false">IF(ISBLANK($C60), "",AE60)</f>
        <v/>
      </c>
      <c r="AZ60" s="99" t="str">
        <f aca="false">IF(ISBLANK($C60),"",
IF($AG60=Constants!$B$7,
  IF(ISNUMBER(AT60),
    COUNTIFS($AT$8:$AT$507,"&lt;"&amp;$AT60)
    + COUNTIFS($AT$8:$AT$507,$AT60,$AV$8:$AV$507,"&lt;"&amp;$AV60)
    + COUNTIFS($AT$8:$AT$507,$AT60,$AV$8:$AV$507,$AV60,$AX$8:$AX$507,"&lt;"&amp;$AX60)
    + COUNTIFS($AT$8:$AT$507,$AT60,$AV$8:$AV$507,$AV60,$AX$8:$AX$507,$AX60,$AY$8:$AY$507,"&lt;"&amp;$AY60)
    + 1,
  Constants!$B$14),
$AG60))</f>
        <v/>
      </c>
      <c r="BA60" s="99" t="str">
        <f aca="false">IF(ISBLANK(C60),"",IF($AG60=Constants!$B$7, IF(ISNUMBER(AT60),AT60-AZ60,Constants!$B$14),$AG60))</f>
        <v/>
      </c>
      <c r="BB60" s="103"/>
      <c r="BC60" s="104" t="str">
        <f aca="false">IF(ISBLANK($C60),"",TRIM(AK60&amp;" "&amp;AO60))</f>
        <v/>
      </c>
      <c r="BD60" s="105" t="str">
        <f aca="false">IF(ISBLANK($C60),"",IF($AG60&lt;&gt;Constants!$B$7,$AG60,AR60))</f>
        <v/>
      </c>
      <c r="BE60" s="105" t="str">
        <f aca="false">IF(ISBLANK($C60),"",IF($AG60&lt;&gt;Constants!$B$7,$AG60,AM60))</f>
        <v/>
      </c>
      <c r="BF60" s="105" t="str">
        <f aca="false">IF(ISBLANK($C60),"",IF($AG60&lt;&gt;Constants!$B$7,$AG60,AQ60))</f>
        <v/>
      </c>
      <c r="BG60" s="106" t="str">
        <f aca="false">IF(ISBLANK($C60),"",IF($AG60&lt;&gt;Constants!$B$7, $AG60 ,AS60))</f>
        <v/>
      </c>
      <c r="BH60" s="107" t="str">
        <f aca="false">IF(ISBLANK($C60),"",IF($AG60&lt;&gt;Constants!$B$7, $AG60 ,AH60))</f>
        <v/>
      </c>
      <c r="BI60" s="105" t="str">
        <f aca="false">IF(ISBLANK(C60),"",BA60)</f>
        <v/>
      </c>
      <c r="BJ60" s="105" t="str">
        <f aca="false">IF(ISBLANK(C60),"",AZ60)</f>
        <v/>
      </c>
      <c r="BK60" s="108" t="str">
        <f aca="false">IF(ISBLANK(C60),"",IFERROR(_xlfn.SWITCH(BJ60, Constants!$B$4, COUNTA($C$8:$C559)+2, Constants!$B$5, COUNTA($C$8:$C559)+1, Constants!$B$6, COUNTA($C$8:$C559)),BJ60))</f>
        <v/>
      </c>
      <c r="BL60" s="5"/>
      <c r="BM60" s="109" t="n">
        <f aca="false">IF(OR(ISNUMBER(BJ60),BJ60="DQ",BJ60="P",BJ60="NS"),
    1,
    0
)</f>
        <v>0</v>
      </c>
      <c r="BN60" s="109" t="n">
        <v>53</v>
      </c>
      <c r="BO60" s="109" t="str">
        <f aca="false">IF(ISBLANK($C60),"",IF(ISNUMBER(BK60),BK60+ROW($B60)/1000,""))</f>
        <v/>
      </c>
      <c r="BP60" s="109" t="str">
        <f aca="false">IF(ISNUMBER(BO60), RANK(BO60,BO$8:BO$507,1), "")</f>
        <v/>
      </c>
      <c r="BQ60" s="109" t="str">
        <f aca="false">IF(ISBLANK($C60),
    "",
    $B60
)</f>
        <v/>
      </c>
      <c r="BR60" s="109" t="str">
        <f aca="false">IF(ISBLANK($C60),
    "",
    $C60
)</f>
        <v/>
      </c>
      <c r="BS60" s="109" t="str">
        <f aca="false">IF(ISBLANK($C60),
    "",
    $D60
)</f>
        <v/>
      </c>
      <c r="BT60" s="110" t="str">
        <f aca="false">BH60</f>
        <v/>
      </c>
      <c r="BU60" s="111" t="str">
        <f aca="false">BG60</f>
        <v/>
      </c>
      <c r="BV60" s="109" t="str">
        <f aca="false">IF(ISBLANK($C60),
    "",
    BJ60
)</f>
        <v/>
      </c>
      <c r="BW60" s="112" t="str">
        <f aca="false">IF(BN60&gt;BM$7,
    "",
    VLOOKUP(BN60,BP$8:BV559,7,FALSE())
)</f>
        <v/>
      </c>
      <c r="BX60" s="113" t="str">
        <f aca="false">IF(BN60&gt;BM$7,
    "",
    VLOOKUP(BN60,BP$8:BV559,2,FALSE())
)</f>
        <v/>
      </c>
      <c r="BY60" s="113" t="str">
        <f aca="false">IF(BN60&gt;BM$7,
    "",
    VLOOKUP(BN60,BP$8:BV559,3,FALSE())
)</f>
        <v/>
      </c>
      <c r="BZ60" s="113" t="str">
        <f aca="false">IF(BN60&gt;BM$7,
    "",
    VLOOKUP(BN60,BP$8:BV559,4,FALSE())
)</f>
        <v/>
      </c>
      <c r="CA60" s="113" t="str">
        <f aca="false">IF(BN60&gt;BM$7,
    "",
    VLOOKUP(BN60,BP$8:BV559,5,FALSE())
)</f>
        <v/>
      </c>
      <c r="CB60" s="114" t="str">
        <f aca="false">IF(BN60&gt;BM$7,
    "",
    VLOOKUP(BN60,BP$8:BV559,6,FALSE())
)</f>
        <v/>
      </c>
      <c r="CC60" s="53"/>
    </row>
    <row r="61" customFormat="false" ht="15.75" hidden="false" customHeight="false" outlineLevel="0" collapsed="false">
      <c r="A61" s="5"/>
      <c r="B61" s="125"/>
      <c r="C61" s="126"/>
      <c r="D61" s="115"/>
      <c r="E61" s="119"/>
      <c r="F61" s="119"/>
      <c r="G61" s="91"/>
      <c r="H61" s="92"/>
      <c r="I61" s="92"/>
      <c r="J61" s="128"/>
      <c r="K61" s="128"/>
      <c r="L61" s="128"/>
      <c r="M61" s="94"/>
      <c r="N61" s="94"/>
      <c r="O61" s="94"/>
      <c r="P61" s="95"/>
      <c r="Q61" s="96"/>
      <c r="R61" s="128"/>
      <c r="S61" s="98"/>
      <c r="T61" s="99"/>
      <c r="U61" s="99" t="str">
        <f aca="false">IF(ISBLANK($C61),"",IF(G61=Constants!$B$2, TRUE(), IF(G61=Constants!$B$3, FALSE(), TRUE())))</f>
        <v/>
      </c>
      <c r="V61" s="99" t="str">
        <f aca="false">IF(ISBLANK($C61),"",IF(H61=Constants!$B$2, TRUE(), IF(H61=Constants!$B$3, FALSE(), TRUE())))</f>
        <v/>
      </c>
      <c r="W61" s="99" t="str">
        <f aca="false">IF(ISBLANK($C61),"",IF(I61=Constants!$B$2, TRUE(), IF(I61=Constants!$B$3, FALSE(), TRUE())))</f>
        <v/>
      </c>
      <c r="X61" s="99" t="str">
        <f aca="false">IF(ISBLANK($C61),"",IF(AND(ISNUMBER(J61),J61&gt;0),INT(J61),0))</f>
        <v/>
      </c>
      <c r="Y61" s="99" t="str">
        <f aca="false">IF(ISBLANK($C61),"",IF(K61=Constants!$B$2, TRUE(), IF(K61=Constants!$B$3, FALSE(), TRUE())))</f>
        <v/>
      </c>
      <c r="Z61" s="100" t="str">
        <f aca="false">IF(ISBLANK($C61),"",IF(AND(ISNUMBER(L61),L61&gt;0),INT(L61),0))</f>
        <v/>
      </c>
      <c r="AA61" s="101" t="str">
        <f aca="false">IF(ISBLANK($C61),"",IF(ISNUMBER(M61), M61, ""))</f>
        <v/>
      </c>
      <c r="AB61" s="101" t="str">
        <f aca="false">IF(ISBLANK($C61),"",IF(ISNUMBER(N61), N61, ""))</f>
        <v/>
      </c>
      <c r="AC61" s="101" t="str">
        <f aca="false">IF(ISBLANK($C61),"",IF(ISNUMBER(O61), O61, ""))</f>
        <v/>
      </c>
      <c r="AD61" s="102" t="str">
        <f aca="false">IF(ISBLANK($C61),"",IF(ISNUMBER(P61), P61, ""))</f>
        <v/>
      </c>
      <c r="AE61" s="102" t="str">
        <f aca="false">IF(ISBLANK($C61),"",IF(ISNUMBER(Q61), Q61, Constants!$B$13))</f>
        <v/>
      </c>
      <c r="AF61" s="99" t="str">
        <f aca="false">IF(ISBLANK($C61),"",IF(R61=Constants!$B$2, TRUE(), IF(R61=Constants!$B$3, FALSE(), FALSE())))</f>
        <v/>
      </c>
      <c r="AG61" s="99" t="str">
        <f aca="false">IF(ISBLANK(C61), "", IF(AF61, Constants!$B$4,IF(COUNTA(G61:P61)=0, Constants!$B$5, Constants!$B$7)))</f>
        <v/>
      </c>
      <c r="AH61" s="99" t="str">
        <f aca="false">IF(ISBLANK($C61), "",IF($AG61=Constants!$B$7,1,$AG61))</f>
        <v/>
      </c>
      <c r="AI61" s="99" t="str">
        <f aca="false">IF($AG61=Constants!$B$7,POWER(Constants!$B$11,X61)*POWER(Constants!$B$12,Z61),"")</f>
        <v/>
      </c>
      <c r="AJ61" s="99" t="str">
        <f aca="false">IF(AND($AG61=Constants!$B$7, U61, V61) ,IF(OR($AA61="",$AC61=""),"",MAX(0, $AC61-$AA61)),"")</f>
        <v/>
      </c>
      <c r="AK61" s="99" t="str">
        <f aca="false">IF(AND($AG61=Constants!$B$7, U61, V61),IF(OR($AA61="",$AC61=""),$AK$6,""),"")</f>
        <v/>
      </c>
      <c r="AL61" s="99" t="str">
        <f aca="false">IF($AG61=Constants!$B$7,IF(AND(U61,V61,W61,Y61),IF($AJ61="",0,IF($AJ$6=0,Constants!$B$9,Constants!$B$9*AJ61/$AJ$6)), 0),"")</f>
        <v/>
      </c>
      <c r="AM61" s="99" t="str">
        <f aca="false">IF(AL61&lt;&gt;"", AL61*AI61,"")</f>
        <v/>
      </c>
      <c r="AN61" s="99" t="str">
        <f aca="false">IF(AND($AG61=Constants!$B$7, U61, V61) ,IF($AB61="", "", IF(OR($AC61="",$AC61=0),"",MAX(0,1-ABS($AC61-$AB61)/$AC61))),"")</f>
        <v/>
      </c>
      <c r="AO61" s="99" t="str">
        <f aca="false">IF(AND($AG61=Constants!$B$7, U61, V61),IF(AND($AA61&lt;&gt;"",$AB61&lt;&gt;"",$AC61=0),$AO$6,""),"")</f>
        <v/>
      </c>
      <c r="AP61" s="99" t="str">
        <f aca="false">IF($AG61=Constants!$B$7 ,IF(AND(U61,V61,W61,Y61,ISNUMBER(AB61)),IF($AN61="",0,IF($AN$6=0,Constants!$B$10,Constants!$B$10*AN61/$AN$6)), 0),"")</f>
        <v/>
      </c>
      <c r="AQ61" s="99" t="str">
        <f aca="false">IF(AP61&lt;&gt;"", AP61*AI61,"")</f>
        <v/>
      </c>
      <c r="AR61" s="99" t="str">
        <f aca="false">IF($AG61=Constants!$B$7,IF($AD61="",0,IF($AR$6=0,Constants!$B$8,Constants!$B$8*AD61/$AR$6)),"")</f>
        <v/>
      </c>
      <c r="AS61" s="99" t="str">
        <f aca="false">IF($AG61&lt;&gt;Constants!$B$7,$AG61,IF(AK61&amp;AO61&lt;&gt;"",Constants!$B$14,AM61+AQ61+AR61))</f>
        <v/>
      </c>
      <c r="AT61" s="99" t="str">
        <f aca="false">IF(ISBLANK($C61),"",IF($AG61=Constants!$B$7,IF(ISNUMBER(AS61),RANK(AS61,$AS$8:$AS$507),Constants!$B$14),$AG61))</f>
        <v/>
      </c>
      <c r="AU61" s="99" t="str">
        <f aca="false">IF(ISBLANK($C61), "",AM61)</f>
        <v/>
      </c>
      <c r="AV61" s="99" t="str">
        <f aca="false">IF(ISBLANK($C61),"",IF($AG61=Constants!$B$7,RANK(AU61,AU$8:AU$507),$AG61))</f>
        <v/>
      </c>
      <c r="AW61" s="99" t="str">
        <f aca="false">IF(ISBLANK($C61), "",AR61)</f>
        <v/>
      </c>
      <c r="AX61" s="99" t="str">
        <f aca="false">IF(ISBLANK($C61),"",IF($AG61=Constants!$B$7,RANK(AW61,AW$8:AW$507),$AG61))</f>
        <v/>
      </c>
      <c r="AY61" s="99" t="str">
        <f aca="false">IF(ISBLANK($C61), "",AE61)</f>
        <v/>
      </c>
      <c r="AZ61" s="99" t="str">
        <f aca="false">IF(ISBLANK($C61),"",
IF($AG61=Constants!$B$7,
  IF(ISNUMBER(AT61),
    COUNTIFS($AT$8:$AT$507,"&lt;"&amp;$AT61)
    + COUNTIFS($AT$8:$AT$507,$AT61,$AV$8:$AV$507,"&lt;"&amp;$AV61)
    + COUNTIFS($AT$8:$AT$507,$AT61,$AV$8:$AV$507,$AV61,$AX$8:$AX$507,"&lt;"&amp;$AX61)
    + COUNTIFS($AT$8:$AT$507,$AT61,$AV$8:$AV$507,$AV61,$AX$8:$AX$507,$AX61,$AY$8:$AY$507,"&lt;"&amp;$AY61)
    + 1,
  Constants!$B$14),
$AG61))</f>
        <v/>
      </c>
      <c r="BA61" s="99" t="str">
        <f aca="false">IF(ISBLANK(C61),"",IF($AG61=Constants!$B$7, IF(ISNUMBER(AT61),AT61-AZ61,Constants!$B$14),$AG61))</f>
        <v/>
      </c>
      <c r="BB61" s="103"/>
      <c r="BC61" s="104" t="str">
        <f aca="false">IF(ISBLANK($C61),"",TRIM(AK61&amp;" "&amp;AO61))</f>
        <v/>
      </c>
      <c r="BD61" s="105" t="str">
        <f aca="false">IF(ISBLANK($C61),"",IF($AG61&lt;&gt;Constants!$B$7,$AG61,AR61))</f>
        <v/>
      </c>
      <c r="BE61" s="105" t="str">
        <f aca="false">IF(ISBLANK($C61),"",IF($AG61&lt;&gt;Constants!$B$7,$AG61,AM61))</f>
        <v/>
      </c>
      <c r="BF61" s="105" t="str">
        <f aca="false">IF(ISBLANK($C61),"",IF($AG61&lt;&gt;Constants!$B$7,$AG61,AQ61))</f>
        <v/>
      </c>
      <c r="BG61" s="106" t="str">
        <f aca="false">IF(ISBLANK($C61),"",IF($AG61&lt;&gt;Constants!$B$7, $AG61 ,AS61))</f>
        <v/>
      </c>
      <c r="BH61" s="107" t="str">
        <f aca="false">IF(ISBLANK($C61),"",IF($AG61&lt;&gt;Constants!$B$7, $AG61 ,AH61))</f>
        <v/>
      </c>
      <c r="BI61" s="105" t="str">
        <f aca="false">IF(ISBLANK(C61),"",BA61)</f>
        <v/>
      </c>
      <c r="BJ61" s="105" t="str">
        <f aca="false">IF(ISBLANK(C61),"",AZ61)</f>
        <v/>
      </c>
      <c r="BK61" s="108" t="str">
        <f aca="false">IF(ISBLANK(C61),"",IFERROR(_xlfn.SWITCH(BJ61, Constants!$B$4, COUNTA($C$8:$C560)+2, Constants!$B$5, COUNTA($C$8:$C560)+1, Constants!$B$6, COUNTA($C$8:$C560)),BJ61))</f>
        <v/>
      </c>
      <c r="BL61" s="5"/>
      <c r="BM61" s="109" t="n">
        <f aca="false">IF(OR(ISNUMBER(BJ61),BJ61="DQ",BJ61="P",BJ61="NS"),
    1,
    0
)</f>
        <v>0</v>
      </c>
      <c r="BN61" s="109" t="n">
        <v>54</v>
      </c>
      <c r="BO61" s="109" t="str">
        <f aca="false">IF(ISBLANK($C61),"",IF(ISNUMBER(BK61),BK61+ROW($B61)/1000,""))</f>
        <v/>
      </c>
      <c r="BP61" s="109" t="str">
        <f aca="false">IF(ISNUMBER(BO61), RANK(BO61,BO$8:BO$507,1), "")</f>
        <v/>
      </c>
      <c r="BQ61" s="109" t="str">
        <f aca="false">IF(ISBLANK($C61),
    "",
    $B61
)</f>
        <v/>
      </c>
      <c r="BR61" s="109" t="str">
        <f aca="false">IF(ISBLANK($C61),
    "",
    $C61
)</f>
        <v/>
      </c>
      <c r="BS61" s="109" t="str">
        <f aca="false">IF(ISBLANK($C61),
    "",
    $D61
)</f>
        <v/>
      </c>
      <c r="BT61" s="110" t="str">
        <f aca="false">BH61</f>
        <v/>
      </c>
      <c r="BU61" s="111" t="str">
        <f aca="false">BG61</f>
        <v/>
      </c>
      <c r="BV61" s="109" t="str">
        <f aca="false">IF(ISBLANK($C61),
    "",
    BJ61
)</f>
        <v/>
      </c>
      <c r="BW61" s="112" t="str">
        <f aca="false">IF(BN61&gt;BM$7,
    "",
    VLOOKUP(BN61,BP$8:BV560,7,FALSE())
)</f>
        <v/>
      </c>
      <c r="BX61" s="113" t="str">
        <f aca="false">IF(BN61&gt;BM$7,
    "",
    VLOOKUP(BN61,BP$8:BV560,2,FALSE())
)</f>
        <v/>
      </c>
      <c r="BY61" s="113" t="str">
        <f aca="false">IF(BN61&gt;BM$7,
    "",
    VLOOKUP(BN61,BP$8:BV560,3,FALSE())
)</f>
        <v/>
      </c>
      <c r="BZ61" s="113" t="str">
        <f aca="false">IF(BN61&gt;BM$7,
    "",
    VLOOKUP(BN61,BP$8:BV560,4,FALSE())
)</f>
        <v/>
      </c>
      <c r="CA61" s="113" t="str">
        <f aca="false">IF(BN61&gt;BM$7,
    "",
    VLOOKUP(BN61,BP$8:BV560,5,FALSE())
)</f>
        <v/>
      </c>
      <c r="CB61" s="114" t="str">
        <f aca="false">IF(BN61&gt;BM$7,
    "",
    VLOOKUP(BN61,BP$8:BV560,6,FALSE())
)</f>
        <v/>
      </c>
      <c r="CC61" s="53"/>
    </row>
    <row r="62" customFormat="false" ht="15.75" hidden="false" customHeight="false" outlineLevel="0" collapsed="false">
      <c r="A62" s="5"/>
      <c r="B62" s="129"/>
      <c r="C62" s="55"/>
      <c r="D62" s="56"/>
      <c r="E62" s="123"/>
      <c r="F62" s="123"/>
      <c r="G62" s="58"/>
      <c r="H62" s="59"/>
      <c r="I62" s="59"/>
      <c r="J62" s="83"/>
      <c r="K62" s="83"/>
      <c r="L62" s="83"/>
      <c r="M62" s="61"/>
      <c r="N62" s="61"/>
      <c r="O62" s="61"/>
      <c r="P62" s="62"/>
      <c r="Q62" s="63"/>
      <c r="R62" s="83"/>
      <c r="S62" s="65"/>
      <c r="T62" s="66"/>
      <c r="U62" s="66" t="str">
        <f aca="false">IF(ISBLANK($C62),"",IF(G62=Constants!$B$2, TRUE(), IF(G62=Constants!$B$3, FALSE(), TRUE())))</f>
        <v/>
      </c>
      <c r="V62" s="66" t="str">
        <f aca="false">IF(ISBLANK($C62),"",IF(H62=Constants!$B$2, TRUE(), IF(H62=Constants!$B$3, FALSE(), TRUE())))</f>
        <v/>
      </c>
      <c r="W62" s="66" t="str">
        <f aca="false">IF(ISBLANK($C62),"",IF(I62=Constants!$B$2, TRUE(), IF(I62=Constants!$B$3, FALSE(), TRUE())))</f>
        <v/>
      </c>
      <c r="X62" s="66" t="str">
        <f aca="false">IF(ISBLANK($C62),"",IF(AND(ISNUMBER(J62),J62&gt;0),INT(J62),0))</f>
        <v/>
      </c>
      <c r="Y62" s="66" t="str">
        <f aca="false">IF(ISBLANK($C62),"",IF(K62=Constants!$B$2, TRUE(), IF(K62=Constants!$B$3, FALSE(), TRUE())))</f>
        <v/>
      </c>
      <c r="Z62" s="66" t="str">
        <f aca="false">IF(ISBLANK($C62),"",IF(AND(ISNUMBER(L62),L62&gt;0),INT(L62),0))</f>
        <v/>
      </c>
      <c r="AA62" s="68" t="str">
        <f aca="false">IF(ISBLANK($C62),"",IF(ISNUMBER(M62), M62, ""))</f>
        <v/>
      </c>
      <c r="AB62" s="68" t="str">
        <f aca="false">IF(ISBLANK($C62),"",IF(ISNUMBER(N62), N62, ""))</f>
        <v/>
      </c>
      <c r="AC62" s="68" t="str">
        <f aca="false">IF(ISBLANK($C62),"",IF(ISNUMBER(O62), O62, ""))</f>
        <v/>
      </c>
      <c r="AD62" s="69" t="str">
        <f aca="false">IF(ISBLANK($C62),"",IF(ISNUMBER(P62), P62, ""))</f>
        <v/>
      </c>
      <c r="AE62" s="69" t="str">
        <f aca="false">IF(ISBLANK($C62),"",IF(ISNUMBER(Q62), Q62, Constants!$B$13))</f>
        <v/>
      </c>
      <c r="AF62" s="66" t="str">
        <f aca="false">IF(ISBLANK($C62),"",IF(R62=Constants!$B$2, TRUE(), IF(R62=Constants!$B$3, FALSE(), FALSE())))</f>
        <v/>
      </c>
      <c r="AG62" s="66" t="str">
        <f aca="false">IF(ISBLANK(C62), "", IF(AF62, Constants!$B$4,IF(COUNTA(G62:P62)=0, Constants!$B$5, Constants!$B$7)))</f>
        <v/>
      </c>
      <c r="AH62" s="66" t="str">
        <f aca="false">IF(ISBLANK($C62), "",IF($AG62=Constants!$B$7,1,$AG62))</f>
        <v/>
      </c>
      <c r="AI62" s="66" t="str">
        <f aca="false">IF($AG62=Constants!$B$7,POWER(Constants!$B$11,X62)*POWER(Constants!$B$12,Z62),"")</f>
        <v/>
      </c>
      <c r="AJ62" s="66" t="str">
        <f aca="false">IF(AND($AG62=Constants!$B$7, U62, V62) ,IF(OR($AA62="",$AC62=""),"",MAX(0, $AC62-$AA62)),"")</f>
        <v/>
      </c>
      <c r="AK62" s="66" t="str">
        <f aca="false">IF(AND($AG62=Constants!$B$7, U62, V62),IF(OR($AA62="",$AC62=""),$AK$6,""),"")</f>
        <v/>
      </c>
      <c r="AL62" s="66" t="str">
        <f aca="false">IF($AG62=Constants!$B$7,IF(AND(U62,V62,W62,Y62),IF($AJ62="",0,IF($AJ$6=0,Constants!$B$9,Constants!$B$9*AJ62/$AJ$6)), 0),"")</f>
        <v/>
      </c>
      <c r="AM62" s="66" t="str">
        <f aca="false">IF(AL62&lt;&gt;"", AL62*AI62,"")</f>
        <v/>
      </c>
      <c r="AN62" s="66" t="str">
        <f aca="false">IF(AND($AG62=Constants!$B$7, U62, V62) ,IF($AB62="", "", IF(OR($AC62="",$AC62=0),"",MAX(0,1-ABS($AC62-$AB62)/$AC62))),"")</f>
        <v/>
      </c>
      <c r="AO62" s="66" t="str">
        <f aca="false">IF(AND($AG62=Constants!$B$7, U62, V62),IF(AND($AA62&lt;&gt;"",$AB62&lt;&gt;"",$AC62=0),$AO$6,""),"")</f>
        <v/>
      </c>
      <c r="AP62" s="66" t="str">
        <f aca="false">IF($AG62=Constants!$B$7 ,IF(AND(U62,V62,W62,Y62,ISNUMBER(AB62)),IF($AN62="",0,IF($AN$6=0,Constants!$B$10,Constants!$B$10*AN62/$AN$6)), 0),"")</f>
        <v/>
      </c>
      <c r="AQ62" s="66" t="str">
        <f aca="false">IF(AP62&lt;&gt;"", AP62*AI62,"")</f>
        <v/>
      </c>
      <c r="AR62" s="66" t="str">
        <f aca="false">IF($AG62=Constants!$B$7,IF($AD62="",0,IF($AR$6=0,Constants!$B$8,Constants!$B$8*AD62/$AR$6)),"")</f>
        <v/>
      </c>
      <c r="AS62" s="66" t="str">
        <f aca="false">IF($AG62&lt;&gt;Constants!$B$7,$AG62,IF(AK62&amp;AO62&lt;&gt;"",Constants!$B$14,AM62+AQ62+AR62))</f>
        <v/>
      </c>
      <c r="AT62" s="66" t="str">
        <f aca="false">IF(ISBLANK($C62),"",IF($AG62=Constants!$B$7,IF(ISNUMBER(AS62),RANK(AS62,$AS$8:$AS$507),Constants!$B$14),$AG62))</f>
        <v/>
      </c>
      <c r="AU62" s="66" t="str">
        <f aca="false">IF(ISBLANK($C62), "",AM62)</f>
        <v/>
      </c>
      <c r="AV62" s="66" t="str">
        <f aca="false">IF(ISBLANK($C62),"",IF($AG62=Constants!$B$7,RANK(AU62,AU$8:AU$507),$AG62))</f>
        <v/>
      </c>
      <c r="AW62" s="66" t="str">
        <f aca="false">IF(ISBLANK($C62), "",AR62)</f>
        <v/>
      </c>
      <c r="AX62" s="66" t="str">
        <f aca="false">IF(ISBLANK($C62),"",IF($AG62=Constants!$B$7,RANK(AW62,AW$8:AW$507),$AG62))</f>
        <v/>
      </c>
      <c r="AY62" s="66" t="str">
        <f aca="false">IF(ISBLANK($C62), "",AE62)</f>
        <v/>
      </c>
      <c r="AZ62" s="66" t="str">
        <f aca="false">IF(ISBLANK($C62),"",
IF($AG62=Constants!$B$7,
  IF(ISNUMBER(AT62),
    COUNTIFS($AT$8:$AT$507,"&lt;"&amp;$AT62)
    + COUNTIFS($AT$8:$AT$507,$AT62,$AV$8:$AV$507,"&lt;"&amp;$AV62)
    + COUNTIFS($AT$8:$AT$507,$AT62,$AV$8:$AV$507,$AV62,$AX$8:$AX$507,"&lt;"&amp;$AX62)
    + COUNTIFS($AT$8:$AT$507,$AT62,$AV$8:$AV$507,$AV62,$AX$8:$AX$507,$AX62,$AY$8:$AY$507,"&lt;"&amp;$AY62)
    + 1,
  Constants!$B$14),
$AG62))</f>
        <v/>
      </c>
      <c r="BA62" s="66" t="str">
        <f aca="false">IF(ISBLANK(C62),"",IF($AG62=Constants!$B$7, IF(ISNUMBER(AT62),AT62-AZ62,Constants!$B$14),$AG62))</f>
        <v/>
      </c>
      <c r="BB62" s="70"/>
      <c r="BC62" s="84" t="str">
        <f aca="false">IF(ISBLANK($C62),"",TRIM(AK62&amp;" "&amp;AO62))</f>
        <v/>
      </c>
      <c r="BD62" s="72" t="str">
        <f aca="false">IF(ISBLANK($C62),"",IF($AG62&lt;&gt;Constants!$B$7,$AG62,AR62))</f>
        <v/>
      </c>
      <c r="BE62" s="72" t="str">
        <f aca="false">IF(ISBLANK($C62),"",IF($AG62&lt;&gt;Constants!$B$7,$AG62,AM62))</f>
        <v/>
      </c>
      <c r="BF62" s="72" t="str">
        <f aca="false">IF(ISBLANK($C62),"",IF($AG62&lt;&gt;Constants!$B$7,$AG62,AQ62))</f>
        <v/>
      </c>
      <c r="BG62" s="73" t="str">
        <f aca="false">IF(ISBLANK($C62),"",IF($AG62&lt;&gt;Constants!$B$7, $AG62 ,AS62))</f>
        <v/>
      </c>
      <c r="BH62" s="74" t="str">
        <f aca="false">IF(ISBLANK($C62),"",IF($AG62&lt;&gt;Constants!$B$7, $AG62 ,AH62))</f>
        <v/>
      </c>
      <c r="BI62" s="72" t="str">
        <f aca="false">IF(ISBLANK(C62),"",BA62)</f>
        <v/>
      </c>
      <c r="BJ62" s="72" t="str">
        <f aca="false">IF(ISBLANK(C62),"",AZ62)</f>
        <v/>
      </c>
      <c r="BK62" s="75" t="str">
        <f aca="false">IF(ISBLANK(C62),"",IFERROR(_xlfn.SWITCH(BJ62, Constants!$B$4, COUNTA($C$8:$C561)+2, Constants!$B$5, COUNTA($C$8:$C561)+1, Constants!$B$6, COUNTA($C$8:$C561)),BJ62))</f>
        <v/>
      </c>
      <c r="BL62" s="5"/>
      <c r="BM62" s="76" t="n">
        <f aca="false">IF(OR(ISNUMBER(BJ62),BJ62="DQ",BJ62="P",BJ62="NS"),
    1,
    0
)</f>
        <v>0</v>
      </c>
      <c r="BN62" s="76" t="n">
        <v>55</v>
      </c>
      <c r="BO62" s="76" t="str">
        <f aca="false">IF(ISBLANK($C62),"",IF(ISNUMBER(BK62),BK62+ROW($B62)/1000,""))</f>
        <v/>
      </c>
      <c r="BP62" s="76" t="str">
        <f aca="false">IF(ISNUMBER(BO62), RANK(BO62,BO$8:BO$507,1), "")</f>
        <v/>
      </c>
      <c r="BQ62" s="76" t="str">
        <f aca="false">IF(ISBLANK($C62),
    "",
    $B62
)</f>
        <v/>
      </c>
      <c r="BR62" s="76" t="str">
        <f aca="false">IF(ISBLANK($C62),
    "",
    $C62
)</f>
        <v/>
      </c>
      <c r="BS62" s="76" t="str">
        <f aca="false">IF(ISBLANK($C62),
    "",
    $D62
)</f>
        <v/>
      </c>
      <c r="BT62" s="77" t="str">
        <f aca="false">BH62</f>
        <v/>
      </c>
      <c r="BU62" s="78" t="str">
        <f aca="false">BG62</f>
        <v/>
      </c>
      <c r="BV62" s="76" t="str">
        <f aca="false">IF(ISBLANK($C62),
    "",
    BJ62
)</f>
        <v/>
      </c>
      <c r="BW62" s="79" t="str">
        <f aca="false">IF(BN62&gt;BM$7,
    "",
    VLOOKUP(BN62,BP$8:BV561,7,FALSE())
)</f>
        <v/>
      </c>
      <c r="BX62" s="80" t="str">
        <f aca="false">IF(BN62&gt;BM$7,
    "",
    VLOOKUP(BN62,BP$8:BV561,2,FALSE())
)</f>
        <v/>
      </c>
      <c r="BY62" s="80" t="str">
        <f aca="false">IF(BN62&gt;BM$7,
    "",
    VLOOKUP(BN62,BP$8:BV561,3,FALSE())
)</f>
        <v/>
      </c>
      <c r="BZ62" s="80" t="str">
        <f aca="false">IF(BN62&gt;BM$7,
    "",
    VLOOKUP(BN62,BP$8:BV561,4,FALSE())
)</f>
        <v/>
      </c>
      <c r="CA62" s="80" t="str">
        <f aca="false">IF(BN62&gt;BM$7,
    "",
    VLOOKUP(BN62,BP$8:BV561,5,FALSE())
)</f>
        <v/>
      </c>
      <c r="CB62" s="81" t="str">
        <f aca="false">IF(BN62&gt;BM$7,
    "",
    VLOOKUP(BN62,BP$8:BV561,6,FALSE())
)</f>
        <v/>
      </c>
      <c r="CC62" s="53"/>
    </row>
    <row r="63" customFormat="false" ht="15.75" hidden="false" customHeight="false" outlineLevel="0" collapsed="false">
      <c r="A63" s="5"/>
      <c r="B63" s="129"/>
      <c r="C63" s="55"/>
      <c r="D63" s="56"/>
      <c r="E63" s="123"/>
      <c r="F63" s="123"/>
      <c r="G63" s="58"/>
      <c r="H63" s="59"/>
      <c r="I63" s="59"/>
      <c r="J63" s="83"/>
      <c r="K63" s="83"/>
      <c r="L63" s="83"/>
      <c r="M63" s="61"/>
      <c r="N63" s="61"/>
      <c r="O63" s="61"/>
      <c r="P63" s="62"/>
      <c r="Q63" s="63"/>
      <c r="R63" s="83"/>
      <c r="S63" s="65"/>
      <c r="T63" s="66"/>
      <c r="U63" s="66" t="str">
        <f aca="false">IF(ISBLANK($C63),"",IF(G63=Constants!$B$2, TRUE(), IF(G63=Constants!$B$3, FALSE(), TRUE())))</f>
        <v/>
      </c>
      <c r="V63" s="66" t="str">
        <f aca="false">IF(ISBLANK($C63),"",IF(H63=Constants!$B$2, TRUE(), IF(H63=Constants!$B$3, FALSE(), TRUE())))</f>
        <v/>
      </c>
      <c r="W63" s="66" t="str">
        <f aca="false">IF(ISBLANK($C63),"",IF(I63=Constants!$B$2, TRUE(), IF(I63=Constants!$B$3, FALSE(), TRUE())))</f>
        <v/>
      </c>
      <c r="X63" s="66" t="str">
        <f aca="false">IF(ISBLANK($C63),"",IF(AND(ISNUMBER(J63),J63&gt;0),INT(J63),0))</f>
        <v/>
      </c>
      <c r="Y63" s="66" t="str">
        <f aca="false">IF(ISBLANK($C63),"",IF(K63=Constants!$B$2, TRUE(), IF(K63=Constants!$B$3, FALSE(), TRUE())))</f>
        <v/>
      </c>
      <c r="Z63" s="66" t="str">
        <f aca="false">IF(ISBLANK($C63),"",IF(AND(ISNUMBER(L63),L63&gt;0),INT(L63),0))</f>
        <v/>
      </c>
      <c r="AA63" s="68" t="str">
        <f aca="false">IF(ISBLANK($C63),"",IF(ISNUMBER(M63), M63, ""))</f>
        <v/>
      </c>
      <c r="AB63" s="68" t="str">
        <f aca="false">IF(ISBLANK($C63),"",IF(ISNUMBER(N63), N63, ""))</f>
        <v/>
      </c>
      <c r="AC63" s="68" t="str">
        <f aca="false">IF(ISBLANK($C63),"",IF(ISNUMBER(O63), O63, ""))</f>
        <v/>
      </c>
      <c r="AD63" s="69" t="str">
        <f aca="false">IF(ISBLANK($C63),"",IF(ISNUMBER(P63), P63, ""))</f>
        <v/>
      </c>
      <c r="AE63" s="69" t="str">
        <f aca="false">IF(ISBLANK($C63),"",IF(ISNUMBER(Q63), Q63, Constants!$B$13))</f>
        <v/>
      </c>
      <c r="AF63" s="66" t="str">
        <f aca="false">IF(ISBLANK($C63),"",IF(R63=Constants!$B$2, TRUE(), IF(R63=Constants!$B$3, FALSE(), FALSE())))</f>
        <v/>
      </c>
      <c r="AG63" s="66" t="str">
        <f aca="false">IF(ISBLANK(C63), "", IF(AF63, Constants!$B$4,IF(COUNTA(G63:P63)=0, Constants!$B$5, Constants!$B$7)))</f>
        <v/>
      </c>
      <c r="AH63" s="66" t="str">
        <f aca="false">IF(ISBLANK($C63), "",IF($AG63=Constants!$B$7,1,$AG63))</f>
        <v/>
      </c>
      <c r="AI63" s="66" t="str">
        <f aca="false">IF($AG63=Constants!$B$7,POWER(Constants!$B$11,X63)*POWER(Constants!$B$12,Z63),"")</f>
        <v/>
      </c>
      <c r="AJ63" s="66" t="str">
        <f aca="false">IF(AND($AG63=Constants!$B$7, U63, V63) ,IF(OR($AA63="",$AC63=""),"",MAX(0, $AC63-$AA63)),"")</f>
        <v/>
      </c>
      <c r="AK63" s="66" t="str">
        <f aca="false">IF(AND($AG63=Constants!$B$7, U63, V63),IF(OR($AA63="",$AC63=""),$AK$6,""),"")</f>
        <v/>
      </c>
      <c r="AL63" s="66" t="str">
        <f aca="false">IF($AG63=Constants!$B$7,IF(AND(U63,V63,W63,Y63),IF($AJ63="",0,IF($AJ$6=0,Constants!$B$9,Constants!$B$9*AJ63/$AJ$6)), 0),"")</f>
        <v/>
      </c>
      <c r="AM63" s="66" t="str">
        <f aca="false">IF(AL63&lt;&gt;"", AL63*AI63,"")</f>
        <v/>
      </c>
      <c r="AN63" s="66" t="str">
        <f aca="false">IF(AND($AG63=Constants!$B$7, U63, V63) ,IF($AB63="", "", IF(OR($AC63="",$AC63=0),"",MAX(0,1-ABS($AC63-$AB63)/$AC63))),"")</f>
        <v/>
      </c>
      <c r="AO63" s="66" t="str">
        <f aca="false">IF(AND($AG63=Constants!$B$7, U63, V63),IF(AND($AA63&lt;&gt;"",$AB63&lt;&gt;"",$AC63=0),$AO$6,""),"")</f>
        <v/>
      </c>
      <c r="AP63" s="66" t="str">
        <f aca="false">IF($AG63=Constants!$B$7 ,IF(AND(U63,V63,W63,Y63,ISNUMBER(AB63)),IF($AN63="",0,IF($AN$6=0,Constants!$B$10,Constants!$B$10*AN63/$AN$6)), 0),"")</f>
        <v/>
      </c>
      <c r="AQ63" s="66" t="str">
        <f aca="false">IF(AP63&lt;&gt;"", AP63*AI63,"")</f>
        <v/>
      </c>
      <c r="AR63" s="66" t="str">
        <f aca="false">IF($AG63=Constants!$B$7,IF($AD63="",0,IF($AR$6=0,Constants!$B$8,Constants!$B$8*AD63/$AR$6)),"")</f>
        <v/>
      </c>
      <c r="AS63" s="66" t="str">
        <f aca="false">IF($AG63&lt;&gt;Constants!$B$7,$AG63,IF(AK63&amp;AO63&lt;&gt;"",Constants!$B$14,AM63+AQ63+AR63))</f>
        <v/>
      </c>
      <c r="AT63" s="66" t="str">
        <f aca="false">IF(ISBLANK($C63),"",IF($AG63=Constants!$B$7,IF(ISNUMBER(AS63),RANK(AS63,$AS$8:$AS$507),Constants!$B$14),$AG63))</f>
        <v/>
      </c>
      <c r="AU63" s="66" t="str">
        <f aca="false">IF(ISBLANK($C63), "",AM63)</f>
        <v/>
      </c>
      <c r="AV63" s="66" t="str">
        <f aca="false">IF(ISBLANK($C63),"",IF($AG63=Constants!$B$7,RANK(AU63,AU$8:AU$507),$AG63))</f>
        <v/>
      </c>
      <c r="AW63" s="66" t="str">
        <f aca="false">IF(ISBLANK($C63), "",AR63)</f>
        <v/>
      </c>
      <c r="AX63" s="66" t="str">
        <f aca="false">IF(ISBLANK($C63),"",IF($AG63=Constants!$B$7,RANK(AW63,AW$8:AW$507),$AG63))</f>
        <v/>
      </c>
      <c r="AY63" s="66" t="str">
        <f aca="false">IF(ISBLANK($C63), "",AE63)</f>
        <v/>
      </c>
      <c r="AZ63" s="66" t="str">
        <f aca="false">IF(ISBLANK($C63),"",
IF($AG63=Constants!$B$7,
  IF(ISNUMBER(AT63),
    COUNTIFS($AT$8:$AT$507,"&lt;"&amp;$AT63)
    + COUNTIFS($AT$8:$AT$507,$AT63,$AV$8:$AV$507,"&lt;"&amp;$AV63)
    + COUNTIFS($AT$8:$AT$507,$AT63,$AV$8:$AV$507,$AV63,$AX$8:$AX$507,"&lt;"&amp;$AX63)
    + COUNTIFS($AT$8:$AT$507,$AT63,$AV$8:$AV$507,$AV63,$AX$8:$AX$507,$AX63,$AY$8:$AY$507,"&lt;"&amp;$AY63)
    + 1,
  Constants!$B$14),
$AG63))</f>
        <v/>
      </c>
      <c r="BA63" s="66" t="str">
        <f aca="false">IF(ISBLANK(C63),"",IF($AG63=Constants!$B$7, IF(ISNUMBER(AT63),AT63-AZ63,Constants!$B$14),$AG63))</f>
        <v/>
      </c>
      <c r="BB63" s="70"/>
      <c r="BC63" s="84" t="str">
        <f aca="false">IF(ISBLANK($C63),"",TRIM(AK63&amp;" "&amp;AO63))</f>
        <v/>
      </c>
      <c r="BD63" s="72" t="str">
        <f aca="false">IF(ISBLANK($C63),"",IF($AG63&lt;&gt;Constants!$B$7,$AG63,AR63))</f>
        <v/>
      </c>
      <c r="BE63" s="72" t="str">
        <f aca="false">IF(ISBLANK($C63),"",IF($AG63&lt;&gt;Constants!$B$7,$AG63,AM63))</f>
        <v/>
      </c>
      <c r="BF63" s="72" t="str">
        <f aca="false">IF(ISBLANK($C63),"",IF($AG63&lt;&gt;Constants!$B$7,$AG63,AQ63))</f>
        <v/>
      </c>
      <c r="BG63" s="73" t="str">
        <f aca="false">IF(ISBLANK($C63),"",IF($AG63&lt;&gt;Constants!$B$7, $AG63 ,AS63))</f>
        <v/>
      </c>
      <c r="BH63" s="74" t="str">
        <f aca="false">IF(ISBLANK($C63),"",IF($AG63&lt;&gt;Constants!$B$7, $AG63 ,AH63))</f>
        <v/>
      </c>
      <c r="BI63" s="72" t="str">
        <f aca="false">IF(ISBLANK(C63),"",BA63)</f>
        <v/>
      </c>
      <c r="BJ63" s="72" t="str">
        <f aca="false">IF(ISBLANK(C63),"",AZ63)</f>
        <v/>
      </c>
      <c r="BK63" s="75" t="str">
        <f aca="false">IF(ISBLANK(C63),"",IFERROR(_xlfn.SWITCH(BJ63, Constants!$B$4, COUNTA($C$8:$C562)+2, Constants!$B$5, COUNTA($C$8:$C562)+1, Constants!$B$6, COUNTA($C$8:$C562)),BJ63))</f>
        <v/>
      </c>
      <c r="BL63" s="5"/>
      <c r="BM63" s="76" t="n">
        <f aca="false">IF(OR(ISNUMBER(BJ63),BJ63="DQ",BJ63="P",BJ63="NS"),
    1,
    0
)</f>
        <v>0</v>
      </c>
      <c r="BN63" s="76" t="n">
        <v>56</v>
      </c>
      <c r="BO63" s="76" t="str">
        <f aca="false">IF(ISBLANK($C63),"",IF(ISNUMBER(BK63),BK63+ROW($B63)/1000,""))</f>
        <v/>
      </c>
      <c r="BP63" s="76" t="str">
        <f aca="false">IF(ISNUMBER(BO63), RANK(BO63,BO$8:BO$507,1), "")</f>
        <v/>
      </c>
      <c r="BQ63" s="76" t="str">
        <f aca="false">IF(ISBLANK($C63),
    "",
    $B63
)</f>
        <v/>
      </c>
      <c r="BR63" s="76" t="str">
        <f aca="false">IF(ISBLANK($C63),
    "",
    $C63
)</f>
        <v/>
      </c>
      <c r="BS63" s="76" t="str">
        <f aca="false">IF(ISBLANK($C63),
    "",
    $D63
)</f>
        <v/>
      </c>
      <c r="BT63" s="77" t="str">
        <f aca="false">BH63</f>
        <v/>
      </c>
      <c r="BU63" s="78" t="str">
        <f aca="false">BG63</f>
        <v/>
      </c>
      <c r="BV63" s="76" t="str">
        <f aca="false">IF(ISBLANK($C63),
    "",
    BJ63
)</f>
        <v/>
      </c>
      <c r="BW63" s="79" t="str">
        <f aca="false">IF(BN63&gt;BM$7,
    "",
    VLOOKUP(BN63,BP$8:BV562,7,FALSE())
)</f>
        <v/>
      </c>
      <c r="BX63" s="80" t="str">
        <f aca="false">IF(BN63&gt;BM$7,
    "",
    VLOOKUP(BN63,BP$8:BV562,2,FALSE())
)</f>
        <v/>
      </c>
      <c r="BY63" s="80" t="str">
        <f aca="false">IF(BN63&gt;BM$7,
    "",
    VLOOKUP(BN63,BP$8:BV562,3,FALSE())
)</f>
        <v/>
      </c>
      <c r="BZ63" s="80" t="str">
        <f aca="false">IF(BN63&gt;BM$7,
    "",
    VLOOKUP(BN63,BP$8:BV562,4,FALSE())
)</f>
        <v/>
      </c>
      <c r="CA63" s="80" t="str">
        <f aca="false">IF(BN63&gt;BM$7,
    "",
    VLOOKUP(BN63,BP$8:BV562,5,FALSE())
)</f>
        <v/>
      </c>
      <c r="CB63" s="81" t="str">
        <f aca="false">IF(BN63&gt;BM$7,
    "",
    VLOOKUP(BN63,BP$8:BV562,6,FALSE())
)</f>
        <v/>
      </c>
      <c r="CC63" s="53"/>
    </row>
    <row r="64" customFormat="false" ht="15.75" hidden="false" customHeight="false" outlineLevel="0" collapsed="false">
      <c r="A64" s="5"/>
      <c r="B64" s="129"/>
      <c r="C64" s="55"/>
      <c r="D64" s="56"/>
      <c r="E64" s="123"/>
      <c r="F64" s="123"/>
      <c r="G64" s="58"/>
      <c r="H64" s="59"/>
      <c r="I64" s="59"/>
      <c r="J64" s="83"/>
      <c r="K64" s="83"/>
      <c r="L64" s="83"/>
      <c r="M64" s="61"/>
      <c r="N64" s="61"/>
      <c r="O64" s="61"/>
      <c r="P64" s="62"/>
      <c r="Q64" s="63"/>
      <c r="R64" s="83"/>
      <c r="S64" s="65"/>
      <c r="T64" s="66"/>
      <c r="U64" s="66" t="str">
        <f aca="false">IF(ISBLANK($C64),"",IF(G64=Constants!$B$2, TRUE(), IF(G64=Constants!$B$3, FALSE(), TRUE())))</f>
        <v/>
      </c>
      <c r="V64" s="66" t="str">
        <f aca="false">IF(ISBLANK($C64),"",IF(H64=Constants!$B$2, TRUE(), IF(H64=Constants!$B$3, FALSE(), TRUE())))</f>
        <v/>
      </c>
      <c r="W64" s="66" t="str">
        <f aca="false">IF(ISBLANK($C64),"",IF(I64=Constants!$B$2, TRUE(), IF(I64=Constants!$B$3, FALSE(), TRUE())))</f>
        <v/>
      </c>
      <c r="X64" s="66" t="str">
        <f aca="false">IF(ISBLANK($C64),"",IF(AND(ISNUMBER(J64),J64&gt;0),INT(J64),0))</f>
        <v/>
      </c>
      <c r="Y64" s="66" t="str">
        <f aca="false">IF(ISBLANK($C64),"",IF(K64=Constants!$B$2, TRUE(), IF(K64=Constants!$B$3, FALSE(), TRUE())))</f>
        <v/>
      </c>
      <c r="Z64" s="66" t="str">
        <f aca="false">IF(ISBLANK($C64),"",IF(AND(ISNUMBER(L64),L64&gt;0),INT(L64),0))</f>
        <v/>
      </c>
      <c r="AA64" s="68" t="str">
        <f aca="false">IF(ISBLANK($C64),"",IF(ISNUMBER(M64), M64, ""))</f>
        <v/>
      </c>
      <c r="AB64" s="68" t="str">
        <f aca="false">IF(ISBLANK($C64),"",IF(ISNUMBER(N64), N64, ""))</f>
        <v/>
      </c>
      <c r="AC64" s="68" t="str">
        <f aca="false">IF(ISBLANK($C64),"",IF(ISNUMBER(O64), O64, ""))</f>
        <v/>
      </c>
      <c r="AD64" s="69" t="str">
        <f aca="false">IF(ISBLANK($C64),"",IF(ISNUMBER(P64), P64, ""))</f>
        <v/>
      </c>
      <c r="AE64" s="69" t="str">
        <f aca="false">IF(ISBLANK($C64),"",IF(ISNUMBER(Q64), Q64, Constants!$B$13))</f>
        <v/>
      </c>
      <c r="AF64" s="66" t="str">
        <f aca="false">IF(ISBLANK($C64),"",IF(R64=Constants!$B$2, TRUE(), IF(R64=Constants!$B$3, FALSE(), FALSE())))</f>
        <v/>
      </c>
      <c r="AG64" s="66" t="str">
        <f aca="false">IF(ISBLANK(C64), "", IF(AF64, Constants!$B$4,IF(COUNTA(G64:P64)=0, Constants!$B$5, Constants!$B$7)))</f>
        <v/>
      </c>
      <c r="AH64" s="66" t="str">
        <f aca="false">IF(ISBLANK($C64), "",IF($AG64=Constants!$B$7,1,$AG64))</f>
        <v/>
      </c>
      <c r="AI64" s="66" t="str">
        <f aca="false">IF($AG64=Constants!$B$7,POWER(Constants!$B$11,X64)*POWER(Constants!$B$12,Z64),"")</f>
        <v/>
      </c>
      <c r="AJ64" s="66" t="str">
        <f aca="false">IF(AND($AG64=Constants!$B$7, U64, V64) ,IF(OR($AA64="",$AC64=""),"",MAX(0, $AC64-$AA64)),"")</f>
        <v/>
      </c>
      <c r="AK64" s="66" t="str">
        <f aca="false">IF(AND($AG64=Constants!$B$7, U64, V64),IF(OR($AA64="",$AC64=""),$AK$6,""),"")</f>
        <v/>
      </c>
      <c r="AL64" s="66" t="str">
        <f aca="false">IF($AG64=Constants!$B$7,IF(AND(U64,V64,W64,Y64),IF($AJ64="",0,IF($AJ$6=0,Constants!$B$9,Constants!$B$9*AJ64/$AJ$6)), 0),"")</f>
        <v/>
      </c>
      <c r="AM64" s="66" t="str">
        <f aca="false">IF(AL64&lt;&gt;"", AL64*AI64,"")</f>
        <v/>
      </c>
      <c r="AN64" s="66" t="str">
        <f aca="false">IF(AND($AG64=Constants!$B$7, U64, V64) ,IF($AB64="", "", IF(OR($AC64="",$AC64=0),"",MAX(0,1-ABS($AC64-$AB64)/$AC64))),"")</f>
        <v/>
      </c>
      <c r="AO64" s="66" t="str">
        <f aca="false">IF(AND($AG64=Constants!$B$7, U64, V64),IF(AND($AA64&lt;&gt;"",$AB64&lt;&gt;"",$AC64=0),$AO$6,""),"")</f>
        <v/>
      </c>
      <c r="AP64" s="66" t="str">
        <f aca="false">IF($AG64=Constants!$B$7 ,IF(AND(U64,V64,W64,Y64,ISNUMBER(AB64)),IF($AN64="",0,IF($AN$6=0,Constants!$B$10,Constants!$B$10*AN64/$AN$6)), 0),"")</f>
        <v/>
      </c>
      <c r="AQ64" s="66" t="str">
        <f aca="false">IF(AP64&lt;&gt;"", AP64*AI64,"")</f>
        <v/>
      </c>
      <c r="AR64" s="66" t="str">
        <f aca="false">IF($AG64=Constants!$B$7,IF($AD64="",0,IF($AR$6=0,Constants!$B$8,Constants!$B$8*AD64/$AR$6)),"")</f>
        <v/>
      </c>
      <c r="AS64" s="66" t="str">
        <f aca="false">IF($AG64&lt;&gt;Constants!$B$7,$AG64,IF(AK64&amp;AO64&lt;&gt;"",Constants!$B$14,AM64+AQ64+AR64))</f>
        <v/>
      </c>
      <c r="AT64" s="66" t="str">
        <f aca="false">IF(ISBLANK($C64),"",IF($AG64=Constants!$B$7,IF(ISNUMBER(AS64),RANK(AS64,$AS$8:$AS$507),Constants!$B$14),$AG64))</f>
        <v/>
      </c>
      <c r="AU64" s="66" t="str">
        <f aca="false">IF(ISBLANK($C64), "",AM64)</f>
        <v/>
      </c>
      <c r="AV64" s="66" t="str">
        <f aca="false">IF(ISBLANK($C64),"",IF($AG64=Constants!$B$7,RANK(AU64,AU$8:AU$507),$AG64))</f>
        <v/>
      </c>
      <c r="AW64" s="66" t="str">
        <f aca="false">IF(ISBLANK($C64), "",AR64)</f>
        <v/>
      </c>
      <c r="AX64" s="66" t="str">
        <f aca="false">IF(ISBLANK($C64),"",IF($AG64=Constants!$B$7,RANK(AW64,AW$8:AW$507),$AG64))</f>
        <v/>
      </c>
      <c r="AY64" s="66" t="str">
        <f aca="false">IF(ISBLANK($C64), "",AE64)</f>
        <v/>
      </c>
      <c r="AZ64" s="66" t="str">
        <f aca="false">IF(ISBLANK($C64),"",
IF($AG64=Constants!$B$7,
  IF(ISNUMBER(AT64),
    COUNTIFS($AT$8:$AT$507,"&lt;"&amp;$AT64)
    + COUNTIFS($AT$8:$AT$507,$AT64,$AV$8:$AV$507,"&lt;"&amp;$AV64)
    + COUNTIFS($AT$8:$AT$507,$AT64,$AV$8:$AV$507,$AV64,$AX$8:$AX$507,"&lt;"&amp;$AX64)
    + COUNTIFS($AT$8:$AT$507,$AT64,$AV$8:$AV$507,$AV64,$AX$8:$AX$507,$AX64,$AY$8:$AY$507,"&lt;"&amp;$AY64)
    + 1,
  Constants!$B$14),
$AG64))</f>
        <v/>
      </c>
      <c r="BA64" s="66" t="str">
        <f aca="false">IF(ISBLANK(C64),"",IF($AG64=Constants!$B$7, IF(ISNUMBER(AT64),AT64-AZ64,Constants!$B$14),$AG64))</f>
        <v/>
      </c>
      <c r="BB64" s="70"/>
      <c r="BC64" s="84" t="str">
        <f aca="false">IF(ISBLANK($C64),"",TRIM(AK64&amp;" "&amp;AO64))</f>
        <v/>
      </c>
      <c r="BD64" s="72" t="str">
        <f aca="false">IF(ISBLANK($C64),"",IF($AG64&lt;&gt;Constants!$B$7,$AG64,AR64))</f>
        <v/>
      </c>
      <c r="BE64" s="72" t="str">
        <f aca="false">IF(ISBLANK($C64),"",IF($AG64&lt;&gt;Constants!$B$7,$AG64,AM64))</f>
        <v/>
      </c>
      <c r="BF64" s="72" t="str">
        <f aca="false">IF(ISBLANK($C64),"",IF($AG64&lt;&gt;Constants!$B$7,$AG64,AQ64))</f>
        <v/>
      </c>
      <c r="BG64" s="73" t="str">
        <f aca="false">IF(ISBLANK($C64),"",IF($AG64&lt;&gt;Constants!$B$7, $AG64 ,AS64))</f>
        <v/>
      </c>
      <c r="BH64" s="74" t="str">
        <f aca="false">IF(ISBLANK($C64),"",IF($AG64&lt;&gt;Constants!$B$7, $AG64 ,AH64))</f>
        <v/>
      </c>
      <c r="BI64" s="72" t="str">
        <f aca="false">IF(ISBLANK(C64),"",BA64)</f>
        <v/>
      </c>
      <c r="BJ64" s="72" t="str">
        <f aca="false">IF(ISBLANK(C64),"",AZ64)</f>
        <v/>
      </c>
      <c r="BK64" s="75" t="str">
        <f aca="false">IF(ISBLANK(C64),"",IFERROR(_xlfn.SWITCH(BJ64, Constants!$B$4, COUNTA($C$8:$C563)+2, Constants!$B$5, COUNTA($C$8:$C563)+1, Constants!$B$6, COUNTA($C$8:$C563)),BJ64))</f>
        <v/>
      </c>
      <c r="BL64" s="5"/>
      <c r="BM64" s="76" t="n">
        <f aca="false">IF(OR(ISNUMBER(BJ64),BJ64="DQ",BJ64="P",BJ64="NS"),
    1,
    0
)</f>
        <v>0</v>
      </c>
      <c r="BN64" s="76" t="n">
        <v>57</v>
      </c>
      <c r="BO64" s="76" t="str">
        <f aca="false">IF(ISBLANK($C64),"",IF(ISNUMBER(BK64),BK64+ROW($B64)/1000,""))</f>
        <v/>
      </c>
      <c r="BP64" s="76" t="str">
        <f aca="false">IF(ISNUMBER(BO64), RANK(BO64,BO$8:BO$507,1), "")</f>
        <v/>
      </c>
      <c r="BQ64" s="76" t="str">
        <f aca="false">IF(ISBLANK($C64),
    "",
    $B64
)</f>
        <v/>
      </c>
      <c r="BR64" s="76" t="str">
        <f aca="false">IF(ISBLANK($C64),
    "",
    $C64
)</f>
        <v/>
      </c>
      <c r="BS64" s="76" t="str">
        <f aca="false">IF(ISBLANK($C64),
    "",
    $D64
)</f>
        <v/>
      </c>
      <c r="BT64" s="77" t="str">
        <f aca="false">BH64</f>
        <v/>
      </c>
      <c r="BU64" s="78" t="str">
        <f aca="false">BG64</f>
        <v/>
      </c>
      <c r="BV64" s="76" t="str">
        <f aca="false">IF(ISBLANK($C64),
    "",
    BJ64
)</f>
        <v/>
      </c>
      <c r="BW64" s="79" t="str">
        <f aca="false">IF(BN64&gt;BM$7,
    "",
    VLOOKUP(BN64,BP$8:BV563,7,FALSE())
)</f>
        <v/>
      </c>
      <c r="BX64" s="80" t="str">
        <f aca="false">IF(BN64&gt;BM$7,
    "",
    VLOOKUP(BN64,BP$8:BV563,2,FALSE())
)</f>
        <v/>
      </c>
      <c r="BY64" s="80" t="str">
        <f aca="false">IF(BN64&gt;BM$7,
    "",
    VLOOKUP(BN64,BP$8:BV563,3,FALSE())
)</f>
        <v/>
      </c>
      <c r="BZ64" s="80" t="str">
        <f aca="false">IF(BN64&gt;BM$7,
    "",
    VLOOKUP(BN64,BP$8:BV563,4,FALSE())
)</f>
        <v/>
      </c>
      <c r="CA64" s="80" t="str">
        <f aca="false">IF(BN64&gt;BM$7,
    "",
    VLOOKUP(BN64,BP$8:BV563,5,FALSE())
)</f>
        <v/>
      </c>
      <c r="CB64" s="81" t="str">
        <f aca="false">IF(BN64&gt;BM$7,
    "",
    VLOOKUP(BN64,BP$8:BV563,6,FALSE())
)</f>
        <v/>
      </c>
      <c r="CC64" s="53"/>
    </row>
    <row r="65" customFormat="false" ht="15.75" hidden="false" customHeight="false" outlineLevel="0" collapsed="false">
      <c r="A65" s="5"/>
      <c r="B65" s="125"/>
      <c r="C65" s="126"/>
      <c r="D65" s="115"/>
      <c r="E65" s="119"/>
      <c r="F65" s="119"/>
      <c r="G65" s="91"/>
      <c r="H65" s="92"/>
      <c r="I65" s="92"/>
      <c r="J65" s="128"/>
      <c r="K65" s="128"/>
      <c r="L65" s="128"/>
      <c r="M65" s="94"/>
      <c r="N65" s="94"/>
      <c r="O65" s="94"/>
      <c r="P65" s="95"/>
      <c r="Q65" s="96"/>
      <c r="R65" s="128"/>
      <c r="S65" s="98"/>
      <c r="T65" s="99"/>
      <c r="U65" s="99" t="str">
        <f aca="false">IF(ISBLANK($C65),"",IF(G65=Constants!$B$2, TRUE(), IF(G65=Constants!$B$3, FALSE(), TRUE())))</f>
        <v/>
      </c>
      <c r="V65" s="99" t="str">
        <f aca="false">IF(ISBLANK($C65),"",IF(H65=Constants!$B$2, TRUE(), IF(H65=Constants!$B$3, FALSE(), TRUE())))</f>
        <v/>
      </c>
      <c r="W65" s="99" t="str">
        <f aca="false">IF(ISBLANK($C65),"",IF(I65=Constants!$B$2, TRUE(), IF(I65=Constants!$B$3, FALSE(), TRUE())))</f>
        <v/>
      </c>
      <c r="X65" s="99" t="str">
        <f aca="false">IF(ISBLANK($C65),"",IF(AND(ISNUMBER(J65),J65&gt;0),INT(J65),0))</f>
        <v/>
      </c>
      <c r="Y65" s="99" t="str">
        <f aca="false">IF(ISBLANK($C65),"",IF(K65=Constants!$B$2, TRUE(), IF(K65=Constants!$B$3, FALSE(), TRUE())))</f>
        <v/>
      </c>
      <c r="Z65" s="100" t="str">
        <f aca="false">IF(ISBLANK($C65),"",IF(AND(ISNUMBER(L65),L65&gt;0),INT(L65),0))</f>
        <v/>
      </c>
      <c r="AA65" s="101" t="str">
        <f aca="false">IF(ISBLANK($C65),"",IF(ISNUMBER(M65), M65, ""))</f>
        <v/>
      </c>
      <c r="AB65" s="101" t="str">
        <f aca="false">IF(ISBLANK($C65),"",IF(ISNUMBER(N65), N65, ""))</f>
        <v/>
      </c>
      <c r="AC65" s="101" t="str">
        <f aca="false">IF(ISBLANK($C65),"",IF(ISNUMBER(O65), O65, ""))</f>
        <v/>
      </c>
      <c r="AD65" s="102" t="str">
        <f aca="false">IF(ISBLANK($C65),"",IF(ISNUMBER(P65), P65, ""))</f>
        <v/>
      </c>
      <c r="AE65" s="102" t="str">
        <f aca="false">IF(ISBLANK($C65),"",IF(ISNUMBER(Q65), Q65, Constants!$B$13))</f>
        <v/>
      </c>
      <c r="AF65" s="99" t="str">
        <f aca="false">IF(ISBLANK($C65),"",IF(R65=Constants!$B$2, TRUE(), IF(R65=Constants!$B$3, FALSE(), FALSE())))</f>
        <v/>
      </c>
      <c r="AG65" s="99" t="str">
        <f aca="false">IF(ISBLANK(C65), "", IF(AF65, Constants!$B$4,IF(COUNTA(G65:P65)=0, Constants!$B$5, Constants!$B$7)))</f>
        <v/>
      </c>
      <c r="AH65" s="99" t="str">
        <f aca="false">IF(ISBLANK($C65), "",IF($AG65=Constants!$B$7,1,$AG65))</f>
        <v/>
      </c>
      <c r="AI65" s="99" t="str">
        <f aca="false">IF($AG65=Constants!$B$7,POWER(Constants!$B$11,X65)*POWER(Constants!$B$12,Z65),"")</f>
        <v/>
      </c>
      <c r="AJ65" s="99" t="str">
        <f aca="false">IF(AND($AG65=Constants!$B$7, U65, V65) ,IF(OR($AA65="",$AC65=""),"",MAX(0, $AC65-$AA65)),"")</f>
        <v/>
      </c>
      <c r="AK65" s="99" t="str">
        <f aca="false">IF(AND($AG65=Constants!$B$7, U65, V65),IF(OR($AA65="",$AC65=""),$AK$6,""),"")</f>
        <v/>
      </c>
      <c r="AL65" s="99" t="str">
        <f aca="false">IF($AG65=Constants!$B$7,IF(AND(U65,V65,W65,Y65),IF($AJ65="",0,IF($AJ$6=0,Constants!$B$9,Constants!$B$9*AJ65/$AJ$6)), 0),"")</f>
        <v/>
      </c>
      <c r="AM65" s="99" t="str">
        <f aca="false">IF(AL65&lt;&gt;"", AL65*AI65,"")</f>
        <v/>
      </c>
      <c r="AN65" s="99" t="str">
        <f aca="false">IF(AND($AG65=Constants!$B$7, U65, V65) ,IF($AB65="", "", IF(OR($AC65="",$AC65=0),"",MAX(0,1-ABS($AC65-$AB65)/$AC65))),"")</f>
        <v/>
      </c>
      <c r="AO65" s="99" t="str">
        <f aca="false">IF(AND($AG65=Constants!$B$7, U65, V65),IF(AND($AA65&lt;&gt;"",$AB65&lt;&gt;"",$AC65=0),$AO$6,""),"")</f>
        <v/>
      </c>
      <c r="AP65" s="99" t="str">
        <f aca="false">IF($AG65=Constants!$B$7 ,IF(AND(U65,V65,W65,Y65,ISNUMBER(AB65)),IF($AN65="",0,IF($AN$6=0,Constants!$B$10,Constants!$B$10*AN65/$AN$6)), 0),"")</f>
        <v/>
      </c>
      <c r="AQ65" s="99" t="str">
        <f aca="false">IF(AP65&lt;&gt;"", AP65*AI65,"")</f>
        <v/>
      </c>
      <c r="AR65" s="99" t="str">
        <f aca="false">IF($AG65=Constants!$B$7,IF($AD65="",0,IF($AR$6=0,Constants!$B$8,Constants!$B$8*AD65/$AR$6)),"")</f>
        <v/>
      </c>
      <c r="AS65" s="99" t="str">
        <f aca="false">IF($AG65&lt;&gt;Constants!$B$7,$AG65,IF(AK65&amp;AO65&lt;&gt;"",Constants!$B$14,AM65+AQ65+AR65))</f>
        <v/>
      </c>
      <c r="AT65" s="99" t="str">
        <f aca="false">IF(ISBLANK($C65),"",IF($AG65=Constants!$B$7,IF(ISNUMBER(AS65),RANK(AS65,$AS$8:$AS$507),Constants!$B$14),$AG65))</f>
        <v/>
      </c>
      <c r="AU65" s="99" t="str">
        <f aca="false">IF(ISBLANK($C65), "",AM65)</f>
        <v/>
      </c>
      <c r="AV65" s="99" t="str">
        <f aca="false">IF(ISBLANK($C65),"",IF($AG65=Constants!$B$7,RANK(AU65,AU$8:AU$507),$AG65))</f>
        <v/>
      </c>
      <c r="AW65" s="99" t="str">
        <f aca="false">IF(ISBLANK($C65), "",AR65)</f>
        <v/>
      </c>
      <c r="AX65" s="99" t="str">
        <f aca="false">IF(ISBLANK($C65),"",IF($AG65=Constants!$B$7,RANK(AW65,AW$8:AW$507),$AG65))</f>
        <v/>
      </c>
      <c r="AY65" s="99" t="str">
        <f aca="false">IF(ISBLANK($C65), "",AE65)</f>
        <v/>
      </c>
      <c r="AZ65" s="99" t="str">
        <f aca="false">IF(ISBLANK($C65),"",
IF($AG65=Constants!$B$7,
  IF(ISNUMBER(AT65),
    COUNTIFS($AT$8:$AT$507,"&lt;"&amp;$AT65)
    + COUNTIFS($AT$8:$AT$507,$AT65,$AV$8:$AV$507,"&lt;"&amp;$AV65)
    + COUNTIFS($AT$8:$AT$507,$AT65,$AV$8:$AV$507,$AV65,$AX$8:$AX$507,"&lt;"&amp;$AX65)
    + COUNTIFS($AT$8:$AT$507,$AT65,$AV$8:$AV$507,$AV65,$AX$8:$AX$507,$AX65,$AY$8:$AY$507,"&lt;"&amp;$AY65)
    + 1,
  Constants!$B$14),
$AG65))</f>
        <v/>
      </c>
      <c r="BA65" s="99" t="str">
        <f aca="false">IF(ISBLANK(C65),"",IF($AG65=Constants!$B$7, IF(ISNUMBER(AT65),AT65-AZ65,Constants!$B$14),$AG65))</f>
        <v/>
      </c>
      <c r="BB65" s="103"/>
      <c r="BC65" s="104" t="str">
        <f aca="false">IF(ISBLANK($C65),"",TRIM(AK65&amp;" "&amp;AO65))</f>
        <v/>
      </c>
      <c r="BD65" s="105" t="str">
        <f aca="false">IF(ISBLANK($C65),"",IF($AG65&lt;&gt;Constants!$B$7,$AG65,AR65))</f>
        <v/>
      </c>
      <c r="BE65" s="105" t="str">
        <f aca="false">IF(ISBLANK($C65),"",IF($AG65&lt;&gt;Constants!$B$7,$AG65,AM65))</f>
        <v/>
      </c>
      <c r="BF65" s="105" t="str">
        <f aca="false">IF(ISBLANK($C65),"",IF($AG65&lt;&gt;Constants!$B$7,$AG65,AQ65))</f>
        <v/>
      </c>
      <c r="BG65" s="106" t="str">
        <f aca="false">IF(ISBLANK($C65),"",IF($AG65&lt;&gt;Constants!$B$7, $AG65 ,AS65))</f>
        <v/>
      </c>
      <c r="BH65" s="107" t="str">
        <f aca="false">IF(ISBLANK($C65),"",IF($AG65&lt;&gt;Constants!$B$7, $AG65 ,AH65))</f>
        <v/>
      </c>
      <c r="BI65" s="105" t="str">
        <f aca="false">IF(ISBLANK(C65),"",BA65)</f>
        <v/>
      </c>
      <c r="BJ65" s="105" t="str">
        <f aca="false">IF(ISBLANK(C65),"",AZ65)</f>
        <v/>
      </c>
      <c r="BK65" s="108" t="str">
        <f aca="false">IF(ISBLANK(C65),"",IFERROR(_xlfn.SWITCH(BJ65, Constants!$B$4, COUNTA($C$8:$C564)+2, Constants!$B$5, COUNTA($C$8:$C564)+1, Constants!$B$6, COUNTA($C$8:$C564)),BJ65))</f>
        <v/>
      </c>
      <c r="BL65" s="5"/>
      <c r="BM65" s="109" t="n">
        <f aca="false">IF(OR(ISNUMBER(BJ65),BJ65="DQ",BJ65="P",BJ65="NS"),
    1,
    0
)</f>
        <v>0</v>
      </c>
      <c r="BN65" s="109" t="n">
        <v>58</v>
      </c>
      <c r="BO65" s="109" t="str">
        <f aca="false">IF(ISBLANK($C65),"",IF(ISNUMBER(BK65),BK65+ROW($B65)/1000,""))</f>
        <v/>
      </c>
      <c r="BP65" s="109" t="str">
        <f aca="false">IF(ISNUMBER(BO65), RANK(BO65,BO$8:BO$507,1), "")</f>
        <v/>
      </c>
      <c r="BQ65" s="109" t="str">
        <f aca="false">IF(ISBLANK($C65),
    "",
    $B65
)</f>
        <v/>
      </c>
      <c r="BR65" s="109" t="str">
        <f aca="false">IF(ISBLANK($C65),
    "",
    $C65
)</f>
        <v/>
      </c>
      <c r="BS65" s="109" t="str">
        <f aca="false">IF(ISBLANK($C65),
    "",
    $D65
)</f>
        <v/>
      </c>
      <c r="BT65" s="110" t="str">
        <f aca="false">BH65</f>
        <v/>
      </c>
      <c r="BU65" s="111" t="str">
        <f aca="false">BG65</f>
        <v/>
      </c>
      <c r="BV65" s="109" t="str">
        <f aca="false">IF(ISBLANK($C65),
    "",
    BJ65
)</f>
        <v/>
      </c>
      <c r="BW65" s="112" t="str">
        <f aca="false">IF(BN65&gt;BM$7,
    "",
    VLOOKUP(BN65,BP$8:BV564,7,FALSE())
)</f>
        <v/>
      </c>
      <c r="BX65" s="113" t="str">
        <f aca="false">IF(BN65&gt;BM$7,
    "",
    VLOOKUP(BN65,BP$8:BV564,2,FALSE())
)</f>
        <v/>
      </c>
      <c r="BY65" s="113" t="str">
        <f aca="false">IF(BN65&gt;BM$7,
    "",
    VLOOKUP(BN65,BP$8:BV564,3,FALSE())
)</f>
        <v/>
      </c>
      <c r="BZ65" s="113" t="str">
        <f aca="false">IF(BN65&gt;BM$7,
    "",
    VLOOKUP(BN65,BP$8:BV564,4,FALSE())
)</f>
        <v/>
      </c>
      <c r="CA65" s="113" t="str">
        <f aca="false">IF(BN65&gt;BM$7,
    "",
    VLOOKUP(BN65,BP$8:BV564,5,FALSE())
)</f>
        <v/>
      </c>
      <c r="CB65" s="114" t="str">
        <f aca="false">IF(BN65&gt;BM$7,
    "",
    VLOOKUP(BN65,BP$8:BV564,6,FALSE())
)</f>
        <v/>
      </c>
      <c r="CC65" s="53"/>
    </row>
    <row r="66" customFormat="false" ht="15.75" hidden="false" customHeight="false" outlineLevel="0" collapsed="false">
      <c r="A66" s="5"/>
      <c r="B66" s="125"/>
      <c r="C66" s="126"/>
      <c r="D66" s="115"/>
      <c r="E66" s="119"/>
      <c r="F66" s="119"/>
      <c r="G66" s="91"/>
      <c r="H66" s="92"/>
      <c r="I66" s="92"/>
      <c r="J66" s="128"/>
      <c r="K66" s="128"/>
      <c r="L66" s="128"/>
      <c r="M66" s="94"/>
      <c r="N66" s="94"/>
      <c r="O66" s="94"/>
      <c r="P66" s="95"/>
      <c r="Q66" s="96"/>
      <c r="R66" s="128"/>
      <c r="S66" s="98"/>
      <c r="T66" s="99"/>
      <c r="U66" s="99" t="str">
        <f aca="false">IF(ISBLANK($C66),"",IF(G66=Constants!$B$2, TRUE(), IF(G66=Constants!$B$3, FALSE(), TRUE())))</f>
        <v/>
      </c>
      <c r="V66" s="99" t="str">
        <f aca="false">IF(ISBLANK($C66),"",IF(H66=Constants!$B$2, TRUE(), IF(H66=Constants!$B$3, FALSE(), TRUE())))</f>
        <v/>
      </c>
      <c r="W66" s="99" t="str">
        <f aca="false">IF(ISBLANK($C66),"",IF(I66=Constants!$B$2, TRUE(), IF(I66=Constants!$B$3, FALSE(), TRUE())))</f>
        <v/>
      </c>
      <c r="X66" s="99" t="str">
        <f aca="false">IF(ISBLANK($C66),"",IF(AND(ISNUMBER(J66),J66&gt;0),INT(J66),0))</f>
        <v/>
      </c>
      <c r="Y66" s="99" t="str">
        <f aca="false">IF(ISBLANK($C66),"",IF(K66=Constants!$B$2, TRUE(), IF(K66=Constants!$B$3, FALSE(), TRUE())))</f>
        <v/>
      </c>
      <c r="Z66" s="100" t="str">
        <f aca="false">IF(ISBLANK($C66),"",IF(AND(ISNUMBER(L66),L66&gt;0),INT(L66),0))</f>
        <v/>
      </c>
      <c r="AA66" s="101" t="str">
        <f aca="false">IF(ISBLANK($C66),"",IF(ISNUMBER(M66), M66, ""))</f>
        <v/>
      </c>
      <c r="AB66" s="101" t="str">
        <f aca="false">IF(ISBLANK($C66),"",IF(ISNUMBER(N66), N66, ""))</f>
        <v/>
      </c>
      <c r="AC66" s="101" t="str">
        <f aca="false">IF(ISBLANK($C66),"",IF(ISNUMBER(O66), O66, ""))</f>
        <v/>
      </c>
      <c r="AD66" s="102" t="str">
        <f aca="false">IF(ISBLANK($C66),"",IF(ISNUMBER(P66), P66, ""))</f>
        <v/>
      </c>
      <c r="AE66" s="102" t="str">
        <f aca="false">IF(ISBLANK($C66),"",IF(ISNUMBER(Q66), Q66, Constants!$B$13))</f>
        <v/>
      </c>
      <c r="AF66" s="99" t="str">
        <f aca="false">IF(ISBLANK($C66),"",IF(R66=Constants!$B$2, TRUE(), IF(R66=Constants!$B$3, FALSE(), FALSE())))</f>
        <v/>
      </c>
      <c r="AG66" s="99" t="str">
        <f aca="false">IF(ISBLANK(C66), "", IF(AF66, Constants!$B$4,IF(COUNTA(G66:P66)=0, Constants!$B$5, Constants!$B$7)))</f>
        <v/>
      </c>
      <c r="AH66" s="99" t="str">
        <f aca="false">IF(ISBLANK($C66), "",IF($AG66=Constants!$B$7,1,$AG66))</f>
        <v/>
      </c>
      <c r="AI66" s="99" t="str">
        <f aca="false">IF($AG66=Constants!$B$7,POWER(Constants!$B$11,X66)*POWER(Constants!$B$12,Z66),"")</f>
        <v/>
      </c>
      <c r="AJ66" s="99" t="str">
        <f aca="false">IF(AND($AG66=Constants!$B$7, U66, V66) ,IF(OR($AA66="",$AC66=""),"",MAX(0, $AC66-$AA66)),"")</f>
        <v/>
      </c>
      <c r="AK66" s="99" t="str">
        <f aca="false">IF(AND($AG66=Constants!$B$7, U66, V66),IF(OR($AA66="",$AC66=""),$AK$6,""),"")</f>
        <v/>
      </c>
      <c r="AL66" s="99" t="str">
        <f aca="false">IF($AG66=Constants!$B$7,IF(AND(U66,V66,W66,Y66),IF($AJ66="",0,IF($AJ$6=0,Constants!$B$9,Constants!$B$9*AJ66/$AJ$6)), 0),"")</f>
        <v/>
      </c>
      <c r="AM66" s="99" t="str">
        <f aca="false">IF(AL66&lt;&gt;"", AL66*AI66,"")</f>
        <v/>
      </c>
      <c r="AN66" s="99" t="str">
        <f aca="false">IF(AND($AG66=Constants!$B$7, U66, V66) ,IF($AB66="", "", IF(OR($AC66="",$AC66=0),"",MAX(0,1-ABS($AC66-$AB66)/$AC66))),"")</f>
        <v/>
      </c>
      <c r="AO66" s="99" t="str">
        <f aca="false">IF(AND($AG66=Constants!$B$7, U66, V66),IF(AND($AA66&lt;&gt;"",$AB66&lt;&gt;"",$AC66=0),$AO$6,""),"")</f>
        <v/>
      </c>
      <c r="AP66" s="99" t="str">
        <f aca="false">IF($AG66=Constants!$B$7 ,IF(AND(U66,V66,W66,Y66,ISNUMBER(AB66)),IF($AN66="",0,IF($AN$6=0,Constants!$B$10,Constants!$B$10*AN66/$AN$6)), 0),"")</f>
        <v/>
      </c>
      <c r="AQ66" s="99" t="str">
        <f aca="false">IF(AP66&lt;&gt;"", AP66*AI66,"")</f>
        <v/>
      </c>
      <c r="AR66" s="99" t="str">
        <f aca="false">IF($AG66=Constants!$B$7,IF($AD66="",0,IF($AR$6=0,Constants!$B$8,Constants!$B$8*AD66/$AR$6)),"")</f>
        <v/>
      </c>
      <c r="AS66" s="99" t="str">
        <f aca="false">IF($AG66&lt;&gt;Constants!$B$7,$AG66,IF(AK66&amp;AO66&lt;&gt;"",Constants!$B$14,AM66+AQ66+AR66))</f>
        <v/>
      </c>
      <c r="AT66" s="99" t="str">
        <f aca="false">IF(ISBLANK($C66),"",IF($AG66=Constants!$B$7,IF(ISNUMBER(AS66),RANK(AS66,$AS$8:$AS$507),Constants!$B$14),$AG66))</f>
        <v/>
      </c>
      <c r="AU66" s="99" t="str">
        <f aca="false">IF(ISBLANK($C66), "",AM66)</f>
        <v/>
      </c>
      <c r="AV66" s="99" t="str">
        <f aca="false">IF(ISBLANK($C66),"",IF($AG66=Constants!$B$7,RANK(AU66,AU$8:AU$507),$AG66))</f>
        <v/>
      </c>
      <c r="AW66" s="99" t="str">
        <f aca="false">IF(ISBLANK($C66), "",AR66)</f>
        <v/>
      </c>
      <c r="AX66" s="99" t="str">
        <f aca="false">IF(ISBLANK($C66),"",IF($AG66=Constants!$B$7,RANK(AW66,AW$8:AW$507),$AG66))</f>
        <v/>
      </c>
      <c r="AY66" s="99" t="str">
        <f aca="false">IF(ISBLANK($C66), "",AE66)</f>
        <v/>
      </c>
      <c r="AZ66" s="99" t="str">
        <f aca="false">IF(ISBLANK($C66),"",
IF($AG66=Constants!$B$7,
  IF(ISNUMBER(AT66),
    COUNTIFS($AT$8:$AT$507,"&lt;"&amp;$AT66)
    + COUNTIFS($AT$8:$AT$507,$AT66,$AV$8:$AV$507,"&lt;"&amp;$AV66)
    + COUNTIFS($AT$8:$AT$507,$AT66,$AV$8:$AV$507,$AV66,$AX$8:$AX$507,"&lt;"&amp;$AX66)
    + COUNTIFS($AT$8:$AT$507,$AT66,$AV$8:$AV$507,$AV66,$AX$8:$AX$507,$AX66,$AY$8:$AY$507,"&lt;"&amp;$AY66)
    + 1,
  Constants!$B$14),
$AG66))</f>
        <v/>
      </c>
      <c r="BA66" s="99" t="str">
        <f aca="false">IF(ISBLANK(C66),"",IF($AG66=Constants!$B$7, IF(ISNUMBER(AT66),AT66-AZ66,Constants!$B$14),$AG66))</f>
        <v/>
      </c>
      <c r="BB66" s="103"/>
      <c r="BC66" s="104" t="str">
        <f aca="false">IF(ISBLANK($C66),"",TRIM(AK66&amp;" "&amp;AO66))</f>
        <v/>
      </c>
      <c r="BD66" s="105" t="str">
        <f aca="false">IF(ISBLANK($C66),"",IF($AG66&lt;&gt;Constants!$B$7,$AG66,AR66))</f>
        <v/>
      </c>
      <c r="BE66" s="105" t="str">
        <f aca="false">IF(ISBLANK($C66),"",IF($AG66&lt;&gt;Constants!$B$7,$AG66,AM66))</f>
        <v/>
      </c>
      <c r="BF66" s="105" t="str">
        <f aca="false">IF(ISBLANK($C66),"",IF($AG66&lt;&gt;Constants!$B$7,$AG66,AQ66))</f>
        <v/>
      </c>
      <c r="BG66" s="106" t="str">
        <f aca="false">IF(ISBLANK($C66),"",IF($AG66&lt;&gt;Constants!$B$7, $AG66 ,AS66))</f>
        <v/>
      </c>
      <c r="BH66" s="107" t="str">
        <f aca="false">IF(ISBLANK($C66),"",IF($AG66&lt;&gt;Constants!$B$7, $AG66 ,AH66))</f>
        <v/>
      </c>
      <c r="BI66" s="105" t="str">
        <f aca="false">IF(ISBLANK(C66),"",BA66)</f>
        <v/>
      </c>
      <c r="BJ66" s="105" t="str">
        <f aca="false">IF(ISBLANK(C66),"",AZ66)</f>
        <v/>
      </c>
      <c r="BK66" s="108" t="str">
        <f aca="false">IF(ISBLANK(C66),"",IFERROR(_xlfn.SWITCH(BJ66, Constants!$B$4, COUNTA($C$8:$C565)+2, Constants!$B$5, COUNTA($C$8:$C565)+1, Constants!$B$6, COUNTA($C$8:$C565)),BJ66))</f>
        <v/>
      </c>
      <c r="BL66" s="5"/>
      <c r="BM66" s="109" t="n">
        <f aca="false">IF(OR(ISNUMBER(BJ66),BJ66="DQ",BJ66="P",BJ66="NS"),
    1,
    0
)</f>
        <v>0</v>
      </c>
      <c r="BN66" s="109" t="n">
        <v>59</v>
      </c>
      <c r="BO66" s="109" t="str">
        <f aca="false">IF(ISBLANK($C66),"",IF(ISNUMBER(BK66),BK66+ROW($B66)/1000,""))</f>
        <v/>
      </c>
      <c r="BP66" s="109" t="str">
        <f aca="false">IF(ISNUMBER(BO66), RANK(BO66,BO$8:BO$507,1), "")</f>
        <v/>
      </c>
      <c r="BQ66" s="109" t="str">
        <f aca="false">IF(ISBLANK($C66),
    "",
    $B66
)</f>
        <v/>
      </c>
      <c r="BR66" s="109" t="str">
        <f aca="false">IF(ISBLANK($C66),
    "",
    $C66
)</f>
        <v/>
      </c>
      <c r="BS66" s="109" t="str">
        <f aca="false">IF(ISBLANK($C66),
    "",
    $D66
)</f>
        <v/>
      </c>
      <c r="BT66" s="110" t="str">
        <f aca="false">BH66</f>
        <v/>
      </c>
      <c r="BU66" s="111" t="str">
        <f aca="false">BG66</f>
        <v/>
      </c>
      <c r="BV66" s="109" t="str">
        <f aca="false">IF(ISBLANK($C66),
    "",
    BJ66
)</f>
        <v/>
      </c>
      <c r="BW66" s="112" t="str">
        <f aca="false">IF(BN66&gt;BM$7,
    "",
    VLOOKUP(BN66,BP$8:BV565,7,FALSE())
)</f>
        <v/>
      </c>
      <c r="BX66" s="113" t="str">
        <f aca="false">IF(BN66&gt;BM$7,
    "",
    VLOOKUP(BN66,BP$8:BV565,2,FALSE())
)</f>
        <v/>
      </c>
      <c r="BY66" s="113" t="str">
        <f aca="false">IF(BN66&gt;BM$7,
    "",
    VLOOKUP(BN66,BP$8:BV565,3,FALSE())
)</f>
        <v/>
      </c>
      <c r="BZ66" s="113" t="str">
        <f aca="false">IF(BN66&gt;BM$7,
    "",
    VLOOKUP(BN66,BP$8:BV565,4,FALSE())
)</f>
        <v/>
      </c>
      <c r="CA66" s="113" t="str">
        <f aca="false">IF(BN66&gt;BM$7,
    "",
    VLOOKUP(BN66,BP$8:BV565,5,FALSE())
)</f>
        <v/>
      </c>
      <c r="CB66" s="114" t="str">
        <f aca="false">IF(BN66&gt;BM$7,
    "",
    VLOOKUP(BN66,BP$8:BV565,6,FALSE())
)</f>
        <v/>
      </c>
      <c r="CC66" s="53"/>
    </row>
    <row r="67" customFormat="false" ht="15.75" hidden="false" customHeight="false" outlineLevel="0" collapsed="false">
      <c r="A67" s="5"/>
      <c r="B67" s="125"/>
      <c r="C67" s="126"/>
      <c r="D67" s="115"/>
      <c r="E67" s="119"/>
      <c r="F67" s="119"/>
      <c r="G67" s="91"/>
      <c r="H67" s="92"/>
      <c r="I67" s="92"/>
      <c r="J67" s="128"/>
      <c r="K67" s="128"/>
      <c r="L67" s="128"/>
      <c r="M67" s="94"/>
      <c r="N67" s="94"/>
      <c r="O67" s="94"/>
      <c r="P67" s="95"/>
      <c r="Q67" s="96"/>
      <c r="R67" s="128"/>
      <c r="S67" s="98"/>
      <c r="T67" s="99"/>
      <c r="U67" s="99" t="str">
        <f aca="false">IF(ISBLANK($C67),"",IF(G67=Constants!$B$2, TRUE(), IF(G67=Constants!$B$3, FALSE(), TRUE())))</f>
        <v/>
      </c>
      <c r="V67" s="99" t="str">
        <f aca="false">IF(ISBLANK($C67),"",IF(H67=Constants!$B$2, TRUE(), IF(H67=Constants!$B$3, FALSE(), TRUE())))</f>
        <v/>
      </c>
      <c r="W67" s="99" t="str">
        <f aca="false">IF(ISBLANK($C67),"",IF(I67=Constants!$B$2, TRUE(), IF(I67=Constants!$B$3, FALSE(), TRUE())))</f>
        <v/>
      </c>
      <c r="X67" s="99" t="str">
        <f aca="false">IF(ISBLANK($C67),"",IF(AND(ISNUMBER(J67),J67&gt;0),INT(J67),0))</f>
        <v/>
      </c>
      <c r="Y67" s="99" t="str">
        <f aca="false">IF(ISBLANK($C67),"",IF(K67=Constants!$B$2, TRUE(), IF(K67=Constants!$B$3, FALSE(), TRUE())))</f>
        <v/>
      </c>
      <c r="Z67" s="100" t="str">
        <f aca="false">IF(ISBLANK($C67),"",IF(AND(ISNUMBER(L67),L67&gt;0),INT(L67),0))</f>
        <v/>
      </c>
      <c r="AA67" s="101" t="str">
        <f aca="false">IF(ISBLANK($C67),"",IF(ISNUMBER(M67), M67, ""))</f>
        <v/>
      </c>
      <c r="AB67" s="101" t="str">
        <f aca="false">IF(ISBLANK($C67),"",IF(ISNUMBER(N67), N67, ""))</f>
        <v/>
      </c>
      <c r="AC67" s="101" t="str">
        <f aca="false">IF(ISBLANK($C67),"",IF(ISNUMBER(O67), O67, ""))</f>
        <v/>
      </c>
      <c r="AD67" s="102" t="str">
        <f aca="false">IF(ISBLANK($C67),"",IF(ISNUMBER(P67), P67, ""))</f>
        <v/>
      </c>
      <c r="AE67" s="102" t="str">
        <f aca="false">IF(ISBLANK($C67),"",IF(ISNUMBER(Q67), Q67, Constants!$B$13))</f>
        <v/>
      </c>
      <c r="AF67" s="99" t="str">
        <f aca="false">IF(ISBLANK($C67),"",IF(R67=Constants!$B$2, TRUE(), IF(R67=Constants!$B$3, FALSE(), FALSE())))</f>
        <v/>
      </c>
      <c r="AG67" s="99" t="str">
        <f aca="false">IF(ISBLANK(C67), "", IF(AF67, Constants!$B$4,IF(COUNTA(G67:P67)=0, Constants!$B$5, Constants!$B$7)))</f>
        <v/>
      </c>
      <c r="AH67" s="99" t="str">
        <f aca="false">IF(ISBLANK($C67), "",IF($AG67=Constants!$B$7,1,$AG67))</f>
        <v/>
      </c>
      <c r="AI67" s="99" t="str">
        <f aca="false">IF($AG67=Constants!$B$7,POWER(Constants!$B$11,X67)*POWER(Constants!$B$12,Z67),"")</f>
        <v/>
      </c>
      <c r="AJ67" s="99" t="str">
        <f aca="false">IF(AND($AG67=Constants!$B$7, U67, V67) ,IF(OR($AA67="",$AC67=""),"",MAX(0, $AC67-$AA67)),"")</f>
        <v/>
      </c>
      <c r="AK67" s="99" t="str">
        <f aca="false">IF(AND($AG67=Constants!$B$7, U67, V67),IF(OR($AA67="",$AC67=""),$AK$6,""),"")</f>
        <v/>
      </c>
      <c r="AL67" s="99" t="str">
        <f aca="false">IF($AG67=Constants!$B$7,IF(AND(U67,V67,W67,Y67),IF($AJ67="",0,IF($AJ$6=0,Constants!$B$9,Constants!$B$9*AJ67/$AJ$6)), 0),"")</f>
        <v/>
      </c>
      <c r="AM67" s="99" t="str">
        <f aca="false">IF(AL67&lt;&gt;"", AL67*AI67,"")</f>
        <v/>
      </c>
      <c r="AN67" s="99" t="str">
        <f aca="false">IF(AND($AG67=Constants!$B$7, U67, V67) ,IF($AB67="", "", IF(OR($AC67="",$AC67=0),"",MAX(0,1-ABS($AC67-$AB67)/$AC67))),"")</f>
        <v/>
      </c>
      <c r="AO67" s="99" t="str">
        <f aca="false">IF(AND($AG67=Constants!$B$7, U67, V67),IF(AND($AA67&lt;&gt;"",$AB67&lt;&gt;"",$AC67=0),$AO$6,""),"")</f>
        <v/>
      </c>
      <c r="AP67" s="99" t="str">
        <f aca="false">IF($AG67=Constants!$B$7 ,IF(AND(U67,V67,W67,Y67,ISNUMBER(AB67)),IF($AN67="",0,IF($AN$6=0,Constants!$B$10,Constants!$B$10*AN67/$AN$6)), 0),"")</f>
        <v/>
      </c>
      <c r="AQ67" s="99" t="str">
        <f aca="false">IF(AP67&lt;&gt;"", AP67*AI67,"")</f>
        <v/>
      </c>
      <c r="AR67" s="99" t="str">
        <f aca="false">IF($AG67=Constants!$B$7,IF($AD67="",0,IF($AR$6=0,Constants!$B$8,Constants!$B$8*AD67/$AR$6)),"")</f>
        <v/>
      </c>
      <c r="AS67" s="99" t="str">
        <f aca="false">IF($AG67&lt;&gt;Constants!$B$7,$AG67,IF(AK67&amp;AO67&lt;&gt;"",Constants!$B$14,AM67+AQ67+AR67))</f>
        <v/>
      </c>
      <c r="AT67" s="99" t="str">
        <f aca="false">IF(ISBLANK($C67),"",IF($AG67=Constants!$B$7,IF(ISNUMBER(AS67),RANK(AS67,$AS$8:$AS$507),Constants!$B$14),$AG67))</f>
        <v/>
      </c>
      <c r="AU67" s="99" t="str">
        <f aca="false">IF(ISBLANK($C67), "",AM67)</f>
        <v/>
      </c>
      <c r="AV67" s="99" t="str">
        <f aca="false">IF(ISBLANK($C67),"",IF($AG67=Constants!$B$7,RANK(AU67,AU$8:AU$507),$AG67))</f>
        <v/>
      </c>
      <c r="AW67" s="99" t="str">
        <f aca="false">IF(ISBLANK($C67), "",AR67)</f>
        <v/>
      </c>
      <c r="AX67" s="99" t="str">
        <f aca="false">IF(ISBLANK($C67),"",IF($AG67=Constants!$B$7,RANK(AW67,AW$8:AW$507),$AG67))</f>
        <v/>
      </c>
      <c r="AY67" s="99" t="str">
        <f aca="false">IF(ISBLANK($C67), "",AE67)</f>
        <v/>
      </c>
      <c r="AZ67" s="99" t="str">
        <f aca="false">IF(ISBLANK($C67),"",
IF($AG67=Constants!$B$7,
  IF(ISNUMBER(AT67),
    COUNTIFS($AT$8:$AT$507,"&lt;"&amp;$AT67)
    + COUNTIFS($AT$8:$AT$507,$AT67,$AV$8:$AV$507,"&lt;"&amp;$AV67)
    + COUNTIFS($AT$8:$AT$507,$AT67,$AV$8:$AV$507,$AV67,$AX$8:$AX$507,"&lt;"&amp;$AX67)
    + COUNTIFS($AT$8:$AT$507,$AT67,$AV$8:$AV$507,$AV67,$AX$8:$AX$507,$AX67,$AY$8:$AY$507,"&lt;"&amp;$AY67)
    + 1,
  Constants!$B$14),
$AG67))</f>
        <v/>
      </c>
      <c r="BA67" s="99" t="str">
        <f aca="false">IF(ISBLANK(C67),"",IF($AG67=Constants!$B$7, IF(ISNUMBER(AT67),AT67-AZ67,Constants!$B$14),$AG67))</f>
        <v/>
      </c>
      <c r="BB67" s="103"/>
      <c r="BC67" s="104" t="str">
        <f aca="false">IF(ISBLANK($C67),"",TRIM(AK67&amp;" "&amp;AO67))</f>
        <v/>
      </c>
      <c r="BD67" s="105" t="str">
        <f aca="false">IF(ISBLANK($C67),"",IF($AG67&lt;&gt;Constants!$B$7,$AG67,AR67))</f>
        <v/>
      </c>
      <c r="BE67" s="105" t="str">
        <f aca="false">IF(ISBLANK($C67),"",IF($AG67&lt;&gt;Constants!$B$7,$AG67,AM67))</f>
        <v/>
      </c>
      <c r="BF67" s="105" t="str">
        <f aca="false">IF(ISBLANK($C67),"",IF($AG67&lt;&gt;Constants!$B$7,$AG67,AQ67))</f>
        <v/>
      </c>
      <c r="BG67" s="106" t="str">
        <f aca="false">IF(ISBLANK($C67),"",IF($AG67&lt;&gt;Constants!$B$7, $AG67 ,AS67))</f>
        <v/>
      </c>
      <c r="BH67" s="107" t="str">
        <f aca="false">IF(ISBLANK($C67),"",IF($AG67&lt;&gt;Constants!$B$7, $AG67 ,AH67))</f>
        <v/>
      </c>
      <c r="BI67" s="105" t="str">
        <f aca="false">IF(ISBLANK(C67),"",BA67)</f>
        <v/>
      </c>
      <c r="BJ67" s="105" t="str">
        <f aca="false">IF(ISBLANK(C67),"",AZ67)</f>
        <v/>
      </c>
      <c r="BK67" s="108" t="str">
        <f aca="false">IF(ISBLANK(C67),"",IFERROR(_xlfn.SWITCH(BJ67, Constants!$B$4, COUNTA($C$8:$C566)+2, Constants!$B$5, COUNTA($C$8:$C566)+1, Constants!$B$6, COUNTA($C$8:$C566)),BJ67))</f>
        <v/>
      </c>
      <c r="BL67" s="5"/>
      <c r="BM67" s="109" t="n">
        <f aca="false">IF(OR(ISNUMBER(BJ67),BJ67="DQ",BJ67="P",BJ67="NS"),
    1,
    0
)</f>
        <v>0</v>
      </c>
      <c r="BN67" s="109" t="n">
        <v>60</v>
      </c>
      <c r="BO67" s="109" t="str">
        <f aca="false">IF(ISBLANK($C67),"",IF(ISNUMBER(BK67),BK67+ROW($B67)/1000,""))</f>
        <v/>
      </c>
      <c r="BP67" s="109" t="str">
        <f aca="false">IF(ISNUMBER(BO67), RANK(BO67,BO$8:BO$507,1), "")</f>
        <v/>
      </c>
      <c r="BQ67" s="109" t="str">
        <f aca="false">IF(ISBLANK($C67),
    "",
    $B67
)</f>
        <v/>
      </c>
      <c r="BR67" s="109" t="str">
        <f aca="false">IF(ISBLANK($C67),
    "",
    $C67
)</f>
        <v/>
      </c>
      <c r="BS67" s="109" t="str">
        <f aca="false">IF(ISBLANK($C67),
    "",
    $D67
)</f>
        <v/>
      </c>
      <c r="BT67" s="110" t="str">
        <f aca="false">BH67</f>
        <v/>
      </c>
      <c r="BU67" s="111" t="str">
        <f aca="false">BG67</f>
        <v/>
      </c>
      <c r="BV67" s="109" t="str">
        <f aca="false">IF(ISBLANK($C67),
    "",
    BJ67
)</f>
        <v/>
      </c>
      <c r="BW67" s="112" t="str">
        <f aca="false">IF(BN67&gt;BM$7,
    "",
    VLOOKUP(BN67,BP$8:BV566,7,FALSE())
)</f>
        <v/>
      </c>
      <c r="BX67" s="113" t="str">
        <f aca="false">IF(BN67&gt;BM$7,
    "",
    VLOOKUP(BN67,BP$8:BV566,2,FALSE())
)</f>
        <v/>
      </c>
      <c r="BY67" s="113" t="str">
        <f aca="false">IF(BN67&gt;BM$7,
    "",
    VLOOKUP(BN67,BP$8:BV566,3,FALSE())
)</f>
        <v/>
      </c>
      <c r="BZ67" s="113" t="str">
        <f aca="false">IF(BN67&gt;BM$7,
    "",
    VLOOKUP(BN67,BP$8:BV566,4,FALSE())
)</f>
        <v/>
      </c>
      <c r="CA67" s="113" t="str">
        <f aca="false">IF(BN67&gt;BM$7,
    "",
    VLOOKUP(BN67,BP$8:BV566,5,FALSE())
)</f>
        <v/>
      </c>
      <c r="CB67" s="114" t="str">
        <f aca="false">IF(BN67&gt;BM$7,
    "",
    VLOOKUP(BN67,BP$8:BV566,6,FALSE())
)</f>
        <v/>
      </c>
      <c r="CC67" s="53"/>
    </row>
    <row r="68" customFormat="false" ht="15.75" hidden="false" customHeight="false" outlineLevel="0" collapsed="false">
      <c r="A68" s="5"/>
      <c r="B68" s="129"/>
      <c r="C68" s="55"/>
      <c r="D68" s="56"/>
      <c r="E68" s="123"/>
      <c r="F68" s="123"/>
      <c r="G68" s="58"/>
      <c r="H68" s="59"/>
      <c r="I68" s="59"/>
      <c r="J68" s="83"/>
      <c r="K68" s="83"/>
      <c r="L68" s="83"/>
      <c r="M68" s="61"/>
      <c r="N68" s="61"/>
      <c r="O68" s="61"/>
      <c r="P68" s="62"/>
      <c r="Q68" s="63"/>
      <c r="R68" s="83"/>
      <c r="S68" s="65"/>
      <c r="T68" s="66"/>
      <c r="U68" s="66" t="str">
        <f aca="false">IF(ISBLANK($C68),"",IF(G68=Constants!$B$2, TRUE(), IF(G68=Constants!$B$3, FALSE(), TRUE())))</f>
        <v/>
      </c>
      <c r="V68" s="66" t="str">
        <f aca="false">IF(ISBLANK($C68),"",IF(H68=Constants!$B$2, TRUE(), IF(H68=Constants!$B$3, FALSE(), TRUE())))</f>
        <v/>
      </c>
      <c r="W68" s="66" t="str">
        <f aca="false">IF(ISBLANK($C68),"",IF(I68=Constants!$B$2, TRUE(), IF(I68=Constants!$B$3, FALSE(), TRUE())))</f>
        <v/>
      </c>
      <c r="X68" s="66" t="str">
        <f aca="false">IF(ISBLANK($C68),"",IF(AND(ISNUMBER(J68),J68&gt;0),INT(J68),0))</f>
        <v/>
      </c>
      <c r="Y68" s="66" t="str">
        <f aca="false">IF(ISBLANK($C68),"",IF(K68=Constants!$B$2, TRUE(), IF(K68=Constants!$B$3, FALSE(), TRUE())))</f>
        <v/>
      </c>
      <c r="Z68" s="66" t="str">
        <f aca="false">IF(ISBLANK($C68),"",IF(AND(ISNUMBER(L68),L68&gt;0),INT(L68),0))</f>
        <v/>
      </c>
      <c r="AA68" s="68" t="str">
        <f aca="false">IF(ISBLANK($C68),"",IF(ISNUMBER(M68), M68, ""))</f>
        <v/>
      </c>
      <c r="AB68" s="68" t="str">
        <f aca="false">IF(ISBLANK($C68),"",IF(ISNUMBER(N68), N68, ""))</f>
        <v/>
      </c>
      <c r="AC68" s="68" t="str">
        <f aca="false">IF(ISBLANK($C68),"",IF(ISNUMBER(O68), O68, ""))</f>
        <v/>
      </c>
      <c r="AD68" s="69" t="str">
        <f aca="false">IF(ISBLANK($C68),"",IF(ISNUMBER(P68), P68, ""))</f>
        <v/>
      </c>
      <c r="AE68" s="69" t="str">
        <f aca="false">IF(ISBLANK($C68),"",IF(ISNUMBER(Q68), Q68, Constants!$B$13))</f>
        <v/>
      </c>
      <c r="AF68" s="66" t="str">
        <f aca="false">IF(ISBLANK($C68),"",IF(R68=Constants!$B$2, TRUE(), IF(R68=Constants!$B$3, FALSE(), FALSE())))</f>
        <v/>
      </c>
      <c r="AG68" s="66" t="str">
        <f aca="false">IF(ISBLANK(C68), "", IF(AF68, Constants!$B$4,IF(COUNTA(G68:P68)=0, Constants!$B$5, Constants!$B$7)))</f>
        <v/>
      </c>
      <c r="AH68" s="66" t="str">
        <f aca="false">IF(ISBLANK($C68), "",IF($AG68=Constants!$B$7,1,$AG68))</f>
        <v/>
      </c>
      <c r="AI68" s="66" t="str">
        <f aca="false">IF($AG68=Constants!$B$7,POWER(Constants!$B$11,X68)*POWER(Constants!$B$12,Z68),"")</f>
        <v/>
      </c>
      <c r="AJ68" s="66" t="str">
        <f aca="false">IF(AND($AG68=Constants!$B$7, U68, V68) ,IF(OR($AA68="",$AC68=""),"",MAX(0, $AC68-$AA68)),"")</f>
        <v/>
      </c>
      <c r="AK68" s="66" t="str">
        <f aca="false">IF(AND($AG68=Constants!$B$7, U68, V68),IF(OR($AA68="",$AC68=""),$AK$6,""),"")</f>
        <v/>
      </c>
      <c r="AL68" s="66" t="str">
        <f aca="false">IF($AG68=Constants!$B$7,IF(AND(U68,V68,W68,Y68),IF($AJ68="",0,IF($AJ$6=0,Constants!$B$9,Constants!$B$9*AJ68/$AJ$6)), 0),"")</f>
        <v/>
      </c>
      <c r="AM68" s="66" t="str">
        <f aca="false">IF(AL68&lt;&gt;"", AL68*AI68,"")</f>
        <v/>
      </c>
      <c r="AN68" s="66" t="str">
        <f aca="false">IF(AND($AG68=Constants!$B$7, U68, V68) ,IF($AB68="", "", IF(OR($AC68="",$AC68=0),"",MAX(0,1-ABS($AC68-$AB68)/$AC68))),"")</f>
        <v/>
      </c>
      <c r="AO68" s="66" t="str">
        <f aca="false">IF(AND($AG68=Constants!$B$7, U68, V68),IF(AND($AA68&lt;&gt;"",$AB68&lt;&gt;"",$AC68=0),$AO$6,""),"")</f>
        <v/>
      </c>
      <c r="AP68" s="66" t="str">
        <f aca="false">IF($AG68=Constants!$B$7 ,IF(AND(U68,V68,W68,Y68,ISNUMBER(AB68)),IF($AN68="",0,IF($AN$6=0,Constants!$B$10,Constants!$B$10*AN68/$AN$6)), 0),"")</f>
        <v/>
      </c>
      <c r="AQ68" s="66" t="str">
        <f aca="false">IF(AP68&lt;&gt;"", AP68*AI68,"")</f>
        <v/>
      </c>
      <c r="AR68" s="66" t="str">
        <f aca="false">IF($AG68=Constants!$B$7,IF($AD68="",0,IF($AR$6=0,Constants!$B$8,Constants!$B$8*AD68/$AR$6)),"")</f>
        <v/>
      </c>
      <c r="AS68" s="66" t="str">
        <f aca="false">IF($AG68&lt;&gt;Constants!$B$7,$AG68,IF(AK68&amp;AO68&lt;&gt;"",Constants!$B$14,AM68+AQ68+AR68))</f>
        <v/>
      </c>
      <c r="AT68" s="66" t="str">
        <f aca="false">IF(ISBLANK($C68),"",IF($AG68=Constants!$B$7,IF(ISNUMBER(AS68),RANK(AS68,$AS$8:$AS$507),Constants!$B$14),$AG68))</f>
        <v/>
      </c>
      <c r="AU68" s="66" t="str">
        <f aca="false">IF(ISBLANK($C68), "",AM68)</f>
        <v/>
      </c>
      <c r="AV68" s="66" t="str">
        <f aca="false">IF(ISBLANK($C68),"",IF($AG68=Constants!$B$7,RANK(AU68,AU$8:AU$507),$AG68))</f>
        <v/>
      </c>
      <c r="AW68" s="66" t="str">
        <f aca="false">IF(ISBLANK($C68), "",AR68)</f>
        <v/>
      </c>
      <c r="AX68" s="66" t="str">
        <f aca="false">IF(ISBLANK($C68),"",IF($AG68=Constants!$B$7,RANK(AW68,AW$8:AW$507),$AG68))</f>
        <v/>
      </c>
      <c r="AY68" s="66" t="str">
        <f aca="false">IF(ISBLANK($C68), "",AE68)</f>
        <v/>
      </c>
      <c r="AZ68" s="66" t="str">
        <f aca="false">IF(ISBLANK($C68),"",
IF($AG68=Constants!$B$7,
  IF(ISNUMBER(AT68),
    COUNTIFS($AT$8:$AT$507,"&lt;"&amp;$AT68)
    + COUNTIFS($AT$8:$AT$507,$AT68,$AV$8:$AV$507,"&lt;"&amp;$AV68)
    + COUNTIFS($AT$8:$AT$507,$AT68,$AV$8:$AV$507,$AV68,$AX$8:$AX$507,"&lt;"&amp;$AX68)
    + COUNTIFS($AT$8:$AT$507,$AT68,$AV$8:$AV$507,$AV68,$AX$8:$AX$507,$AX68,$AY$8:$AY$507,"&lt;"&amp;$AY68)
    + 1,
  Constants!$B$14),
$AG68))</f>
        <v/>
      </c>
      <c r="BA68" s="66" t="str">
        <f aca="false">IF(ISBLANK(C68),"",IF($AG68=Constants!$B$7, IF(ISNUMBER(AT68),AT68-AZ68,Constants!$B$14),$AG68))</f>
        <v/>
      </c>
      <c r="BB68" s="70"/>
      <c r="BC68" s="84" t="str">
        <f aca="false">IF(ISBLANK($C68),"",TRIM(AK68&amp;" "&amp;AO68))</f>
        <v/>
      </c>
      <c r="BD68" s="72" t="str">
        <f aca="false">IF(ISBLANK($C68),"",IF($AG68&lt;&gt;Constants!$B$7,$AG68,AR68))</f>
        <v/>
      </c>
      <c r="BE68" s="72" t="str">
        <f aca="false">IF(ISBLANK($C68),"",IF($AG68&lt;&gt;Constants!$B$7,$AG68,AM68))</f>
        <v/>
      </c>
      <c r="BF68" s="72" t="str">
        <f aca="false">IF(ISBLANK($C68),"",IF($AG68&lt;&gt;Constants!$B$7,$AG68,AQ68))</f>
        <v/>
      </c>
      <c r="BG68" s="73" t="str">
        <f aca="false">IF(ISBLANK($C68),"",IF($AG68&lt;&gt;Constants!$B$7, $AG68 ,AS68))</f>
        <v/>
      </c>
      <c r="BH68" s="74" t="str">
        <f aca="false">IF(ISBLANK($C68),"",IF($AG68&lt;&gt;Constants!$B$7, $AG68 ,AH68))</f>
        <v/>
      </c>
      <c r="BI68" s="72" t="str">
        <f aca="false">IF(ISBLANK(C68),"",BA68)</f>
        <v/>
      </c>
      <c r="BJ68" s="72" t="str">
        <f aca="false">IF(ISBLANK(C68),"",AZ68)</f>
        <v/>
      </c>
      <c r="BK68" s="75" t="str">
        <f aca="false">IF(ISBLANK(C68),"",IFERROR(_xlfn.SWITCH(BJ68, Constants!$B$4, COUNTA($C$8:$C567)+2, Constants!$B$5, COUNTA($C$8:$C567)+1, Constants!$B$6, COUNTA($C$8:$C567)),BJ68))</f>
        <v/>
      </c>
      <c r="BL68" s="5"/>
      <c r="BM68" s="76" t="n">
        <f aca="false">IF(OR(ISNUMBER(BJ68),BJ68="DQ",BJ68="P",BJ68="NS"),
    1,
    0
)</f>
        <v>0</v>
      </c>
      <c r="BN68" s="76" t="n">
        <v>61</v>
      </c>
      <c r="BO68" s="76" t="str">
        <f aca="false">IF(ISBLANK($C68),"",IF(ISNUMBER(BK68),BK68+ROW($B68)/1000,""))</f>
        <v/>
      </c>
      <c r="BP68" s="76" t="str">
        <f aca="false">IF(ISNUMBER(BO68), RANK(BO68,BO$8:BO$507,1), "")</f>
        <v/>
      </c>
      <c r="BQ68" s="76" t="str">
        <f aca="false">IF(ISBLANK($C68),
    "",
    $B68
)</f>
        <v/>
      </c>
      <c r="BR68" s="76" t="str">
        <f aca="false">IF(ISBLANK($C68),
    "",
    $C68
)</f>
        <v/>
      </c>
      <c r="BS68" s="76" t="str">
        <f aca="false">IF(ISBLANK($C68),
    "",
    $D68
)</f>
        <v/>
      </c>
      <c r="BT68" s="77" t="str">
        <f aca="false">BH68</f>
        <v/>
      </c>
      <c r="BU68" s="78" t="str">
        <f aca="false">BG68</f>
        <v/>
      </c>
      <c r="BV68" s="76" t="str">
        <f aca="false">IF(ISBLANK($C68),
    "",
    BJ68
)</f>
        <v/>
      </c>
      <c r="BW68" s="79" t="str">
        <f aca="false">IF(BN68&gt;BM$7,
    "",
    VLOOKUP(BN68,BP$8:BV567,7,FALSE())
)</f>
        <v/>
      </c>
      <c r="BX68" s="80" t="str">
        <f aca="false">IF(BN68&gt;BM$7,
    "",
    VLOOKUP(BN68,BP$8:BV567,2,FALSE())
)</f>
        <v/>
      </c>
      <c r="BY68" s="80" t="str">
        <f aca="false">IF(BN68&gt;BM$7,
    "",
    VLOOKUP(BN68,BP$8:BV567,3,FALSE())
)</f>
        <v/>
      </c>
      <c r="BZ68" s="80" t="str">
        <f aca="false">IF(BN68&gt;BM$7,
    "",
    VLOOKUP(BN68,BP$8:BV567,4,FALSE())
)</f>
        <v/>
      </c>
      <c r="CA68" s="80" t="str">
        <f aca="false">IF(BN68&gt;BM$7,
    "",
    VLOOKUP(BN68,BP$8:BV567,5,FALSE())
)</f>
        <v/>
      </c>
      <c r="CB68" s="81" t="str">
        <f aca="false">IF(BN68&gt;BM$7,
    "",
    VLOOKUP(BN68,BP$8:BV567,6,FALSE())
)</f>
        <v/>
      </c>
      <c r="CC68" s="53"/>
    </row>
    <row r="69" customFormat="false" ht="15.75" hidden="false" customHeight="false" outlineLevel="0" collapsed="false">
      <c r="A69" s="5"/>
      <c r="B69" s="129"/>
      <c r="C69" s="55"/>
      <c r="D69" s="56"/>
      <c r="E69" s="123"/>
      <c r="F69" s="123"/>
      <c r="G69" s="58"/>
      <c r="H69" s="59"/>
      <c r="I69" s="59"/>
      <c r="J69" s="83"/>
      <c r="K69" s="83"/>
      <c r="L69" s="83"/>
      <c r="M69" s="61"/>
      <c r="N69" s="61"/>
      <c r="O69" s="61"/>
      <c r="P69" s="62"/>
      <c r="Q69" s="63"/>
      <c r="R69" s="83"/>
      <c r="S69" s="65"/>
      <c r="T69" s="66"/>
      <c r="U69" s="66" t="str">
        <f aca="false">IF(ISBLANK($C69),"",IF(G69=Constants!$B$2, TRUE(), IF(G69=Constants!$B$3, FALSE(), TRUE())))</f>
        <v/>
      </c>
      <c r="V69" s="66" t="str">
        <f aca="false">IF(ISBLANK($C69),"",IF(H69=Constants!$B$2, TRUE(), IF(H69=Constants!$B$3, FALSE(), TRUE())))</f>
        <v/>
      </c>
      <c r="W69" s="66" t="str">
        <f aca="false">IF(ISBLANK($C69),"",IF(I69=Constants!$B$2, TRUE(), IF(I69=Constants!$B$3, FALSE(), TRUE())))</f>
        <v/>
      </c>
      <c r="X69" s="66" t="str">
        <f aca="false">IF(ISBLANK($C69),"",IF(AND(ISNUMBER(J69),J69&gt;0),INT(J69),0))</f>
        <v/>
      </c>
      <c r="Y69" s="66" t="str">
        <f aca="false">IF(ISBLANK($C69),"",IF(K69=Constants!$B$2, TRUE(), IF(K69=Constants!$B$3, FALSE(), TRUE())))</f>
        <v/>
      </c>
      <c r="Z69" s="66" t="str">
        <f aca="false">IF(ISBLANK($C69),"",IF(AND(ISNUMBER(L69),L69&gt;0),INT(L69),0))</f>
        <v/>
      </c>
      <c r="AA69" s="68" t="str">
        <f aca="false">IF(ISBLANK($C69),"",IF(ISNUMBER(M69), M69, ""))</f>
        <v/>
      </c>
      <c r="AB69" s="68" t="str">
        <f aca="false">IF(ISBLANK($C69),"",IF(ISNUMBER(N69), N69, ""))</f>
        <v/>
      </c>
      <c r="AC69" s="68" t="str">
        <f aca="false">IF(ISBLANK($C69),"",IF(ISNUMBER(O69), O69, ""))</f>
        <v/>
      </c>
      <c r="AD69" s="69" t="str">
        <f aca="false">IF(ISBLANK($C69),"",IF(ISNUMBER(P69), P69, ""))</f>
        <v/>
      </c>
      <c r="AE69" s="69" t="str">
        <f aca="false">IF(ISBLANK($C69),"",IF(ISNUMBER(Q69), Q69, Constants!$B$13))</f>
        <v/>
      </c>
      <c r="AF69" s="66" t="str">
        <f aca="false">IF(ISBLANK($C69),"",IF(R69=Constants!$B$2, TRUE(), IF(R69=Constants!$B$3, FALSE(), FALSE())))</f>
        <v/>
      </c>
      <c r="AG69" s="66" t="str">
        <f aca="false">IF(ISBLANK(C69), "", IF(AF69, Constants!$B$4,IF(COUNTA(G69:P69)=0, Constants!$B$5, Constants!$B$7)))</f>
        <v/>
      </c>
      <c r="AH69" s="66" t="str">
        <f aca="false">IF(ISBLANK($C69), "",IF($AG69=Constants!$B$7,1,$AG69))</f>
        <v/>
      </c>
      <c r="AI69" s="66" t="str">
        <f aca="false">IF($AG69=Constants!$B$7,POWER(Constants!$B$11,X69)*POWER(Constants!$B$12,Z69),"")</f>
        <v/>
      </c>
      <c r="AJ69" s="66" t="str">
        <f aca="false">IF(AND($AG69=Constants!$B$7, U69, V69) ,IF(OR($AA69="",$AC69=""),"",MAX(0, $AC69-$AA69)),"")</f>
        <v/>
      </c>
      <c r="AK69" s="66" t="str">
        <f aca="false">IF(AND($AG69=Constants!$B$7, U69, V69),IF(OR($AA69="",$AC69=""),$AK$6,""),"")</f>
        <v/>
      </c>
      <c r="AL69" s="66" t="str">
        <f aca="false">IF($AG69=Constants!$B$7,IF(AND(U69,V69,W69,Y69),IF($AJ69="",0,IF($AJ$6=0,Constants!$B$9,Constants!$B$9*AJ69/$AJ$6)), 0),"")</f>
        <v/>
      </c>
      <c r="AM69" s="66" t="str">
        <f aca="false">IF(AL69&lt;&gt;"", AL69*AI69,"")</f>
        <v/>
      </c>
      <c r="AN69" s="66" t="str">
        <f aca="false">IF(AND($AG69=Constants!$B$7, U69, V69) ,IF($AB69="", "", IF(OR($AC69="",$AC69=0),"",MAX(0,1-ABS($AC69-$AB69)/$AC69))),"")</f>
        <v/>
      </c>
      <c r="AO69" s="66" t="str">
        <f aca="false">IF(AND($AG69=Constants!$B$7, U69, V69),IF(AND($AA69&lt;&gt;"",$AB69&lt;&gt;"",$AC69=0),$AO$6,""),"")</f>
        <v/>
      </c>
      <c r="AP69" s="66" t="str">
        <f aca="false">IF($AG69=Constants!$B$7 ,IF(AND(U69,V69,W69,Y69,ISNUMBER(AB69)),IF($AN69="",0,IF($AN$6=0,Constants!$B$10,Constants!$B$10*AN69/$AN$6)), 0),"")</f>
        <v/>
      </c>
      <c r="AQ69" s="66" t="str">
        <f aca="false">IF(AP69&lt;&gt;"", AP69*AI69,"")</f>
        <v/>
      </c>
      <c r="AR69" s="66" t="str">
        <f aca="false">IF($AG69=Constants!$B$7,IF($AD69="",0,IF($AR$6=0,Constants!$B$8,Constants!$B$8*AD69/$AR$6)),"")</f>
        <v/>
      </c>
      <c r="AS69" s="66" t="str">
        <f aca="false">IF($AG69&lt;&gt;Constants!$B$7,$AG69,IF(AK69&amp;AO69&lt;&gt;"",Constants!$B$14,AM69+AQ69+AR69))</f>
        <v/>
      </c>
      <c r="AT69" s="66" t="str">
        <f aca="false">IF(ISBLANK($C69),"",IF($AG69=Constants!$B$7,IF(ISNUMBER(AS69),RANK(AS69,$AS$8:$AS$507),Constants!$B$14),$AG69))</f>
        <v/>
      </c>
      <c r="AU69" s="66" t="str">
        <f aca="false">IF(ISBLANK($C69), "",AM69)</f>
        <v/>
      </c>
      <c r="AV69" s="66" t="str">
        <f aca="false">IF(ISBLANK($C69),"",IF($AG69=Constants!$B$7,RANK(AU69,AU$8:AU$507),$AG69))</f>
        <v/>
      </c>
      <c r="AW69" s="66" t="str">
        <f aca="false">IF(ISBLANK($C69), "",AR69)</f>
        <v/>
      </c>
      <c r="AX69" s="66" t="str">
        <f aca="false">IF(ISBLANK($C69),"",IF($AG69=Constants!$B$7,RANK(AW69,AW$8:AW$507),$AG69))</f>
        <v/>
      </c>
      <c r="AY69" s="66" t="str">
        <f aca="false">IF(ISBLANK($C69), "",AE69)</f>
        <v/>
      </c>
      <c r="AZ69" s="66" t="str">
        <f aca="false">IF(ISBLANK($C69),"",
IF($AG69=Constants!$B$7,
  IF(ISNUMBER(AT69),
    COUNTIFS($AT$8:$AT$507,"&lt;"&amp;$AT69)
    + COUNTIFS($AT$8:$AT$507,$AT69,$AV$8:$AV$507,"&lt;"&amp;$AV69)
    + COUNTIFS($AT$8:$AT$507,$AT69,$AV$8:$AV$507,$AV69,$AX$8:$AX$507,"&lt;"&amp;$AX69)
    + COUNTIFS($AT$8:$AT$507,$AT69,$AV$8:$AV$507,$AV69,$AX$8:$AX$507,$AX69,$AY$8:$AY$507,"&lt;"&amp;$AY69)
    + 1,
  Constants!$B$14),
$AG69))</f>
        <v/>
      </c>
      <c r="BA69" s="66" t="str">
        <f aca="false">IF(ISBLANK(C69),"",IF($AG69=Constants!$B$7, IF(ISNUMBER(AT69),AT69-AZ69,Constants!$B$14),$AG69))</f>
        <v/>
      </c>
      <c r="BB69" s="70"/>
      <c r="BC69" s="84" t="str">
        <f aca="false">IF(ISBLANK($C69),"",TRIM(AK69&amp;" "&amp;AO69))</f>
        <v/>
      </c>
      <c r="BD69" s="72" t="str">
        <f aca="false">IF(ISBLANK($C69),"",IF($AG69&lt;&gt;Constants!$B$7,$AG69,AR69))</f>
        <v/>
      </c>
      <c r="BE69" s="72" t="str">
        <f aca="false">IF(ISBLANK($C69),"",IF($AG69&lt;&gt;Constants!$B$7,$AG69,AM69))</f>
        <v/>
      </c>
      <c r="BF69" s="72" t="str">
        <f aca="false">IF(ISBLANK($C69),"",IF($AG69&lt;&gt;Constants!$B$7,$AG69,AQ69))</f>
        <v/>
      </c>
      <c r="BG69" s="73" t="str">
        <f aca="false">IF(ISBLANK($C69),"",IF($AG69&lt;&gt;Constants!$B$7, $AG69 ,AS69))</f>
        <v/>
      </c>
      <c r="BH69" s="74" t="str">
        <f aca="false">IF(ISBLANK($C69),"",IF($AG69&lt;&gt;Constants!$B$7, $AG69 ,AH69))</f>
        <v/>
      </c>
      <c r="BI69" s="72" t="str">
        <f aca="false">IF(ISBLANK(C69),"",BA69)</f>
        <v/>
      </c>
      <c r="BJ69" s="72" t="str">
        <f aca="false">IF(ISBLANK(C69),"",AZ69)</f>
        <v/>
      </c>
      <c r="BK69" s="75" t="str">
        <f aca="false">IF(ISBLANK(C69),"",IFERROR(_xlfn.SWITCH(BJ69, Constants!$B$4, COUNTA($C$8:$C568)+2, Constants!$B$5, COUNTA($C$8:$C568)+1, Constants!$B$6, COUNTA($C$8:$C568)),BJ69))</f>
        <v/>
      </c>
      <c r="BL69" s="5"/>
      <c r="BM69" s="76" t="n">
        <f aca="false">IF(OR(ISNUMBER(BJ69),BJ69="DQ",BJ69="P",BJ69="NS"),
    1,
    0
)</f>
        <v>0</v>
      </c>
      <c r="BN69" s="76" t="n">
        <v>62</v>
      </c>
      <c r="BO69" s="76" t="str">
        <f aca="false">IF(ISBLANK($C69),"",IF(ISNUMBER(BK69),BK69+ROW($B69)/1000,""))</f>
        <v/>
      </c>
      <c r="BP69" s="76" t="str">
        <f aca="false">IF(ISNUMBER(BO69), RANK(BO69,BO$8:BO$507,1), "")</f>
        <v/>
      </c>
      <c r="BQ69" s="76" t="str">
        <f aca="false">IF(ISBLANK($C69),
    "",
    $B69
)</f>
        <v/>
      </c>
      <c r="BR69" s="76" t="str">
        <f aca="false">IF(ISBLANK($C69),
    "",
    $C69
)</f>
        <v/>
      </c>
      <c r="BS69" s="76" t="str">
        <f aca="false">IF(ISBLANK($C69),
    "",
    $D69
)</f>
        <v/>
      </c>
      <c r="BT69" s="77" t="str">
        <f aca="false">BH69</f>
        <v/>
      </c>
      <c r="BU69" s="78" t="str">
        <f aca="false">BG69</f>
        <v/>
      </c>
      <c r="BV69" s="76" t="str">
        <f aca="false">IF(ISBLANK($C69),
    "",
    BJ69
)</f>
        <v/>
      </c>
      <c r="BW69" s="79" t="str">
        <f aca="false">IF(BN69&gt;BM$7,
    "",
    VLOOKUP(BN69,BP$8:BV568,7,FALSE())
)</f>
        <v/>
      </c>
      <c r="BX69" s="80" t="str">
        <f aca="false">IF(BN69&gt;BM$7,
    "",
    VLOOKUP(BN69,BP$8:BV568,2,FALSE())
)</f>
        <v/>
      </c>
      <c r="BY69" s="80" t="str">
        <f aca="false">IF(BN69&gt;BM$7,
    "",
    VLOOKUP(BN69,BP$8:BV568,3,FALSE())
)</f>
        <v/>
      </c>
      <c r="BZ69" s="80" t="str">
        <f aca="false">IF(BN69&gt;BM$7,
    "",
    VLOOKUP(BN69,BP$8:BV568,4,FALSE())
)</f>
        <v/>
      </c>
      <c r="CA69" s="80" t="str">
        <f aca="false">IF(BN69&gt;BM$7,
    "",
    VLOOKUP(BN69,BP$8:BV568,5,FALSE())
)</f>
        <v/>
      </c>
      <c r="CB69" s="81" t="str">
        <f aca="false">IF(BN69&gt;BM$7,
    "",
    VLOOKUP(BN69,BP$8:BV568,6,FALSE())
)</f>
        <v/>
      </c>
      <c r="CC69" s="53"/>
    </row>
    <row r="70" customFormat="false" ht="15.75" hidden="false" customHeight="false" outlineLevel="0" collapsed="false">
      <c r="A70" s="5"/>
      <c r="B70" s="129"/>
      <c r="C70" s="55"/>
      <c r="D70" s="56"/>
      <c r="E70" s="123"/>
      <c r="F70" s="123"/>
      <c r="G70" s="58"/>
      <c r="H70" s="59"/>
      <c r="I70" s="59"/>
      <c r="J70" s="83"/>
      <c r="K70" s="83"/>
      <c r="L70" s="83"/>
      <c r="M70" s="61"/>
      <c r="N70" s="61"/>
      <c r="O70" s="61"/>
      <c r="P70" s="62"/>
      <c r="Q70" s="63"/>
      <c r="R70" s="83"/>
      <c r="S70" s="65"/>
      <c r="T70" s="66"/>
      <c r="U70" s="66" t="str">
        <f aca="false">IF(ISBLANK($C70),"",IF(G70=Constants!$B$2, TRUE(), IF(G70=Constants!$B$3, FALSE(), TRUE())))</f>
        <v/>
      </c>
      <c r="V70" s="66" t="str">
        <f aca="false">IF(ISBLANK($C70),"",IF(H70=Constants!$B$2, TRUE(), IF(H70=Constants!$B$3, FALSE(), TRUE())))</f>
        <v/>
      </c>
      <c r="W70" s="66" t="str">
        <f aca="false">IF(ISBLANK($C70),"",IF(I70=Constants!$B$2, TRUE(), IF(I70=Constants!$B$3, FALSE(), TRUE())))</f>
        <v/>
      </c>
      <c r="X70" s="66" t="str">
        <f aca="false">IF(ISBLANK($C70),"",IF(AND(ISNUMBER(J70),J70&gt;0),INT(J70),0))</f>
        <v/>
      </c>
      <c r="Y70" s="66" t="str">
        <f aca="false">IF(ISBLANK($C70),"",IF(K70=Constants!$B$2, TRUE(), IF(K70=Constants!$B$3, FALSE(), TRUE())))</f>
        <v/>
      </c>
      <c r="Z70" s="66" t="str">
        <f aca="false">IF(ISBLANK($C70),"",IF(AND(ISNUMBER(L70),L70&gt;0),INT(L70),0))</f>
        <v/>
      </c>
      <c r="AA70" s="68" t="str">
        <f aca="false">IF(ISBLANK($C70),"",IF(ISNUMBER(M70), M70, ""))</f>
        <v/>
      </c>
      <c r="AB70" s="68" t="str">
        <f aca="false">IF(ISBLANK($C70),"",IF(ISNUMBER(N70), N70, ""))</f>
        <v/>
      </c>
      <c r="AC70" s="68" t="str">
        <f aca="false">IF(ISBLANK($C70),"",IF(ISNUMBER(O70), O70, ""))</f>
        <v/>
      </c>
      <c r="AD70" s="69" t="str">
        <f aca="false">IF(ISBLANK($C70),"",IF(ISNUMBER(P70), P70, ""))</f>
        <v/>
      </c>
      <c r="AE70" s="69" t="str">
        <f aca="false">IF(ISBLANK($C70),"",IF(ISNUMBER(Q70), Q70, Constants!$B$13))</f>
        <v/>
      </c>
      <c r="AF70" s="66" t="str">
        <f aca="false">IF(ISBLANK($C70),"",IF(R70=Constants!$B$2, TRUE(), IF(R70=Constants!$B$3, FALSE(), FALSE())))</f>
        <v/>
      </c>
      <c r="AG70" s="66" t="str">
        <f aca="false">IF(ISBLANK(C70), "", IF(AF70, Constants!$B$4,IF(COUNTA(G70:P70)=0, Constants!$B$5, Constants!$B$7)))</f>
        <v/>
      </c>
      <c r="AH70" s="66" t="str">
        <f aca="false">IF(ISBLANK($C70), "",IF($AG70=Constants!$B$7,1,$AG70))</f>
        <v/>
      </c>
      <c r="AI70" s="66" t="str">
        <f aca="false">IF($AG70=Constants!$B$7,POWER(Constants!$B$11,X70)*POWER(Constants!$B$12,Z70),"")</f>
        <v/>
      </c>
      <c r="AJ70" s="66" t="str">
        <f aca="false">IF(AND($AG70=Constants!$B$7, U70, V70) ,IF(OR($AA70="",$AC70=""),"",MAX(0, $AC70-$AA70)),"")</f>
        <v/>
      </c>
      <c r="AK70" s="66" t="str">
        <f aca="false">IF(AND($AG70=Constants!$B$7, U70, V70),IF(OR($AA70="",$AC70=""),$AK$6,""),"")</f>
        <v/>
      </c>
      <c r="AL70" s="66" t="str">
        <f aca="false">IF($AG70=Constants!$B$7,IF(AND(U70,V70,W70,Y70),IF($AJ70="",0,IF($AJ$6=0,Constants!$B$9,Constants!$B$9*AJ70/$AJ$6)), 0),"")</f>
        <v/>
      </c>
      <c r="AM70" s="66" t="str">
        <f aca="false">IF(AL70&lt;&gt;"", AL70*AI70,"")</f>
        <v/>
      </c>
      <c r="AN70" s="66" t="str">
        <f aca="false">IF(AND($AG70=Constants!$B$7, U70, V70) ,IF($AB70="", "", IF(OR($AC70="",$AC70=0),"",MAX(0,1-ABS($AC70-$AB70)/$AC70))),"")</f>
        <v/>
      </c>
      <c r="AO70" s="66" t="str">
        <f aca="false">IF(AND($AG70=Constants!$B$7, U70, V70),IF(AND($AA70&lt;&gt;"",$AB70&lt;&gt;"",$AC70=0),$AO$6,""),"")</f>
        <v/>
      </c>
      <c r="AP70" s="66" t="str">
        <f aca="false">IF($AG70=Constants!$B$7 ,IF(AND(U70,V70,W70,Y70,ISNUMBER(AB70)),IF($AN70="",0,IF($AN$6=0,Constants!$B$10,Constants!$B$10*AN70/$AN$6)), 0),"")</f>
        <v/>
      </c>
      <c r="AQ70" s="66" t="str">
        <f aca="false">IF(AP70&lt;&gt;"", AP70*AI70,"")</f>
        <v/>
      </c>
      <c r="AR70" s="66" t="str">
        <f aca="false">IF($AG70=Constants!$B$7,IF($AD70="",0,IF($AR$6=0,Constants!$B$8,Constants!$B$8*AD70/$AR$6)),"")</f>
        <v/>
      </c>
      <c r="AS70" s="66" t="str">
        <f aca="false">IF($AG70&lt;&gt;Constants!$B$7,$AG70,IF(AK70&amp;AO70&lt;&gt;"",Constants!$B$14,AM70+AQ70+AR70))</f>
        <v/>
      </c>
      <c r="AT70" s="66" t="str">
        <f aca="false">IF(ISBLANK($C70),"",IF($AG70=Constants!$B$7,IF(ISNUMBER(AS70),RANK(AS70,$AS$8:$AS$507),Constants!$B$14),$AG70))</f>
        <v/>
      </c>
      <c r="AU70" s="66" t="str">
        <f aca="false">IF(ISBLANK($C70), "",AM70)</f>
        <v/>
      </c>
      <c r="AV70" s="66" t="str">
        <f aca="false">IF(ISBLANK($C70),"",IF($AG70=Constants!$B$7,RANK(AU70,AU$8:AU$507),$AG70))</f>
        <v/>
      </c>
      <c r="AW70" s="66" t="str">
        <f aca="false">IF(ISBLANK($C70), "",AR70)</f>
        <v/>
      </c>
      <c r="AX70" s="66" t="str">
        <f aca="false">IF(ISBLANK($C70),"",IF($AG70=Constants!$B$7,RANK(AW70,AW$8:AW$507),$AG70))</f>
        <v/>
      </c>
      <c r="AY70" s="66" t="str">
        <f aca="false">IF(ISBLANK($C70), "",AE70)</f>
        <v/>
      </c>
      <c r="AZ70" s="66" t="str">
        <f aca="false">IF(ISBLANK($C70),"",
IF($AG70=Constants!$B$7,
  IF(ISNUMBER(AT70),
    COUNTIFS($AT$8:$AT$507,"&lt;"&amp;$AT70)
    + COUNTIFS($AT$8:$AT$507,$AT70,$AV$8:$AV$507,"&lt;"&amp;$AV70)
    + COUNTIFS($AT$8:$AT$507,$AT70,$AV$8:$AV$507,$AV70,$AX$8:$AX$507,"&lt;"&amp;$AX70)
    + COUNTIFS($AT$8:$AT$507,$AT70,$AV$8:$AV$507,$AV70,$AX$8:$AX$507,$AX70,$AY$8:$AY$507,"&lt;"&amp;$AY70)
    + 1,
  Constants!$B$14),
$AG70))</f>
        <v/>
      </c>
      <c r="BA70" s="66" t="str">
        <f aca="false">IF(ISBLANK(C70),"",IF($AG70=Constants!$B$7, IF(ISNUMBER(AT70),AT70-AZ70,Constants!$B$14),$AG70))</f>
        <v/>
      </c>
      <c r="BB70" s="70"/>
      <c r="BC70" s="84" t="str">
        <f aca="false">IF(ISBLANK($C70),"",TRIM(AK70&amp;" "&amp;AO70))</f>
        <v/>
      </c>
      <c r="BD70" s="72" t="str">
        <f aca="false">IF(ISBLANK($C70),"",IF($AG70&lt;&gt;Constants!$B$7,$AG70,AR70))</f>
        <v/>
      </c>
      <c r="BE70" s="72" t="str">
        <f aca="false">IF(ISBLANK($C70),"",IF($AG70&lt;&gt;Constants!$B$7,$AG70,AM70))</f>
        <v/>
      </c>
      <c r="BF70" s="72" t="str">
        <f aca="false">IF(ISBLANK($C70),"",IF($AG70&lt;&gt;Constants!$B$7,$AG70,AQ70))</f>
        <v/>
      </c>
      <c r="BG70" s="73" t="str">
        <f aca="false">IF(ISBLANK($C70),"",IF($AG70&lt;&gt;Constants!$B$7, $AG70 ,AS70))</f>
        <v/>
      </c>
      <c r="BH70" s="74" t="str">
        <f aca="false">IF(ISBLANK($C70),"",IF($AG70&lt;&gt;Constants!$B$7, $AG70 ,AH70))</f>
        <v/>
      </c>
      <c r="BI70" s="72" t="str">
        <f aca="false">IF(ISBLANK(C70),"",BA70)</f>
        <v/>
      </c>
      <c r="BJ70" s="72" t="str">
        <f aca="false">IF(ISBLANK(C70),"",AZ70)</f>
        <v/>
      </c>
      <c r="BK70" s="75" t="str">
        <f aca="false">IF(ISBLANK(C70),"",IFERROR(_xlfn.SWITCH(BJ70, Constants!$B$4, COUNTA($C$8:$C569)+2, Constants!$B$5, COUNTA($C$8:$C569)+1, Constants!$B$6, COUNTA($C$8:$C569)),BJ70))</f>
        <v/>
      </c>
      <c r="BL70" s="5"/>
      <c r="BM70" s="76" t="n">
        <f aca="false">IF(OR(ISNUMBER(BJ70),BJ70="DQ",BJ70="P",BJ70="NS"),
    1,
    0
)</f>
        <v>0</v>
      </c>
      <c r="BN70" s="76" t="n">
        <v>63</v>
      </c>
      <c r="BO70" s="76" t="str">
        <f aca="false">IF(ISBLANK($C70),"",IF(ISNUMBER(BK70),BK70+ROW($B70)/1000,""))</f>
        <v/>
      </c>
      <c r="BP70" s="76" t="str">
        <f aca="false">IF(ISNUMBER(BO70), RANK(BO70,BO$8:BO$507,1), "")</f>
        <v/>
      </c>
      <c r="BQ70" s="76" t="str">
        <f aca="false">IF(ISBLANK($C70),
    "",
    $B70
)</f>
        <v/>
      </c>
      <c r="BR70" s="76" t="str">
        <f aca="false">IF(ISBLANK($C70),
    "",
    $C70
)</f>
        <v/>
      </c>
      <c r="BS70" s="76" t="str">
        <f aca="false">IF(ISBLANK($C70),
    "",
    $D70
)</f>
        <v/>
      </c>
      <c r="BT70" s="77" t="str">
        <f aca="false">BH70</f>
        <v/>
      </c>
      <c r="BU70" s="78" t="str">
        <f aca="false">BG70</f>
        <v/>
      </c>
      <c r="BV70" s="76" t="str">
        <f aca="false">IF(ISBLANK($C70),
    "",
    BJ70
)</f>
        <v/>
      </c>
      <c r="BW70" s="79" t="str">
        <f aca="false">IF(BN70&gt;BM$7,
    "",
    VLOOKUP(BN70,BP$8:BV569,7,FALSE())
)</f>
        <v/>
      </c>
      <c r="BX70" s="80" t="str">
        <f aca="false">IF(BN70&gt;BM$7,
    "",
    VLOOKUP(BN70,BP$8:BV569,2,FALSE())
)</f>
        <v/>
      </c>
      <c r="BY70" s="80" t="str">
        <f aca="false">IF(BN70&gt;BM$7,
    "",
    VLOOKUP(BN70,BP$8:BV569,3,FALSE())
)</f>
        <v/>
      </c>
      <c r="BZ70" s="80" t="str">
        <f aca="false">IF(BN70&gt;BM$7,
    "",
    VLOOKUP(BN70,BP$8:BV569,4,FALSE())
)</f>
        <v/>
      </c>
      <c r="CA70" s="80" t="str">
        <f aca="false">IF(BN70&gt;BM$7,
    "",
    VLOOKUP(BN70,BP$8:BV569,5,FALSE())
)</f>
        <v/>
      </c>
      <c r="CB70" s="81" t="str">
        <f aca="false">IF(BN70&gt;BM$7,
    "",
    VLOOKUP(BN70,BP$8:BV569,6,FALSE())
)</f>
        <v/>
      </c>
      <c r="CC70" s="53"/>
    </row>
    <row r="71" customFormat="false" ht="15.75" hidden="false" customHeight="false" outlineLevel="0" collapsed="false">
      <c r="A71" s="5"/>
      <c r="B71" s="125"/>
      <c r="C71" s="126"/>
      <c r="D71" s="115"/>
      <c r="E71" s="119"/>
      <c r="F71" s="119"/>
      <c r="G71" s="91"/>
      <c r="H71" s="92"/>
      <c r="I71" s="92"/>
      <c r="J71" s="128"/>
      <c r="K71" s="128"/>
      <c r="L71" s="128"/>
      <c r="M71" s="94"/>
      <c r="N71" s="94"/>
      <c r="O71" s="94"/>
      <c r="P71" s="95"/>
      <c r="Q71" s="96"/>
      <c r="R71" s="128"/>
      <c r="S71" s="98"/>
      <c r="T71" s="99"/>
      <c r="U71" s="99" t="str">
        <f aca="false">IF(ISBLANK($C71),"",IF(G71=Constants!$B$2, TRUE(), IF(G71=Constants!$B$3, FALSE(), TRUE())))</f>
        <v/>
      </c>
      <c r="V71" s="99" t="str">
        <f aca="false">IF(ISBLANK($C71),"",IF(H71=Constants!$B$2, TRUE(), IF(H71=Constants!$B$3, FALSE(), TRUE())))</f>
        <v/>
      </c>
      <c r="W71" s="99" t="str">
        <f aca="false">IF(ISBLANK($C71),"",IF(I71=Constants!$B$2, TRUE(), IF(I71=Constants!$B$3, FALSE(), TRUE())))</f>
        <v/>
      </c>
      <c r="X71" s="99" t="str">
        <f aca="false">IF(ISBLANK($C71),"",IF(AND(ISNUMBER(J71),J71&gt;0),INT(J71),0))</f>
        <v/>
      </c>
      <c r="Y71" s="99" t="str">
        <f aca="false">IF(ISBLANK($C71),"",IF(K71=Constants!$B$2, TRUE(), IF(K71=Constants!$B$3, FALSE(), TRUE())))</f>
        <v/>
      </c>
      <c r="Z71" s="100" t="str">
        <f aca="false">IF(ISBLANK($C71),"",IF(AND(ISNUMBER(L71),L71&gt;0),INT(L71),0))</f>
        <v/>
      </c>
      <c r="AA71" s="101" t="str">
        <f aca="false">IF(ISBLANK($C71),"",IF(ISNUMBER(M71), M71, ""))</f>
        <v/>
      </c>
      <c r="AB71" s="101" t="str">
        <f aca="false">IF(ISBLANK($C71),"",IF(ISNUMBER(N71), N71, ""))</f>
        <v/>
      </c>
      <c r="AC71" s="101" t="str">
        <f aca="false">IF(ISBLANK($C71),"",IF(ISNUMBER(O71), O71, ""))</f>
        <v/>
      </c>
      <c r="AD71" s="102" t="str">
        <f aca="false">IF(ISBLANK($C71),"",IF(ISNUMBER(P71), P71, ""))</f>
        <v/>
      </c>
      <c r="AE71" s="102" t="str">
        <f aca="false">IF(ISBLANK($C71),"",IF(ISNUMBER(Q71), Q71, Constants!$B$13))</f>
        <v/>
      </c>
      <c r="AF71" s="99" t="str">
        <f aca="false">IF(ISBLANK($C71),"",IF(R71=Constants!$B$2, TRUE(), IF(R71=Constants!$B$3, FALSE(), FALSE())))</f>
        <v/>
      </c>
      <c r="AG71" s="99" t="str">
        <f aca="false">IF(ISBLANK(C71), "", IF(AF71, Constants!$B$4,IF(COUNTA(G71:P71)=0, Constants!$B$5, Constants!$B$7)))</f>
        <v/>
      </c>
      <c r="AH71" s="99" t="str">
        <f aca="false">IF(ISBLANK($C71), "",IF($AG71=Constants!$B$7,1,$AG71))</f>
        <v/>
      </c>
      <c r="AI71" s="99" t="str">
        <f aca="false">IF($AG71=Constants!$B$7,POWER(Constants!$B$11,X71)*POWER(Constants!$B$12,Z71),"")</f>
        <v/>
      </c>
      <c r="AJ71" s="99" t="str">
        <f aca="false">IF(AND($AG71=Constants!$B$7, U71, V71) ,IF(OR($AA71="",$AC71=""),"",MAX(0, $AC71-$AA71)),"")</f>
        <v/>
      </c>
      <c r="AK71" s="99" t="str">
        <f aca="false">IF(AND($AG71=Constants!$B$7, U71, V71),IF(OR($AA71="",$AC71=""),$AK$6,""),"")</f>
        <v/>
      </c>
      <c r="AL71" s="99" t="str">
        <f aca="false">IF($AG71=Constants!$B$7,IF(AND(U71,V71,W71,Y71),IF($AJ71="",0,IF($AJ$6=0,Constants!$B$9,Constants!$B$9*AJ71/$AJ$6)), 0),"")</f>
        <v/>
      </c>
      <c r="AM71" s="99" t="str">
        <f aca="false">IF(AL71&lt;&gt;"", AL71*AI71,"")</f>
        <v/>
      </c>
      <c r="AN71" s="99" t="str">
        <f aca="false">IF(AND($AG71=Constants!$B$7, U71, V71) ,IF($AB71="", "", IF(OR($AC71="",$AC71=0),"",MAX(0,1-ABS($AC71-$AB71)/$AC71))),"")</f>
        <v/>
      </c>
      <c r="AO71" s="99" t="str">
        <f aca="false">IF(AND($AG71=Constants!$B$7, U71, V71),IF(AND($AA71&lt;&gt;"",$AB71&lt;&gt;"",$AC71=0),$AO$6,""),"")</f>
        <v/>
      </c>
      <c r="AP71" s="99" t="str">
        <f aca="false">IF($AG71=Constants!$B$7 ,IF(AND(U71,V71,W71,Y71,ISNUMBER(AB71)),IF($AN71="",0,IF($AN$6=0,Constants!$B$10,Constants!$B$10*AN71/$AN$6)), 0),"")</f>
        <v/>
      </c>
      <c r="AQ71" s="99" t="str">
        <f aca="false">IF(AP71&lt;&gt;"", AP71*AI71,"")</f>
        <v/>
      </c>
      <c r="AR71" s="99" t="str">
        <f aca="false">IF($AG71=Constants!$B$7,IF($AD71="",0,IF($AR$6=0,Constants!$B$8,Constants!$B$8*AD71/$AR$6)),"")</f>
        <v/>
      </c>
      <c r="AS71" s="99" t="str">
        <f aca="false">IF($AG71&lt;&gt;Constants!$B$7,$AG71,IF(AK71&amp;AO71&lt;&gt;"",Constants!$B$14,AM71+AQ71+AR71))</f>
        <v/>
      </c>
      <c r="AT71" s="99" t="str">
        <f aca="false">IF(ISBLANK($C71),"",IF($AG71=Constants!$B$7,IF(ISNUMBER(AS71),RANK(AS71,$AS$8:$AS$507),Constants!$B$14),$AG71))</f>
        <v/>
      </c>
      <c r="AU71" s="99" t="str">
        <f aca="false">IF(ISBLANK($C71), "",AM71)</f>
        <v/>
      </c>
      <c r="AV71" s="99" t="str">
        <f aca="false">IF(ISBLANK($C71),"",IF($AG71=Constants!$B$7,RANK(AU71,AU$8:AU$507),$AG71))</f>
        <v/>
      </c>
      <c r="AW71" s="99" t="str">
        <f aca="false">IF(ISBLANK($C71), "",AR71)</f>
        <v/>
      </c>
      <c r="AX71" s="99" t="str">
        <f aca="false">IF(ISBLANK($C71),"",IF($AG71=Constants!$B$7,RANK(AW71,AW$8:AW$507),$AG71))</f>
        <v/>
      </c>
      <c r="AY71" s="99" t="str">
        <f aca="false">IF(ISBLANK($C71), "",AE71)</f>
        <v/>
      </c>
      <c r="AZ71" s="99" t="str">
        <f aca="false">IF(ISBLANK($C71),"",
IF($AG71=Constants!$B$7,
  IF(ISNUMBER(AT71),
    COUNTIFS($AT$8:$AT$507,"&lt;"&amp;$AT71)
    + COUNTIFS($AT$8:$AT$507,$AT71,$AV$8:$AV$507,"&lt;"&amp;$AV71)
    + COUNTIFS($AT$8:$AT$507,$AT71,$AV$8:$AV$507,$AV71,$AX$8:$AX$507,"&lt;"&amp;$AX71)
    + COUNTIFS($AT$8:$AT$507,$AT71,$AV$8:$AV$507,$AV71,$AX$8:$AX$507,$AX71,$AY$8:$AY$507,"&lt;"&amp;$AY71)
    + 1,
  Constants!$B$14),
$AG71))</f>
        <v/>
      </c>
      <c r="BA71" s="99" t="str">
        <f aca="false">IF(ISBLANK(C71),"",IF($AG71=Constants!$B$7, IF(ISNUMBER(AT71),AT71-AZ71,Constants!$B$14),$AG71))</f>
        <v/>
      </c>
      <c r="BB71" s="103"/>
      <c r="BC71" s="104" t="str">
        <f aca="false">IF(ISBLANK($C71),"",TRIM(AK71&amp;" "&amp;AO71))</f>
        <v/>
      </c>
      <c r="BD71" s="105" t="str">
        <f aca="false">IF(ISBLANK($C71),"",IF($AG71&lt;&gt;Constants!$B$7,$AG71,AR71))</f>
        <v/>
      </c>
      <c r="BE71" s="105" t="str">
        <f aca="false">IF(ISBLANK($C71),"",IF($AG71&lt;&gt;Constants!$B$7,$AG71,AM71))</f>
        <v/>
      </c>
      <c r="BF71" s="105" t="str">
        <f aca="false">IF(ISBLANK($C71),"",IF($AG71&lt;&gt;Constants!$B$7,$AG71,AQ71))</f>
        <v/>
      </c>
      <c r="BG71" s="106" t="str">
        <f aca="false">IF(ISBLANK($C71),"",IF($AG71&lt;&gt;Constants!$B$7, $AG71 ,AS71))</f>
        <v/>
      </c>
      <c r="BH71" s="107" t="str">
        <f aca="false">IF(ISBLANK($C71),"",IF($AG71&lt;&gt;Constants!$B$7, $AG71 ,AH71))</f>
        <v/>
      </c>
      <c r="BI71" s="105" t="str">
        <f aca="false">IF(ISBLANK(C71),"",BA71)</f>
        <v/>
      </c>
      <c r="BJ71" s="105" t="str">
        <f aca="false">IF(ISBLANK(C71),"",AZ71)</f>
        <v/>
      </c>
      <c r="BK71" s="108" t="str">
        <f aca="false">IF(ISBLANK(C71),"",IFERROR(_xlfn.SWITCH(BJ71, Constants!$B$4, COUNTA($C$8:$C570)+2, Constants!$B$5, COUNTA($C$8:$C570)+1, Constants!$B$6, COUNTA($C$8:$C570)),BJ71))</f>
        <v/>
      </c>
      <c r="BL71" s="5"/>
      <c r="BM71" s="109" t="n">
        <f aca="false">IF(OR(ISNUMBER(BJ71),BJ71="DQ",BJ71="P",BJ71="NS"),
    1,
    0
)</f>
        <v>0</v>
      </c>
      <c r="BN71" s="109" t="n">
        <v>64</v>
      </c>
      <c r="BO71" s="109" t="str">
        <f aca="false">IF(ISBLANK($C71),"",IF(ISNUMBER(BK71),BK71+ROW($B71)/1000,""))</f>
        <v/>
      </c>
      <c r="BP71" s="109" t="str">
        <f aca="false">IF(ISNUMBER(BO71), RANK(BO71,BO$8:BO$507,1), "")</f>
        <v/>
      </c>
      <c r="BQ71" s="109" t="str">
        <f aca="false">IF(ISBLANK($C71),
    "",
    $B71
)</f>
        <v/>
      </c>
      <c r="BR71" s="109" t="str">
        <f aca="false">IF(ISBLANK($C71),
    "",
    $C71
)</f>
        <v/>
      </c>
      <c r="BS71" s="109" t="str">
        <f aca="false">IF(ISBLANK($C71),
    "",
    $D71
)</f>
        <v/>
      </c>
      <c r="BT71" s="110" t="str">
        <f aca="false">BH71</f>
        <v/>
      </c>
      <c r="BU71" s="111" t="str">
        <f aca="false">BG71</f>
        <v/>
      </c>
      <c r="BV71" s="109" t="str">
        <f aca="false">IF(ISBLANK($C71),
    "",
    BJ71
)</f>
        <v/>
      </c>
      <c r="BW71" s="112" t="str">
        <f aca="false">IF(BN71&gt;BM$7,
    "",
    VLOOKUP(BN71,BP$8:BV570,7,FALSE())
)</f>
        <v/>
      </c>
      <c r="BX71" s="113" t="str">
        <f aca="false">IF(BN71&gt;BM$7,
    "",
    VLOOKUP(BN71,BP$8:BV570,2,FALSE())
)</f>
        <v/>
      </c>
      <c r="BY71" s="113" t="str">
        <f aca="false">IF(BN71&gt;BM$7,
    "",
    VLOOKUP(BN71,BP$8:BV570,3,FALSE())
)</f>
        <v/>
      </c>
      <c r="BZ71" s="113" t="str">
        <f aca="false">IF(BN71&gt;BM$7,
    "",
    VLOOKUP(BN71,BP$8:BV570,4,FALSE())
)</f>
        <v/>
      </c>
      <c r="CA71" s="113" t="str">
        <f aca="false">IF(BN71&gt;BM$7,
    "",
    VLOOKUP(BN71,BP$8:BV570,5,FALSE())
)</f>
        <v/>
      </c>
      <c r="CB71" s="114" t="str">
        <f aca="false">IF(BN71&gt;BM$7,
    "",
    VLOOKUP(BN71,BP$8:BV570,6,FALSE())
)</f>
        <v/>
      </c>
      <c r="CC71" s="53"/>
    </row>
    <row r="72" customFormat="false" ht="15.75" hidden="false" customHeight="false" outlineLevel="0" collapsed="false">
      <c r="A72" s="5"/>
      <c r="B72" s="125"/>
      <c r="C72" s="126"/>
      <c r="D72" s="115"/>
      <c r="E72" s="119"/>
      <c r="F72" s="119"/>
      <c r="G72" s="91"/>
      <c r="H72" s="92"/>
      <c r="I72" s="92"/>
      <c r="J72" s="128"/>
      <c r="K72" s="128"/>
      <c r="L72" s="128"/>
      <c r="M72" s="94"/>
      <c r="N72" s="94"/>
      <c r="O72" s="94"/>
      <c r="P72" s="95"/>
      <c r="Q72" s="96"/>
      <c r="R72" s="128"/>
      <c r="S72" s="98"/>
      <c r="T72" s="99"/>
      <c r="U72" s="99" t="str">
        <f aca="false">IF(ISBLANK($C72),"",IF(G72=Constants!$B$2, TRUE(), IF(G72=Constants!$B$3, FALSE(), TRUE())))</f>
        <v/>
      </c>
      <c r="V72" s="99" t="str">
        <f aca="false">IF(ISBLANK($C72),"",IF(H72=Constants!$B$2, TRUE(), IF(H72=Constants!$B$3, FALSE(), TRUE())))</f>
        <v/>
      </c>
      <c r="W72" s="99" t="str">
        <f aca="false">IF(ISBLANK($C72),"",IF(I72=Constants!$B$2, TRUE(), IF(I72=Constants!$B$3, FALSE(), TRUE())))</f>
        <v/>
      </c>
      <c r="X72" s="99" t="str">
        <f aca="false">IF(ISBLANK($C72),"",IF(AND(ISNUMBER(J72),J72&gt;0),INT(J72),0))</f>
        <v/>
      </c>
      <c r="Y72" s="99" t="str">
        <f aca="false">IF(ISBLANK($C72),"",IF(K72=Constants!$B$2, TRUE(), IF(K72=Constants!$B$3, FALSE(), TRUE())))</f>
        <v/>
      </c>
      <c r="Z72" s="100" t="str">
        <f aca="false">IF(ISBLANK($C72),"",IF(AND(ISNUMBER(L72),L72&gt;0),INT(L72),0))</f>
        <v/>
      </c>
      <c r="AA72" s="101" t="str">
        <f aca="false">IF(ISBLANK($C72),"",IF(ISNUMBER(M72), M72, ""))</f>
        <v/>
      </c>
      <c r="AB72" s="101" t="str">
        <f aca="false">IF(ISBLANK($C72),"",IF(ISNUMBER(N72), N72, ""))</f>
        <v/>
      </c>
      <c r="AC72" s="101" t="str">
        <f aca="false">IF(ISBLANK($C72),"",IF(ISNUMBER(O72), O72, ""))</f>
        <v/>
      </c>
      <c r="AD72" s="102" t="str">
        <f aca="false">IF(ISBLANK($C72),"",IF(ISNUMBER(P72), P72, ""))</f>
        <v/>
      </c>
      <c r="AE72" s="102" t="str">
        <f aca="false">IF(ISBLANK($C72),"",IF(ISNUMBER(Q72), Q72, Constants!$B$13))</f>
        <v/>
      </c>
      <c r="AF72" s="99" t="str">
        <f aca="false">IF(ISBLANK($C72),"",IF(R72=Constants!$B$2, TRUE(), IF(R72=Constants!$B$3, FALSE(), FALSE())))</f>
        <v/>
      </c>
      <c r="AG72" s="99" t="str">
        <f aca="false">IF(ISBLANK(C72), "", IF(AF72, Constants!$B$4,IF(COUNTA(G72:P72)=0, Constants!$B$5, Constants!$B$7)))</f>
        <v/>
      </c>
      <c r="AH72" s="99" t="str">
        <f aca="false">IF(ISBLANK($C72), "",IF($AG72=Constants!$B$7,1,$AG72))</f>
        <v/>
      </c>
      <c r="AI72" s="99" t="str">
        <f aca="false">IF($AG72=Constants!$B$7,POWER(Constants!$B$11,X72)*POWER(Constants!$B$12,Z72),"")</f>
        <v/>
      </c>
      <c r="AJ72" s="99" t="str">
        <f aca="false">IF(AND($AG72=Constants!$B$7, U72, V72) ,IF(OR($AA72="",$AC72=""),"",MAX(0, $AC72-$AA72)),"")</f>
        <v/>
      </c>
      <c r="AK72" s="99" t="str">
        <f aca="false">IF(AND($AG72=Constants!$B$7, U72, V72),IF(OR($AA72="",$AC72=""),$AK$6,""),"")</f>
        <v/>
      </c>
      <c r="AL72" s="99" t="str">
        <f aca="false">IF($AG72=Constants!$B$7,IF(AND(U72,V72,W72,Y72),IF($AJ72="",0,IF($AJ$6=0,Constants!$B$9,Constants!$B$9*AJ72/$AJ$6)), 0),"")</f>
        <v/>
      </c>
      <c r="AM72" s="99" t="str">
        <f aca="false">IF(AL72&lt;&gt;"", AL72*AI72,"")</f>
        <v/>
      </c>
      <c r="AN72" s="99" t="str">
        <f aca="false">IF(AND($AG72=Constants!$B$7, U72, V72) ,IF($AB72="", "", IF(OR($AC72="",$AC72=0),"",MAX(0,1-ABS($AC72-$AB72)/$AC72))),"")</f>
        <v/>
      </c>
      <c r="AO72" s="99" t="str">
        <f aca="false">IF(AND($AG72=Constants!$B$7, U72, V72),IF(AND($AA72&lt;&gt;"",$AB72&lt;&gt;"",$AC72=0),$AO$6,""),"")</f>
        <v/>
      </c>
      <c r="AP72" s="99" t="str">
        <f aca="false">IF($AG72=Constants!$B$7 ,IF(AND(U72,V72,W72,Y72,ISNUMBER(AB72)),IF($AN72="",0,IF($AN$6=0,Constants!$B$10,Constants!$B$10*AN72/$AN$6)), 0),"")</f>
        <v/>
      </c>
      <c r="AQ72" s="99" t="str">
        <f aca="false">IF(AP72&lt;&gt;"", AP72*AI72,"")</f>
        <v/>
      </c>
      <c r="AR72" s="99" t="str">
        <f aca="false">IF($AG72=Constants!$B$7,IF($AD72="",0,IF($AR$6=0,Constants!$B$8,Constants!$B$8*AD72/$AR$6)),"")</f>
        <v/>
      </c>
      <c r="AS72" s="99" t="str">
        <f aca="false">IF($AG72&lt;&gt;Constants!$B$7,$AG72,IF(AK72&amp;AO72&lt;&gt;"",Constants!$B$14,AM72+AQ72+AR72))</f>
        <v/>
      </c>
      <c r="AT72" s="99" t="str">
        <f aca="false">IF(ISBLANK($C72),"",IF($AG72=Constants!$B$7,IF(ISNUMBER(AS72),RANK(AS72,$AS$8:$AS$507),Constants!$B$14),$AG72))</f>
        <v/>
      </c>
      <c r="AU72" s="99" t="str">
        <f aca="false">IF(ISBLANK($C72), "",AM72)</f>
        <v/>
      </c>
      <c r="AV72" s="99" t="str">
        <f aca="false">IF(ISBLANK($C72),"",IF($AG72=Constants!$B$7,RANK(AU72,AU$8:AU$507),$AG72))</f>
        <v/>
      </c>
      <c r="AW72" s="99" t="str">
        <f aca="false">IF(ISBLANK($C72), "",AR72)</f>
        <v/>
      </c>
      <c r="AX72" s="99" t="str">
        <f aca="false">IF(ISBLANK($C72),"",IF($AG72=Constants!$B$7,RANK(AW72,AW$8:AW$507),$AG72))</f>
        <v/>
      </c>
      <c r="AY72" s="99" t="str">
        <f aca="false">IF(ISBLANK($C72), "",AE72)</f>
        <v/>
      </c>
      <c r="AZ72" s="99" t="str">
        <f aca="false">IF(ISBLANK($C72),"",
IF($AG72=Constants!$B$7,
  IF(ISNUMBER(AT72),
    COUNTIFS($AT$8:$AT$507,"&lt;"&amp;$AT72)
    + COUNTIFS($AT$8:$AT$507,$AT72,$AV$8:$AV$507,"&lt;"&amp;$AV72)
    + COUNTIFS($AT$8:$AT$507,$AT72,$AV$8:$AV$507,$AV72,$AX$8:$AX$507,"&lt;"&amp;$AX72)
    + COUNTIFS($AT$8:$AT$507,$AT72,$AV$8:$AV$507,$AV72,$AX$8:$AX$507,$AX72,$AY$8:$AY$507,"&lt;"&amp;$AY72)
    + 1,
  Constants!$B$14),
$AG72))</f>
        <v/>
      </c>
      <c r="BA72" s="99" t="str">
        <f aca="false">IF(ISBLANK(C72),"",IF($AG72=Constants!$B$7, IF(ISNUMBER(AT72),AT72-AZ72,Constants!$B$14),$AG72))</f>
        <v/>
      </c>
      <c r="BB72" s="103"/>
      <c r="BC72" s="104" t="str">
        <f aca="false">IF(ISBLANK($C72),"",TRIM(AK72&amp;" "&amp;AO72))</f>
        <v/>
      </c>
      <c r="BD72" s="105" t="str">
        <f aca="false">IF(ISBLANK($C72),"",IF($AG72&lt;&gt;Constants!$B$7,$AG72,AR72))</f>
        <v/>
      </c>
      <c r="BE72" s="105" t="str">
        <f aca="false">IF(ISBLANK($C72),"",IF($AG72&lt;&gt;Constants!$B$7,$AG72,AM72))</f>
        <v/>
      </c>
      <c r="BF72" s="105" t="str">
        <f aca="false">IF(ISBLANK($C72),"",IF($AG72&lt;&gt;Constants!$B$7,$AG72,AQ72))</f>
        <v/>
      </c>
      <c r="BG72" s="106" t="str">
        <f aca="false">IF(ISBLANK($C72),"",IF($AG72&lt;&gt;Constants!$B$7, $AG72 ,AS72))</f>
        <v/>
      </c>
      <c r="BH72" s="107" t="str">
        <f aca="false">IF(ISBLANK($C72),"",IF($AG72&lt;&gt;Constants!$B$7, $AG72 ,AH72))</f>
        <v/>
      </c>
      <c r="BI72" s="105" t="str">
        <f aca="false">IF(ISBLANK(C72),"",BA72)</f>
        <v/>
      </c>
      <c r="BJ72" s="105" t="str">
        <f aca="false">IF(ISBLANK(C72),"",AZ72)</f>
        <v/>
      </c>
      <c r="BK72" s="108" t="str">
        <f aca="false">IF(ISBLANK(C72),"",IFERROR(_xlfn.SWITCH(BJ72, Constants!$B$4, COUNTA($C$8:$C571)+2, Constants!$B$5, COUNTA($C$8:$C571)+1, Constants!$B$6, COUNTA($C$8:$C571)),BJ72))</f>
        <v/>
      </c>
      <c r="BL72" s="5"/>
      <c r="BM72" s="109" t="n">
        <f aca="false">IF(OR(ISNUMBER(BJ72),BJ72="DQ",BJ72="P",BJ72="NS"),
    1,
    0
)</f>
        <v>0</v>
      </c>
      <c r="BN72" s="109" t="n">
        <v>65</v>
      </c>
      <c r="BO72" s="109" t="str">
        <f aca="false">IF(ISBLANK($C72),"",IF(ISNUMBER(BK72),BK72+ROW($B72)/1000,""))</f>
        <v/>
      </c>
      <c r="BP72" s="109" t="str">
        <f aca="false">IF(ISNUMBER(BO72), RANK(BO72,BO$8:BO$507,1), "")</f>
        <v/>
      </c>
      <c r="BQ72" s="109" t="str">
        <f aca="false">IF(ISBLANK($C72),
    "",
    $B72
)</f>
        <v/>
      </c>
      <c r="BR72" s="109" t="str">
        <f aca="false">IF(ISBLANK($C72),
    "",
    $C72
)</f>
        <v/>
      </c>
      <c r="BS72" s="109" t="str">
        <f aca="false">IF(ISBLANK($C72),
    "",
    $D72
)</f>
        <v/>
      </c>
      <c r="BT72" s="110" t="str">
        <f aca="false">BH72</f>
        <v/>
      </c>
      <c r="BU72" s="111" t="str">
        <f aca="false">BG72</f>
        <v/>
      </c>
      <c r="BV72" s="109" t="str">
        <f aca="false">IF(ISBLANK($C72),
    "",
    BJ72
)</f>
        <v/>
      </c>
      <c r="BW72" s="112" t="str">
        <f aca="false">IF(BN72&gt;BM$7,
    "",
    VLOOKUP(BN72,BP$8:BV571,7,FALSE())
)</f>
        <v/>
      </c>
      <c r="BX72" s="113" t="str">
        <f aca="false">IF(BN72&gt;BM$7,
    "",
    VLOOKUP(BN72,BP$8:BV571,2,FALSE())
)</f>
        <v/>
      </c>
      <c r="BY72" s="113" t="str">
        <f aca="false">IF(BN72&gt;BM$7,
    "",
    VLOOKUP(BN72,BP$8:BV571,3,FALSE())
)</f>
        <v/>
      </c>
      <c r="BZ72" s="113" t="str">
        <f aca="false">IF(BN72&gt;BM$7,
    "",
    VLOOKUP(BN72,BP$8:BV571,4,FALSE())
)</f>
        <v/>
      </c>
      <c r="CA72" s="113" t="str">
        <f aca="false">IF(BN72&gt;BM$7,
    "",
    VLOOKUP(BN72,BP$8:BV571,5,FALSE())
)</f>
        <v/>
      </c>
      <c r="CB72" s="114" t="str">
        <f aca="false">IF(BN72&gt;BM$7,
    "",
    VLOOKUP(BN72,BP$8:BV571,6,FALSE())
)</f>
        <v/>
      </c>
      <c r="CC72" s="53"/>
    </row>
    <row r="73" customFormat="false" ht="15.75" hidden="false" customHeight="false" outlineLevel="0" collapsed="false">
      <c r="A73" s="5"/>
      <c r="B73" s="125"/>
      <c r="C73" s="126"/>
      <c r="D73" s="115"/>
      <c r="E73" s="119"/>
      <c r="F73" s="119"/>
      <c r="G73" s="91"/>
      <c r="H73" s="92"/>
      <c r="I73" s="92"/>
      <c r="J73" s="128"/>
      <c r="K73" s="128"/>
      <c r="L73" s="128"/>
      <c r="M73" s="94"/>
      <c r="N73" s="94"/>
      <c r="O73" s="94"/>
      <c r="P73" s="95"/>
      <c r="Q73" s="96"/>
      <c r="R73" s="128"/>
      <c r="S73" s="98"/>
      <c r="T73" s="99"/>
      <c r="U73" s="99" t="str">
        <f aca="false">IF(ISBLANK($C73),"",IF(G73=Constants!$B$2, TRUE(), IF(G73=Constants!$B$3, FALSE(), TRUE())))</f>
        <v/>
      </c>
      <c r="V73" s="99" t="str">
        <f aca="false">IF(ISBLANK($C73),"",IF(H73=Constants!$B$2, TRUE(), IF(H73=Constants!$B$3, FALSE(), TRUE())))</f>
        <v/>
      </c>
      <c r="W73" s="99" t="str">
        <f aca="false">IF(ISBLANK($C73),"",IF(I73=Constants!$B$2, TRUE(), IF(I73=Constants!$B$3, FALSE(), TRUE())))</f>
        <v/>
      </c>
      <c r="X73" s="99" t="str">
        <f aca="false">IF(ISBLANK($C73),"",IF(AND(ISNUMBER(J73),J73&gt;0),INT(J73),0))</f>
        <v/>
      </c>
      <c r="Y73" s="99" t="str">
        <f aca="false">IF(ISBLANK($C73),"",IF(K73=Constants!$B$2, TRUE(), IF(K73=Constants!$B$3, FALSE(), TRUE())))</f>
        <v/>
      </c>
      <c r="Z73" s="100" t="str">
        <f aca="false">IF(ISBLANK($C73),"",IF(AND(ISNUMBER(L73),L73&gt;0),INT(L73),0))</f>
        <v/>
      </c>
      <c r="AA73" s="101" t="str">
        <f aca="false">IF(ISBLANK($C73),"",IF(ISNUMBER(M73), M73, ""))</f>
        <v/>
      </c>
      <c r="AB73" s="101" t="str">
        <f aca="false">IF(ISBLANK($C73),"",IF(ISNUMBER(N73), N73, ""))</f>
        <v/>
      </c>
      <c r="AC73" s="101" t="str">
        <f aca="false">IF(ISBLANK($C73),"",IF(ISNUMBER(O73), O73, ""))</f>
        <v/>
      </c>
      <c r="AD73" s="102" t="str">
        <f aca="false">IF(ISBLANK($C73),"",IF(ISNUMBER(P73), P73, ""))</f>
        <v/>
      </c>
      <c r="AE73" s="102" t="str">
        <f aca="false">IF(ISBLANK($C73),"",IF(ISNUMBER(Q73), Q73, Constants!$B$13))</f>
        <v/>
      </c>
      <c r="AF73" s="99" t="str">
        <f aca="false">IF(ISBLANK($C73),"",IF(R73=Constants!$B$2, TRUE(), IF(R73=Constants!$B$3, FALSE(), FALSE())))</f>
        <v/>
      </c>
      <c r="AG73" s="99" t="str">
        <f aca="false">IF(ISBLANK(C73), "", IF(AF73, Constants!$B$4,IF(COUNTA(G73:P73)=0, Constants!$B$5, Constants!$B$7)))</f>
        <v/>
      </c>
      <c r="AH73" s="99" t="str">
        <f aca="false">IF(ISBLANK($C73), "",IF($AG73=Constants!$B$7,1,$AG73))</f>
        <v/>
      </c>
      <c r="AI73" s="99" t="str">
        <f aca="false">IF($AG73=Constants!$B$7,POWER(Constants!$B$11,X73)*POWER(Constants!$B$12,Z73),"")</f>
        <v/>
      </c>
      <c r="AJ73" s="99" t="str">
        <f aca="false">IF(AND($AG73=Constants!$B$7, U73, V73) ,IF(OR($AA73="",$AC73=""),"",MAX(0, $AC73-$AA73)),"")</f>
        <v/>
      </c>
      <c r="AK73" s="99" t="str">
        <f aca="false">IF(AND($AG73=Constants!$B$7, U73, V73),IF(OR($AA73="",$AC73=""),$AK$6,""),"")</f>
        <v/>
      </c>
      <c r="AL73" s="99" t="str">
        <f aca="false">IF($AG73=Constants!$B$7,IF(AND(U73,V73,W73,Y73),IF($AJ73="",0,IF($AJ$6=0,Constants!$B$9,Constants!$B$9*AJ73/$AJ$6)), 0),"")</f>
        <v/>
      </c>
      <c r="AM73" s="99" t="str">
        <f aca="false">IF(AL73&lt;&gt;"", AL73*AI73,"")</f>
        <v/>
      </c>
      <c r="AN73" s="99" t="str">
        <f aca="false">IF(AND($AG73=Constants!$B$7, U73, V73) ,IF($AB73="", "", IF(OR($AC73="",$AC73=0),"",MAX(0,1-ABS($AC73-$AB73)/$AC73))),"")</f>
        <v/>
      </c>
      <c r="AO73" s="99" t="str">
        <f aca="false">IF(AND($AG73=Constants!$B$7, U73, V73),IF(AND($AA73&lt;&gt;"",$AB73&lt;&gt;"",$AC73=0),$AO$6,""),"")</f>
        <v/>
      </c>
      <c r="AP73" s="99" t="str">
        <f aca="false">IF($AG73=Constants!$B$7 ,IF(AND(U73,V73,W73,Y73,ISNUMBER(AB73)),IF($AN73="",0,IF($AN$6=0,Constants!$B$10,Constants!$B$10*AN73/$AN$6)), 0),"")</f>
        <v/>
      </c>
      <c r="AQ73" s="99" t="str">
        <f aca="false">IF(AP73&lt;&gt;"", AP73*AI73,"")</f>
        <v/>
      </c>
      <c r="AR73" s="99" t="str">
        <f aca="false">IF($AG73=Constants!$B$7,IF($AD73="",0,IF($AR$6=0,Constants!$B$8,Constants!$B$8*AD73/$AR$6)),"")</f>
        <v/>
      </c>
      <c r="AS73" s="99" t="str">
        <f aca="false">IF($AG73&lt;&gt;Constants!$B$7,$AG73,IF(AK73&amp;AO73&lt;&gt;"",Constants!$B$14,AM73+AQ73+AR73))</f>
        <v/>
      </c>
      <c r="AT73" s="99" t="str">
        <f aca="false">IF(ISBLANK($C73),"",IF($AG73=Constants!$B$7,IF(ISNUMBER(AS73),RANK(AS73,$AS$8:$AS$507),Constants!$B$14),$AG73))</f>
        <v/>
      </c>
      <c r="AU73" s="99" t="str">
        <f aca="false">IF(ISBLANK($C73), "",AM73)</f>
        <v/>
      </c>
      <c r="AV73" s="99" t="str">
        <f aca="false">IF(ISBLANK($C73),"",IF($AG73=Constants!$B$7,RANK(AU73,AU$8:AU$507),$AG73))</f>
        <v/>
      </c>
      <c r="AW73" s="99" t="str">
        <f aca="false">IF(ISBLANK($C73), "",AR73)</f>
        <v/>
      </c>
      <c r="AX73" s="99" t="str">
        <f aca="false">IF(ISBLANK($C73),"",IF($AG73=Constants!$B$7,RANK(AW73,AW$8:AW$507),$AG73))</f>
        <v/>
      </c>
      <c r="AY73" s="99" t="str">
        <f aca="false">IF(ISBLANK($C73), "",AE73)</f>
        <v/>
      </c>
      <c r="AZ73" s="99" t="str">
        <f aca="false">IF(ISBLANK($C73),"",
IF($AG73=Constants!$B$7,
  IF(ISNUMBER(AT73),
    COUNTIFS($AT$8:$AT$507,"&lt;"&amp;$AT73)
    + COUNTIFS($AT$8:$AT$507,$AT73,$AV$8:$AV$507,"&lt;"&amp;$AV73)
    + COUNTIFS($AT$8:$AT$507,$AT73,$AV$8:$AV$507,$AV73,$AX$8:$AX$507,"&lt;"&amp;$AX73)
    + COUNTIFS($AT$8:$AT$507,$AT73,$AV$8:$AV$507,$AV73,$AX$8:$AX$507,$AX73,$AY$8:$AY$507,"&lt;"&amp;$AY73)
    + 1,
  Constants!$B$14),
$AG73))</f>
        <v/>
      </c>
      <c r="BA73" s="99" t="str">
        <f aca="false">IF(ISBLANK(C73),"",IF($AG73=Constants!$B$7, IF(ISNUMBER(AT73),AT73-AZ73,Constants!$B$14),$AG73))</f>
        <v/>
      </c>
      <c r="BB73" s="103"/>
      <c r="BC73" s="104" t="str">
        <f aca="false">IF(ISBLANK($C73),"",TRIM(AK73&amp;" "&amp;AO73))</f>
        <v/>
      </c>
      <c r="BD73" s="105" t="str">
        <f aca="false">IF(ISBLANK($C73),"",IF($AG73&lt;&gt;Constants!$B$7,$AG73,AR73))</f>
        <v/>
      </c>
      <c r="BE73" s="105" t="str">
        <f aca="false">IF(ISBLANK($C73),"",IF($AG73&lt;&gt;Constants!$B$7,$AG73,AM73))</f>
        <v/>
      </c>
      <c r="BF73" s="105" t="str">
        <f aca="false">IF(ISBLANK($C73),"",IF($AG73&lt;&gt;Constants!$B$7,$AG73,AQ73))</f>
        <v/>
      </c>
      <c r="BG73" s="106" t="str">
        <f aca="false">IF(ISBLANK($C73),"",IF($AG73&lt;&gt;Constants!$B$7, $AG73 ,AS73))</f>
        <v/>
      </c>
      <c r="BH73" s="107" t="str">
        <f aca="false">IF(ISBLANK($C73),"",IF($AG73&lt;&gt;Constants!$B$7, $AG73 ,AH73))</f>
        <v/>
      </c>
      <c r="BI73" s="105" t="str">
        <f aca="false">IF(ISBLANK(C73),"",BA73)</f>
        <v/>
      </c>
      <c r="BJ73" s="105" t="str">
        <f aca="false">IF(ISBLANK(C73),"",AZ73)</f>
        <v/>
      </c>
      <c r="BK73" s="108" t="str">
        <f aca="false">IF(ISBLANK(C73),"",IFERROR(_xlfn.SWITCH(BJ73, Constants!$B$4, COUNTA($C$8:$C572)+2, Constants!$B$5, COUNTA($C$8:$C572)+1, Constants!$B$6, COUNTA($C$8:$C572)),BJ73))</f>
        <v/>
      </c>
      <c r="BL73" s="5"/>
      <c r="BM73" s="109" t="n">
        <f aca="false">IF(OR(ISNUMBER(BJ73),BJ73="DQ",BJ73="P",BJ73="NS"),
    1,
    0
)</f>
        <v>0</v>
      </c>
      <c r="BN73" s="109" t="n">
        <v>66</v>
      </c>
      <c r="BO73" s="109" t="str">
        <f aca="false">IF(ISBLANK($C73),"",IF(ISNUMBER(BK73),BK73+ROW($B73)/1000,""))</f>
        <v/>
      </c>
      <c r="BP73" s="109" t="str">
        <f aca="false">IF(ISNUMBER(BO73), RANK(BO73,BO$8:BO$507,1), "")</f>
        <v/>
      </c>
      <c r="BQ73" s="109" t="str">
        <f aca="false">IF(ISBLANK($C73),
    "",
    $B73
)</f>
        <v/>
      </c>
      <c r="BR73" s="109" t="str">
        <f aca="false">IF(ISBLANK($C73),
    "",
    $C73
)</f>
        <v/>
      </c>
      <c r="BS73" s="109" t="str">
        <f aca="false">IF(ISBLANK($C73),
    "",
    $D73
)</f>
        <v/>
      </c>
      <c r="BT73" s="110" t="str">
        <f aca="false">BH73</f>
        <v/>
      </c>
      <c r="BU73" s="111" t="str">
        <f aca="false">BG73</f>
        <v/>
      </c>
      <c r="BV73" s="109" t="str">
        <f aca="false">IF(ISBLANK($C73),
    "",
    BJ73
)</f>
        <v/>
      </c>
      <c r="BW73" s="112" t="str">
        <f aca="false">IF(BN73&gt;BM$7,
    "",
    VLOOKUP(BN73,BP$8:BV572,7,FALSE())
)</f>
        <v/>
      </c>
      <c r="BX73" s="113" t="str">
        <f aca="false">IF(BN73&gt;BM$7,
    "",
    VLOOKUP(BN73,BP$8:BV572,2,FALSE())
)</f>
        <v/>
      </c>
      <c r="BY73" s="113" t="str">
        <f aca="false">IF(BN73&gt;BM$7,
    "",
    VLOOKUP(BN73,BP$8:BV572,3,FALSE())
)</f>
        <v/>
      </c>
      <c r="BZ73" s="113" t="str">
        <f aca="false">IF(BN73&gt;BM$7,
    "",
    VLOOKUP(BN73,BP$8:BV572,4,FALSE())
)</f>
        <v/>
      </c>
      <c r="CA73" s="113" t="str">
        <f aca="false">IF(BN73&gt;BM$7,
    "",
    VLOOKUP(BN73,BP$8:BV572,5,FALSE())
)</f>
        <v/>
      </c>
      <c r="CB73" s="114" t="str">
        <f aca="false">IF(BN73&gt;BM$7,
    "",
    VLOOKUP(BN73,BP$8:BV572,6,FALSE())
)</f>
        <v/>
      </c>
      <c r="CC73" s="53"/>
    </row>
    <row r="74" customFormat="false" ht="15.75" hidden="false" customHeight="false" outlineLevel="0" collapsed="false">
      <c r="A74" s="5"/>
      <c r="B74" s="129"/>
      <c r="C74" s="55"/>
      <c r="D74" s="56"/>
      <c r="E74" s="123"/>
      <c r="F74" s="123"/>
      <c r="G74" s="58"/>
      <c r="H74" s="59"/>
      <c r="I74" s="59"/>
      <c r="J74" s="83"/>
      <c r="K74" s="83"/>
      <c r="L74" s="83"/>
      <c r="M74" s="61"/>
      <c r="N74" s="61"/>
      <c r="O74" s="61"/>
      <c r="P74" s="62"/>
      <c r="Q74" s="63"/>
      <c r="R74" s="83"/>
      <c r="S74" s="65"/>
      <c r="T74" s="66"/>
      <c r="U74" s="66" t="str">
        <f aca="false">IF(ISBLANK($C74),"",IF(G74=Constants!$B$2, TRUE(), IF(G74=Constants!$B$3, FALSE(), TRUE())))</f>
        <v/>
      </c>
      <c r="V74" s="66" t="str">
        <f aca="false">IF(ISBLANK($C74),"",IF(H74=Constants!$B$2, TRUE(), IF(H74=Constants!$B$3, FALSE(), TRUE())))</f>
        <v/>
      </c>
      <c r="W74" s="66" t="str">
        <f aca="false">IF(ISBLANK($C74),"",IF(I74=Constants!$B$2, TRUE(), IF(I74=Constants!$B$3, FALSE(), TRUE())))</f>
        <v/>
      </c>
      <c r="X74" s="66" t="str">
        <f aca="false">IF(ISBLANK($C74),"",IF(AND(ISNUMBER(J74),J74&gt;0),INT(J74),0))</f>
        <v/>
      </c>
      <c r="Y74" s="66" t="str">
        <f aca="false">IF(ISBLANK($C74),"",IF(K74=Constants!$B$2, TRUE(), IF(K74=Constants!$B$3, FALSE(), TRUE())))</f>
        <v/>
      </c>
      <c r="Z74" s="66" t="str">
        <f aca="false">IF(ISBLANK($C74),"",IF(AND(ISNUMBER(L74),L74&gt;0),INT(L74),0))</f>
        <v/>
      </c>
      <c r="AA74" s="68" t="str">
        <f aca="false">IF(ISBLANK($C74),"",IF(ISNUMBER(M74), M74, ""))</f>
        <v/>
      </c>
      <c r="AB74" s="68" t="str">
        <f aca="false">IF(ISBLANK($C74),"",IF(ISNUMBER(N74), N74, ""))</f>
        <v/>
      </c>
      <c r="AC74" s="68" t="str">
        <f aca="false">IF(ISBLANK($C74),"",IF(ISNUMBER(O74), O74, ""))</f>
        <v/>
      </c>
      <c r="AD74" s="69" t="str">
        <f aca="false">IF(ISBLANK($C74),"",IF(ISNUMBER(P74), P74, ""))</f>
        <v/>
      </c>
      <c r="AE74" s="69" t="str">
        <f aca="false">IF(ISBLANK($C74),"",IF(ISNUMBER(Q74), Q74, Constants!$B$13))</f>
        <v/>
      </c>
      <c r="AF74" s="66" t="str">
        <f aca="false">IF(ISBLANK($C74),"",IF(R74=Constants!$B$2, TRUE(), IF(R74=Constants!$B$3, FALSE(), FALSE())))</f>
        <v/>
      </c>
      <c r="AG74" s="66" t="str">
        <f aca="false">IF(ISBLANK(C74), "", IF(AF74, Constants!$B$4,IF(COUNTA(G74:P74)=0, Constants!$B$5, Constants!$B$7)))</f>
        <v/>
      </c>
      <c r="AH74" s="66" t="str">
        <f aca="false">IF(ISBLANK($C74), "",IF($AG74=Constants!$B$7,1,$AG74))</f>
        <v/>
      </c>
      <c r="AI74" s="66" t="str">
        <f aca="false">IF($AG74=Constants!$B$7,POWER(Constants!$B$11,X74)*POWER(Constants!$B$12,Z74),"")</f>
        <v/>
      </c>
      <c r="AJ74" s="66" t="str">
        <f aca="false">IF(AND($AG74=Constants!$B$7, U74, V74) ,IF(OR($AA74="",$AC74=""),"",MAX(0, $AC74-$AA74)),"")</f>
        <v/>
      </c>
      <c r="AK74" s="66" t="str">
        <f aca="false">IF(AND($AG74=Constants!$B$7, U74, V74),IF(OR($AA74="",$AC74=""),$AK$6,""),"")</f>
        <v/>
      </c>
      <c r="AL74" s="66" t="str">
        <f aca="false">IF($AG74=Constants!$B$7,IF(AND(U74,V74,W74,Y74),IF($AJ74="",0,IF($AJ$6=0,Constants!$B$9,Constants!$B$9*AJ74/$AJ$6)), 0),"")</f>
        <v/>
      </c>
      <c r="AM74" s="66" t="str">
        <f aca="false">IF(AL74&lt;&gt;"", AL74*AI74,"")</f>
        <v/>
      </c>
      <c r="AN74" s="66" t="str">
        <f aca="false">IF(AND($AG74=Constants!$B$7, U74, V74) ,IF($AB74="", "", IF(OR($AC74="",$AC74=0),"",MAX(0,1-ABS($AC74-$AB74)/$AC74))),"")</f>
        <v/>
      </c>
      <c r="AO74" s="66" t="str">
        <f aca="false">IF(AND($AG74=Constants!$B$7, U74, V74),IF(AND($AA74&lt;&gt;"",$AB74&lt;&gt;"",$AC74=0),$AO$6,""),"")</f>
        <v/>
      </c>
      <c r="AP74" s="66" t="str">
        <f aca="false">IF($AG74=Constants!$B$7 ,IF(AND(U74,V74,W74,Y74,ISNUMBER(AB74)),IF($AN74="",0,IF($AN$6=0,Constants!$B$10,Constants!$B$10*AN74/$AN$6)), 0),"")</f>
        <v/>
      </c>
      <c r="AQ74" s="66" t="str">
        <f aca="false">IF(AP74&lt;&gt;"", AP74*AI74,"")</f>
        <v/>
      </c>
      <c r="AR74" s="66" t="str">
        <f aca="false">IF($AG74=Constants!$B$7,IF($AD74="",0,IF($AR$6=0,Constants!$B$8,Constants!$B$8*AD74/$AR$6)),"")</f>
        <v/>
      </c>
      <c r="AS74" s="66" t="str">
        <f aca="false">IF($AG74&lt;&gt;Constants!$B$7,$AG74,IF(AK74&amp;AO74&lt;&gt;"",Constants!$B$14,AM74+AQ74+AR74))</f>
        <v/>
      </c>
      <c r="AT74" s="66" t="str">
        <f aca="false">IF(ISBLANK($C74),"",IF($AG74=Constants!$B$7,IF(ISNUMBER(AS74),RANK(AS74,$AS$8:$AS$507),Constants!$B$14),$AG74))</f>
        <v/>
      </c>
      <c r="AU74" s="66" t="str">
        <f aca="false">IF(ISBLANK($C74), "",AM74)</f>
        <v/>
      </c>
      <c r="AV74" s="66" t="str">
        <f aca="false">IF(ISBLANK($C74),"",IF($AG74=Constants!$B$7,RANK(AU74,AU$8:AU$507),$AG74))</f>
        <v/>
      </c>
      <c r="AW74" s="66" t="str">
        <f aca="false">IF(ISBLANK($C74), "",AR74)</f>
        <v/>
      </c>
      <c r="AX74" s="66" t="str">
        <f aca="false">IF(ISBLANK($C74),"",IF($AG74=Constants!$B$7,RANK(AW74,AW$8:AW$507),$AG74))</f>
        <v/>
      </c>
      <c r="AY74" s="66" t="str">
        <f aca="false">IF(ISBLANK($C74), "",AE74)</f>
        <v/>
      </c>
      <c r="AZ74" s="66" t="str">
        <f aca="false">IF(ISBLANK($C74),"",
IF($AG74=Constants!$B$7,
  IF(ISNUMBER(AT74),
    COUNTIFS($AT$8:$AT$507,"&lt;"&amp;$AT74)
    + COUNTIFS($AT$8:$AT$507,$AT74,$AV$8:$AV$507,"&lt;"&amp;$AV74)
    + COUNTIFS($AT$8:$AT$507,$AT74,$AV$8:$AV$507,$AV74,$AX$8:$AX$507,"&lt;"&amp;$AX74)
    + COUNTIFS($AT$8:$AT$507,$AT74,$AV$8:$AV$507,$AV74,$AX$8:$AX$507,$AX74,$AY$8:$AY$507,"&lt;"&amp;$AY74)
    + 1,
  Constants!$B$14),
$AG74))</f>
        <v/>
      </c>
      <c r="BA74" s="66" t="str">
        <f aca="false">IF(ISBLANK(C74),"",IF($AG74=Constants!$B$7, IF(ISNUMBER(AT74),AT74-AZ74,Constants!$B$14),$AG74))</f>
        <v/>
      </c>
      <c r="BB74" s="70"/>
      <c r="BC74" s="84" t="str">
        <f aca="false">IF(ISBLANK($C74),"",TRIM(AK74&amp;" "&amp;AO74))</f>
        <v/>
      </c>
      <c r="BD74" s="72" t="str">
        <f aca="false">IF(ISBLANK($C74),"",IF($AG74&lt;&gt;Constants!$B$7,$AG74,AR74))</f>
        <v/>
      </c>
      <c r="BE74" s="72" t="str">
        <f aca="false">IF(ISBLANK($C74),"",IF($AG74&lt;&gt;Constants!$B$7,$AG74,AM74))</f>
        <v/>
      </c>
      <c r="BF74" s="72" t="str">
        <f aca="false">IF(ISBLANK($C74),"",IF($AG74&lt;&gt;Constants!$B$7,$AG74,AQ74))</f>
        <v/>
      </c>
      <c r="BG74" s="73" t="str">
        <f aca="false">IF(ISBLANK($C74),"",IF($AG74&lt;&gt;Constants!$B$7, $AG74 ,AS74))</f>
        <v/>
      </c>
      <c r="BH74" s="74" t="str">
        <f aca="false">IF(ISBLANK($C74),"",IF($AG74&lt;&gt;Constants!$B$7, $AG74 ,AH74))</f>
        <v/>
      </c>
      <c r="BI74" s="72" t="str">
        <f aca="false">IF(ISBLANK(C74),"",BA74)</f>
        <v/>
      </c>
      <c r="BJ74" s="72" t="str">
        <f aca="false">IF(ISBLANK(C74),"",AZ74)</f>
        <v/>
      </c>
      <c r="BK74" s="75" t="str">
        <f aca="false">IF(ISBLANK(C74),"",IFERROR(_xlfn.SWITCH(BJ74, Constants!$B$4, COUNTA($C$8:$C573)+2, Constants!$B$5, COUNTA($C$8:$C573)+1, Constants!$B$6, COUNTA($C$8:$C573)),BJ74))</f>
        <v/>
      </c>
      <c r="BL74" s="5"/>
      <c r="BM74" s="76" t="n">
        <f aca="false">IF(OR(ISNUMBER(BJ74),BJ74="DQ",BJ74="P",BJ74="NS"),
    1,
    0
)</f>
        <v>0</v>
      </c>
      <c r="BN74" s="76" t="n">
        <v>67</v>
      </c>
      <c r="BO74" s="76" t="str">
        <f aca="false">IF(ISBLANK($C74),"",IF(ISNUMBER(BK74),BK74+ROW($B74)/1000,""))</f>
        <v/>
      </c>
      <c r="BP74" s="76" t="str">
        <f aca="false">IF(ISNUMBER(BO74), RANK(BO74,BO$8:BO$507,1), "")</f>
        <v/>
      </c>
      <c r="BQ74" s="76" t="str">
        <f aca="false">IF(ISBLANK($C74),
    "",
    $B74
)</f>
        <v/>
      </c>
      <c r="BR74" s="76" t="str">
        <f aca="false">IF(ISBLANK($C74),
    "",
    $C74
)</f>
        <v/>
      </c>
      <c r="BS74" s="76" t="str">
        <f aca="false">IF(ISBLANK($C74),
    "",
    $D74
)</f>
        <v/>
      </c>
      <c r="BT74" s="77" t="str">
        <f aca="false">BH74</f>
        <v/>
      </c>
      <c r="BU74" s="78" t="str">
        <f aca="false">BG74</f>
        <v/>
      </c>
      <c r="BV74" s="76" t="str">
        <f aca="false">IF(ISBLANK($C74),
    "",
    BJ74
)</f>
        <v/>
      </c>
      <c r="BW74" s="79" t="str">
        <f aca="false">IF(BN74&gt;BM$7,
    "",
    VLOOKUP(BN74,BP$8:BV573,7,FALSE())
)</f>
        <v/>
      </c>
      <c r="BX74" s="80" t="str">
        <f aca="false">IF(BN74&gt;BM$7,
    "",
    VLOOKUP(BN74,BP$8:BV573,2,FALSE())
)</f>
        <v/>
      </c>
      <c r="BY74" s="80" t="str">
        <f aca="false">IF(BN74&gt;BM$7,
    "",
    VLOOKUP(BN74,BP$8:BV573,3,FALSE())
)</f>
        <v/>
      </c>
      <c r="BZ74" s="80" t="str">
        <f aca="false">IF(BN74&gt;BM$7,
    "",
    VLOOKUP(BN74,BP$8:BV573,4,FALSE())
)</f>
        <v/>
      </c>
      <c r="CA74" s="80" t="str">
        <f aca="false">IF(BN74&gt;BM$7,
    "",
    VLOOKUP(BN74,BP$8:BV573,5,FALSE())
)</f>
        <v/>
      </c>
      <c r="CB74" s="81" t="str">
        <f aca="false">IF(BN74&gt;BM$7,
    "",
    VLOOKUP(BN74,BP$8:BV573,6,FALSE())
)</f>
        <v/>
      </c>
      <c r="CC74" s="53"/>
    </row>
    <row r="75" customFormat="false" ht="15.75" hidden="false" customHeight="false" outlineLevel="0" collapsed="false">
      <c r="A75" s="5"/>
      <c r="B75" s="129"/>
      <c r="C75" s="55"/>
      <c r="D75" s="56"/>
      <c r="E75" s="123"/>
      <c r="F75" s="123"/>
      <c r="G75" s="58"/>
      <c r="H75" s="59"/>
      <c r="I75" s="59"/>
      <c r="J75" s="83"/>
      <c r="K75" s="83"/>
      <c r="L75" s="83"/>
      <c r="M75" s="61"/>
      <c r="N75" s="61"/>
      <c r="O75" s="61"/>
      <c r="P75" s="62"/>
      <c r="Q75" s="63"/>
      <c r="R75" s="83"/>
      <c r="S75" s="65"/>
      <c r="T75" s="66"/>
      <c r="U75" s="66" t="str">
        <f aca="false">IF(ISBLANK($C75),"",IF(G75=Constants!$B$2, TRUE(), IF(G75=Constants!$B$3, FALSE(), TRUE())))</f>
        <v/>
      </c>
      <c r="V75" s="66" t="str">
        <f aca="false">IF(ISBLANK($C75),"",IF(H75=Constants!$B$2, TRUE(), IF(H75=Constants!$B$3, FALSE(), TRUE())))</f>
        <v/>
      </c>
      <c r="W75" s="66" t="str">
        <f aca="false">IF(ISBLANK($C75),"",IF(I75=Constants!$B$2, TRUE(), IF(I75=Constants!$B$3, FALSE(), TRUE())))</f>
        <v/>
      </c>
      <c r="X75" s="66" t="str">
        <f aca="false">IF(ISBLANK($C75),"",IF(AND(ISNUMBER(J75),J75&gt;0),INT(J75),0))</f>
        <v/>
      </c>
      <c r="Y75" s="66" t="str">
        <f aca="false">IF(ISBLANK($C75),"",IF(K75=Constants!$B$2, TRUE(), IF(K75=Constants!$B$3, FALSE(), TRUE())))</f>
        <v/>
      </c>
      <c r="Z75" s="66" t="str">
        <f aca="false">IF(ISBLANK($C75),"",IF(AND(ISNUMBER(L75),L75&gt;0),INT(L75),0))</f>
        <v/>
      </c>
      <c r="AA75" s="68" t="str">
        <f aca="false">IF(ISBLANK($C75),"",IF(ISNUMBER(M75), M75, ""))</f>
        <v/>
      </c>
      <c r="AB75" s="68" t="str">
        <f aca="false">IF(ISBLANK($C75),"",IF(ISNUMBER(N75), N75, ""))</f>
        <v/>
      </c>
      <c r="AC75" s="68" t="str">
        <f aca="false">IF(ISBLANK($C75),"",IF(ISNUMBER(O75), O75, ""))</f>
        <v/>
      </c>
      <c r="AD75" s="69" t="str">
        <f aca="false">IF(ISBLANK($C75),"",IF(ISNUMBER(P75), P75, ""))</f>
        <v/>
      </c>
      <c r="AE75" s="69" t="str">
        <f aca="false">IF(ISBLANK($C75),"",IF(ISNUMBER(Q75), Q75, Constants!$B$13))</f>
        <v/>
      </c>
      <c r="AF75" s="66" t="str">
        <f aca="false">IF(ISBLANK($C75),"",IF(R75=Constants!$B$2, TRUE(), IF(R75=Constants!$B$3, FALSE(), FALSE())))</f>
        <v/>
      </c>
      <c r="AG75" s="66" t="str">
        <f aca="false">IF(ISBLANK(C75), "", IF(AF75, Constants!$B$4,IF(COUNTA(G75:P75)=0, Constants!$B$5, Constants!$B$7)))</f>
        <v/>
      </c>
      <c r="AH75" s="66" t="str">
        <f aca="false">IF(ISBLANK($C75), "",IF($AG75=Constants!$B$7,1,$AG75))</f>
        <v/>
      </c>
      <c r="AI75" s="66" t="str">
        <f aca="false">IF($AG75=Constants!$B$7,POWER(Constants!$B$11,X75)*POWER(Constants!$B$12,Z75),"")</f>
        <v/>
      </c>
      <c r="AJ75" s="66" t="str">
        <f aca="false">IF(AND($AG75=Constants!$B$7, U75, V75) ,IF(OR($AA75="",$AC75=""),"",MAX(0, $AC75-$AA75)),"")</f>
        <v/>
      </c>
      <c r="AK75" s="66" t="str">
        <f aca="false">IF(AND($AG75=Constants!$B$7, U75, V75),IF(OR($AA75="",$AC75=""),$AK$6,""),"")</f>
        <v/>
      </c>
      <c r="AL75" s="66" t="str">
        <f aca="false">IF($AG75=Constants!$B$7,IF(AND(U75,V75,W75,Y75),IF($AJ75="",0,IF($AJ$6=0,Constants!$B$9,Constants!$B$9*AJ75/$AJ$6)), 0),"")</f>
        <v/>
      </c>
      <c r="AM75" s="66" t="str">
        <f aca="false">IF(AL75&lt;&gt;"", AL75*AI75,"")</f>
        <v/>
      </c>
      <c r="AN75" s="66" t="str">
        <f aca="false">IF(AND($AG75=Constants!$B$7, U75, V75) ,IF($AB75="", "", IF(OR($AC75="",$AC75=0),"",MAX(0,1-ABS($AC75-$AB75)/$AC75))),"")</f>
        <v/>
      </c>
      <c r="AO75" s="66" t="str">
        <f aca="false">IF(AND($AG75=Constants!$B$7, U75, V75),IF(AND($AA75&lt;&gt;"",$AB75&lt;&gt;"",$AC75=0),$AO$6,""),"")</f>
        <v/>
      </c>
      <c r="AP75" s="66" t="str">
        <f aca="false">IF($AG75=Constants!$B$7 ,IF(AND(U75,V75,W75,Y75,ISNUMBER(AB75)),IF($AN75="",0,IF($AN$6=0,Constants!$B$10,Constants!$B$10*AN75/$AN$6)), 0),"")</f>
        <v/>
      </c>
      <c r="AQ75" s="66" t="str">
        <f aca="false">IF(AP75&lt;&gt;"", AP75*AI75,"")</f>
        <v/>
      </c>
      <c r="AR75" s="66" t="str">
        <f aca="false">IF($AG75=Constants!$B$7,IF($AD75="",0,IF($AR$6=0,Constants!$B$8,Constants!$B$8*AD75/$AR$6)),"")</f>
        <v/>
      </c>
      <c r="AS75" s="66" t="str">
        <f aca="false">IF($AG75&lt;&gt;Constants!$B$7,$AG75,IF(AK75&amp;AO75&lt;&gt;"",Constants!$B$14,AM75+AQ75+AR75))</f>
        <v/>
      </c>
      <c r="AT75" s="66" t="str">
        <f aca="false">IF(ISBLANK($C75),"",IF($AG75=Constants!$B$7,IF(ISNUMBER(AS75),RANK(AS75,$AS$8:$AS$507),Constants!$B$14),$AG75))</f>
        <v/>
      </c>
      <c r="AU75" s="66" t="str">
        <f aca="false">IF(ISBLANK($C75), "",AM75)</f>
        <v/>
      </c>
      <c r="AV75" s="66" t="str">
        <f aca="false">IF(ISBLANK($C75),"",IF($AG75=Constants!$B$7,RANK(AU75,AU$8:AU$507),$AG75))</f>
        <v/>
      </c>
      <c r="AW75" s="66" t="str">
        <f aca="false">IF(ISBLANK($C75), "",AR75)</f>
        <v/>
      </c>
      <c r="AX75" s="66" t="str">
        <f aca="false">IF(ISBLANK($C75),"",IF($AG75=Constants!$B$7,RANK(AW75,AW$8:AW$507),$AG75))</f>
        <v/>
      </c>
      <c r="AY75" s="66" t="str">
        <f aca="false">IF(ISBLANK($C75), "",AE75)</f>
        <v/>
      </c>
      <c r="AZ75" s="66" t="str">
        <f aca="false">IF(ISBLANK($C75),"",
IF($AG75=Constants!$B$7,
  IF(ISNUMBER(AT75),
    COUNTIFS($AT$8:$AT$507,"&lt;"&amp;$AT75)
    + COUNTIFS($AT$8:$AT$507,$AT75,$AV$8:$AV$507,"&lt;"&amp;$AV75)
    + COUNTIFS($AT$8:$AT$507,$AT75,$AV$8:$AV$507,$AV75,$AX$8:$AX$507,"&lt;"&amp;$AX75)
    + COUNTIFS($AT$8:$AT$507,$AT75,$AV$8:$AV$507,$AV75,$AX$8:$AX$507,$AX75,$AY$8:$AY$507,"&lt;"&amp;$AY75)
    + 1,
  Constants!$B$14),
$AG75))</f>
        <v/>
      </c>
      <c r="BA75" s="66" t="str">
        <f aca="false">IF(ISBLANK(C75),"",IF($AG75=Constants!$B$7, IF(ISNUMBER(AT75),AT75-AZ75,Constants!$B$14),$AG75))</f>
        <v/>
      </c>
      <c r="BB75" s="70"/>
      <c r="BC75" s="84" t="str">
        <f aca="false">IF(ISBLANK($C75),"",TRIM(AK75&amp;" "&amp;AO75))</f>
        <v/>
      </c>
      <c r="BD75" s="72" t="str">
        <f aca="false">IF(ISBLANK($C75),"",IF($AG75&lt;&gt;Constants!$B$7,$AG75,AR75))</f>
        <v/>
      </c>
      <c r="BE75" s="72" t="str">
        <f aca="false">IF(ISBLANK($C75),"",IF($AG75&lt;&gt;Constants!$B$7,$AG75,AM75))</f>
        <v/>
      </c>
      <c r="BF75" s="72" t="str">
        <f aca="false">IF(ISBLANK($C75),"",IF($AG75&lt;&gt;Constants!$B$7,$AG75,AQ75))</f>
        <v/>
      </c>
      <c r="BG75" s="73" t="str">
        <f aca="false">IF(ISBLANK($C75),"",IF($AG75&lt;&gt;Constants!$B$7, $AG75 ,AS75))</f>
        <v/>
      </c>
      <c r="BH75" s="74" t="str">
        <f aca="false">IF(ISBLANK($C75),"",IF($AG75&lt;&gt;Constants!$B$7, $AG75 ,AH75))</f>
        <v/>
      </c>
      <c r="BI75" s="72" t="str">
        <f aca="false">IF(ISBLANK(C75),"",BA75)</f>
        <v/>
      </c>
      <c r="BJ75" s="72" t="str">
        <f aca="false">IF(ISBLANK(C75),"",AZ75)</f>
        <v/>
      </c>
      <c r="BK75" s="75" t="str">
        <f aca="false">IF(ISBLANK(C75),"",IFERROR(_xlfn.SWITCH(BJ75, Constants!$B$4, COUNTA($C$8:$C574)+2, Constants!$B$5, COUNTA($C$8:$C574)+1, Constants!$B$6, COUNTA($C$8:$C574)),BJ75))</f>
        <v/>
      </c>
      <c r="BL75" s="5"/>
      <c r="BM75" s="76" t="n">
        <f aca="false">IF(OR(ISNUMBER(BJ75),BJ75="DQ",BJ75="P",BJ75="NS"),
    1,
    0
)</f>
        <v>0</v>
      </c>
      <c r="BN75" s="76" t="n">
        <v>68</v>
      </c>
      <c r="BO75" s="76" t="str">
        <f aca="false">IF(ISBLANK($C75),"",IF(ISNUMBER(BK75),BK75+ROW($B75)/1000,""))</f>
        <v/>
      </c>
      <c r="BP75" s="76" t="str">
        <f aca="false">IF(ISNUMBER(BO75), RANK(BO75,BO$8:BO$507,1), "")</f>
        <v/>
      </c>
      <c r="BQ75" s="76" t="str">
        <f aca="false">IF(ISBLANK($C75),
    "",
    $B75
)</f>
        <v/>
      </c>
      <c r="BR75" s="76" t="str">
        <f aca="false">IF(ISBLANK($C75),
    "",
    $C75
)</f>
        <v/>
      </c>
      <c r="BS75" s="76" t="str">
        <f aca="false">IF(ISBLANK($C75),
    "",
    $D75
)</f>
        <v/>
      </c>
      <c r="BT75" s="77" t="str">
        <f aca="false">BH75</f>
        <v/>
      </c>
      <c r="BU75" s="78" t="str">
        <f aca="false">BG75</f>
        <v/>
      </c>
      <c r="BV75" s="76" t="str">
        <f aca="false">IF(ISBLANK($C75),
    "",
    BJ75
)</f>
        <v/>
      </c>
      <c r="BW75" s="79" t="str">
        <f aca="false">IF(BN75&gt;BM$7,
    "",
    VLOOKUP(BN75,BP$8:BV574,7,FALSE())
)</f>
        <v/>
      </c>
      <c r="BX75" s="80" t="str">
        <f aca="false">IF(BN75&gt;BM$7,
    "",
    VLOOKUP(BN75,BP$8:BV574,2,FALSE())
)</f>
        <v/>
      </c>
      <c r="BY75" s="80" t="str">
        <f aca="false">IF(BN75&gt;BM$7,
    "",
    VLOOKUP(BN75,BP$8:BV574,3,FALSE())
)</f>
        <v/>
      </c>
      <c r="BZ75" s="80" t="str">
        <f aca="false">IF(BN75&gt;BM$7,
    "",
    VLOOKUP(BN75,BP$8:BV574,4,FALSE())
)</f>
        <v/>
      </c>
      <c r="CA75" s="80" t="str">
        <f aca="false">IF(BN75&gt;BM$7,
    "",
    VLOOKUP(BN75,BP$8:BV574,5,FALSE())
)</f>
        <v/>
      </c>
      <c r="CB75" s="81" t="str">
        <f aca="false">IF(BN75&gt;BM$7,
    "",
    VLOOKUP(BN75,BP$8:BV574,6,FALSE())
)</f>
        <v/>
      </c>
      <c r="CC75" s="53"/>
    </row>
    <row r="76" customFormat="false" ht="15.75" hidden="false" customHeight="false" outlineLevel="0" collapsed="false">
      <c r="A76" s="5"/>
      <c r="B76" s="129"/>
      <c r="C76" s="55"/>
      <c r="D76" s="56"/>
      <c r="E76" s="123"/>
      <c r="F76" s="123"/>
      <c r="G76" s="58"/>
      <c r="H76" s="59"/>
      <c r="I76" s="59"/>
      <c r="J76" s="83"/>
      <c r="K76" s="83"/>
      <c r="L76" s="83"/>
      <c r="M76" s="61"/>
      <c r="N76" s="61"/>
      <c r="O76" s="61"/>
      <c r="P76" s="62"/>
      <c r="Q76" s="63"/>
      <c r="R76" s="83"/>
      <c r="S76" s="65"/>
      <c r="T76" s="66"/>
      <c r="U76" s="66" t="str">
        <f aca="false">IF(ISBLANK($C76),"",IF(G76=Constants!$B$2, TRUE(), IF(G76=Constants!$B$3, FALSE(), TRUE())))</f>
        <v/>
      </c>
      <c r="V76" s="66" t="str">
        <f aca="false">IF(ISBLANK($C76),"",IF(H76=Constants!$B$2, TRUE(), IF(H76=Constants!$B$3, FALSE(), TRUE())))</f>
        <v/>
      </c>
      <c r="W76" s="66" t="str">
        <f aca="false">IF(ISBLANK($C76),"",IF(I76=Constants!$B$2, TRUE(), IF(I76=Constants!$B$3, FALSE(), TRUE())))</f>
        <v/>
      </c>
      <c r="X76" s="66" t="str">
        <f aca="false">IF(ISBLANK($C76),"",IF(AND(ISNUMBER(J76),J76&gt;0),INT(J76),0))</f>
        <v/>
      </c>
      <c r="Y76" s="66" t="str">
        <f aca="false">IF(ISBLANK($C76),"",IF(K76=Constants!$B$2, TRUE(), IF(K76=Constants!$B$3, FALSE(), TRUE())))</f>
        <v/>
      </c>
      <c r="Z76" s="66" t="str">
        <f aca="false">IF(ISBLANK($C76),"",IF(AND(ISNUMBER(L76),L76&gt;0),INT(L76),0))</f>
        <v/>
      </c>
      <c r="AA76" s="68" t="str">
        <f aca="false">IF(ISBLANK($C76),"",IF(ISNUMBER(M76), M76, ""))</f>
        <v/>
      </c>
      <c r="AB76" s="68" t="str">
        <f aca="false">IF(ISBLANK($C76),"",IF(ISNUMBER(N76), N76, ""))</f>
        <v/>
      </c>
      <c r="AC76" s="68" t="str">
        <f aca="false">IF(ISBLANK($C76),"",IF(ISNUMBER(O76), O76, ""))</f>
        <v/>
      </c>
      <c r="AD76" s="69" t="str">
        <f aca="false">IF(ISBLANK($C76),"",IF(ISNUMBER(P76), P76, ""))</f>
        <v/>
      </c>
      <c r="AE76" s="69" t="str">
        <f aca="false">IF(ISBLANK($C76),"",IF(ISNUMBER(Q76), Q76, Constants!$B$13))</f>
        <v/>
      </c>
      <c r="AF76" s="66" t="str">
        <f aca="false">IF(ISBLANK($C76),"",IF(R76=Constants!$B$2, TRUE(), IF(R76=Constants!$B$3, FALSE(), FALSE())))</f>
        <v/>
      </c>
      <c r="AG76" s="66" t="str">
        <f aca="false">IF(ISBLANK(C76), "", IF(AF76, Constants!$B$4,IF(COUNTA(G76:P76)=0, Constants!$B$5, Constants!$B$7)))</f>
        <v/>
      </c>
      <c r="AH76" s="66" t="str">
        <f aca="false">IF(ISBLANK($C76), "",IF($AG76=Constants!$B$7,1,$AG76))</f>
        <v/>
      </c>
      <c r="AI76" s="66" t="str">
        <f aca="false">IF($AG76=Constants!$B$7,POWER(Constants!$B$11,X76)*POWER(Constants!$B$12,Z76),"")</f>
        <v/>
      </c>
      <c r="AJ76" s="66" t="str">
        <f aca="false">IF(AND($AG76=Constants!$B$7, U76, V76) ,IF(OR($AA76="",$AC76=""),"",MAX(0, $AC76-$AA76)),"")</f>
        <v/>
      </c>
      <c r="AK76" s="66" t="str">
        <f aca="false">IF(AND($AG76=Constants!$B$7, U76, V76),IF(OR($AA76="",$AC76=""),$AK$6,""),"")</f>
        <v/>
      </c>
      <c r="AL76" s="66" t="str">
        <f aca="false">IF($AG76=Constants!$B$7,IF(AND(U76,V76,W76,Y76),IF($AJ76="",0,IF($AJ$6=0,Constants!$B$9,Constants!$B$9*AJ76/$AJ$6)), 0),"")</f>
        <v/>
      </c>
      <c r="AM76" s="66" t="str">
        <f aca="false">IF(AL76&lt;&gt;"", AL76*AI76,"")</f>
        <v/>
      </c>
      <c r="AN76" s="66" t="str">
        <f aca="false">IF(AND($AG76=Constants!$B$7, U76, V76) ,IF($AB76="", "", IF(OR($AC76="",$AC76=0),"",MAX(0,1-ABS($AC76-$AB76)/$AC76))),"")</f>
        <v/>
      </c>
      <c r="AO76" s="66" t="str">
        <f aca="false">IF(AND($AG76=Constants!$B$7, U76, V76),IF(AND($AA76&lt;&gt;"",$AB76&lt;&gt;"",$AC76=0),$AO$6,""),"")</f>
        <v/>
      </c>
      <c r="AP76" s="66" t="str">
        <f aca="false">IF($AG76=Constants!$B$7 ,IF(AND(U76,V76,W76,Y76,ISNUMBER(AB76)),IF($AN76="",0,IF($AN$6=0,Constants!$B$10,Constants!$B$10*AN76/$AN$6)), 0),"")</f>
        <v/>
      </c>
      <c r="AQ76" s="66" t="str">
        <f aca="false">IF(AP76&lt;&gt;"", AP76*AI76,"")</f>
        <v/>
      </c>
      <c r="AR76" s="66" t="str">
        <f aca="false">IF($AG76=Constants!$B$7,IF($AD76="",0,IF($AR$6=0,Constants!$B$8,Constants!$B$8*AD76/$AR$6)),"")</f>
        <v/>
      </c>
      <c r="AS76" s="66" t="str">
        <f aca="false">IF($AG76&lt;&gt;Constants!$B$7,$AG76,IF(AK76&amp;AO76&lt;&gt;"",Constants!$B$14,AM76+AQ76+AR76))</f>
        <v/>
      </c>
      <c r="AT76" s="66" t="str">
        <f aca="false">IF(ISBLANK($C76),"",IF($AG76=Constants!$B$7,IF(ISNUMBER(AS76),RANK(AS76,$AS$8:$AS$507),Constants!$B$14),$AG76))</f>
        <v/>
      </c>
      <c r="AU76" s="66" t="str">
        <f aca="false">IF(ISBLANK($C76), "",AM76)</f>
        <v/>
      </c>
      <c r="AV76" s="66" t="str">
        <f aca="false">IF(ISBLANK($C76),"",IF($AG76=Constants!$B$7,RANK(AU76,AU$8:AU$507),$AG76))</f>
        <v/>
      </c>
      <c r="AW76" s="66" t="str">
        <f aca="false">IF(ISBLANK($C76), "",AR76)</f>
        <v/>
      </c>
      <c r="AX76" s="66" t="str">
        <f aca="false">IF(ISBLANK($C76),"",IF($AG76=Constants!$B$7,RANK(AW76,AW$8:AW$507),$AG76))</f>
        <v/>
      </c>
      <c r="AY76" s="66" t="str">
        <f aca="false">IF(ISBLANK($C76), "",AE76)</f>
        <v/>
      </c>
      <c r="AZ76" s="66" t="str">
        <f aca="false">IF(ISBLANK($C76),"",
IF($AG76=Constants!$B$7,
  IF(ISNUMBER(AT76),
    COUNTIFS($AT$8:$AT$507,"&lt;"&amp;$AT76)
    + COUNTIFS($AT$8:$AT$507,$AT76,$AV$8:$AV$507,"&lt;"&amp;$AV76)
    + COUNTIFS($AT$8:$AT$507,$AT76,$AV$8:$AV$507,$AV76,$AX$8:$AX$507,"&lt;"&amp;$AX76)
    + COUNTIFS($AT$8:$AT$507,$AT76,$AV$8:$AV$507,$AV76,$AX$8:$AX$507,$AX76,$AY$8:$AY$507,"&lt;"&amp;$AY76)
    + 1,
  Constants!$B$14),
$AG76))</f>
        <v/>
      </c>
      <c r="BA76" s="66" t="str">
        <f aca="false">IF(ISBLANK(C76),"",IF($AG76=Constants!$B$7, IF(ISNUMBER(AT76),AT76-AZ76,Constants!$B$14),$AG76))</f>
        <v/>
      </c>
      <c r="BB76" s="70"/>
      <c r="BC76" s="84" t="str">
        <f aca="false">IF(ISBLANK($C76),"",TRIM(AK76&amp;" "&amp;AO76))</f>
        <v/>
      </c>
      <c r="BD76" s="72" t="str">
        <f aca="false">IF(ISBLANK($C76),"",IF($AG76&lt;&gt;Constants!$B$7,$AG76,AR76))</f>
        <v/>
      </c>
      <c r="BE76" s="72" t="str">
        <f aca="false">IF(ISBLANK($C76),"",IF($AG76&lt;&gt;Constants!$B$7,$AG76,AM76))</f>
        <v/>
      </c>
      <c r="BF76" s="72" t="str">
        <f aca="false">IF(ISBLANK($C76),"",IF($AG76&lt;&gt;Constants!$B$7,$AG76,AQ76))</f>
        <v/>
      </c>
      <c r="BG76" s="73" t="str">
        <f aca="false">IF(ISBLANK($C76),"",IF($AG76&lt;&gt;Constants!$B$7, $AG76 ,AS76))</f>
        <v/>
      </c>
      <c r="BH76" s="74" t="str">
        <f aca="false">IF(ISBLANK($C76),"",IF($AG76&lt;&gt;Constants!$B$7, $AG76 ,AH76))</f>
        <v/>
      </c>
      <c r="BI76" s="72" t="str">
        <f aca="false">IF(ISBLANK(C76),"",BA76)</f>
        <v/>
      </c>
      <c r="BJ76" s="72" t="str">
        <f aca="false">IF(ISBLANK(C76),"",AZ76)</f>
        <v/>
      </c>
      <c r="BK76" s="75" t="str">
        <f aca="false">IF(ISBLANK(C76),"",IFERROR(_xlfn.SWITCH(BJ76, Constants!$B$4, COUNTA($C$8:$C575)+2, Constants!$B$5, COUNTA($C$8:$C575)+1, Constants!$B$6, COUNTA($C$8:$C575)),BJ76))</f>
        <v/>
      </c>
      <c r="BL76" s="5"/>
      <c r="BM76" s="76" t="n">
        <f aca="false">IF(OR(ISNUMBER(BJ76),BJ76="DQ",BJ76="P",BJ76="NS"),
    1,
    0
)</f>
        <v>0</v>
      </c>
      <c r="BN76" s="76" t="n">
        <v>69</v>
      </c>
      <c r="BO76" s="76" t="str">
        <f aca="false">IF(ISBLANK($C76),"",IF(ISNUMBER(BK76),BK76+ROW($B76)/1000,""))</f>
        <v/>
      </c>
      <c r="BP76" s="76" t="str">
        <f aca="false">IF(ISNUMBER(BO76), RANK(BO76,BO$8:BO$507,1), "")</f>
        <v/>
      </c>
      <c r="BQ76" s="76" t="str">
        <f aca="false">IF(ISBLANK($C76),
    "",
    $B76
)</f>
        <v/>
      </c>
      <c r="BR76" s="76" t="str">
        <f aca="false">IF(ISBLANK($C76),
    "",
    $C76
)</f>
        <v/>
      </c>
      <c r="BS76" s="76" t="str">
        <f aca="false">IF(ISBLANK($C76),
    "",
    $D76
)</f>
        <v/>
      </c>
      <c r="BT76" s="77" t="str">
        <f aca="false">BH76</f>
        <v/>
      </c>
      <c r="BU76" s="78" t="str">
        <f aca="false">BG76</f>
        <v/>
      </c>
      <c r="BV76" s="76" t="str">
        <f aca="false">IF(ISBLANK($C76),
    "",
    BJ76
)</f>
        <v/>
      </c>
      <c r="BW76" s="79" t="str">
        <f aca="false">IF(BN76&gt;BM$7,
    "",
    VLOOKUP(BN76,BP$8:BV575,7,FALSE())
)</f>
        <v/>
      </c>
      <c r="BX76" s="80" t="str">
        <f aca="false">IF(BN76&gt;BM$7,
    "",
    VLOOKUP(BN76,BP$8:BV575,2,FALSE())
)</f>
        <v/>
      </c>
      <c r="BY76" s="80" t="str">
        <f aca="false">IF(BN76&gt;BM$7,
    "",
    VLOOKUP(BN76,BP$8:BV575,3,FALSE())
)</f>
        <v/>
      </c>
      <c r="BZ76" s="80" t="str">
        <f aca="false">IF(BN76&gt;BM$7,
    "",
    VLOOKUP(BN76,BP$8:BV575,4,FALSE())
)</f>
        <v/>
      </c>
      <c r="CA76" s="80" t="str">
        <f aca="false">IF(BN76&gt;BM$7,
    "",
    VLOOKUP(BN76,BP$8:BV575,5,FALSE())
)</f>
        <v/>
      </c>
      <c r="CB76" s="81" t="str">
        <f aca="false">IF(BN76&gt;BM$7,
    "",
    VLOOKUP(BN76,BP$8:BV575,6,FALSE())
)</f>
        <v/>
      </c>
      <c r="CC76" s="53"/>
    </row>
    <row r="77" customFormat="false" ht="15.75" hidden="false" customHeight="false" outlineLevel="0" collapsed="false">
      <c r="A77" s="5"/>
      <c r="B77" s="125"/>
      <c r="C77" s="126"/>
      <c r="D77" s="115"/>
      <c r="E77" s="119"/>
      <c r="F77" s="119"/>
      <c r="G77" s="91"/>
      <c r="H77" s="92"/>
      <c r="I77" s="92"/>
      <c r="J77" s="128"/>
      <c r="K77" s="128"/>
      <c r="L77" s="128"/>
      <c r="M77" s="94"/>
      <c r="N77" s="94"/>
      <c r="O77" s="94"/>
      <c r="P77" s="95"/>
      <c r="Q77" s="96"/>
      <c r="R77" s="128"/>
      <c r="S77" s="98"/>
      <c r="T77" s="99"/>
      <c r="U77" s="99" t="str">
        <f aca="false">IF(ISBLANK($C77),"",IF(G77=Constants!$B$2, TRUE(), IF(G77=Constants!$B$3, FALSE(), TRUE())))</f>
        <v/>
      </c>
      <c r="V77" s="99" t="str">
        <f aca="false">IF(ISBLANK($C77),"",IF(H77=Constants!$B$2, TRUE(), IF(H77=Constants!$B$3, FALSE(), TRUE())))</f>
        <v/>
      </c>
      <c r="W77" s="99" t="str">
        <f aca="false">IF(ISBLANK($C77),"",IF(I77=Constants!$B$2, TRUE(), IF(I77=Constants!$B$3, FALSE(), TRUE())))</f>
        <v/>
      </c>
      <c r="X77" s="99" t="str">
        <f aca="false">IF(ISBLANK($C77),"",IF(AND(ISNUMBER(J77),J77&gt;0),INT(J77),0))</f>
        <v/>
      </c>
      <c r="Y77" s="99" t="str">
        <f aca="false">IF(ISBLANK($C77),"",IF(K77=Constants!$B$2, TRUE(), IF(K77=Constants!$B$3, FALSE(), TRUE())))</f>
        <v/>
      </c>
      <c r="Z77" s="100" t="str">
        <f aca="false">IF(ISBLANK($C77),"",IF(AND(ISNUMBER(L77),L77&gt;0),INT(L77),0))</f>
        <v/>
      </c>
      <c r="AA77" s="101" t="str">
        <f aca="false">IF(ISBLANK($C77),"",IF(ISNUMBER(M77), M77, ""))</f>
        <v/>
      </c>
      <c r="AB77" s="101" t="str">
        <f aca="false">IF(ISBLANK($C77),"",IF(ISNUMBER(N77), N77, ""))</f>
        <v/>
      </c>
      <c r="AC77" s="101" t="str">
        <f aca="false">IF(ISBLANK($C77),"",IF(ISNUMBER(O77), O77, ""))</f>
        <v/>
      </c>
      <c r="AD77" s="102" t="str">
        <f aca="false">IF(ISBLANK($C77),"",IF(ISNUMBER(P77), P77, ""))</f>
        <v/>
      </c>
      <c r="AE77" s="102" t="str">
        <f aca="false">IF(ISBLANK($C77),"",IF(ISNUMBER(Q77), Q77, Constants!$B$13))</f>
        <v/>
      </c>
      <c r="AF77" s="99" t="str">
        <f aca="false">IF(ISBLANK($C77),"",IF(R77=Constants!$B$2, TRUE(), IF(R77=Constants!$B$3, FALSE(), FALSE())))</f>
        <v/>
      </c>
      <c r="AG77" s="99" t="str">
        <f aca="false">IF(ISBLANK(C77), "", IF(AF77, Constants!$B$4,IF(COUNTA(G77:P77)=0, Constants!$B$5, Constants!$B$7)))</f>
        <v/>
      </c>
      <c r="AH77" s="99" t="str">
        <f aca="false">IF(ISBLANK($C77), "",IF($AG77=Constants!$B$7,1,$AG77))</f>
        <v/>
      </c>
      <c r="AI77" s="99" t="str">
        <f aca="false">IF($AG77=Constants!$B$7,POWER(Constants!$B$11,X77)*POWER(Constants!$B$12,Z77),"")</f>
        <v/>
      </c>
      <c r="AJ77" s="99" t="str">
        <f aca="false">IF(AND($AG77=Constants!$B$7, U77, V77) ,IF(OR($AA77="",$AC77=""),"",MAX(0, $AC77-$AA77)),"")</f>
        <v/>
      </c>
      <c r="AK77" s="99" t="str">
        <f aca="false">IF(AND($AG77=Constants!$B$7, U77, V77),IF(OR($AA77="",$AC77=""),$AK$6,""),"")</f>
        <v/>
      </c>
      <c r="AL77" s="99" t="str">
        <f aca="false">IF($AG77=Constants!$B$7,IF(AND(U77,V77,W77,Y77),IF($AJ77="",0,IF($AJ$6=0,Constants!$B$9,Constants!$B$9*AJ77/$AJ$6)), 0),"")</f>
        <v/>
      </c>
      <c r="AM77" s="99" t="str">
        <f aca="false">IF(AL77&lt;&gt;"", AL77*AI77,"")</f>
        <v/>
      </c>
      <c r="AN77" s="99" t="str">
        <f aca="false">IF(AND($AG77=Constants!$B$7, U77, V77) ,IF($AB77="", "", IF(OR($AC77="",$AC77=0),"",MAX(0,1-ABS($AC77-$AB77)/$AC77))),"")</f>
        <v/>
      </c>
      <c r="AO77" s="99" t="str">
        <f aca="false">IF(AND($AG77=Constants!$B$7, U77, V77),IF(AND($AA77&lt;&gt;"",$AB77&lt;&gt;"",$AC77=0),$AO$6,""),"")</f>
        <v/>
      </c>
      <c r="AP77" s="99" t="str">
        <f aca="false">IF($AG77=Constants!$B$7 ,IF(AND(U77,V77,W77,Y77,ISNUMBER(AB77)),IF($AN77="",0,IF($AN$6=0,Constants!$B$10,Constants!$B$10*AN77/$AN$6)), 0),"")</f>
        <v/>
      </c>
      <c r="AQ77" s="99" t="str">
        <f aca="false">IF(AP77&lt;&gt;"", AP77*AI77,"")</f>
        <v/>
      </c>
      <c r="AR77" s="99" t="str">
        <f aca="false">IF($AG77=Constants!$B$7,IF($AD77="",0,IF($AR$6=0,Constants!$B$8,Constants!$B$8*AD77/$AR$6)),"")</f>
        <v/>
      </c>
      <c r="AS77" s="99" t="str">
        <f aca="false">IF($AG77&lt;&gt;Constants!$B$7,$AG77,IF(AK77&amp;AO77&lt;&gt;"",Constants!$B$14,AM77+AQ77+AR77))</f>
        <v/>
      </c>
      <c r="AT77" s="99" t="str">
        <f aca="false">IF(ISBLANK($C77),"",IF($AG77=Constants!$B$7,IF(ISNUMBER(AS77),RANK(AS77,$AS$8:$AS$507),Constants!$B$14),$AG77))</f>
        <v/>
      </c>
      <c r="AU77" s="99" t="str">
        <f aca="false">IF(ISBLANK($C77), "",AM77)</f>
        <v/>
      </c>
      <c r="AV77" s="99" t="str">
        <f aca="false">IF(ISBLANK($C77),"",IF($AG77=Constants!$B$7,RANK(AU77,AU$8:AU$507),$AG77))</f>
        <v/>
      </c>
      <c r="AW77" s="99" t="str">
        <f aca="false">IF(ISBLANK($C77), "",AR77)</f>
        <v/>
      </c>
      <c r="AX77" s="99" t="str">
        <f aca="false">IF(ISBLANK($C77),"",IF($AG77=Constants!$B$7,RANK(AW77,AW$8:AW$507),$AG77))</f>
        <v/>
      </c>
      <c r="AY77" s="99" t="str">
        <f aca="false">IF(ISBLANK($C77), "",AE77)</f>
        <v/>
      </c>
      <c r="AZ77" s="99" t="str">
        <f aca="false">IF(ISBLANK($C77),"",
IF($AG77=Constants!$B$7,
  IF(ISNUMBER(AT77),
    COUNTIFS($AT$8:$AT$507,"&lt;"&amp;$AT77)
    + COUNTIFS($AT$8:$AT$507,$AT77,$AV$8:$AV$507,"&lt;"&amp;$AV77)
    + COUNTIFS($AT$8:$AT$507,$AT77,$AV$8:$AV$507,$AV77,$AX$8:$AX$507,"&lt;"&amp;$AX77)
    + COUNTIFS($AT$8:$AT$507,$AT77,$AV$8:$AV$507,$AV77,$AX$8:$AX$507,$AX77,$AY$8:$AY$507,"&lt;"&amp;$AY77)
    + 1,
  Constants!$B$14),
$AG77))</f>
        <v/>
      </c>
      <c r="BA77" s="99" t="str">
        <f aca="false">IF(ISBLANK(C77),"",IF($AG77=Constants!$B$7, IF(ISNUMBER(AT77),AT77-AZ77,Constants!$B$14),$AG77))</f>
        <v/>
      </c>
      <c r="BB77" s="103"/>
      <c r="BC77" s="104" t="str">
        <f aca="false">IF(ISBLANK($C77),"",TRIM(AK77&amp;" "&amp;AO77))</f>
        <v/>
      </c>
      <c r="BD77" s="105" t="str">
        <f aca="false">IF(ISBLANK($C77),"",IF($AG77&lt;&gt;Constants!$B$7,$AG77,AR77))</f>
        <v/>
      </c>
      <c r="BE77" s="105" t="str">
        <f aca="false">IF(ISBLANK($C77),"",IF($AG77&lt;&gt;Constants!$B$7,$AG77,AM77))</f>
        <v/>
      </c>
      <c r="BF77" s="105" t="str">
        <f aca="false">IF(ISBLANK($C77),"",IF($AG77&lt;&gt;Constants!$B$7,$AG77,AQ77))</f>
        <v/>
      </c>
      <c r="BG77" s="106" t="str">
        <f aca="false">IF(ISBLANK($C77),"",IF($AG77&lt;&gt;Constants!$B$7, $AG77 ,AS77))</f>
        <v/>
      </c>
      <c r="BH77" s="107" t="str">
        <f aca="false">IF(ISBLANK($C77),"",IF($AG77&lt;&gt;Constants!$B$7, $AG77 ,AH77))</f>
        <v/>
      </c>
      <c r="BI77" s="105" t="str">
        <f aca="false">IF(ISBLANK(C77),"",BA77)</f>
        <v/>
      </c>
      <c r="BJ77" s="105" t="str">
        <f aca="false">IF(ISBLANK(C77),"",AZ77)</f>
        <v/>
      </c>
      <c r="BK77" s="108" t="str">
        <f aca="false">IF(ISBLANK(C77),"",IFERROR(_xlfn.SWITCH(BJ77, Constants!$B$4, COUNTA($C$8:$C576)+2, Constants!$B$5, COUNTA($C$8:$C576)+1, Constants!$B$6, COUNTA($C$8:$C576)),BJ77))</f>
        <v/>
      </c>
      <c r="BL77" s="5"/>
      <c r="BM77" s="109" t="n">
        <f aca="false">IF(OR(ISNUMBER(BJ77),BJ77="DQ",BJ77="P",BJ77="NS"),
    1,
    0
)</f>
        <v>0</v>
      </c>
      <c r="BN77" s="109" t="n">
        <v>70</v>
      </c>
      <c r="BO77" s="109" t="str">
        <f aca="false">IF(ISBLANK($C77),"",IF(ISNUMBER(BK77),BK77+ROW($B77)/1000,""))</f>
        <v/>
      </c>
      <c r="BP77" s="109" t="str">
        <f aca="false">IF(ISNUMBER(BO77), RANK(BO77,BO$8:BO$507,1), "")</f>
        <v/>
      </c>
      <c r="BQ77" s="109" t="str">
        <f aca="false">IF(ISBLANK($C77),
    "",
    $B77
)</f>
        <v/>
      </c>
      <c r="BR77" s="109" t="str">
        <f aca="false">IF(ISBLANK($C77),
    "",
    $C77
)</f>
        <v/>
      </c>
      <c r="BS77" s="109" t="str">
        <f aca="false">IF(ISBLANK($C77),
    "",
    $D77
)</f>
        <v/>
      </c>
      <c r="BT77" s="110" t="str">
        <f aca="false">BH77</f>
        <v/>
      </c>
      <c r="BU77" s="111" t="str">
        <f aca="false">BG77</f>
        <v/>
      </c>
      <c r="BV77" s="109" t="str">
        <f aca="false">IF(ISBLANK($C77),
    "",
    BJ77
)</f>
        <v/>
      </c>
      <c r="BW77" s="112" t="str">
        <f aca="false">IF(BN77&gt;BM$7,
    "",
    VLOOKUP(BN77,BP$8:BV576,7,FALSE())
)</f>
        <v/>
      </c>
      <c r="BX77" s="113" t="str">
        <f aca="false">IF(BN77&gt;BM$7,
    "",
    VLOOKUP(BN77,BP$8:BV576,2,FALSE())
)</f>
        <v/>
      </c>
      <c r="BY77" s="113" t="str">
        <f aca="false">IF(BN77&gt;BM$7,
    "",
    VLOOKUP(BN77,BP$8:BV576,3,FALSE())
)</f>
        <v/>
      </c>
      <c r="BZ77" s="113" t="str">
        <f aca="false">IF(BN77&gt;BM$7,
    "",
    VLOOKUP(BN77,BP$8:BV576,4,FALSE())
)</f>
        <v/>
      </c>
      <c r="CA77" s="113" t="str">
        <f aca="false">IF(BN77&gt;BM$7,
    "",
    VLOOKUP(BN77,BP$8:BV576,5,FALSE())
)</f>
        <v/>
      </c>
      <c r="CB77" s="114" t="str">
        <f aca="false">IF(BN77&gt;BM$7,
    "",
    VLOOKUP(BN77,BP$8:BV576,6,FALSE())
)</f>
        <v/>
      </c>
      <c r="CC77" s="53"/>
    </row>
    <row r="78" customFormat="false" ht="15.75" hidden="false" customHeight="false" outlineLevel="0" collapsed="false">
      <c r="A78" s="5"/>
      <c r="B78" s="125"/>
      <c r="C78" s="126"/>
      <c r="D78" s="115"/>
      <c r="E78" s="119"/>
      <c r="F78" s="119"/>
      <c r="G78" s="91"/>
      <c r="H78" s="92"/>
      <c r="I78" s="92"/>
      <c r="J78" s="128"/>
      <c r="K78" s="128"/>
      <c r="L78" s="128"/>
      <c r="M78" s="94"/>
      <c r="N78" s="94"/>
      <c r="O78" s="94"/>
      <c r="P78" s="95"/>
      <c r="Q78" s="96"/>
      <c r="R78" s="128"/>
      <c r="S78" s="98"/>
      <c r="T78" s="99"/>
      <c r="U78" s="99" t="str">
        <f aca="false">IF(ISBLANK($C78),"",IF(G78=Constants!$B$2, TRUE(), IF(G78=Constants!$B$3, FALSE(), TRUE())))</f>
        <v/>
      </c>
      <c r="V78" s="99" t="str">
        <f aca="false">IF(ISBLANK($C78),"",IF(H78=Constants!$B$2, TRUE(), IF(H78=Constants!$B$3, FALSE(), TRUE())))</f>
        <v/>
      </c>
      <c r="W78" s="99" t="str">
        <f aca="false">IF(ISBLANK($C78),"",IF(I78=Constants!$B$2, TRUE(), IF(I78=Constants!$B$3, FALSE(), TRUE())))</f>
        <v/>
      </c>
      <c r="X78" s="99" t="str">
        <f aca="false">IF(ISBLANK($C78),"",IF(AND(ISNUMBER(J78),J78&gt;0),INT(J78),0))</f>
        <v/>
      </c>
      <c r="Y78" s="99" t="str">
        <f aca="false">IF(ISBLANK($C78),"",IF(K78=Constants!$B$2, TRUE(), IF(K78=Constants!$B$3, FALSE(), TRUE())))</f>
        <v/>
      </c>
      <c r="Z78" s="100" t="str">
        <f aca="false">IF(ISBLANK($C78),"",IF(AND(ISNUMBER(L78),L78&gt;0),INT(L78),0))</f>
        <v/>
      </c>
      <c r="AA78" s="101" t="str">
        <f aca="false">IF(ISBLANK($C78),"",IF(ISNUMBER(M78), M78, ""))</f>
        <v/>
      </c>
      <c r="AB78" s="101" t="str">
        <f aca="false">IF(ISBLANK($C78),"",IF(ISNUMBER(N78), N78, ""))</f>
        <v/>
      </c>
      <c r="AC78" s="101" t="str">
        <f aca="false">IF(ISBLANK($C78),"",IF(ISNUMBER(O78), O78, ""))</f>
        <v/>
      </c>
      <c r="AD78" s="102" t="str">
        <f aca="false">IF(ISBLANK($C78),"",IF(ISNUMBER(P78), P78, ""))</f>
        <v/>
      </c>
      <c r="AE78" s="102" t="str">
        <f aca="false">IF(ISBLANK($C78),"",IF(ISNUMBER(Q78), Q78, Constants!$B$13))</f>
        <v/>
      </c>
      <c r="AF78" s="99" t="str">
        <f aca="false">IF(ISBLANK($C78),"",IF(R78=Constants!$B$2, TRUE(), IF(R78=Constants!$B$3, FALSE(), FALSE())))</f>
        <v/>
      </c>
      <c r="AG78" s="99" t="str">
        <f aca="false">IF(ISBLANK(C78), "", IF(AF78, Constants!$B$4,IF(COUNTA(G78:P78)=0, Constants!$B$5, Constants!$B$7)))</f>
        <v/>
      </c>
      <c r="AH78" s="99" t="str">
        <f aca="false">IF(ISBLANK($C78), "",IF($AG78=Constants!$B$7,1,$AG78))</f>
        <v/>
      </c>
      <c r="AI78" s="99" t="str">
        <f aca="false">IF($AG78=Constants!$B$7,POWER(Constants!$B$11,X78)*POWER(Constants!$B$12,Z78),"")</f>
        <v/>
      </c>
      <c r="AJ78" s="99" t="str">
        <f aca="false">IF(AND($AG78=Constants!$B$7, U78, V78) ,IF(OR($AA78="",$AC78=""),"",MAX(0, $AC78-$AA78)),"")</f>
        <v/>
      </c>
      <c r="AK78" s="99" t="str">
        <f aca="false">IF(AND($AG78=Constants!$B$7, U78, V78),IF(OR($AA78="",$AC78=""),$AK$6,""),"")</f>
        <v/>
      </c>
      <c r="AL78" s="99" t="str">
        <f aca="false">IF($AG78=Constants!$B$7,IF(AND(U78,V78,W78,Y78),IF($AJ78="",0,IF($AJ$6=0,Constants!$B$9,Constants!$B$9*AJ78/$AJ$6)), 0),"")</f>
        <v/>
      </c>
      <c r="AM78" s="99" t="str">
        <f aca="false">IF(AL78&lt;&gt;"", AL78*AI78,"")</f>
        <v/>
      </c>
      <c r="AN78" s="99" t="str">
        <f aca="false">IF(AND($AG78=Constants!$B$7, U78, V78) ,IF($AB78="", "", IF(OR($AC78="",$AC78=0),"",MAX(0,1-ABS($AC78-$AB78)/$AC78))),"")</f>
        <v/>
      </c>
      <c r="AO78" s="99" t="str">
        <f aca="false">IF(AND($AG78=Constants!$B$7, U78, V78),IF(AND($AA78&lt;&gt;"",$AB78&lt;&gt;"",$AC78=0),$AO$6,""),"")</f>
        <v/>
      </c>
      <c r="AP78" s="99" t="str">
        <f aca="false">IF($AG78=Constants!$B$7 ,IF(AND(U78,V78,W78,Y78,ISNUMBER(AB78)),IF($AN78="",0,IF($AN$6=0,Constants!$B$10,Constants!$B$10*AN78/$AN$6)), 0),"")</f>
        <v/>
      </c>
      <c r="AQ78" s="99" t="str">
        <f aca="false">IF(AP78&lt;&gt;"", AP78*AI78,"")</f>
        <v/>
      </c>
      <c r="AR78" s="99" t="str">
        <f aca="false">IF($AG78=Constants!$B$7,IF($AD78="",0,IF($AR$6=0,Constants!$B$8,Constants!$B$8*AD78/$AR$6)),"")</f>
        <v/>
      </c>
      <c r="AS78" s="99" t="str">
        <f aca="false">IF($AG78&lt;&gt;Constants!$B$7,$AG78,IF(AK78&amp;AO78&lt;&gt;"",Constants!$B$14,AM78+AQ78+AR78))</f>
        <v/>
      </c>
      <c r="AT78" s="99" t="str">
        <f aca="false">IF(ISBLANK($C78),"",IF($AG78=Constants!$B$7,IF(ISNUMBER(AS78),RANK(AS78,$AS$8:$AS$507),Constants!$B$14),$AG78))</f>
        <v/>
      </c>
      <c r="AU78" s="99" t="str">
        <f aca="false">IF(ISBLANK($C78), "",AM78)</f>
        <v/>
      </c>
      <c r="AV78" s="99" t="str">
        <f aca="false">IF(ISBLANK($C78),"",IF($AG78=Constants!$B$7,RANK(AU78,AU$8:AU$507),$AG78))</f>
        <v/>
      </c>
      <c r="AW78" s="99" t="str">
        <f aca="false">IF(ISBLANK($C78), "",AR78)</f>
        <v/>
      </c>
      <c r="AX78" s="99" t="str">
        <f aca="false">IF(ISBLANK($C78),"",IF($AG78=Constants!$B$7,RANK(AW78,AW$8:AW$507),$AG78))</f>
        <v/>
      </c>
      <c r="AY78" s="99" t="str">
        <f aca="false">IF(ISBLANK($C78), "",AE78)</f>
        <v/>
      </c>
      <c r="AZ78" s="99" t="str">
        <f aca="false">IF(ISBLANK($C78),"",
IF($AG78=Constants!$B$7,
  IF(ISNUMBER(AT78),
    COUNTIFS($AT$8:$AT$507,"&lt;"&amp;$AT78)
    + COUNTIFS($AT$8:$AT$507,$AT78,$AV$8:$AV$507,"&lt;"&amp;$AV78)
    + COUNTIFS($AT$8:$AT$507,$AT78,$AV$8:$AV$507,$AV78,$AX$8:$AX$507,"&lt;"&amp;$AX78)
    + COUNTIFS($AT$8:$AT$507,$AT78,$AV$8:$AV$507,$AV78,$AX$8:$AX$507,$AX78,$AY$8:$AY$507,"&lt;"&amp;$AY78)
    + 1,
  Constants!$B$14),
$AG78))</f>
        <v/>
      </c>
      <c r="BA78" s="99" t="str">
        <f aca="false">IF(ISBLANK(C78),"",IF($AG78=Constants!$B$7, IF(ISNUMBER(AT78),AT78-AZ78,Constants!$B$14),$AG78))</f>
        <v/>
      </c>
      <c r="BB78" s="103"/>
      <c r="BC78" s="104" t="str">
        <f aca="false">IF(ISBLANK($C78),"",TRIM(AK78&amp;" "&amp;AO78))</f>
        <v/>
      </c>
      <c r="BD78" s="105" t="str">
        <f aca="false">IF(ISBLANK($C78),"",IF($AG78&lt;&gt;Constants!$B$7,$AG78,AR78))</f>
        <v/>
      </c>
      <c r="BE78" s="105" t="str">
        <f aca="false">IF(ISBLANK($C78),"",IF($AG78&lt;&gt;Constants!$B$7,$AG78,AM78))</f>
        <v/>
      </c>
      <c r="BF78" s="105" t="str">
        <f aca="false">IF(ISBLANK($C78),"",IF($AG78&lt;&gt;Constants!$B$7,$AG78,AQ78))</f>
        <v/>
      </c>
      <c r="BG78" s="106" t="str">
        <f aca="false">IF(ISBLANK($C78),"",IF($AG78&lt;&gt;Constants!$B$7, $AG78 ,AS78))</f>
        <v/>
      </c>
      <c r="BH78" s="107" t="str">
        <f aca="false">IF(ISBLANK($C78),"",IF($AG78&lt;&gt;Constants!$B$7, $AG78 ,AH78))</f>
        <v/>
      </c>
      <c r="BI78" s="105" t="str">
        <f aca="false">IF(ISBLANK(C78),"",BA78)</f>
        <v/>
      </c>
      <c r="BJ78" s="105" t="str">
        <f aca="false">IF(ISBLANK(C78),"",AZ78)</f>
        <v/>
      </c>
      <c r="BK78" s="108" t="str">
        <f aca="false">IF(ISBLANK(C78),"",IFERROR(_xlfn.SWITCH(BJ78, Constants!$B$4, COUNTA($C$8:$C577)+2, Constants!$B$5, COUNTA($C$8:$C577)+1, Constants!$B$6, COUNTA($C$8:$C577)),BJ78))</f>
        <v/>
      </c>
      <c r="BL78" s="5"/>
      <c r="BM78" s="109" t="n">
        <f aca="false">IF(OR(ISNUMBER(BJ78),BJ78="DQ",BJ78="P",BJ78="NS"),
    1,
    0
)</f>
        <v>0</v>
      </c>
      <c r="BN78" s="109" t="n">
        <v>71</v>
      </c>
      <c r="BO78" s="109" t="str">
        <f aca="false">IF(ISBLANK($C78),"",IF(ISNUMBER(BK78),BK78+ROW($B78)/1000,""))</f>
        <v/>
      </c>
      <c r="BP78" s="109" t="str">
        <f aca="false">IF(ISNUMBER(BO78), RANK(BO78,BO$8:BO$507,1), "")</f>
        <v/>
      </c>
      <c r="BQ78" s="109" t="str">
        <f aca="false">IF(ISBLANK($C78),
    "",
    $B78
)</f>
        <v/>
      </c>
      <c r="BR78" s="109" t="str">
        <f aca="false">IF(ISBLANK($C78),
    "",
    $C78
)</f>
        <v/>
      </c>
      <c r="BS78" s="109" t="str">
        <f aca="false">IF(ISBLANK($C78),
    "",
    $D78
)</f>
        <v/>
      </c>
      <c r="BT78" s="110" t="str">
        <f aca="false">BH78</f>
        <v/>
      </c>
      <c r="BU78" s="111" t="str">
        <f aca="false">BG78</f>
        <v/>
      </c>
      <c r="BV78" s="109" t="str">
        <f aca="false">IF(ISBLANK($C78),
    "",
    BJ78
)</f>
        <v/>
      </c>
      <c r="BW78" s="112" t="str">
        <f aca="false">IF(BN78&gt;BM$7,
    "",
    VLOOKUP(BN78,BP$8:BV577,7,FALSE())
)</f>
        <v/>
      </c>
      <c r="BX78" s="113" t="str">
        <f aca="false">IF(BN78&gt;BM$7,
    "",
    VLOOKUP(BN78,BP$8:BV577,2,FALSE())
)</f>
        <v/>
      </c>
      <c r="BY78" s="113" t="str">
        <f aca="false">IF(BN78&gt;BM$7,
    "",
    VLOOKUP(BN78,BP$8:BV577,3,FALSE())
)</f>
        <v/>
      </c>
      <c r="BZ78" s="113" t="str">
        <f aca="false">IF(BN78&gt;BM$7,
    "",
    VLOOKUP(BN78,BP$8:BV577,4,FALSE())
)</f>
        <v/>
      </c>
      <c r="CA78" s="113" t="str">
        <f aca="false">IF(BN78&gt;BM$7,
    "",
    VLOOKUP(BN78,BP$8:BV577,5,FALSE())
)</f>
        <v/>
      </c>
      <c r="CB78" s="114" t="str">
        <f aca="false">IF(BN78&gt;BM$7,
    "",
    VLOOKUP(BN78,BP$8:BV577,6,FALSE())
)</f>
        <v/>
      </c>
      <c r="CC78" s="53"/>
    </row>
    <row r="79" customFormat="false" ht="15.75" hidden="false" customHeight="false" outlineLevel="0" collapsed="false">
      <c r="A79" s="5"/>
      <c r="B79" s="125"/>
      <c r="C79" s="126"/>
      <c r="D79" s="115"/>
      <c r="E79" s="119"/>
      <c r="F79" s="119"/>
      <c r="G79" s="91"/>
      <c r="H79" s="92"/>
      <c r="I79" s="92"/>
      <c r="J79" s="128"/>
      <c r="K79" s="128"/>
      <c r="L79" s="128"/>
      <c r="M79" s="94"/>
      <c r="N79" s="94"/>
      <c r="O79" s="94"/>
      <c r="P79" s="95"/>
      <c r="Q79" s="96"/>
      <c r="R79" s="128"/>
      <c r="S79" s="98"/>
      <c r="T79" s="99"/>
      <c r="U79" s="99" t="str">
        <f aca="false">IF(ISBLANK($C79),"",IF(G79=Constants!$B$2, TRUE(), IF(G79=Constants!$B$3, FALSE(), TRUE())))</f>
        <v/>
      </c>
      <c r="V79" s="99" t="str">
        <f aca="false">IF(ISBLANK($C79),"",IF(H79=Constants!$B$2, TRUE(), IF(H79=Constants!$B$3, FALSE(), TRUE())))</f>
        <v/>
      </c>
      <c r="W79" s="99" t="str">
        <f aca="false">IF(ISBLANK($C79),"",IF(I79=Constants!$B$2, TRUE(), IF(I79=Constants!$B$3, FALSE(), TRUE())))</f>
        <v/>
      </c>
      <c r="X79" s="99" t="str">
        <f aca="false">IF(ISBLANK($C79),"",IF(AND(ISNUMBER(J79),J79&gt;0),INT(J79),0))</f>
        <v/>
      </c>
      <c r="Y79" s="99" t="str">
        <f aca="false">IF(ISBLANK($C79),"",IF(K79=Constants!$B$2, TRUE(), IF(K79=Constants!$B$3, FALSE(), TRUE())))</f>
        <v/>
      </c>
      <c r="Z79" s="100" t="str">
        <f aca="false">IF(ISBLANK($C79),"",IF(AND(ISNUMBER(L79),L79&gt;0),INT(L79),0))</f>
        <v/>
      </c>
      <c r="AA79" s="101" t="str">
        <f aca="false">IF(ISBLANK($C79),"",IF(ISNUMBER(M79), M79, ""))</f>
        <v/>
      </c>
      <c r="AB79" s="101" t="str">
        <f aca="false">IF(ISBLANK($C79),"",IF(ISNUMBER(N79), N79, ""))</f>
        <v/>
      </c>
      <c r="AC79" s="101" t="str">
        <f aca="false">IF(ISBLANK($C79),"",IF(ISNUMBER(O79), O79, ""))</f>
        <v/>
      </c>
      <c r="AD79" s="102" t="str">
        <f aca="false">IF(ISBLANK($C79),"",IF(ISNUMBER(P79), P79, ""))</f>
        <v/>
      </c>
      <c r="AE79" s="102" t="str">
        <f aca="false">IF(ISBLANK($C79),"",IF(ISNUMBER(Q79), Q79, Constants!$B$13))</f>
        <v/>
      </c>
      <c r="AF79" s="99" t="str">
        <f aca="false">IF(ISBLANK($C79),"",IF(R79=Constants!$B$2, TRUE(), IF(R79=Constants!$B$3, FALSE(), FALSE())))</f>
        <v/>
      </c>
      <c r="AG79" s="99" t="str">
        <f aca="false">IF(ISBLANK(C79), "", IF(AF79, Constants!$B$4,IF(COUNTA(G79:P79)=0, Constants!$B$5, Constants!$B$7)))</f>
        <v/>
      </c>
      <c r="AH79" s="99" t="str">
        <f aca="false">IF(ISBLANK($C79), "",IF($AG79=Constants!$B$7,1,$AG79))</f>
        <v/>
      </c>
      <c r="AI79" s="99" t="str">
        <f aca="false">IF($AG79=Constants!$B$7,POWER(Constants!$B$11,X79)*POWER(Constants!$B$12,Z79),"")</f>
        <v/>
      </c>
      <c r="AJ79" s="99" t="str">
        <f aca="false">IF(AND($AG79=Constants!$B$7, U79, V79) ,IF(OR($AA79="",$AC79=""),"",MAX(0, $AC79-$AA79)),"")</f>
        <v/>
      </c>
      <c r="AK79" s="99" t="str">
        <f aca="false">IF(AND($AG79=Constants!$B$7, U79, V79),IF(OR($AA79="",$AC79=""),$AK$6,""),"")</f>
        <v/>
      </c>
      <c r="AL79" s="99" t="str">
        <f aca="false">IF($AG79=Constants!$B$7,IF(AND(U79,V79,W79,Y79),IF($AJ79="",0,IF($AJ$6=0,Constants!$B$9,Constants!$B$9*AJ79/$AJ$6)), 0),"")</f>
        <v/>
      </c>
      <c r="AM79" s="99" t="str">
        <f aca="false">IF(AL79&lt;&gt;"", AL79*AI79,"")</f>
        <v/>
      </c>
      <c r="AN79" s="99" t="str">
        <f aca="false">IF(AND($AG79=Constants!$B$7, U79, V79) ,IF($AB79="", "", IF(OR($AC79="",$AC79=0),"",MAX(0,1-ABS($AC79-$AB79)/$AC79))),"")</f>
        <v/>
      </c>
      <c r="AO79" s="99" t="str">
        <f aca="false">IF(AND($AG79=Constants!$B$7, U79, V79),IF(AND($AA79&lt;&gt;"",$AB79&lt;&gt;"",$AC79=0),$AO$6,""),"")</f>
        <v/>
      </c>
      <c r="AP79" s="99" t="str">
        <f aca="false">IF($AG79=Constants!$B$7 ,IF(AND(U79,V79,W79,Y79,ISNUMBER(AB79)),IF($AN79="",0,IF($AN$6=0,Constants!$B$10,Constants!$B$10*AN79/$AN$6)), 0),"")</f>
        <v/>
      </c>
      <c r="AQ79" s="99" t="str">
        <f aca="false">IF(AP79&lt;&gt;"", AP79*AI79,"")</f>
        <v/>
      </c>
      <c r="AR79" s="99" t="str">
        <f aca="false">IF($AG79=Constants!$B$7,IF($AD79="",0,IF($AR$6=0,Constants!$B$8,Constants!$B$8*AD79/$AR$6)),"")</f>
        <v/>
      </c>
      <c r="AS79" s="99" t="str">
        <f aca="false">IF($AG79&lt;&gt;Constants!$B$7,$AG79,IF(AK79&amp;AO79&lt;&gt;"",Constants!$B$14,AM79+AQ79+AR79))</f>
        <v/>
      </c>
      <c r="AT79" s="99" t="str">
        <f aca="false">IF(ISBLANK($C79),"",IF($AG79=Constants!$B$7,IF(ISNUMBER(AS79),RANK(AS79,$AS$8:$AS$507),Constants!$B$14),$AG79))</f>
        <v/>
      </c>
      <c r="AU79" s="99" t="str">
        <f aca="false">IF(ISBLANK($C79), "",AM79)</f>
        <v/>
      </c>
      <c r="AV79" s="99" t="str">
        <f aca="false">IF(ISBLANK($C79),"",IF($AG79=Constants!$B$7,RANK(AU79,AU$8:AU$507),$AG79))</f>
        <v/>
      </c>
      <c r="AW79" s="99" t="str">
        <f aca="false">IF(ISBLANK($C79), "",AR79)</f>
        <v/>
      </c>
      <c r="AX79" s="99" t="str">
        <f aca="false">IF(ISBLANK($C79),"",IF($AG79=Constants!$B$7,RANK(AW79,AW$8:AW$507),$AG79))</f>
        <v/>
      </c>
      <c r="AY79" s="99" t="str">
        <f aca="false">IF(ISBLANK($C79), "",AE79)</f>
        <v/>
      </c>
      <c r="AZ79" s="99" t="str">
        <f aca="false">IF(ISBLANK($C79),"",
IF($AG79=Constants!$B$7,
  IF(ISNUMBER(AT79),
    COUNTIFS($AT$8:$AT$507,"&lt;"&amp;$AT79)
    + COUNTIFS($AT$8:$AT$507,$AT79,$AV$8:$AV$507,"&lt;"&amp;$AV79)
    + COUNTIFS($AT$8:$AT$507,$AT79,$AV$8:$AV$507,$AV79,$AX$8:$AX$507,"&lt;"&amp;$AX79)
    + COUNTIFS($AT$8:$AT$507,$AT79,$AV$8:$AV$507,$AV79,$AX$8:$AX$507,$AX79,$AY$8:$AY$507,"&lt;"&amp;$AY79)
    + 1,
  Constants!$B$14),
$AG79))</f>
        <v/>
      </c>
      <c r="BA79" s="99" t="str">
        <f aca="false">IF(ISBLANK(C79),"",IF($AG79=Constants!$B$7, IF(ISNUMBER(AT79),AT79-AZ79,Constants!$B$14),$AG79))</f>
        <v/>
      </c>
      <c r="BB79" s="103"/>
      <c r="BC79" s="104" t="str">
        <f aca="false">IF(ISBLANK($C79),"",TRIM(AK79&amp;" "&amp;AO79))</f>
        <v/>
      </c>
      <c r="BD79" s="105" t="str">
        <f aca="false">IF(ISBLANK($C79),"",IF($AG79&lt;&gt;Constants!$B$7,$AG79,AR79))</f>
        <v/>
      </c>
      <c r="BE79" s="105" t="str">
        <f aca="false">IF(ISBLANK($C79),"",IF($AG79&lt;&gt;Constants!$B$7,$AG79,AM79))</f>
        <v/>
      </c>
      <c r="BF79" s="105" t="str">
        <f aca="false">IF(ISBLANK($C79),"",IF($AG79&lt;&gt;Constants!$B$7,$AG79,AQ79))</f>
        <v/>
      </c>
      <c r="BG79" s="106" t="str">
        <f aca="false">IF(ISBLANK($C79),"",IF($AG79&lt;&gt;Constants!$B$7, $AG79 ,AS79))</f>
        <v/>
      </c>
      <c r="BH79" s="107" t="str">
        <f aca="false">IF(ISBLANK($C79),"",IF($AG79&lt;&gt;Constants!$B$7, $AG79 ,AH79))</f>
        <v/>
      </c>
      <c r="BI79" s="105" t="str">
        <f aca="false">IF(ISBLANK(C79),"",BA79)</f>
        <v/>
      </c>
      <c r="BJ79" s="105" t="str">
        <f aca="false">IF(ISBLANK(C79),"",AZ79)</f>
        <v/>
      </c>
      <c r="BK79" s="108" t="str">
        <f aca="false">IF(ISBLANK(C79),"",IFERROR(_xlfn.SWITCH(BJ79, Constants!$B$4, COUNTA($C$8:$C578)+2, Constants!$B$5, COUNTA($C$8:$C578)+1, Constants!$B$6, COUNTA($C$8:$C578)),BJ79))</f>
        <v/>
      </c>
      <c r="BL79" s="5"/>
      <c r="BM79" s="109" t="n">
        <f aca="false">IF(OR(ISNUMBER(BJ79),BJ79="DQ",BJ79="P",BJ79="NS"),
    1,
    0
)</f>
        <v>0</v>
      </c>
      <c r="BN79" s="109" t="n">
        <v>72</v>
      </c>
      <c r="BO79" s="109" t="str">
        <f aca="false">IF(ISBLANK($C79),"",IF(ISNUMBER(BK79),BK79+ROW($B79)/1000,""))</f>
        <v/>
      </c>
      <c r="BP79" s="109" t="str">
        <f aca="false">IF(ISNUMBER(BO79), RANK(BO79,BO$8:BO$507,1), "")</f>
        <v/>
      </c>
      <c r="BQ79" s="109" t="str">
        <f aca="false">IF(ISBLANK($C79),
    "",
    $B79
)</f>
        <v/>
      </c>
      <c r="BR79" s="109" t="str">
        <f aca="false">IF(ISBLANK($C79),
    "",
    $C79
)</f>
        <v/>
      </c>
      <c r="BS79" s="109" t="str">
        <f aca="false">IF(ISBLANK($C79),
    "",
    $D79
)</f>
        <v/>
      </c>
      <c r="BT79" s="110" t="str">
        <f aca="false">BH79</f>
        <v/>
      </c>
      <c r="BU79" s="111" t="str">
        <f aca="false">BG79</f>
        <v/>
      </c>
      <c r="BV79" s="109" t="str">
        <f aca="false">IF(ISBLANK($C79),
    "",
    BJ79
)</f>
        <v/>
      </c>
      <c r="BW79" s="112" t="str">
        <f aca="false">IF(BN79&gt;BM$7,
    "",
    VLOOKUP(BN79,BP$8:BV578,7,FALSE())
)</f>
        <v/>
      </c>
      <c r="BX79" s="113" t="str">
        <f aca="false">IF(BN79&gt;BM$7,
    "",
    VLOOKUP(BN79,BP$8:BV578,2,FALSE())
)</f>
        <v/>
      </c>
      <c r="BY79" s="113" t="str">
        <f aca="false">IF(BN79&gt;BM$7,
    "",
    VLOOKUP(BN79,BP$8:BV578,3,FALSE())
)</f>
        <v/>
      </c>
      <c r="BZ79" s="113" t="str">
        <f aca="false">IF(BN79&gt;BM$7,
    "",
    VLOOKUP(BN79,BP$8:BV578,4,FALSE())
)</f>
        <v/>
      </c>
      <c r="CA79" s="113" t="str">
        <f aca="false">IF(BN79&gt;BM$7,
    "",
    VLOOKUP(BN79,BP$8:BV578,5,FALSE())
)</f>
        <v/>
      </c>
      <c r="CB79" s="114" t="str">
        <f aca="false">IF(BN79&gt;BM$7,
    "",
    VLOOKUP(BN79,BP$8:BV578,6,FALSE())
)</f>
        <v/>
      </c>
      <c r="CC79" s="53"/>
    </row>
    <row r="80" customFormat="false" ht="15.75" hidden="false" customHeight="false" outlineLevel="0" collapsed="false">
      <c r="A80" s="5"/>
      <c r="B80" s="129"/>
      <c r="C80" s="55"/>
      <c r="D80" s="56"/>
      <c r="E80" s="123"/>
      <c r="F80" s="123"/>
      <c r="G80" s="58"/>
      <c r="H80" s="59"/>
      <c r="I80" s="59"/>
      <c r="J80" s="83"/>
      <c r="K80" s="83"/>
      <c r="L80" s="83"/>
      <c r="M80" s="61"/>
      <c r="N80" s="61"/>
      <c r="O80" s="61"/>
      <c r="P80" s="62"/>
      <c r="Q80" s="63"/>
      <c r="R80" s="83"/>
      <c r="S80" s="65"/>
      <c r="T80" s="66"/>
      <c r="U80" s="66" t="str">
        <f aca="false">IF(ISBLANK($C80),"",IF(G80=Constants!$B$2, TRUE(), IF(G80=Constants!$B$3, FALSE(), TRUE())))</f>
        <v/>
      </c>
      <c r="V80" s="66" t="str">
        <f aca="false">IF(ISBLANK($C80),"",IF(H80=Constants!$B$2, TRUE(), IF(H80=Constants!$B$3, FALSE(), TRUE())))</f>
        <v/>
      </c>
      <c r="W80" s="66" t="str">
        <f aca="false">IF(ISBLANK($C80),"",IF(I80=Constants!$B$2, TRUE(), IF(I80=Constants!$B$3, FALSE(), TRUE())))</f>
        <v/>
      </c>
      <c r="X80" s="66" t="str">
        <f aca="false">IF(ISBLANK($C80),"",IF(AND(ISNUMBER(J80),J80&gt;0),INT(J80),0))</f>
        <v/>
      </c>
      <c r="Y80" s="66" t="str">
        <f aca="false">IF(ISBLANK($C80),"",IF(K80=Constants!$B$2, TRUE(), IF(K80=Constants!$B$3, FALSE(), TRUE())))</f>
        <v/>
      </c>
      <c r="Z80" s="66" t="str">
        <f aca="false">IF(ISBLANK($C80),"",IF(AND(ISNUMBER(L80),L80&gt;0),INT(L80),0))</f>
        <v/>
      </c>
      <c r="AA80" s="68" t="str">
        <f aca="false">IF(ISBLANK($C80),"",IF(ISNUMBER(M80), M80, ""))</f>
        <v/>
      </c>
      <c r="AB80" s="68" t="str">
        <f aca="false">IF(ISBLANK($C80),"",IF(ISNUMBER(N80), N80, ""))</f>
        <v/>
      </c>
      <c r="AC80" s="68" t="str">
        <f aca="false">IF(ISBLANK($C80),"",IF(ISNUMBER(O80), O80, ""))</f>
        <v/>
      </c>
      <c r="AD80" s="69" t="str">
        <f aca="false">IF(ISBLANK($C80),"",IF(ISNUMBER(P80), P80, ""))</f>
        <v/>
      </c>
      <c r="AE80" s="69" t="str">
        <f aca="false">IF(ISBLANK($C80),"",IF(ISNUMBER(Q80), Q80, Constants!$B$13))</f>
        <v/>
      </c>
      <c r="AF80" s="66" t="str">
        <f aca="false">IF(ISBLANK($C80),"",IF(R80=Constants!$B$2, TRUE(), IF(R80=Constants!$B$3, FALSE(), FALSE())))</f>
        <v/>
      </c>
      <c r="AG80" s="66" t="str">
        <f aca="false">IF(ISBLANK(C80), "", IF(AF80, Constants!$B$4,IF(COUNTA(G80:P80)=0, Constants!$B$5, Constants!$B$7)))</f>
        <v/>
      </c>
      <c r="AH80" s="66" t="str">
        <f aca="false">IF(ISBLANK($C80), "",IF($AG80=Constants!$B$7,1,$AG80))</f>
        <v/>
      </c>
      <c r="AI80" s="66" t="str">
        <f aca="false">IF($AG80=Constants!$B$7,POWER(Constants!$B$11,X80)*POWER(Constants!$B$12,Z80),"")</f>
        <v/>
      </c>
      <c r="AJ80" s="66" t="str">
        <f aca="false">IF(AND($AG80=Constants!$B$7, U80, V80) ,IF(OR($AA80="",$AC80=""),"",MAX(0, $AC80-$AA80)),"")</f>
        <v/>
      </c>
      <c r="AK80" s="66" t="str">
        <f aca="false">IF(AND($AG80=Constants!$B$7, U80, V80),IF(OR($AA80="",$AC80=""),$AK$6,""),"")</f>
        <v/>
      </c>
      <c r="AL80" s="66" t="str">
        <f aca="false">IF($AG80=Constants!$B$7,IF(AND(U80,V80,W80,Y80),IF($AJ80="",0,IF($AJ$6=0,Constants!$B$9,Constants!$B$9*AJ80/$AJ$6)), 0),"")</f>
        <v/>
      </c>
      <c r="AM80" s="66" t="str">
        <f aca="false">IF(AL80&lt;&gt;"", AL80*AI80,"")</f>
        <v/>
      </c>
      <c r="AN80" s="66" t="str">
        <f aca="false">IF(AND($AG80=Constants!$B$7, U80, V80) ,IF($AB80="", "", IF(OR($AC80="",$AC80=0),"",MAX(0,1-ABS($AC80-$AB80)/$AC80))),"")</f>
        <v/>
      </c>
      <c r="AO80" s="66" t="str">
        <f aca="false">IF(AND($AG80=Constants!$B$7, U80, V80),IF(AND($AA80&lt;&gt;"",$AB80&lt;&gt;"",$AC80=0),$AO$6,""),"")</f>
        <v/>
      </c>
      <c r="AP80" s="66" t="str">
        <f aca="false">IF($AG80=Constants!$B$7 ,IF(AND(U80,V80,W80,Y80,ISNUMBER(AB80)),IF($AN80="",0,IF($AN$6=0,Constants!$B$10,Constants!$B$10*AN80/$AN$6)), 0),"")</f>
        <v/>
      </c>
      <c r="AQ80" s="66" t="str">
        <f aca="false">IF(AP80&lt;&gt;"", AP80*AI80,"")</f>
        <v/>
      </c>
      <c r="AR80" s="66" t="str">
        <f aca="false">IF($AG80=Constants!$B$7,IF($AD80="",0,IF($AR$6=0,Constants!$B$8,Constants!$B$8*AD80/$AR$6)),"")</f>
        <v/>
      </c>
      <c r="AS80" s="66" t="str">
        <f aca="false">IF($AG80&lt;&gt;Constants!$B$7,$AG80,IF(AK80&amp;AO80&lt;&gt;"",Constants!$B$14,AM80+AQ80+AR80))</f>
        <v/>
      </c>
      <c r="AT80" s="66" t="str">
        <f aca="false">IF(ISBLANK($C80),"",IF($AG80=Constants!$B$7,IF(ISNUMBER(AS80),RANK(AS80,$AS$8:$AS$507),Constants!$B$14),$AG80))</f>
        <v/>
      </c>
      <c r="AU80" s="66" t="str">
        <f aca="false">IF(ISBLANK($C80), "",AM80)</f>
        <v/>
      </c>
      <c r="AV80" s="66" t="str">
        <f aca="false">IF(ISBLANK($C80),"",IF($AG80=Constants!$B$7,RANK(AU80,AU$8:AU$507),$AG80))</f>
        <v/>
      </c>
      <c r="AW80" s="66" t="str">
        <f aca="false">IF(ISBLANK($C80), "",AR80)</f>
        <v/>
      </c>
      <c r="AX80" s="66" t="str">
        <f aca="false">IF(ISBLANK($C80),"",IF($AG80=Constants!$B$7,RANK(AW80,AW$8:AW$507),$AG80))</f>
        <v/>
      </c>
      <c r="AY80" s="66" t="str">
        <f aca="false">IF(ISBLANK($C80), "",AE80)</f>
        <v/>
      </c>
      <c r="AZ80" s="66" t="str">
        <f aca="false">IF(ISBLANK($C80),"",
IF($AG80=Constants!$B$7,
  IF(ISNUMBER(AT80),
    COUNTIFS($AT$8:$AT$507,"&lt;"&amp;$AT80)
    + COUNTIFS($AT$8:$AT$507,$AT80,$AV$8:$AV$507,"&lt;"&amp;$AV80)
    + COUNTIFS($AT$8:$AT$507,$AT80,$AV$8:$AV$507,$AV80,$AX$8:$AX$507,"&lt;"&amp;$AX80)
    + COUNTIFS($AT$8:$AT$507,$AT80,$AV$8:$AV$507,$AV80,$AX$8:$AX$507,$AX80,$AY$8:$AY$507,"&lt;"&amp;$AY80)
    + 1,
  Constants!$B$14),
$AG80))</f>
        <v/>
      </c>
      <c r="BA80" s="66" t="str">
        <f aca="false">IF(ISBLANK(C80),"",IF($AG80=Constants!$B$7, IF(ISNUMBER(AT80),AT80-AZ80,Constants!$B$14),$AG80))</f>
        <v/>
      </c>
      <c r="BB80" s="70"/>
      <c r="BC80" s="84" t="str">
        <f aca="false">IF(ISBLANK($C80),"",TRIM(AK80&amp;" "&amp;AO80))</f>
        <v/>
      </c>
      <c r="BD80" s="72" t="str">
        <f aca="false">IF(ISBLANK($C80),"",IF($AG80&lt;&gt;Constants!$B$7,$AG80,AR80))</f>
        <v/>
      </c>
      <c r="BE80" s="72" t="str">
        <f aca="false">IF(ISBLANK($C80),"",IF($AG80&lt;&gt;Constants!$B$7,$AG80,AM80))</f>
        <v/>
      </c>
      <c r="BF80" s="72" t="str">
        <f aca="false">IF(ISBLANK($C80),"",IF($AG80&lt;&gt;Constants!$B$7,$AG80,AQ80))</f>
        <v/>
      </c>
      <c r="BG80" s="73" t="str">
        <f aca="false">IF(ISBLANK($C80),"",IF($AG80&lt;&gt;Constants!$B$7, $AG80 ,AS80))</f>
        <v/>
      </c>
      <c r="BH80" s="74" t="str">
        <f aca="false">IF(ISBLANK($C80),"",IF($AG80&lt;&gt;Constants!$B$7, $AG80 ,AH80))</f>
        <v/>
      </c>
      <c r="BI80" s="72" t="str">
        <f aca="false">IF(ISBLANK(C80),"",BA80)</f>
        <v/>
      </c>
      <c r="BJ80" s="72" t="str">
        <f aca="false">IF(ISBLANK(C80),"",AZ80)</f>
        <v/>
      </c>
      <c r="BK80" s="75" t="str">
        <f aca="false">IF(ISBLANK(C80),"",IFERROR(_xlfn.SWITCH(BJ80, Constants!$B$4, COUNTA($C$8:$C579)+2, Constants!$B$5, COUNTA($C$8:$C579)+1, Constants!$B$6, COUNTA($C$8:$C579)),BJ80))</f>
        <v/>
      </c>
      <c r="BL80" s="5"/>
      <c r="BM80" s="76" t="n">
        <f aca="false">IF(OR(ISNUMBER(BJ80),BJ80="DQ",BJ80="P",BJ80="NS"),
    1,
    0
)</f>
        <v>0</v>
      </c>
      <c r="BN80" s="76" t="n">
        <v>73</v>
      </c>
      <c r="BO80" s="76" t="str">
        <f aca="false">IF(ISBLANK($C80),"",IF(ISNUMBER(BK80),BK80+ROW($B80)/1000,""))</f>
        <v/>
      </c>
      <c r="BP80" s="76" t="str">
        <f aca="false">IF(ISNUMBER(BO80), RANK(BO80,BO$8:BO$507,1), "")</f>
        <v/>
      </c>
      <c r="BQ80" s="76" t="str">
        <f aca="false">IF(ISBLANK($C80),
    "",
    $B80
)</f>
        <v/>
      </c>
      <c r="BR80" s="76" t="str">
        <f aca="false">IF(ISBLANK($C80),
    "",
    $C80
)</f>
        <v/>
      </c>
      <c r="BS80" s="76" t="str">
        <f aca="false">IF(ISBLANK($C80),
    "",
    $D80
)</f>
        <v/>
      </c>
      <c r="BT80" s="77" t="str">
        <f aca="false">BH80</f>
        <v/>
      </c>
      <c r="BU80" s="78" t="str">
        <f aca="false">BG80</f>
        <v/>
      </c>
      <c r="BV80" s="76" t="str">
        <f aca="false">IF(ISBLANK($C80),
    "",
    BJ80
)</f>
        <v/>
      </c>
      <c r="BW80" s="79" t="str">
        <f aca="false">IF(BN80&gt;BM$7,
    "",
    VLOOKUP(BN80,BP$8:BV579,7,FALSE())
)</f>
        <v/>
      </c>
      <c r="BX80" s="80" t="str">
        <f aca="false">IF(BN80&gt;BM$7,
    "",
    VLOOKUP(BN80,BP$8:BV579,2,FALSE())
)</f>
        <v/>
      </c>
      <c r="BY80" s="80" t="str">
        <f aca="false">IF(BN80&gt;BM$7,
    "",
    VLOOKUP(BN80,BP$8:BV579,3,FALSE())
)</f>
        <v/>
      </c>
      <c r="BZ80" s="80" t="str">
        <f aca="false">IF(BN80&gt;BM$7,
    "",
    VLOOKUP(BN80,BP$8:BV579,4,FALSE())
)</f>
        <v/>
      </c>
      <c r="CA80" s="80" t="str">
        <f aca="false">IF(BN80&gt;BM$7,
    "",
    VLOOKUP(BN80,BP$8:BV579,5,FALSE())
)</f>
        <v/>
      </c>
      <c r="CB80" s="81" t="str">
        <f aca="false">IF(BN80&gt;BM$7,
    "",
    VLOOKUP(BN80,BP$8:BV579,6,FALSE())
)</f>
        <v/>
      </c>
      <c r="CC80" s="53"/>
    </row>
    <row r="81" customFormat="false" ht="15.75" hidden="false" customHeight="false" outlineLevel="0" collapsed="false">
      <c r="A81" s="5"/>
      <c r="B81" s="129"/>
      <c r="C81" s="55"/>
      <c r="D81" s="56"/>
      <c r="E81" s="123"/>
      <c r="F81" s="123"/>
      <c r="G81" s="58"/>
      <c r="H81" s="59"/>
      <c r="I81" s="59"/>
      <c r="J81" s="83"/>
      <c r="K81" s="83"/>
      <c r="L81" s="83"/>
      <c r="M81" s="61"/>
      <c r="N81" s="61"/>
      <c r="O81" s="61"/>
      <c r="P81" s="62"/>
      <c r="Q81" s="63"/>
      <c r="R81" s="83"/>
      <c r="S81" s="65"/>
      <c r="T81" s="66"/>
      <c r="U81" s="66" t="str">
        <f aca="false">IF(ISBLANK($C81),"",IF(G81=Constants!$B$2, TRUE(), IF(G81=Constants!$B$3, FALSE(), TRUE())))</f>
        <v/>
      </c>
      <c r="V81" s="66" t="str">
        <f aca="false">IF(ISBLANK($C81),"",IF(H81=Constants!$B$2, TRUE(), IF(H81=Constants!$B$3, FALSE(), TRUE())))</f>
        <v/>
      </c>
      <c r="W81" s="66" t="str">
        <f aca="false">IF(ISBLANK($C81),"",IF(I81=Constants!$B$2, TRUE(), IF(I81=Constants!$B$3, FALSE(), TRUE())))</f>
        <v/>
      </c>
      <c r="X81" s="66" t="str">
        <f aca="false">IF(ISBLANK($C81),"",IF(AND(ISNUMBER(J81),J81&gt;0),INT(J81),0))</f>
        <v/>
      </c>
      <c r="Y81" s="66" t="str">
        <f aca="false">IF(ISBLANK($C81),"",IF(K81=Constants!$B$2, TRUE(), IF(K81=Constants!$B$3, FALSE(), TRUE())))</f>
        <v/>
      </c>
      <c r="Z81" s="66" t="str">
        <f aca="false">IF(ISBLANK($C81),"",IF(AND(ISNUMBER(L81),L81&gt;0),INT(L81),0))</f>
        <v/>
      </c>
      <c r="AA81" s="68" t="str">
        <f aca="false">IF(ISBLANK($C81),"",IF(ISNUMBER(M81), M81, ""))</f>
        <v/>
      </c>
      <c r="AB81" s="68" t="str">
        <f aca="false">IF(ISBLANK($C81),"",IF(ISNUMBER(N81), N81, ""))</f>
        <v/>
      </c>
      <c r="AC81" s="68" t="str">
        <f aca="false">IF(ISBLANK($C81),"",IF(ISNUMBER(O81), O81, ""))</f>
        <v/>
      </c>
      <c r="AD81" s="69" t="str">
        <f aca="false">IF(ISBLANK($C81),"",IF(ISNUMBER(P81), P81, ""))</f>
        <v/>
      </c>
      <c r="AE81" s="69" t="str">
        <f aca="false">IF(ISBLANK($C81),"",IF(ISNUMBER(Q81), Q81, Constants!$B$13))</f>
        <v/>
      </c>
      <c r="AF81" s="66" t="str">
        <f aca="false">IF(ISBLANK($C81),"",IF(R81=Constants!$B$2, TRUE(), IF(R81=Constants!$B$3, FALSE(), FALSE())))</f>
        <v/>
      </c>
      <c r="AG81" s="66" t="str">
        <f aca="false">IF(ISBLANK(C81), "", IF(AF81, Constants!$B$4,IF(COUNTA(G81:P81)=0, Constants!$B$5, Constants!$B$7)))</f>
        <v/>
      </c>
      <c r="AH81" s="66" t="str">
        <f aca="false">IF(ISBLANK($C81), "",IF($AG81=Constants!$B$7,1,$AG81))</f>
        <v/>
      </c>
      <c r="AI81" s="66" t="str">
        <f aca="false">IF($AG81=Constants!$B$7,POWER(Constants!$B$11,X81)*POWER(Constants!$B$12,Z81),"")</f>
        <v/>
      </c>
      <c r="AJ81" s="66" t="str">
        <f aca="false">IF(AND($AG81=Constants!$B$7, U81, V81) ,IF(OR($AA81="",$AC81=""),"",MAX(0, $AC81-$AA81)),"")</f>
        <v/>
      </c>
      <c r="AK81" s="66" t="str">
        <f aca="false">IF(AND($AG81=Constants!$B$7, U81, V81),IF(OR($AA81="",$AC81=""),$AK$6,""),"")</f>
        <v/>
      </c>
      <c r="AL81" s="66" t="str">
        <f aca="false">IF($AG81=Constants!$B$7,IF(AND(U81,V81,W81,Y81),IF($AJ81="",0,IF($AJ$6=0,Constants!$B$9,Constants!$B$9*AJ81/$AJ$6)), 0),"")</f>
        <v/>
      </c>
      <c r="AM81" s="66" t="str">
        <f aca="false">IF(AL81&lt;&gt;"", AL81*AI81,"")</f>
        <v/>
      </c>
      <c r="AN81" s="66" t="str">
        <f aca="false">IF(AND($AG81=Constants!$B$7, U81, V81) ,IF($AB81="", "", IF(OR($AC81="",$AC81=0),"",MAX(0,1-ABS($AC81-$AB81)/$AC81))),"")</f>
        <v/>
      </c>
      <c r="AO81" s="66" t="str">
        <f aca="false">IF(AND($AG81=Constants!$B$7, U81, V81),IF(AND($AA81&lt;&gt;"",$AB81&lt;&gt;"",$AC81=0),$AO$6,""),"")</f>
        <v/>
      </c>
      <c r="AP81" s="66" t="str">
        <f aca="false">IF($AG81=Constants!$B$7 ,IF(AND(U81,V81,W81,Y81,ISNUMBER(AB81)),IF($AN81="",0,IF($AN$6=0,Constants!$B$10,Constants!$B$10*AN81/$AN$6)), 0),"")</f>
        <v/>
      </c>
      <c r="AQ81" s="66" t="str">
        <f aca="false">IF(AP81&lt;&gt;"", AP81*AI81,"")</f>
        <v/>
      </c>
      <c r="AR81" s="66" t="str">
        <f aca="false">IF($AG81=Constants!$B$7,IF($AD81="",0,IF($AR$6=0,Constants!$B$8,Constants!$B$8*AD81/$AR$6)),"")</f>
        <v/>
      </c>
      <c r="AS81" s="66" t="str">
        <f aca="false">IF($AG81&lt;&gt;Constants!$B$7,$AG81,IF(AK81&amp;AO81&lt;&gt;"",Constants!$B$14,AM81+AQ81+AR81))</f>
        <v/>
      </c>
      <c r="AT81" s="66" t="str">
        <f aca="false">IF(ISBLANK($C81),"",IF($AG81=Constants!$B$7,IF(ISNUMBER(AS81),RANK(AS81,$AS$8:$AS$507),Constants!$B$14),$AG81))</f>
        <v/>
      </c>
      <c r="AU81" s="66" t="str">
        <f aca="false">IF(ISBLANK($C81), "",AM81)</f>
        <v/>
      </c>
      <c r="AV81" s="66" t="str">
        <f aca="false">IF(ISBLANK($C81),"",IF($AG81=Constants!$B$7,RANK(AU81,AU$8:AU$507),$AG81))</f>
        <v/>
      </c>
      <c r="AW81" s="66" t="str">
        <f aca="false">IF(ISBLANK($C81), "",AR81)</f>
        <v/>
      </c>
      <c r="AX81" s="66" t="str">
        <f aca="false">IF(ISBLANK($C81),"",IF($AG81=Constants!$B$7,RANK(AW81,AW$8:AW$507),$AG81))</f>
        <v/>
      </c>
      <c r="AY81" s="66" t="str">
        <f aca="false">IF(ISBLANK($C81), "",AE81)</f>
        <v/>
      </c>
      <c r="AZ81" s="66" t="str">
        <f aca="false">IF(ISBLANK($C81),"",
IF($AG81=Constants!$B$7,
  IF(ISNUMBER(AT81),
    COUNTIFS($AT$8:$AT$507,"&lt;"&amp;$AT81)
    + COUNTIFS($AT$8:$AT$507,$AT81,$AV$8:$AV$507,"&lt;"&amp;$AV81)
    + COUNTIFS($AT$8:$AT$507,$AT81,$AV$8:$AV$507,$AV81,$AX$8:$AX$507,"&lt;"&amp;$AX81)
    + COUNTIFS($AT$8:$AT$507,$AT81,$AV$8:$AV$507,$AV81,$AX$8:$AX$507,$AX81,$AY$8:$AY$507,"&lt;"&amp;$AY81)
    + 1,
  Constants!$B$14),
$AG81))</f>
        <v/>
      </c>
      <c r="BA81" s="66" t="str">
        <f aca="false">IF(ISBLANK(C81),"",IF($AG81=Constants!$B$7, IF(ISNUMBER(AT81),AT81-AZ81,Constants!$B$14),$AG81))</f>
        <v/>
      </c>
      <c r="BB81" s="70"/>
      <c r="BC81" s="84" t="str">
        <f aca="false">IF(ISBLANK($C81),"",TRIM(AK81&amp;" "&amp;AO81))</f>
        <v/>
      </c>
      <c r="BD81" s="72" t="str">
        <f aca="false">IF(ISBLANK($C81),"",IF($AG81&lt;&gt;Constants!$B$7,$AG81,AR81))</f>
        <v/>
      </c>
      <c r="BE81" s="72" t="str">
        <f aca="false">IF(ISBLANK($C81),"",IF($AG81&lt;&gt;Constants!$B$7,$AG81,AM81))</f>
        <v/>
      </c>
      <c r="BF81" s="72" t="str">
        <f aca="false">IF(ISBLANK($C81),"",IF($AG81&lt;&gt;Constants!$B$7,$AG81,AQ81))</f>
        <v/>
      </c>
      <c r="BG81" s="73" t="str">
        <f aca="false">IF(ISBLANK($C81),"",IF($AG81&lt;&gt;Constants!$B$7, $AG81 ,AS81))</f>
        <v/>
      </c>
      <c r="BH81" s="74" t="str">
        <f aca="false">IF(ISBLANK($C81),"",IF($AG81&lt;&gt;Constants!$B$7, $AG81 ,AH81))</f>
        <v/>
      </c>
      <c r="BI81" s="72" t="str">
        <f aca="false">IF(ISBLANK(C81),"",BA81)</f>
        <v/>
      </c>
      <c r="BJ81" s="72" t="str">
        <f aca="false">IF(ISBLANK(C81),"",AZ81)</f>
        <v/>
      </c>
      <c r="BK81" s="75" t="str">
        <f aca="false">IF(ISBLANK(C81),"",IFERROR(_xlfn.SWITCH(BJ81, Constants!$B$4, COUNTA($C$8:$C580)+2, Constants!$B$5, COUNTA($C$8:$C580)+1, Constants!$B$6, COUNTA($C$8:$C580)),BJ81))</f>
        <v/>
      </c>
      <c r="BL81" s="5"/>
      <c r="BM81" s="76" t="n">
        <f aca="false">IF(OR(ISNUMBER(BJ81),BJ81="DQ",BJ81="P",BJ81="NS"),
    1,
    0
)</f>
        <v>0</v>
      </c>
      <c r="BN81" s="76" t="n">
        <v>74</v>
      </c>
      <c r="BO81" s="76" t="str">
        <f aca="false">IF(ISBLANK($C81),"",IF(ISNUMBER(BK81),BK81+ROW($B81)/1000,""))</f>
        <v/>
      </c>
      <c r="BP81" s="76" t="str">
        <f aca="false">IF(ISNUMBER(BO81), RANK(BO81,BO$8:BO$507,1), "")</f>
        <v/>
      </c>
      <c r="BQ81" s="76" t="str">
        <f aca="false">IF(ISBLANK($C81),
    "",
    $B81
)</f>
        <v/>
      </c>
      <c r="BR81" s="76" t="str">
        <f aca="false">IF(ISBLANK($C81),
    "",
    $C81
)</f>
        <v/>
      </c>
      <c r="BS81" s="76" t="str">
        <f aca="false">IF(ISBLANK($C81),
    "",
    $D81
)</f>
        <v/>
      </c>
      <c r="BT81" s="77" t="str">
        <f aca="false">BH81</f>
        <v/>
      </c>
      <c r="BU81" s="78" t="str">
        <f aca="false">BG81</f>
        <v/>
      </c>
      <c r="BV81" s="76" t="str">
        <f aca="false">IF(ISBLANK($C81),
    "",
    BJ81
)</f>
        <v/>
      </c>
      <c r="BW81" s="79" t="str">
        <f aca="false">IF(BN81&gt;BM$7,
    "",
    VLOOKUP(BN81,BP$8:BV580,7,FALSE())
)</f>
        <v/>
      </c>
      <c r="BX81" s="80" t="str">
        <f aca="false">IF(BN81&gt;BM$7,
    "",
    VLOOKUP(BN81,BP$8:BV580,2,FALSE())
)</f>
        <v/>
      </c>
      <c r="BY81" s="80" t="str">
        <f aca="false">IF(BN81&gt;BM$7,
    "",
    VLOOKUP(BN81,BP$8:BV580,3,FALSE())
)</f>
        <v/>
      </c>
      <c r="BZ81" s="80" t="str">
        <f aca="false">IF(BN81&gt;BM$7,
    "",
    VLOOKUP(BN81,BP$8:BV580,4,FALSE())
)</f>
        <v/>
      </c>
      <c r="CA81" s="80" t="str">
        <f aca="false">IF(BN81&gt;BM$7,
    "",
    VLOOKUP(BN81,BP$8:BV580,5,FALSE())
)</f>
        <v/>
      </c>
      <c r="CB81" s="81" t="str">
        <f aca="false">IF(BN81&gt;BM$7,
    "",
    VLOOKUP(BN81,BP$8:BV580,6,FALSE())
)</f>
        <v/>
      </c>
      <c r="CC81" s="53"/>
    </row>
    <row r="82" customFormat="false" ht="15.75" hidden="false" customHeight="false" outlineLevel="0" collapsed="false">
      <c r="A82" s="5"/>
      <c r="B82" s="129"/>
      <c r="C82" s="55"/>
      <c r="D82" s="56"/>
      <c r="E82" s="123"/>
      <c r="F82" s="123"/>
      <c r="G82" s="58"/>
      <c r="H82" s="59"/>
      <c r="I82" s="59"/>
      <c r="J82" s="83"/>
      <c r="K82" s="83"/>
      <c r="L82" s="83"/>
      <c r="M82" s="61"/>
      <c r="N82" s="61"/>
      <c r="O82" s="61"/>
      <c r="P82" s="62"/>
      <c r="Q82" s="63"/>
      <c r="R82" s="83"/>
      <c r="S82" s="65"/>
      <c r="T82" s="66"/>
      <c r="U82" s="66" t="str">
        <f aca="false">IF(ISBLANK($C82),"",IF(G82=Constants!$B$2, TRUE(), IF(G82=Constants!$B$3, FALSE(), TRUE())))</f>
        <v/>
      </c>
      <c r="V82" s="66" t="str">
        <f aca="false">IF(ISBLANK($C82),"",IF(H82=Constants!$B$2, TRUE(), IF(H82=Constants!$B$3, FALSE(), TRUE())))</f>
        <v/>
      </c>
      <c r="W82" s="66" t="str">
        <f aca="false">IF(ISBLANK($C82),"",IF(I82=Constants!$B$2, TRUE(), IF(I82=Constants!$B$3, FALSE(), TRUE())))</f>
        <v/>
      </c>
      <c r="X82" s="66" t="str">
        <f aca="false">IF(ISBLANK($C82),"",IF(AND(ISNUMBER(J82),J82&gt;0),INT(J82),0))</f>
        <v/>
      </c>
      <c r="Y82" s="66" t="str">
        <f aca="false">IF(ISBLANK($C82),"",IF(K82=Constants!$B$2, TRUE(), IF(K82=Constants!$B$3, FALSE(), TRUE())))</f>
        <v/>
      </c>
      <c r="Z82" s="66" t="str">
        <f aca="false">IF(ISBLANK($C82),"",IF(AND(ISNUMBER(L82),L82&gt;0),INT(L82),0))</f>
        <v/>
      </c>
      <c r="AA82" s="68" t="str">
        <f aca="false">IF(ISBLANK($C82),"",IF(ISNUMBER(M82), M82, ""))</f>
        <v/>
      </c>
      <c r="AB82" s="68" t="str">
        <f aca="false">IF(ISBLANK($C82),"",IF(ISNUMBER(N82), N82, ""))</f>
        <v/>
      </c>
      <c r="AC82" s="68" t="str">
        <f aca="false">IF(ISBLANK($C82),"",IF(ISNUMBER(O82), O82, ""))</f>
        <v/>
      </c>
      <c r="AD82" s="69" t="str">
        <f aca="false">IF(ISBLANK($C82),"",IF(ISNUMBER(P82), P82, ""))</f>
        <v/>
      </c>
      <c r="AE82" s="69" t="str">
        <f aca="false">IF(ISBLANK($C82),"",IF(ISNUMBER(Q82), Q82, Constants!$B$13))</f>
        <v/>
      </c>
      <c r="AF82" s="66" t="str">
        <f aca="false">IF(ISBLANK($C82),"",IF(R82=Constants!$B$2, TRUE(), IF(R82=Constants!$B$3, FALSE(), FALSE())))</f>
        <v/>
      </c>
      <c r="AG82" s="66" t="str">
        <f aca="false">IF(ISBLANK(C82), "", IF(AF82, Constants!$B$4,IF(COUNTA(G82:P82)=0, Constants!$B$5, Constants!$B$7)))</f>
        <v/>
      </c>
      <c r="AH82" s="66" t="str">
        <f aca="false">IF(ISBLANK($C82), "",IF($AG82=Constants!$B$7,1,$AG82))</f>
        <v/>
      </c>
      <c r="AI82" s="66" t="str">
        <f aca="false">IF($AG82=Constants!$B$7,POWER(Constants!$B$11,X82)*POWER(Constants!$B$12,Z82),"")</f>
        <v/>
      </c>
      <c r="AJ82" s="66" t="str">
        <f aca="false">IF(AND($AG82=Constants!$B$7, U82, V82) ,IF(OR($AA82="",$AC82=""),"",MAX(0, $AC82-$AA82)),"")</f>
        <v/>
      </c>
      <c r="AK82" s="66" t="str">
        <f aca="false">IF(AND($AG82=Constants!$B$7, U82, V82),IF(OR($AA82="",$AC82=""),$AK$6,""),"")</f>
        <v/>
      </c>
      <c r="AL82" s="66" t="str">
        <f aca="false">IF($AG82=Constants!$B$7,IF(AND(U82,V82,W82,Y82),IF($AJ82="",0,IF($AJ$6=0,Constants!$B$9,Constants!$B$9*AJ82/$AJ$6)), 0),"")</f>
        <v/>
      </c>
      <c r="AM82" s="66" t="str">
        <f aca="false">IF(AL82&lt;&gt;"", AL82*AI82,"")</f>
        <v/>
      </c>
      <c r="AN82" s="66" t="str">
        <f aca="false">IF(AND($AG82=Constants!$B$7, U82, V82) ,IF($AB82="", "", IF(OR($AC82="",$AC82=0),"",MAX(0,1-ABS($AC82-$AB82)/$AC82))),"")</f>
        <v/>
      </c>
      <c r="AO82" s="66" t="str">
        <f aca="false">IF(AND($AG82=Constants!$B$7, U82, V82),IF(AND($AA82&lt;&gt;"",$AB82&lt;&gt;"",$AC82=0),$AO$6,""),"")</f>
        <v/>
      </c>
      <c r="AP82" s="66" t="str">
        <f aca="false">IF($AG82=Constants!$B$7 ,IF(AND(U82,V82,W82,Y82,ISNUMBER(AB82)),IF($AN82="",0,IF($AN$6=0,Constants!$B$10,Constants!$B$10*AN82/$AN$6)), 0),"")</f>
        <v/>
      </c>
      <c r="AQ82" s="66" t="str">
        <f aca="false">IF(AP82&lt;&gt;"", AP82*AI82,"")</f>
        <v/>
      </c>
      <c r="AR82" s="66" t="str">
        <f aca="false">IF($AG82=Constants!$B$7,IF($AD82="",0,IF($AR$6=0,Constants!$B$8,Constants!$B$8*AD82/$AR$6)),"")</f>
        <v/>
      </c>
      <c r="AS82" s="66" t="str">
        <f aca="false">IF($AG82&lt;&gt;Constants!$B$7,$AG82,IF(AK82&amp;AO82&lt;&gt;"",Constants!$B$14,AM82+AQ82+AR82))</f>
        <v/>
      </c>
      <c r="AT82" s="66" t="str">
        <f aca="false">IF(ISBLANK($C82),"",IF($AG82=Constants!$B$7,IF(ISNUMBER(AS82),RANK(AS82,$AS$8:$AS$507),Constants!$B$14),$AG82))</f>
        <v/>
      </c>
      <c r="AU82" s="66" t="str">
        <f aca="false">IF(ISBLANK($C82), "",AM82)</f>
        <v/>
      </c>
      <c r="AV82" s="66" t="str">
        <f aca="false">IF(ISBLANK($C82),"",IF($AG82=Constants!$B$7,RANK(AU82,AU$8:AU$507),$AG82))</f>
        <v/>
      </c>
      <c r="AW82" s="66" t="str">
        <f aca="false">IF(ISBLANK($C82), "",AR82)</f>
        <v/>
      </c>
      <c r="AX82" s="66" t="str">
        <f aca="false">IF(ISBLANK($C82),"",IF($AG82=Constants!$B$7,RANK(AW82,AW$8:AW$507),$AG82))</f>
        <v/>
      </c>
      <c r="AY82" s="66" t="str">
        <f aca="false">IF(ISBLANK($C82), "",AE82)</f>
        <v/>
      </c>
      <c r="AZ82" s="66" t="str">
        <f aca="false">IF(ISBLANK($C82),"",
IF($AG82=Constants!$B$7,
  IF(ISNUMBER(AT82),
    COUNTIFS($AT$8:$AT$507,"&lt;"&amp;$AT82)
    + COUNTIFS($AT$8:$AT$507,$AT82,$AV$8:$AV$507,"&lt;"&amp;$AV82)
    + COUNTIFS($AT$8:$AT$507,$AT82,$AV$8:$AV$507,$AV82,$AX$8:$AX$507,"&lt;"&amp;$AX82)
    + COUNTIFS($AT$8:$AT$507,$AT82,$AV$8:$AV$507,$AV82,$AX$8:$AX$507,$AX82,$AY$8:$AY$507,"&lt;"&amp;$AY82)
    + 1,
  Constants!$B$14),
$AG82))</f>
        <v/>
      </c>
      <c r="BA82" s="66" t="str">
        <f aca="false">IF(ISBLANK(C82),"",IF($AG82=Constants!$B$7, IF(ISNUMBER(AT82),AT82-AZ82,Constants!$B$14),$AG82))</f>
        <v/>
      </c>
      <c r="BB82" s="70"/>
      <c r="BC82" s="84" t="str">
        <f aca="false">IF(ISBLANK($C82),"",TRIM(AK82&amp;" "&amp;AO82))</f>
        <v/>
      </c>
      <c r="BD82" s="72" t="str">
        <f aca="false">IF(ISBLANK($C82),"",IF($AG82&lt;&gt;Constants!$B$7,$AG82,AR82))</f>
        <v/>
      </c>
      <c r="BE82" s="72" t="str">
        <f aca="false">IF(ISBLANK($C82),"",IF($AG82&lt;&gt;Constants!$B$7,$AG82,AM82))</f>
        <v/>
      </c>
      <c r="BF82" s="72" t="str">
        <f aca="false">IF(ISBLANK($C82),"",IF($AG82&lt;&gt;Constants!$B$7,$AG82,AQ82))</f>
        <v/>
      </c>
      <c r="BG82" s="73" t="str">
        <f aca="false">IF(ISBLANK($C82),"",IF($AG82&lt;&gt;Constants!$B$7, $AG82 ,AS82))</f>
        <v/>
      </c>
      <c r="BH82" s="74" t="str">
        <f aca="false">IF(ISBLANK($C82),"",IF($AG82&lt;&gt;Constants!$B$7, $AG82 ,AH82))</f>
        <v/>
      </c>
      <c r="BI82" s="72" t="str">
        <f aca="false">IF(ISBLANK(C82),"",BA82)</f>
        <v/>
      </c>
      <c r="BJ82" s="72" t="str">
        <f aca="false">IF(ISBLANK(C82),"",AZ82)</f>
        <v/>
      </c>
      <c r="BK82" s="75" t="str">
        <f aca="false">IF(ISBLANK(C82),"",IFERROR(_xlfn.SWITCH(BJ82, Constants!$B$4, COUNTA($C$8:$C581)+2, Constants!$B$5, COUNTA($C$8:$C581)+1, Constants!$B$6, COUNTA($C$8:$C581)),BJ82))</f>
        <v/>
      </c>
      <c r="BL82" s="5"/>
      <c r="BM82" s="76" t="n">
        <f aca="false">IF(OR(ISNUMBER(BJ82),BJ82="DQ",BJ82="P",BJ82="NS"),
    1,
    0
)</f>
        <v>0</v>
      </c>
      <c r="BN82" s="76" t="n">
        <v>75</v>
      </c>
      <c r="BO82" s="76" t="str">
        <f aca="false">IF(ISBLANK($C82),"",IF(ISNUMBER(BK82),BK82+ROW($B82)/1000,""))</f>
        <v/>
      </c>
      <c r="BP82" s="76" t="str">
        <f aca="false">IF(ISNUMBER(BO82), RANK(BO82,BO$8:BO$507,1), "")</f>
        <v/>
      </c>
      <c r="BQ82" s="76" t="str">
        <f aca="false">IF(ISBLANK($C82),
    "",
    $B82
)</f>
        <v/>
      </c>
      <c r="BR82" s="76" t="str">
        <f aca="false">IF(ISBLANK($C82),
    "",
    $C82
)</f>
        <v/>
      </c>
      <c r="BS82" s="76" t="str">
        <f aca="false">IF(ISBLANK($C82),
    "",
    $D82
)</f>
        <v/>
      </c>
      <c r="BT82" s="77" t="str">
        <f aca="false">BH82</f>
        <v/>
      </c>
      <c r="BU82" s="78" t="str">
        <f aca="false">BG82</f>
        <v/>
      </c>
      <c r="BV82" s="76" t="str">
        <f aca="false">IF(ISBLANK($C82),
    "",
    BJ82
)</f>
        <v/>
      </c>
      <c r="BW82" s="79" t="str">
        <f aca="false">IF(BN82&gt;BM$7,
    "",
    VLOOKUP(BN82,BP$8:BV581,7,FALSE())
)</f>
        <v/>
      </c>
      <c r="BX82" s="80" t="str">
        <f aca="false">IF(BN82&gt;BM$7,
    "",
    VLOOKUP(BN82,BP$8:BV581,2,FALSE())
)</f>
        <v/>
      </c>
      <c r="BY82" s="80" t="str">
        <f aca="false">IF(BN82&gt;BM$7,
    "",
    VLOOKUP(BN82,BP$8:BV581,3,FALSE())
)</f>
        <v/>
      </c>
      <c r="BZ82" s="80" t="str">
        <f aca="false">IF(BN82&gt;BM$7,
    "",
    VLOOKUP(BN82,BP$8:BV581,4,FALSE())
)</f>
        <v/>
      </c>
      <c r="CA82" s="80" t="str">
        <f aca="false">IF(BN82&gt;BM$7,
    "",
    VLOOKUP(BN82,BP$8:BV581,5,FALSE())
)</f>
        <v/>
      </c>
      <c r="CB82" s="81" t="str">
        <f aca="false">IF(BN82&gt;BM$7,
    "",
    VLOOKUP(BN82,BP$8:BV581,6,FALSE())
)</f>
        <v/>
      </c>
      <c r="CC82" s="53"/>
    </row>
    <row r="83" customFormat="false" ht="15.75" hidden="false" customHeight="false" outlineLevel="0" collapsed="false">
      <c r="A83" s="5"/>
      <c r="B83" s="125"/>
      <c r="C83" s="126"/>
      <c r="D83" s="115"/>
      <c r="E83" s="119"/>
      <c r="F83" s="119"/>
      <c r="G83" s="91"/>
      <c r="H83" s="92"/>
      <c r="I83" s="92"/>
      <c r="J83" s="128"/>
      <c r="K83" s="128"/>
      <c r="L83" s="128"/>
      <c r="M83" s="94"/>
      <c r="N83" s="94"/>
      <c r="O83" s="94"/>
      <c r="P83" s="95"/>
      <c r="Q83" s="96"/>
      <c r="R83" s="128"/>
      <c r="S83" s="98"/>
      <c r="T83" s="99"/>
      <c r="U83" s="99" t="str">
        <f aca="false">IF(ISBLANK($C83),"",IF(G83=Constants!$B$2, TRUE(), IF(G83=Constants!$B$3, FALSE(), TRUE())))</f>
        <v/>
      </c>
      <c r="V83" s="99" t="str">
        <f aca="false">IF(ISBLANK($C83),"",IF(H83=Constants!$B$2, TRUE(), IF(H83=Constants!$B$3, FALSE(), TRUE())))</f>
        <v/>
      </c>
      <c r="W83" s="99" t="str">
        <f aca="false">IF(ISBLANK($C83),"",IF(I83=Constants!$B$2, TRUE(), IF(I83=Constants!$B$3, FALSE(), TRUE())))</f>
        <v/>
      </c>
      <c r="X83" s="99" t="str">
        <f aca="false">IF(ISBLANK($C83),"",IF(AND(ISNUMBER(J83),J83&gt;0),INT(J83),0))</f>
        <v/>
      </c>
      <c r="Y83" s="99" t="str">
        <f aca="false">IF(ISBLANK($C83),"",IF(K83=Constants!$B$2, TRUE(), IF(K83=Constants!$B$3, FALSE(), TRUE())))</f>
        <v/>
      </c>
      <c r="Z83" s="100" t="str">
        <f aca="false">IF(ISBLANK($C83),"",IF(AND(ISNUMBER(L83),L83&gt;0),INT(L83),0))</f>
        <v/>
      </c>
      <c r="AA83" s="101" t="str">
        <f aca="false">IF(ISBLANK($C83),"",IF(ISNUMBER(M83), M83, ""))</f>
        <v/>
      </c>
      <c r="AB83" s="101" t="str">
        <f aca="false">IF(ISBLANK($C83),"",IF(ISNUMBER(N83), N83, ""))</f>
        <v/>
      </c>
      <c r="AC83" s="101" t="str">
        <f aca="false">IF(ISBLANK($C83),"",IF(ISNUMBER(O83), O83, ""))</f>
        <v/>
      </c>
      <c r="AD83" s="102" t="str">
        <f aca="false">IF(ISBLANK($C83),"",IF(ISNUMBER(P83), P83, ""))</f>
        <v/>
      </c>
      <c r="AE83" s="102" t="str">
        <f aca="false">IF(ISBLANK($C83),"",IF(ISNUMBER(Q83), Q83, Constants!$B$13))</f>
        <v/>
      </c>
      <c r="AF83" s="99" t="str">
        <f aca="false">IF(ISBLANK($C83),"",IF(R83=Constants!$B$2, TRUE(), IF(R83=Constants!$B$3, FALSE(), FALSE())))</f>
        <v/>
      </c>
      <c r="AG83" s="99" t="str">
        <f aca="false">IF(ISBLANK(C83), "", IF(AF83, Constants!$B$4,IF(COUNTA(G83:P83)=0, Constants!$B$5, Constants!$B$7)))</f>
        <v/>
      </c>
      <c r="AH83" s="99" t="str">
        <f aca="false">IF(ISBLANK($C83), "",IF($AG83=Constants!$B$7,1,$AG83))</f>
        <v/>
      </c>
      <c r="AI83" s="99" t="str">
        <f aca="false">IF($AG83=Constants!$B$7,POWER(Constants!$B$11,X83)*POWER(Constants!$B$12,Z83),"")</f>
        <v/>
      </c>
      <c r="AJ83" s="99" t="str">
        <f aca="false">IF(AND($AG83=Constants!$B$7, U83, V83) ,IF(OR($AA83="",$AC83=""),"",MAX(0, $AC83-$AA83)),"")</f>
        <v/>
      </c>
      <c r="AK83" s="99" t="str">
        <f aca="false">IF(AND($AG83=Constants!$B$7, U83, V83),IF(OR($AA83="",$AC83=""),$AK$6,""),"")</f>
        <v/>
      </c>
      <c r="AL83" s="99" t="str">
        <f aca="false">IF($AG83=Constants!$B$7,IF(AND(U83,V83,W83,Y83),IF($AJ83="",0,IF($AJ$6=0,Constants!$B$9,Constants!$B$9*AJ83/$AJ$6)), 0),"")</f>
        <v/>
      </c>
      <c r="AM83" s="99" t="str">
        <f aca="false">IF(AL83&lt;&gt;"", AL83*AI83,"")</f>
        <v/>
      </c>
      <c r="AN83" s="99" t="str">
        <f aca="false">IF(AND($AG83=Constants!$B$7, U83, V83) ,IF($AB83="", "", IF(OR($AC83="",$AC83=0),"",MAX(0,1-ABS($AC83-$AB83)/$AC83))),"")</f>
        <v/>
      </c>
      <c r="AO83" s="99" t="str">
        <f aca="false">IF(AND($AG83=Constants!$B$7, U83, V83),IF(AND($AA83&lt;&gt;"",$AB83&lt;&gt;"",$AC83=0),$AO$6,""),"")</f>
        <v/>
      </c>
      <c r="AP83" s="99" t="str">
        <f aca="false">IF($AG83=Constants!$B$7 ,IF(AND(U83,V83,W83,Y83,ISNUMBER(AB83)),IF($AN83="",0,IF($AN$6=0,Constants!$B$10,Constants!$B$10*AN83/$AN$6)), 0),"")</f>
        <v/>
      </c>
      <c r="AQ83" s="99" t="str">
        <f aca="false">IF(AP83&lt;&gt;"", AP83*AI83,"")</f>
        <v/>
      </c>
      <c r="AR83" s="99" t="str">
        <f aca="false">IF($AG83=Constants!$B$7,IF($AD83="",0,IF($AR$6=0,Constants!$B$8,Constants!$B$8*AD83/$AR$6)),"")</f>
        <v/>
      </c>
      <c r="AS83" s="99" t="str">
        <f aca="false">IF($AG83&lt;&gt;Constants!$B$7,$AG83,IF(AK83&amp;AO83&lt;&gt;"",Constants!$B$14,AM83+AQ83+AR83))</f>
        <v/>
      </c>
      <c r="AT83" s="99" t="str">
        <f aca="false">IF(ISBLANK($C83),"",IF($AG83=Constants!$B$7,IF(ISNUMBER(AS83),RANK(AS83,$AS$8:$AS$507),Constants!$B$14),$AG83))</f>
        <v/>
      </c>
      <c r="AU83" s="99" t="str">
        <f aca="false">IF(ISBLANK($C83), "",AM83)</f>
        <v/>
      </c>
      <c r="AV83" s="99" t="str">
        <f aca="false">IF(ISBLANK($C83),"",IF($AG83=Constants!$B$7,RANK(AU83,AU$8:AU$507),$AG83))</f>
        <v/>
      </c>
      <c r="AW83" s="99" t="str">
        <f aca="false">IF(ISBLANK($C83), "",AR83)</f>
        <v/>
      </c>
      <c r="AX83" s="99" t="str">
        <f aca="false">IF(ISBLANK($C83),"",IF($AG83=Constants!$B$7,RANK(AW83,AW$8:AW$507),$AG83))</f>
        <v/>
      </c>
      <c r="AY83" s="99" t="str">
        <f aca="false">IF(ISBLANK($C83), "",AE83)</f>
        <v/>
      </c>
      <c r="AZ83" s="99" t="str">
        <f aca="false">IF(ISBLANK($C83),"",
IF($AG83=Constants!$B$7,
  IF(ISNUMBER(AT83),
    COUNTIFS($AT$8:$AT$507,"&lt;"&amp;$AT83)
    + COUNTIFS($AT$8:$AT$507,$AT83,$AV$8:$AV$507,"&lt;"&amp;$AV83)
    + COUNTIFS($AT$8:$AT$507,$AT83,$AV$8:$AV$507,$AV83,$AX$8:$AX$507,"&lt;"&amp;$AX83)
    + COUNTIFS($AT$8:$AT$507,$AT83,$AV$8:$AV$507,$AV83,$AX$8:$AX$507,$AX83,$AY$8:$AY$507,"&lt;"&amp;$AY83)
    + 1,
  Constants!$B$14),
$AG83))</f>
        <v/>
      </c>
      <c r="BA83" s="99" t="str">
        <f aca="false">IF(ISBLANK(C83),"",IF($AG83=Constants!$B$7, IF(ISNUMBER(AT83),AT83-AZ83,Constants!$B$14),$AG83))</f>
        <v/>
      </c>
      <c r="BB83" s="103"/>
      <c r="BC83" s="104" t="str">
        <f aca="false">IF(ISBLANK($C83),"",TRIM(AK83&amp;" "&amp;AO83))</f>
        <v/>
      </c>
      <c r="BD83" s="105" t="str">
        <f aca="false">IF(ISBLANK($C83),"",IF($AG83&lt;&gt;Constants!$B$7,$AG83,AR83))</f>
        <v/>
      </c>
      <c r="BE83" s="105" t="str">
        <f aca="false">IF(ISBLANK($C83),"",IF($AG83&lt;&gt;Constants!$B$7,$AG83,AM83))</f>
        <v/>
      </c>
      <c r="BF83" s="105" t="str">
        <f aca="false">IF(ISBLANK($C83),"",IF($AG83&lt;&gt;Constants!$B$7,$AG83,AQ83))</f>
        <v/>
      </c>
      <c r="BG83" s="106" t="str">
        <f aca="false">IF(ISBLANK($C83),"",IF($AG83&lt;&gt;Constants!$B$7, $AG83 ,AS83))</f>
        <v/>
      </c>
      <c r="BH83" s="107" t="str">
        <f aca="false">IF(ISBLANK($C83),"",IF($AG83&lt;&gt;Constants!$B$7, $AG83 ,AH83))</f>
        <v/>
      </c>
      <c r="BI83" s="105" t="str">
        <f aca="false">IF(ISBLANK(C83),"",BA83)</f>
        <v/>
      </c>
      <c r="BJ83" s="105" t="str">
        <f aca="false">IF(ISBLANK(C83),"",AZ83)</f>
        <v/>
      </c>
      <c r="BK83" s="108" t="str">
        <f aca="false">IF(ISBLANK(C83),"",IFERROR(_xlfn.SWITCH(BJ83, Constants!$B$4, COUNTA($C$8:$C582)+2, Constants!$B$5, COUNTA($C$8:$C582)+1, Constants!$B$6, COUNTA($C$8:$C582)),BJ83))</f>
        <v/>
      </c>
      <c r="BL83" s="5"/>
      <c r="BM83" s="109" t="n">
        <f aca="false">IF(OR(ISNUMBER(BJ83),BJ83="DQ",BJ83="P",BJ83="NS"),
    1,
    0
)</f>
        <v>0</v>
      </c>
      <c r="BN83" s="109" t="n">
        <v>76</v>
      </c>
      <c r="BO83" s="109" t="str">
        <f aca="false">IF(ISBLANK($C83),"",IF(ISNUMBER(BK83),BK83+ROW($B83)/1000,""))</f>
        <v/>
      </c>
      <c r="BP83" s="109" t="str">
        <f aca="false">IF(ISNUMBER(BO83), RANK(BO83,BO$8:BO$507,1), "")</f>
        <v/>
      </c>
      <c r="BQ83" s="109" t="str">
        <f aca="false">IF(ISBLANK($C83),
    "",
    $B83
)</f>
        <v/>
      </c>
      <c r="BR83" s="109" t="str">
        <f aca="false">IF(ISBLANK($C83),
    "",
    $C83
)</f>
        <v/>
      </c>
      <c r="BS83" s="109" t="str">
        <f aca="false">IF(ISBLANK($C83),
    "",
    $D83
)</f>
        <v/>
      </c>
      <c r="BT83" s="110" t="str">
        <f aca="false">BH83</f>
        <v/>
      </c>
      <c r="BU83" s="111" t="str">
        <f aca="false">BG83</f>
        <v/>
      </c>
      <c r="BV83" s="109" t="str">
        <f aca="false">IF(ISBLANK($C83),
    "",
    BJ83
)</f>
        <v/>
      </c>
      <c r="BW83" s="112" t="str">
        <f aca="false">IF(BN83&gt;BM$7,
    "",
    VLOOKUP(BN83,BP$8:BV582,7,FALSE())
)</f>
        <v/>
      </c>
      <c r="BX83" s="113" t="str">
        <f aca="false">IF(BN83&gt;BM$7,
    "",
    VLOOKUP(BN83,BP$8:BV582,2,FALSE())
)</f>
        <v/>
      </c>
      <c r="BY83" s="113" t="str">
        <f aca="false">IF(BN83&gt;BM$7,
    "",
    VLOOKUP(BN83,BP$8:BV582,3,FALSE())
)</f>
        <v/>
      </c>
      <c r="BZ83" s="113" t="str">
        <f aca="false">IF(BN83&gt;BM$7,
    "",
    VLOOKUP(BN83,BP$8:BV582,4,FALSE())
)</f>
        <v/>
      </c>
      <c r="CA83" s="113" t="str">
        <f aca="false">IF(BN83&gt;BM$7,
    "",
    VLOOKUP(BN83,BP$8:BV582,5,FALSE())
)</f>
        <v/>
      </c>
      <c r="CB83" s="114" t="str">
        <f aca="false">IF(BN83&gt;BM$7,
    "",
    VLOOKUP(BN83,BP$8:BV582,6,FALSE())
)</f>
        <v/>
      </c>
      <c r="CC83" s="53"/>
    </row>
    <row r="84" customFormat="false" ht="15.75" hidden="false" customHeight="false" outlineLevel="0" collapsed="false">
      <c r="A84" s="5"/>
      <c r="B84" s="125"/>
      <c r="C84" s="126"/>
      <c r="D84" s="115"/>
      <c r="E84" s="119"/>
      <c r="F84" s="119"/>
      <c r="G84" s="91"/>
      <c r="H84" s="92"/>
      <c r="I84" s="92"/>
      <c r="J84" s="128"/>
      <c r="K84" s="128"/>
      <c r="L84" s="128"/>
      <c r="M84" s="94"/>
      <c r="N84" s="94"/>
      <c r="O84" s="94"/>
      <c r="P84" s="95"/>
      <c r="Q84" s="96"/>
      <c r="R84" s="128"/>
      <c r="S84" s="98"/>
      <c r="T84" s="99"/>
      <c r="U84" s="99" t="str">
        <f aca="false">IF(ISBLANK($C84),"",IF(G84=Constants!$B$2, TRUE(), IF(G84=Constants!$B$3, FALSE(), TRUE())))</f>
        <v/>
      </c>
      <c r="V84" s="99" t="str">
        <f aca="false">IF(ISBLANK($C84),"",IF(H84=Constants!$B$2, TRUE(), IF(H84=Constants!$B$3, FALSE(), TRUE())))</f>
        <v/>
      </c>
      <c r="W84" s="99" t="str">
        <f aca="false">IF(ISBLANK($C84),"",IF(I84=Constants!$B$2, TRUE(), IF(I84=Constants!$B$3, FALSE(), TRUE())))</f>
        <v/>
      </c>
      <c r="X84" s="99" t="str">
        <f aca="false">IF(ISBLANK($C84),"",IF(AND(ISNUMBER(J84),J84&gt;0),INT(J84),0))</f>
        <v/>
      </c>
      <c r="Y84" s="99" t="str">
        <f aca="false">IF(ISBLANK($C84),"",IF(K84=Constants!$B$2, TRUE(), IF(K84=Constants!$B$3, FALSE(), TRUE())))</f>
        <v/>
      </c>
      <c r="Z84" s="100" t="str">
        <f aca="false">IF(ISBLANK($C84),"",IF(AND(ISNUMBER(L84),L84&gt;0),INT(L84),0))</f>
        <v/>
      </c>
      <c r="AA84" s="101" t="str">
        <f aca="false">IF(ISBLANK($C84),"",IF(ISNUMBER(M84), M84, ""))</f>
        <v/>
      </c>
      <c r="AB84" s="101" t="str">
        <f aca="false">IF(ISBLANK($C84),"",IF(ISNUMBER(N84), N84, ""))</f>
        <v/>
      </c>
      <c r="AC84" s="101" t="str">
        <f aca="false">IF(ISBLANK($C84),"",IF(ISNUMBER(O84), O84, ""))</f>
        <v/>
      </c>
      <c r="AD84" s="102" t="str">
        <f aca="false">IF(ISBLANK($C84),"",IF(ISNUMBER(P84), P84, ""))</f>
        <v/>
      </c>
      <c r="AE84" s="102" t="str">
        <f aca="false">IF(ISBLANK($C84),"",IF(ISNUMBER(Q84), Q84, Constants!$B$13))</f>
        <v/>
      </c>
      <c r="AF84" s="99" t="str">
        <f aca="false">IF(ISBLANK($C84),"",IF(R84=Constants!$B$2, TRUE(), IF(R84=Constants!$B$3, FALSE(), FALSE())))</f>
        <v/>
      </c>
      <c r="AG84" s="99" t="str">
        <f aca="false">IF(ISBLANK(C84), "", IF(AF84, Constants!$B$4,IF(COUNTA(G84:P84)=0, Constants!$B$5, Constants!$B$7)))</f>
        <v/>
      </c>
      <c r="AH84" s="99" t="str">
        <f aca="false">IF(ISBLANK($C84), "",IF($AG84=Constants!$B$7,1,$AG84))</f>
        <v/>
      </c>
      <c r="AI84" s="99" t="str">
        <f aca="false">IF($AG84=Constants!$B$7,POWER(Constants!$B$11,X84)*POWER(Constants!$B$12,Z84),"")</f>
        <v/>
      </c>
      <c r="AJ84" s="99" t="str">
        <f aca="false">IF(AND($AG84=Constants!$B$7, U84, V84) ,IF(OR($AA84="",$AC84=""),"",MAX(0, $AC84-$AA84)),"")</f>
        <v/>
      </c>
      <c r="AK84" s="99" t="str">
        <f aca="false">IF(AND($AG84=Constants!$B$7, U84, V84),IF(OR($AA84="",$AC84=""),$AK$6,""),"")</f>
        <v/>
      </c>
      <c r="AL84" s="99" t="str">
        <f aca="false">IF($AG84=Constants!$B$7,IF(AND(U84,V84,W84,Y84),IF($AJ84="",0,IF($AJ$6=0,Constants!$B$9,Constants!$B$9*AJ84/$AJ$6)), 0),"")</f>
        <v/>
      </c>
      <c r="AM84" s="99" t="str">
        <f aca="false">IF(AL84&lt;&gt;"", AL84*AI84,"")</f>
        <v/>
      </c>
      <c r="AN84" s="99" t="str">
        <f aca="false">IF(AND($AG84=Constants!$B$7, U84, V84) ,IF($AB84="", "", IF(OR($AC84="",$AC84=0),"",MAX(0,1-ABS($AC84-$AB84)/$AC84))),"")</f>
        <v/>
      </c>
      <c r="AO84" s="99" t="str">
        <f aca="false">IF(AND($AG84=Constants!$B$7, U84, V84),IF(AND($AA84&lt;&gt;"",$AB84&lt;&gt;"",$AC84=0),$AO$6,""),"")</f>
        <v/>
      </c>
      <c r="AP84" s="99" t="str">
        <f aca="false">IF($AG84=Constants!$B$7 ,IF(AND(U84,V84,W84,Y84,ISNUMBER(AB84)),IF($AN84="",0,IF($AN$6=0,Constants!$B$10,Constants!$B$10*AN84/$AN$6)), 0),"")</f>
        <v/>
      </c>
      <c r="AQ84" s="99" t="str">
        <f aca="false">IF(AP84&lt;&gt;"", AP84*AI84,"")</f>
        <v/>
      </c>
      <c r="AR84" s="99" t="str">
        <f aca="false">IF($AG84=Constants!$B$7,IF($AD84="",0,IF($AR$6=0,Constants!$B$8,Constants!$B$8*AD84/$AR$6)),"")</f>
        <v/>
      </c>
      <c r="AS84" s="99" t="str">
        <f aca="false">IF($AG84&lt;&gt;Constants!$B$7,$AG84,IF(AK84&amp;AO84&lt;&gt;"",Constants!$B$14,AM84+AQ84+AR84))</f>
        <v/>
      </c>
      <c r="AT84" s="99" t="str">
        <f aca="false">IF(ISBLANK($C84),"",IF($AG84=Constants!$B$7,IF(ISNUMBER(AS84),RANK(AS84,$AS$8:$AS$507),Constants!$B$14),$AG84))</f>
        <v/>
      </c>
      <c r="AU84" s="99" t="str">
        <f aca="false">IF(ISBLANK($C84), "",AM84)</f>
        <v/>
      </c>
      <c r="AV84" s="99" t="str">
        <f aca="false">IF(ISBLANK($C84),"",IF($AG84=Constants!$B$7,RANK(AU84,AU$8:AU$507),$AG84))</f>
        <v/>
      </c>
      <c r="AW84" s="99" t="str">
        <f aca="false">IF(ISBLANK($C84), "",AR84)</f>
        <v/>
      </c>
      <c r="AX84" s="99" t="str">
        <f aca="false">IF(ISBLANK($C84),"",IF($AG84=Constants!$B$7,RANK(AW84,AW$8:AW$507),$AG84))</f>
        <v/>
      </c>
      <c r="AY84" s="99" t="str">
        <f aca="false">IF(ISBLANK($C84), "",AE84)</f>
        <v/>
      </c>
      <c r="AZ84" s="99" t="str">
        <f aca="false">IF(ISBLANK($C84),"",
IF($AG84=Constants!$B$7,
  IF(ISNUMBER(AT84),
    COUNTIFS($AT$8:$AT$507,"&lt;"&amp;$AT84)
    + COUNTIFS($AT$8:$AT$507,$AT84,$AV$8:$AV$507,"&lt;"&amp;$AV84)
    + COUNTIFS($AT$8:$AT$507,$AT84,$AV$8:$AV$507,$AV84,$AX$8:$AX$507,"&lt;"&amp;$AX84)
    + COUNTIFS($AT$8:$AT$507,$AT84,$AV$8:$AV$507,$AV84,$AX$8:$AX$507,$AX84,$AY$8:$AY$507,"&lt;"&amp;$AY84)
    + 1,
  Constants!$B$14),
$AG84))</f>
        <v/>
      </c>
      <c r="BA84" s="99" t="str">
        <f aca="false">IF(ISBLANK(C84),"",IF($AG84=Constants!$B$7, IF(ISNUMBER(AT84),AT84-AZ84,Constants!$B$14),$AG84))</f>
        <v/>
      </c>
      <c r="BB84" s="103"/>
      <c r="BC84" s="104" t="str">
        <f aca="false">IF(ISBLANK($C84),"",TRIM(AK84&amp;" "&amp;AO84))</f>
        <v/>
      </c>
      <c r="BD84" s="105" t="str">
        <f aca="false">IF(ISBLANK($C84),"",IF($AG84&lt;&gt;Constants!$B$7,$AG84,AR84))</f>
        <v/>
      </c>
      <c r="BE84" s="105" t="str">
        <f aca="false">IF(ISBLANK($C84),"",IF($AG84&lt;&gt;Constants!$B$7,$AG84,AM84))</f>
        <v/>
      </c>
      <c r="BF84" s="105" t="str">
        <f aca="false">IF(ISBLANK($C84),"",IF($AG84&lt;&gt;Constants!$B$7,$AG84,AQ84))</f>
        <v/>
      </c>
      <c r="BG84" s="106" t="str">
        <f aca="false">IF(ISBLANK($C84),"",IF($AG84&lt;&gt;Constants!$B$7, $AG84 ,AS84))</f>
        <v/>
      </c>
      <c r="BH84" s="107" t="str">
        <f aca="false">IF(ISBLANK($C84),"",IF($AG84&lt;&gt;Constants!$B$7, $AG84 ,AH84))</f>
        <v/>
      </c>
      <c r="BI84" s="105" t="str">
        <f aca="false">IF(ISBLANK(C84),"",BA84)</f>
        <v/>
      </c>
      <c r="BJ84" s="105" t="str">
        <f aca="false">IF(ISBLANK(C84),"",AZ84)</f>
        <v/>
      </c>
      <c r="BK84" s="108" t="str">
        <f aca="false">IF(ISBLANK(C84),"",IFERROR(_xlfn.SWITCH(BJ84, Constants!$B$4, COUNTA($C$8:$C583)+2, Constants!$B$5, COUNTA($C$8:$C583)+1, Constants!$B$6, COUNTA($C$8:$C583)),BJ84))</f>
        <v/>
      </c>
      <c r="BL84" s="5"/>
      <c r="BM84" s="109" t="n">
        <f aca="false">IF(OR(ISNUMBER(BJ84),BJ84="DQ",BJ84="P",BJ84="NS"),
    1,
    0
)</f>
        <v>0</v>
      </c>
      <c r="BN84" s="109" t="n">
        <v>77</v>
      </c>
      <c r="BO84" s="109" t="str">
        <f aca="false">IF(ISBLANK($C84),"",IF(ISNUMBER(BK84),BK84+ROW($B84)/1000,""))</f>
        <v/>
      </c>
      <c r="BP84" s="109" t="str">
        <f aca="false">IF(ISNUMBER(BO84), RANK(BO84,BO$8:BO$507,1), "")</f>
        <v/>
      </c>
      <c r="BQ84" s="109" t="str">
        <f aca="false">IF(ISBLANK($C84),
    "",
    $B84
)</f>
        <v/>
      </c>
      <c r="BR84" s="109" t="str">
        <f aca="false">IF(ISBLANK($C84),
    "",
    $C84
)</f>
        <v/>
      </c>
      <c r="BS84" s="109" t="str">
        <f aca="false">IF(ISBLANK($C84),
    "",
    $D84
)</f>
        <v/>
      </c>
      <c r="BT84" s="110" t="str">
        <f aca="false">BH84</f>
        <v/>
      </c>
      <c r="BU84" s="111" t="str">
        <f aca="false">BG84</f>
        <v/>
      </c>
      <c r="BV84" s="109" t="str">
        <f aca="false">IF(ISBLANK($C84),
    "",
    BJ84
)</f>
        <v/>
      </c>
      <c r="BW84" s="112" t="str">
        <f aca="false">IF(BN84&gt;BM$7,
    "",
    VLOOKUP(BN84,BP$8:BV583,7,FALSE())
)</f>
        <v/>
      </c>
      <c r="BX84" s="113" t="str">
        <f aca="false">IF(BN84&gt;BM$7,
    "",
    VLOOKUP(BN84,BP$8:BV583,2,FALSE())
)</f>
        <v/>
      </c>
      <c r="BY84" s="113" t="str">
        <f aca="false">IF(BN84&gt;BM$7,
    "",
    VLOOKUP(BN84,BP$8:BV583,3,FALSE())
)</f>
        <v/>
      </c>
      <c r="BZ84" s="113" t="str">
        <f aca="false">IF(BN84&gt;BM$7,
    "",
    VLOOKUP(BN84,BP$8:BV583,4,FALSE())
)</f>
        <v/>
      </c>
      <c r="CA84" s="113" t="str">
        <f aca="false">IF(BN84&gt;BM$7,
    "",
    VLOOKUP(BN84,BP$8:BV583,5,FALSE())
)</f>
        <v/>
      </c>
      <c r="CB84" s="114" t="str">
        <f aca="false">IF(BN84&gt;BM$7,
    "",
    VLOOKUP(BN84,BP$8:BV583,6,FALSE())
)</f>
        <v/>
      </c>
      <c r="CC84" s="53"/>
    </row>
    <row r="85" customFormat="false" ht="15.75" hidden="false" customHeight="false" outlineLevel="0" collapsed="false">
      <c r="A85" s="5"/>
      <c r="B85" s="125"/>
      <c r="C85" s="126"/>
      <c r="D85" s="115"/>
      <c r="E85" s="119"/>
      <c r="F85" s="119"/>
      <c r="G85" s="91"/>
      <c r="H85" s="92"/>
      <c r="I85" s="92"/>
      <c r="J85" s="128"/>
      <c r="K85" s="128"/>
      <c r="L85" s="128"/>
      <c r="M85" s="94"/>
      <c r="N85" s="94"/>
      <c r="O85" s="94"/>
      <c r="P85" s="95"/>
      <c r="Q85" s="96"/>
      <c r="R85" s="128"/>
      <c r="S85" s="98"/>
      <c r="T85" s="99"/>
      <c r="U85" s="99" t="str">
        <f aca="false">IF(ISBLANK($C85),"",IF(G85=Constants!$B$2, TRUE(), IF(G85=Constants!$B$3, FALSE(), TRUE())))</f>
        <v/>
      </c>
      <c r="V85" s="99" t="str">
        <f aca="false">IF(ISBLANK($C85),"",IF(H85=Constants!$B$2, TRUE(), IF(H85=Constants!$B$3, FALSE(), TRUE())))</f>
        <v/>
      </c>
      <c r="W85" s="99" t="str">
        <f aca="false">IF(ISBLANK($C85),"",IF(I85=Constants!$B$2, TRUE(), IF(I85=Constants!$B$3, FALSE(), TRUE())))</f>
        <v/>
      </c>
      <c r="X85" s="99" t="str">
        <f aca="false">IF(ISBLANK($C85),"",IF(AND(ISNUMBER(J85),J85&gt;0),INT(J85),0))</f>
        <v/>
      </c>
      <c r="Y85" s="99" t="str">
        <f aca="false">IF(ISBLANK($C85),"",IF(K85=Constants!$B$2, TRUE(), IF(K85=Constants!$B$3, FALSE(), TRUE())))</f>
        <v/>
      </c>
      <c r="Z85" s="100" t="str">
        <f aca="false">IF(ISBLANK($C85),"",IF(AND(ISNUMBER(L85),L85&gt;0),INT(L85),0))</f>
        <v/>
      </c>
      <c r="AA85" s="101" t="str">
        <f aca="false">IF(ISBLANK($C85),"",IF(ISNUMBER(M85), M85, ""))</f>
        <v/>
      </c>
      <c r="AB85" s="101" t="str">
        <f aca="false">IF(ISBLANK($C85),"",IF(ISNUMBER(N85), N85, ""))</f>
        <v/>
      </c>
      <c r="AC85" s="101" t="str">
        <f aca="false">IF(ISBLANK($C85),"",IF(ISNUMBER(O85), O85, ""))</f>
        <v/>
      </c>
      <c r="AD85" s="102" t="str">
        <f aca="false">IF(ISBLANK($C85),"",IF(ISNUMBER(P85), P85, ""))</f>
        <v/>
      </c>
      <c r="AE85" s="102" t="str">
        <f aca="false">IF(ISBLANK($C85),"",IF(ISNUMBER(Q85), Q85, Constants!$B$13))</f>
        <v/>
      </c>
      <c r="AF85" s="99" t="str">
        <f aca="false">IF(ISBLANK($C85),"",IF(R85=Constants!$B$2, TRUE(), IF(R85=Constants!$B$3, FALSE(), FALSE())))</f>
        <v/>
      </c>
      <c r="AG85" s="99" t="str">
        <f aca="false">IF(ISBLANK(C85), "", IF(AF85, Constants!$B$4,IF(COUNTA(G85:P85)=0, Constants!$B$5, Constants!$B$7)))</f>
        <v/>
      </c>
      <c r="AH85" s="99" t="str">
        <f aca="false">IF(ISBLANK($C85), "",IF($AG85=Constants!$B$7,1,$AG85))</f>
        <v/>
      </c>
      <c r="AI85" s="99" t="str">
        <f aca="false">IF($AG85=Constants!$B$7,POWER(Constants!$B$11,X85)*POWER(Constants!$B$12,Z85),"")</f>
        <v/>
      </c>
      <c r="AJ85" s="99" t="str">
        <f aca="false">IF(AND($AG85=Constants!$B$7, U85, V85) ,IF(OR($AA85="",$AC85=""),"",MAX(0, $AC85-$AA85)),"")</f>
        <v/>
      </c>
      <c r="AK85" s="99" t="str">
        <f aca="false">IF(AND($AG85=Constants!$B$7, U85, V85),IF(OR($AA85="",$AC85=""),$AK$6,""),"")</f>
        <v/>
      </c>
      <c r="AL85" s="99" t="str">
        <f aca="false">IF($AG85=Constants!$B$7,IF(AND(U85,V85,W85,Y85),IF($AJ85="",0,IF($AJ$6=0,Constants!$B$9,Constants!$B$9*AJ85/$AJ$6)), 0),"")</f>
        <v/>
      </c>
      <c r="AM85" s="99" t="str">
        <f aca="false">IF(AL85&lt;&gt;"", AL85*AI85,"")</f>
        <v/>
      </c>
      <c r="AN85" s="99" t="str">
        <f aca="false">IF(AND($AG85=Constants!$B$7, U85, V85) ,IF($AB85="", "", IF(OR($AC85="",$AC85=0),"",MAX(0,1-ABS($AC85-$AB85)/$AC85))),"")</f>
        <v/>
      </c>
      <c r="AO85" s="99" t="str">
        <f aca="false">IF(AND($AG85=Constants!$B$7, U85, V85),IF(AND($AA85&lt;&gt;"",$AB85&lt;&gt;"",$AC85=0),$AO$6,""),"")</f>
        <v/>
      </c>
      <c r="AP85" s="99" t="str">
        <f aca="false">IF($AG85=Constants!$B$7 ,IF(AND(U85,V85,W85,Y85,ISNUMBER(AB85)),IF($AN85="",0,IF($AN$6=0,Constants!$B$10,Constants!$B$10*AN85/$AN$6)), 0),"")</f>
        <v/>
      </c>
      <c r="AQ85" s="99" t="str">
        <f aca="false">IF(AP85&lt;&gt;"", AP85*AI85,"")</f>
        <v/>
      </c>
      <c r="AR85" s="99" t="str">
        <f aca="false">IF($AG85=Constants!$B$7,IF($AD85="",0,IF($AR$6=0,Constants!$B$8,Constants!$B$8*AD85/$AR$6)),"")</f>
        <v/>
      </c>
      <c r="AS85" s="99" t="str">
        <f aca="false">IF($AG85&lt;&gt;Constants!$B$7,$AG85,IF(AK85&amp;AO85&lt;&gt;"",Constants!$B$14,AM85+AQ85+AR85))</f>
        <v/>
      </c>
      <c r="AT85" s="99" t="str">
        <f aca="false">IF(ISBLANK($C85),"",IF($AG85=Constants!$B$7,IF(ISNUMBER(AS85),RANK(AS85,$AS$8:$AS$507),Constants!$B$14),$AG85))</f>
        <v/>
      </c>
      <c r="AU85" s="99" t="str">
        <f aca="false">IF(ISBLANK($C85), "",AM85)</f>
        <v/>
      </c>
      <c r="AV85" s="99" t="str">
        <f aca="false">IF(ISBLANK($C85),"",IF($AG85=Constants!$B$7,RANK(AU85,AU$8:AU$507),$AG85))</f>
        <v/>
      </c>
      <c r="AW85" s="99" t="str">
        <f aca="false">IF(ISBLANK($C85), "",AR85)</f>
        <v/>
      </c>
      <c r="AX85" s="99" t="str">
        <f aca="false">IF(ISBLANK($C85),"",IF($AG85=Constants!$B$7,RANK(AW85,AW$8:AW$507),$AG85))</f>
        <v/>
      </c>
      <c r="AY85" s="99" t="str">
        <f aca="false">IF(ISBLANK($C85), "",AE85)</f>
        <v/>
      </c>
      <c r="AZ85" s="99" t="str">
        <f aca="false">IF(ISBLANK($C85),"",
IF($AG85=Constants!$B$7,
  IF(ISNUMBER(AT85),
    COUNTIFS($AT$8:$AT$507,"&lt;"&amp;$AT85)
    + COUNTIFS($AT$8:$AT$507,$AT85,$AV$8:$AV$507,"&lt;"&amp;$AV85)
    + COUNTIFS($AT$8:$AT$507,$AT85,$AV$8:$AV$507,$AV85,$AX$8:$AX$507,"&lt;"&amp;$AX85)
    + COUNTIFS($AT$8:$AT$507,$AT85,$AV$8:$AV$507,$AV85,$AX$8:$AX$507,$AX85,$AY$8:$AY$507,"&lt;"&amp;$AY85)
    + 1,
  Constants!$B$14),
$AG85))</f>
        <v/>
      </c>
      <c r="BA85" s="99" t="str">
        <f aca="false">IF(ISBLANK(C85),"",IF($AG85=Constants!$B$7, IF(ISNUMBER(AT85),AT85-AZ85,Constants!$B$14),$AG85))</f>
        <v/>
      </c>
      <c r="BB85" s="103"/>
      <c r="BC85" s="104" t="str">
        <f aca="false">IF(ISBLANK($C85),"",TRIM(AK85&amp;" "&amp;AO85))</f>
        <v/>
      </c>
      <c r="BD85" s="105" t="str">
        <f aca="false">IF(ISBLANK($C85),"",IF($AG85&lt;&gt;Constants!$B$7,$AG85,AR85))</f>
        <v/>
      </c>
      <c r="BE85" s="105" t="str">
        <f aca="false">IF(ISBLANK($C85),"",IF($AG85&lt;&gt;Constants!$B$7,$AG85,AM85))</f>
        <v/>
      </c>
      <c r="BF85" s="105" t="str">
        <f aca="false">IF(ISBLANK($C85),"",IF($AG85&lt;&gt;Constants!$B$7,$AG85,AQ85))</f>
        <v/>
      </c>
      <c r="BG85" s="106" t="str">
        <f aca="false">IF(ISBLANK($C85),"",IF($AG85&lt;&gt;Constants!$B$7, $AG85 ,AS85))</f>
        <v/>
      </c>
      <c r="BH85" s="107" t="str">
        <f aca="false">IF(ISBLANK($C85),"",IF($AG85&lt;&gt;Constants!$B$7, $AG85 ,AH85))</f>
        <v/>
      </c>
      <c r="BI85" s="105" t="str">
        <f aca="false">IF(ISBLANK(C85),"",BA85)</f>
        <v/>
      </c>
      <c r="BJ85" s="105" t="str">
        <f aca="false">IF(ISBLANK(C85),"",AZ85)</f>
        <v/>
      </c>
      <c r="BK85" s="108" t="str">
        <f aca="false">IF(ISBLANK(C85),"",IFERROR(_xlfn.SWITCH(BJ85, Constants!$B$4, COUNTA($C$8:$C584)+2, Constants!$B$5, COUNTA($C$8:$C584)+1, Constants!$B$6, COUNTA($C$8:$C584)),BJ85))</f>
        <v/>
      </c>
      <c r="BL85" s="5"/>
      <c r="BM85" s="109" t="n">
        <f aca="false">IF(OR(ISNUMBER(BJ85),BJ85="DQ",BJ85="P",BJ85="NS"),
    1,
    0
)</f>
        <v>0</v>
      </c>
      <c r="BN85" s="109" t="n">
        <v>78</v>
      </c>
      <c r="BO85" s="109" t="str">
        <f aca="false">IF(ISBLANK($C85),"",IF(ISNUMBER(BK85),BK85+ROW($B85)/1000,""))</f>
        <v/>
      </c>
      <c r="BP85" s="109" t="str">
        <f aca="false">IF(ISNUMBER(BO85), RANK(BO85,BO$8:BO$507,1), "")</f>
        <v/>
      </c>
      <c r="BQ85" s="109" t="str">
        <f aca="false">IF(ISBLANK($C85),
    "",
    $B85
)</f>
        <v/>
      </c>
      <c r="BR85" s="109" t="str">
        <f aca="false">IF(ISBLANK($C85),
    "",
    $C85
)</f>
        <v/>
      </c>
      <c r="BS85" s="109" t="str">
        <f aca="false">IF(ISBLANK($C85),
    "",
    $D85
)</f>
        <v/>
      </c>
      <c r="BT85" s="110" t="str">
        <f aca="false">BH85</f>
        <v/>
      </c>
      <c r="BU85" s="111" t="str">
        <f aca="false">BG85</f>
        <v/>
      </c>
      <c r="BV85" s="109" t="str">
        <f aca="false">IF(ISBLANK($C85),
    "",
    BJ85
)</f>
        <v/>
      </c>
      <c r="BW85" s="112" t="str">
        <f aca="false">IF(BN85&gt;BM$7,
    "",
    VLOOKUP(BN85,BP$8:BV584,7,FALSE())
)</f>
        <v/>
      </c>
      <c r="BX85" s="113" t="str">
        <f aca="false">IF(BN85&gt;BM$7,
    "",
    VLOOKUP(BN85,BP$8:BV584,2,FALSE())
)</f>
        <v/>
      </c>
      <c r="BY85" s="113" t="str">
        <f aca="false">IF(BN85&gt;BM$7,
    "",
    VLOOKUP(BN85,BP$8:BV584,3,FALSE())
)</f>
        <v/>
      </c>
      <c r="BZ85" s="113" t="str">
        <f aca="false">IF(BN85&gt;BM$7,
    "",
    VLOOKUP(BN85,BP$8:BV584,4,FALSE())
)</f>
        <v/>
      </c>
      <c r="CA85" s="113" t="str">
        <f aca="false">IF(BN85&gt;BM$7,
    "",
    VLOOKUP(BN85,BP$8:BV584,5,FALSE())
)</f>
        <v/>
      </c>
      <c r="CB85" s="114" t="str">
        <f aca="false">IF(BN85&gt;BM$7,
    "",
    VLOOKUP(BN85,BP$8:BV584,6,FALSE())
)</f>
        <v/>
      </c>
      <c r="CC85" s="53"/>
    </row>
    <row r="86" customFormat="false" ht="15.75" hidden="false" customHeight="false" outlineLevel="0" collapsed="false">
      <c r="A86" s="5"/>
      <c r="B86" s="129"/>
      <c r="C86" s="55"/>
      <c r="D86" s="56"/>
      <c r="E86" s="123"/>
      <c r="F86" s="123"/>
      <c r="G86" s="58"/>
      <c r="H86" s="59"/>
      <c r="I86" s="59"/>
      <c r="J86" s="83"/>
      <c r="K86" s="83"/>
      <c r="L86" s="83"/>
      <c r="M86" s="61"/>
      <c r="N86" s="61"/>
      <c r="O86" s="61"/>
      <c r="P86" s="62"/>
      <c r="Q86" s="63"/>
      <c r="R86" s="83"/>
      <c r="S86" s="65"/>
      <c r="T86" s="66"/>
      <c r="U86" s="66" t="str">
        <f aca="false">IF(ISBLANK($C86),"",IF(G86=Constants!$B$2, TRUE(), IF(G86=Constants!$B$3, FALSE(), TRUE())))</f>
        <v/>
      </c>
      <c r="V86" s="66" t="str">
        <f aca="false">IF(ISBLANK($C86),"",IF(H86=Constants!$B$2, TRUE(), IF(H86=Constants!$B$3, FALSE(), TRUE())))</f>
        <v/>
      </c>
      <c r="W86" s="66" t="str">
        <f aca="false">IF(ISBLANK($C86),"",IF(I86=Constants!$B$2, TRUE(), IF(I86=Constants!$B$3, FALSE(), TRUE())))</f>
        <v/>
      </c>
      <c r="X86" s="66" t="str">
        <f aca="false">IF(ISBLANK($C86),"",IF(AND(ISNUMBER(J86),J86&gt;0),INT(J86),0))</f>
        <v/>
      </c>
      <c r="Y86" s="66" t="str">
        <f aca="false">IF(ISBLANK($C86),"",IF(K86=Constants!$B$2, TRUE(), IF(K86=Constants!$B$3, FALSE(), TRUE())))</f>
        <v/>
      </c>
      <c r="Z86" s="66" t="str">
        <f aca="false">IF(ISBLANK($C86),"",IF(AND(ISNUMBER(L86),L86&gt;0),INT(L86),0))</f>
        <v/>
      </c>
      <c r="AA86" s="68" t="str">
        <f aca="false">IF(ISBLANK($C86),"",IF(ISNUMBER(M86), M86, ""))</f>
        <v/>
      </c>
      <c r="AB86" s="68" t="str">
        <f aca="false">IF(ISBLANK($C86),"",IF(ISNUMBER(N86), N86, ""))</f>
        <v/>
      </c>
      <c r="AC86" s="68" t="str">
        <f aca="false">IF(ISBLANK($C86),"",IF(ISNUMBER(O86), O86, ""))</f>
        <v/>
      </c>
      <c r="AD86" s="69" t="str">
        <f aca="false">IF(ISBLANK($C86),"",IF(ISNUMBER(P86), P86, ""))</f>
        <v/>
      </c>
      <c r="AE86" s="69" t="str">
        <f aca="false">IF(ISBLANK($C86),"",IF(ISNUMBER(Q86), Q86, Constants!$B$13))</f>
        <v/>
      </c>
      <c r="AF86" s="66" t="str">
        <f aca="false">IF(ISBLANK($C86),"",IF(R86=Constants!$B$2, TRUE(), IF(R86=Constants!$B$3, FALSE(), FALSE())))</f>
        <v/>
      </c>
      <c r="AG86" s="66" t="str">
        <f aca="false">IF(ISBLANK(C86), "", IF(AF86, Constants!$B$4,IF(COUNTA(G86:P86)=0, Constants!$B$5, Constants!$B$7)))</f>
        <v/>
      </c>
      <c r="AH86" s="66" t="str">
        <f aca="false">IF(ISBLANK($C86), "",IF($AG86=Constants!$B$7,1,$AG86))</f>
        <v/>
      </c>
      <c r="AI86" s="66" t="str">
        <f aca="false">IF($AG86=Constants!$B$7,POWER(Constants!$B$11,X86)*POWER(Constants!$B$12,Z86),"")</f>
        <v/>
      </c>
      <c r="AJ86" s="66" t="str">
        <f aca="false">IF(AND($AG86=Constants!$B$7, U86, V86) ,IF(OR($AA86="",$AC86=""),"",MAX(0, $AC86-$AA86)),"")</f>
        <v/>
      </c>
      <c r="AK86" s="66" t="str">
        <f aca="false">IF(AND($AG86=Constants!$B$7, U86, V86),IF(OR($AA86="",$AC86=""),$AK$6,""),"")</f>
        <v/>
      </c>
      <c r="AL86" s="66" t="str">
        <f aca="false">IF($AG86=Constants!$B$7,IF(AND(U86,V86,W86,Y86),IF($AJ86="",0,IF($AJ$6=0,Constants!$B$9,Constants!$B$9*AJ86/$AJ$6)), 0),"")</f>
        <v/>
      </c>
      <c r="AM86" s="66" t="str">
        <f aca="false">IF(AL86&lt;&gt;"", AL86*AI86,"")</f>
        <v/>
      </c>
      <c r="AN86" s="66" t="str">
        <f aca="false">IF(AND($AG86=Constants!$B$7, U86, V86) ,IF($AB86="", "", IF(OR($AC86="",$AC86=0),"",MAX(0,1-ABS($AC86-$AB86)/$AC86))),"")</f>
        <v/>
      </c>
      <c r="AO86" s="66" t="str">
        <f aca="false">IF(AND($AG86=Constants!$B$7, U86, V86),IF(AND($AA86&lt;&gt;"",$AB86&lt;&gt;"",$AC86=0),$AO$6,""),"")</f>
        <v/>
      </c>
      <c r="AP86" s="66" t="str">
        <f aca="false">IF($AG86=Constants!$B$7 ,IF(AND(U86,V86,W86,Y86,ISNUMBER(AB86)),IF($AN86="",0,IF($AN$6=0,Constants!$B$10,Constants!$B$10*AN86/$AN$6)), 0),"")</f>
        <v/>
      </c>
      <c r="AQ86" s="66" t="str">
        <f aca="false">IF(AP86&lt;&gt;"", AP86*AI86,"")</f>
        <v/>
      </c>
      <c r="AR86" s="66" t="str">
        <f aca="false">IF($AG86=Constants!$B$7,IF($AD86="",0,IF($AR$6=0,Constants!$B$8,Constants!$B$8*AD86/$AR$6)),"")</f>
        <v/>
      </c>
      <c r="AS86" s="66" t="str">
        <f aca="false">IF($AG86&lt;&gt;Constants!$B$7,$AG86,IF(AK86&amp;AO86&lt;&gt;"",Constants!$B$14,AM86+AQ86+AR86))</f>
        <v/>
      </c>
      <c r="AT86" s="66" t="str">
        <f aca="false">IF(ISBLANK($C86),"",IF($AG86=Constants!$B$7,IF(ISNUMBER(AS86),RANK(AS86,$AS$8:$AS$507),Constants!$B$14),$AG86))</f>
        <v/>
      </c>
      <c r="AU86" s="66" t="str">
        <f aca="false">IF(ISBLANK($C86), "",AM86)</f>
        <v/>
      </c>
      <c r="AV86" s="66" t="str">
        <f aca="false">IF(ISBLANK($C86),"",IF($AG86=Constants!$B$7,RANK(AU86,AU$8:AU$507),$AG86))</f>
        <v/>
      </c>
      <c r="AW86" s="66" t="str">
        <f aca="false">IF(ISBLANK($C86), "",AR86)</f>
        <v/>
      </c>
      <c r="AX86" s="66" t="str">
        <f aca="false">IF(ISBLANK($C86),"",IF($AG86=Constants!$B$7,RANK(AW86,AW$8:AW$507),$AG86))</f>
        <v/>
      </c>
      <c r="AY86" s="66" t="str">
        <f aca="false">IF(ISBLANK($C86), "",AE86)</f>
        <v/>
      </c>
      <c r="AZ86" s="66" t="str">
        <f aca="false">IF(ISBLANK($C86),"",
IF($AG86=Constants!$B$7,
  IF(ISNUMBER(AT86),
    COUNTIFS($AT$8:$AT$507,"&lt;"&amp;$AT86)
    + COUNTIFS($AT$8:$AT$507,$AT86,$AV$8:$AV$507,"&lt;"&amp;$AV86)
    + COUNTIFS($AT$8:$AT$507,$AT86,$AV$8:$AV$507,$AV86,$AX$8:$AX$507,"&lt;"&amp;$AX86)
    + COUNTIFS($AT$8:$AT$507,$AT86,$AV$8:$AV$507,$AV86,$AX$8:$AX$507,$AX86,$AY$8:$AY$507,"&lt;"&amp;$AY86)
    + 1,
  Constants!$B$14),
$AG86))</f>
        <v/>
      </c>
      <c r="BA86" s="66" t="str">
        <f aca="false">IF(ISBLANK(C86),"",IF($AG86=Constants!$B$7, IF(ISNUMBER(AT86),AT86-AZ86,Constants!$B$14),$AG86))</f>
        <v/>
      </c>
      <c r="BB86" s="70"/>
      <c r="BC86" s="84" t="str">
        <f aca="false">IF(ISBLANK($C86),"",TRIM(AK86&amp;" "&amp;AO86))</f>
        <v/>
      </c>
      <c r="BD86" s="72" t="str">
        <f aca="false">IF(ISBLANK($C86),"",IF($AG86&lt;&gt;Constants!$B$7,$AG86,AR86))</f>
        <v/>
      </c>
      <c r="BE86" s="72" t="str">
        <f aca="false">IF(ISBLANK($C86),"",IF($AG86&lt;&gt;Constants!$B$7,$AG86,AM86))</f>
        <v/>
      </c>
      <c r="BF86" s="72" t="str">
        <f aca="false">IF(ISBLANK($C86),"",IF($AG86&lt;&gt;Constants!$B$7,$AG86,AQ86))</f>
        <v/>
      </c>
      <c r="BG86" s="73" t="str">
        <f aca="false">IF(ISBLANK($C86),"",IF($AG86&lt;&gt;Constants!$B$7, $AG86 ,AS86))</f>
        <v/>
      </c>
      <c r="BH86" s="74" t="str">
        <f aca="false">IF(ISBLANK($C86),"",IF($AG86&lt;&gt;Constants!$B$7, $AG86 ,AH86))</f>
        <v/>
      </c>
      <c r="BI86" s="72" t="str">
        <f aca="false">IF(ISBLANK(C86),"",BA86)</f>
        <v/>
      </c>
      <c r="BJ86" s="72" t="str">
        <f aca="false">IF(ISBLANK(C86),"",AZ86)</f>
        <v/>
      </c>
      <c r="BK86" s="75" t="str">
        <f aca="false">IF(ISBLANK(C86),"",IFERROR(_xlfn.SWITCH(BJ86, Constants!$B$4, COUNTA($C$8:$C585)+2, Constants!$B$5, COUNTA($C$8:$C585)+1, Constants!$B$6, COUNTA($C$8:$C585)),BJ86))</f>
        <v/>
      </c>
      <c r="BL86" s="5"/>
      <c r="BM86" s="76" t="n">
        <f aca="false">IF(OR(ISNUMBER(BJ86),BJ86="DQ",BJ86="P",BJ86="NS"),
    1,
    0
)</f>
        <v>0</v>
      </c>
      <c r="BN86" s="76" t="n">
        <v>79</v>
      </c>
      <c r="BO86" s="76" t="str">
        <f aca="false">IF(ISBLANK($C86),"",IF(ISNUMBER(BK86),BK86+ROW($B86)/1000,""))</f>
        <v/>
      </c>
      <c r="BP86" s="76" t="str">
        <f aca="false">IF(ISNUMBER(BO86), RANK(BO86,BO$8:BO$507,1), "")</f>
        <v/>
      </c>
      <c r="BQ86" s="76" t="str">
        <f aca="false">IF(ISBLANK($C86),
    "",
    $B86
)</f>
        <v/>
      </c>
      <c r="BR86" s="76" t="str">
        <f aca="false">IF(ISBLANK($C86),
    "",
    $C86
)</f>
        <v/>
      </c>
      <c r="BS86" s="76" t="str">
        <f aca="false">IF(ISBLANK($C86),
    "",
    $D86
)</f>
        <v/>
      </c>
      <c r="BT86" s="77" t="str">
        <f aca="false">BH86</f>
        <v/>
      </c>
      <c r="BU86" s="78" t="str">
        <f aca="false">BG86</f>
        <v/>
      </c>
      <c r="BV86" s="76" t="str">
        <f aca="false">IF(ISBLANK($C86),
    "",
    BJ86
)</f>
        <v/>
      </c>
      <c r="BW86" s="79" t="str">
        <f aca="false">IF(BN86&gt;BM$7,
    "",
    VLOOKUP(BN86,BP$8:BV585,7,FALSE())
)</f>
        <v/>
      </c>
      <c r="BX86" s="80" t="str">
        <f aca="false">IF(BN86&gt;BM$7,
    "",
    VLOOKUP(BN86,BP$8:BV585,2,FALSE())
)</f>
        <v/>
      </c>
      <c r="BY86" s="80" t="str">
        <f aca="false">IF(BN86&gt;BM$7,
    "",
    VLOOKUP(BN86,BP$8:BV585,3,FALSE())
)</f>
        <v/>
      </c>
      <c r="BZ86" s="80" t="str">
        <f aca="false">IF(BN86&gt;BM$7,
    "",
    VLOOKUP(BN86,BP$8:BV585,4,FALSE())
)</f>
        <v/>
      </c>
      <c r="CA86" s="80" t="str">
        <f aca="false">IF(BN86&gt;BM$7,
    "",
    VLOOKUP(BN86,BP$8:BV585,5,FALSE())
)</f>
        <v/>
      </c>
      <c r="CB86" s="81" t="str">
        <f aca="false">IF(BN86&gt;BM$7,
    "",
    VLOOKUP(BN86,BP$8:BV585,6,FALSE())
)</f>
        <v/>
      </c>
      <c r="CC86" s="53"/>
    </row>
    <row r="87" customFormat="false" ht="15.75" hidden="false" customHeight="false" outlineLevel="0" collapsed="false">
      <c r="A87" s="5"/>
      <c r="B87" s="129"/>
      <c r="C87" s="55"/>
      <c r="D87" s="56"/>
      <c r="E87" s="123"/>
      <c r="F87" s="123"/>
      <c r="G87" s="58"/>
      <c r="H87" s="59"/>
      <c r="I87" s="59"/>
      <c r="J87" s="83"/>
      <c r="K87" s="83"/>
      <c r="L87" s="83"/>
      <c r="M87" s="61"/>
      <c r="N87" s="61"/>
      <c r="O87" s="61"/>
      <c r="P87" s="62"/>
      <c r="Q87" s="63"/>
      <c r="R87" s="83"/>
      <c r="S87" s="65"/>
      <c r="T87" s="66"/>
      <c r="U87" s="66" t="str">
        <f aca="false">IF(ISBLANK($C87),"",IF(G87=Constants!$B$2, TRUE(), IF(G87=Constants!$B$3, FALSE(), TRUE())))</f>
        <v/>
      </c>
      <c r="V87" s="66" t="str">
        <f aca="false">IF(ISBLANK($C87),"",IF(H87=Constants!$B$2, TRUE(), IF(H87=Constants!$B$3, FALSE(), TRUE())))</f>
        <v/>
      </c>
      <c r="W87" s="66" t="str">
        <f aca="false">IF(ISBLANK($C87),"",IF(I87=Constants!$B$2, TRUE(), IF(I87=Constants!$B$3, FALSE(), TRUE())))</f>
        <v/>
      </c>
      <c r="X87" s="66" t="str">
        <f aca="false">IF(ISBLANK($C87),"",IF(AND(ISNUMBER(J87),J87&gt;0),INT(J87),0))</f>
        <v/>
      </c>
      <c r="Y87" s="66" t="str">
        <f aca="false">IF(ISBLANK($C87),"",IF(K87=Constants!$B$2, TRUE(), IF(K87=Constants!$B$3, FALSE(), TRUE())))</f>
        <v/>
      </c>
      <c r="Z87" s="66" t="str">
        <f aca="false">IF(ISBLANK($C87),"",IF(AND(ISNUMBER(L87),L87&gt;0),INT(L87),0))</f>
        <v/>
      </c>
      <c r="AA87" s="68" t="str">
        <f aca="false">IF(ISBLANK($C87),"",IF(ISNUMBER(M87), M87, ""))</f>
        <v/>
      </c>
      <c r="AB87" s="68" t="str">
        <f aca="false">IF(ISBLANK($C87),"",IF(ISNUMBER(N87), N87, ""))</f>
        <v/>
      </c>
      <c r="AC87" s="68" t="str">
        <f aca="false">IF(ISBLANK($C87),"",IF(ISNUMBER(O87), O87, ""))</f>
        <v/>
      </c>
      <c r="AD87" s="69" t="str">
        <f aca="false">IF(ISBLANK($C87),"",IF(ISNUMBER(P87), P87, ""))</f>
        <v/>
      </c>
      <c r="AE87" s="69" t="str">
        <f aca="false">IF(ISBLANK($C87),"",IF(ISNUMBER(Q87), Q87, Constants!$B$13))</f>
        <v/>
      </c>
      <c r="AF87" s="66" t="str">
        <f aca="false">IF(ISBLANK($C87),"",IF(R87=Constants!$B$2, TRUE(), IF(R87=Constants!$B$3, FALSE(), FALSE())))</f>
        <v/>
      </c>
      <c r="AG87" s="66" t="str">
        <f aca="false">IF(ISBLANK(C87), "", IF(AF87, Constants!$B$4,IF(COUNTA(G87:P87)=0, Constants!$B$5, Constants!$B$7)))</f>
        <v/>
      </c>
      <c r="AH87" s="66" t="str">
        <f aca="false">IF(ISBLANK($C87), "",IF($AG87=Constants!$B$7,1,$AG87))</f>
        <v/>
      </c>
      <c r="AI87" s="66" t="str">
        <f aca="false">IF($AG87=Constants!$B$7,POWER(Constants!$B$11,X87)*POWER(Constants!$B$12,Z87),"")</f>
        <v/>
      </c>
      <c r="AJ87" s="66" t="str">
        <f aca="false">IF(AND($AG87=Constants!$B$7, U87, V87) ,IF(OR($AA87="",$AC87=""),"",MAX(0, $AC87-$AA87)),"")</f>
        <v/>
      </c>
      <c r="AK87" s="66" t="str">
        <f aca="false">IF(AND($AG87=Constants!$B$7, U87, V87),IF(OR($AA87="",$AC87=""),$AK$6,""),"")</f>
        <v/>
      </c>
      <c r="AL87" s="66" t="str">
        <f aca="false">IF($AG87=Constants!$B$7,IF(AND(U87,V87,W87,Y87),IF($AJ87="",0,IF($AJ$6=0,Constants!$B$9,Constants!$B$9*AJ87/$AJ$6)), 0),"")</f>
        <v/>
      </c>
      <c r="AM87" s="66" t="str">
        <f aca="false">IF(AL87&lt;&gt;"", AL87*AI87,"")</f>
        <v/>
      </c>
      <c r="AN87" s="66" t="str">
        <f aca="false">IF(AND($AG87=Constants!$B$7, U87, V87) ,IF($AB87="", "", IF(OR($AC87="",$AC87=0),"",MAX(0,1-ABS($AC87-$AB87)/$AC87))),"")</f>
        <v/>
      </c>
      <c r="AO87" s="66" t="str">
        <f aca="false">IF(AND($AG87=Constants!$B$7, U87, V87),IF(AND($AA87&lt;&gt;"",$AB87&lt;&gt;"",$AC87=0),$AO$6,""),"")</f>
        <v/>
      </c>
      <c r="AP87" s="66" t="str">
        <f aca="false">IF($AG87=Constants!$B$7 ,IF(AND(U87,V87,W87,Y87,ISNUMBER(AB87)),IF($AN87="",0,IF($AN$6=0,Constants!$B$10,Constants!$B$10*AN87/$AN$6)), 0),"")</f>
        <v/>
      </c>
      <c r="AQ87" s="66" t="str">
        <f aca="false">IF(AP87&lt;&gt;"", AP87*AI87,"")</f>
        <v/>
      </c>
      <c r="AR87" s="66" t="str">
        <f aca="false">IF($AG87=Constants!$B$7,IF($AD87="",0,IF($AR$6=0,Constants!$B$8,Constants!$B$8*AD87/$AR$6)),"")</f>
        <v/>
      </c>
      <c r="AS87" s="66" t="str">
        <f aca="false">IF($AG87&lt;&gt;Constants!$B$7,$AG87,IF(AK87&amp;AO87&lt;&gt;"",Constants!$B$14,AM87+AQ87+AR87))</f>
        <v/>
      </c>
      <c r="AT87" s="66" t="str">
        <f aca="false">IF(ISBLANK($C87),"",IF($AG87=Constants!$B$7,IF(ISNUMBER(AS87),RANK(AS87,$AS$8:$AS$507),Constants!$B$14),$AG87))</f>
        <v/>
      </c>
      <c r="AU87" s="66" t="str">
        <f aca="false">IF(ISBLANK($C87), "",AM87)</f>
        <v/>
      </c>
      <c r="AV87" s="66" t="str">
        <f aca="false">IF(ISBLANK($C87),"",IF($AG87=Constants!$B$7,RANK(AU87,AU$8:AU$507),$AG87))</f>
        <v/>
      </c>
      <c r="AW87" s="66" t="str">
        <f aca="false">IF(ISBLANK($C87), "",AR87)</f>
        <v/>
      </c>
      <c r="AX87" s="66" t="str">
        <f aca="false">IF(ISBLANK($C87),"",IF($AG87=Constants!$B$7,RANK(AW87,AW$8:AW$507),$AG87))</f>
        <v/>
      </c>
      <c r="AY87" s="66" t="str">
        <f aca="false">IF(ISBLANK($C87), "",AE87)</f>
        <v/>
      </c>
      <c r="AZ87" s="66" t="str">
        <f aca="false">IF(ISBLANK($C87),"",
IF($AG87=Constants!$B$7,
  IF(ISNUMBER(AT87),
    COUNTIFS($AT$8:$AT$507,"&lt;"&amp;$AT87)
    + COUNTIFS($AT$8:$AT$507,$AT87,$AV$8:$AV$507,"&lt;"&amp;$AV87)
    + COUNTIFS($AT$8:$AT$507,$AT87,$AV$8:$AV$507,$AV87,$AX$8:$AX$507,"&lt;"&amp;$AX87)
    + COUNTIFS($AT$8:$AT$507,$AT87,$AV$8:$AV$507,$AV87,$AX$8:$AX$507,$AX87,$AY$8:$AY$507,"&lt;"&amp;$AY87)
    + 1,
  Constants!$B$14),
$AG87))</f>
        <v/>
      </c>
      <c r="BA87" s="66" t="str">
        <f aca="false">IF(ISBLANK(C87),"",IF($AG87=Constants!$B$7, IF(ISNUMBER(AT87),AT87-AZ87,Constants!$B$14),$AG87))</f>
        <v/>
      </c>
      <c r="BB87" s="70"/>
      <c r="BC87" s="84" t="str">
        <f aca="false">IF(ISBLANK($C87),"",TRIM(AK87&amp;" "&amp;AO87))</f>
        <v/>
      </c>
      <c r="BD87" s="72" t="str">
        <f aca="false">IF(ISBLANK($C87),"",IF($AG87&lt;&gt;Constants!$B$7,$AG87,AR87))</f>
        <v/>
      </c>
      <c r="BE87" s="72" t="str">
        <f aca="false">IF(ISBLANK($C87),"",IF($AG87&lt;&gt;Constants!$B$7,$AG87,AM87))</f>
        <v/>
      </c>
      <c r="BF87" s="72" t="str">
        <f aca="false">IF(ISBLANK($C87),"",IF($AG87&lt;&gt;Constants!$B$7,$AG87,AQ87))</f>
        <v/>
      </c>
      <c r="BG87" s="73" t="str">
        <f aca="false">IF(ISBLANK($C87),"",IF($AG87&lt;&gt;Constants!$B$7, $AG87 ,AS87))</f>
        <v/>
      </c>
      <c r="BH87" s="74" t="str">
        <f aca="false">IF(ISBLANK($C87),"",IF($AG87&lt;&gt;Constants!$B$7, $AG87 ,AH87))</f>
        <v/>
      </c>
      <c r="BI87" s="72" t="str">
        <f aca="false">IF(ISBLANK(C87),"",BA87)</f>
        <v/>
      </c>
      <c r="BJ87" s="72" t="str">
        <f aca="false">IF(ISBLANK(C87),"",AZ87)</f>
        <v/>
      </c>
      <c r="BK87" s="75" t="str">
        <f aca="false">IF(ISBLANK(C87),"",IFERROR(_xlfn.SWITCH(BJ87, Constants!$B$4, COUNTA($C$8:$C586)+2, Constants!$B$5, COUNTA($C$8:$C586)+1, Constants!$B$6, COUNTA($C$8:$C586)),BJ87))</f>
        <v/>
      </c>
      <c r="BL87" s="5"/>
      <c r="BM87" s="76" t="n">
        <f aca="false">IF(OR(ISNUMBER(BJ87),BJ87="DQ",BJ87="P",BJ87="NS"),
    1,
    0
)</f>
        <v>0</v>
      </c>
      <c r="BN87" s="76" t="n">
        <v>80</v>
      </c>
      <c r="BO87" s="76" t="str">
        <f aca="false">IF(ISBLANK($C87),"",IF(ISNUMBER(BK87),BK87+ROW($B87)/1000,""))</f>
        <v/>
      </c>
      <c r="BP87" s="76" t="str">
        <f aca="false">IF(ISNUMBER(BO87), RANK(BO87,BO$8:BO$507,1), "")</f>
        <v/>
      </c>
      <c r="BQ87" s="76" t="str">
        <f aca="false">IF(ISBLANK($C87),
    "",
    $B87
)</f>
        <v/>
      </c>
      <c r="BR87" s="76" t="str">
        <f aca="false">IF(ISBLANK($C87),
    "",
    $C87
)</f>
        <v/>
      </c>
      <c r="BS87" s="76" t="str">
        <f aca="false">IF(ISBLANK($C87),
    "",
    $D87
)</f>
        <v/>
      </c>
      <c r="BT87" s="77" t="str">
        <f aca="false">BH87</f>
        <v/>
      </c>
      <c r="BU87" s="78" t="str">
        <f aca="false">BG87</f>
        <v/>
      </c>
      <c r="BV87" s="76" t="str">
        <f aca="false">IF(ISBLANK($C87),
    "",
    BJ87
)</f>
        <v/>
      </c>
      <c r="BW87" s="79" t="str">
        <f aca="false">IF(BN87&gt;BM$7,
    "",
    VLOOKUP(BN87,BP$8:BV586,7,FALSE())
)</f>
        <v/>
      </c>
      <c r="BX87" s="80" t="str">
        <f aca="false">IF(BN87&gt;BM$7,
    "",
    VLOOKUP(BN87,BP$8:BV586,2,FALSE())
)</f>
        <v/>
      </c>
      <c r="BY87" s="80" t="str">
        <f aca="false">IF(BN87&gt;BM$7,
    "",
    VLOOKUP(BN87,BP$8:BV586,3,FALSE())
)</f>
        <v/>
      </c>
      <c r="BZ87" s="80" t="str">
        <f aca="false">IF(BN87&gt;BM$7,
    "",
    VLOOKUP(BN87,BP$8:BV586,4,FALSE())
)</f>
        <v/>
      </c>
      <c r="CA87" s="80" t="str">
        <f aca="false">IF(BN87&gt;BM$7,
    "",
    VLOOKUP(BN87,BP$8:BV586,5,FALSE())
)</f>
        <v/>
      </c>
      <c r="CB87" s="81" t="str">
        <f aca="false">IF(BN87&gt;BM$7,
    "",
    VLOOKUP(BN87,BP$8:BV586,6,FALSE())
)</f>
        <v/>
      </c>
      <c r="CC87" s="53"/>
    </row>
    <row r="88" customFormat="false" ht="15.75" hidden="false" customHeight="false" outlineLevel="0" collapsed="false">
      <c r="A88" s="5"/>
      <c r="B88" s="129"/>
      <c r="C88" s="55"/>
      <c r="D88" s="56"/>
      <c r="E88" s="123"/>
      <c r="F88" s="123"/>
      <c r="G88" s="58"/>
      <c r="H88" s="59"/>
      <c r="I88" s="59"/>
      <c r="J88" s="83"/>
      <c r="K88" s="83"/>
      <c r="L88" s="83"/>
      <c r="M88" s="61"/>
      <c r="N88" s="61"/>
      <c r="O88" s="61"/>
      <c r="P88" s="62"/>
      <c r="Q88" s="63"/>
      <c r="R88" s="83"/>
      <c r="S88" s="65"/>
      <c r="T88" s="66"/>
      <c r="U88" s="66" t="str">
        <f aca="false">IF(ISBLANK($C88),"",IF(G88=Constants!$B$2, TRUE(), IF(G88=Constants!$B$3, FALSE(), TRUE())))</f>
        <v/>
      </c>
      <c r="V88" s="66" t="str">
        <f aca="false">IF(ISBLANK($C88),"",IF(H88=Constants!$B$2, TRUE(), IF(H88=Constants!$B$3, FALSE(), TRUE())))</f>
        <v/>
      </c>
      <c r="W88" s="66" t="str">
        <f aca="false">IF(ISBLANK($C88),"",IF(I88=Constants!$B$2, TRUE(), IF(I88=Constants!$B$3, FALSE(), TRUE())))</f>
        <v/>
      </c>
      <c r="X88" s="66" t="str">
        <f aca="false">IF(ISBLANK($C88),"",IF(AND(ISNUMBER(J88),J88&gt;0),INT(J88),0))</f>
        <v/>
      </c>
      <c r="Y88" s="66" t="str">
        <f aca="false">IF(ISBLANK($C88),"",IF(K88=Constants!$B$2, TRUE(), IF(K88=Constants!$B$3, FALSE(), TRUE())))</f>
        <v/>
      </c>
      <c r="Z88" s="66" t="str">
        <f aca="false">IF(ISBLANK($C88),"",IF(AND(ISNUMBER(L88),L88&gt;0),INT(L88),0))</f>
        <v/>
      </c>
      <c r="AA88" s="68" t="str">
        <f aca="false">IF(ISBLANK($C88),"",IF(ISNUMBER(M88), M88, ""))</f>
        <v/>
      </c>
      <c r="AB88" s="68" t="str">
        <f aca="false">IF(ISBLANK($C88),"",IF(ISNUMBER(N88), N88, ""))</f>
        <v/>
      </c>
      <c r="AC88" s="68" t="str">
        <f aca="false">IF(ISBLANK($C88),"",IF(ISNUMBER(O88), O88, ""))</f>
        <v/>
      </c>
      <c r="AD88" s="69" t="str">
        <f aca="false">IF(ISBLANK($C88),"",IF(ISNUMBER(P88), P88, ""))</f>
        <v/>
      </c>
      <c r="AE88" s="69" t="str">
        <f aca="false">IF(ISBLANK($C88),"",IF(ISNUMBER(Q88), Q88, Constants!$B$13))</f>
        <v/>
      </c>
      <c r="AF88" s="66" t="str">
        <f aca="false">IF(ISBLANK($C88),"",IF(R88=Constants!$B$2, TRUE(), IF(R88=Constants!$B$3, FALSE(), FALSE())))</f>
        <v/>
      </c>
      <c r="AG88" s="66" t="str">
        <f aca="false">IF(ISBLANK(C88), "", IF(AF88, Constants!$B$4,IF(COUNTA(G88:P88)=0, Constants!$B$5, Constants!$B$7)))</f>
        <v/>
      </c>
      <c r="AH88" s="66" t="str">
        <f aca="false">IF(ISBLANK($C88), "",IF($AG88=Constants!$B$7,1,$AG88))</f>
        <v/>
      </c>
      <c r="AI88" s="66" t="str">
        <f aca="false">IF($AG88=Constants!$B$7,POWER(Constants!$B$11,X88)*POWER(Constants!$B$12,Z88),"")</f>
        <v/>
      </c>
      <c r="AJ88" s="66" t="str">
        <f aca="false">IF(AND($AG88=Constants!$B$7, U88, V88) ,IF(OR($AA88="",$AC88=""),"",MAX(0, $AC88-$AA88)),"")</f>
        <v/>
      </c>
      <c r="AK88" s="66" t="str">
        <f aca="false">IF(AND($AG88=Constants!$B$7, U88, V88),IF(OR($AA88="",$AC88=""),$AK$6,""),"")</f>
        <v/>
      </c>
      <c r="AL88" s="66" t="str">
        <f aca="false">IF($AG88=Constants!$B$7,IF(AND(U88,V88,W88,Y88),IF($AJ88="",0,IF($AJ$6=0,Constants!$B$9,Constants!$B$9*AJ88/$AJ$6)), 0),"")</f>
        <v/>
      </c>
      <c r="AM88" s="66" t="str">
        <f aca="false">IF(AL88&lt;&gt;"", AL88*AI88,"")</f>
        <v/>
      </c>
      <c r="AN88" s="66" t="str">
        <f aca="false">IF(AND($AG88=Constants!$B$7, U88, V88) ,IF($AB88="", "", IF(OR($AC88="",$AC88=0),"",MAX(0,1-ABS($AC88-$AB88)/$AC88))),"")</f>
        <v/>
      </c>
      <c r="AO88" s="66" t="str">
        <f aca="false">IF(AND($AG88=Constants!$B$7, U88, V88),IF(AND($AA88&lt;&gt;"",$AB88&lt;&gt;"",$AC88=0),$AO$6,""),"")</f>
        <v/>
      </c>
      <c r="AP88" s="66" t="str">
        <f aca="false">IF($AG88=Constants!$B$7 ,IF(AND(U88,V88,W88,Y88,ISNUMBER(AB88)),IF($AN88="",0,IF($AN$6=0,Constants!$B$10,Constants!$B$10*AN88/$AN$6)), 0),"")</f>
        <v/>
      </c>
      <c r="AQ88" s="66" t="str">
        <f aca="false">IF(AP88&lt;&gt;"", AP88*AI88,"")</f>
        <v/>
      </c>
      <c r="AR88" s="66" t="str">
        <f aca="false">IF($AG88=Constants!$B$7,IF($AD88="",0,IF($AR$6=0,Constants!$B$8,Constants!$B$8*AD88/$AR$6)),"")</f>
        <v/>
      </c>
      <c r="AS88" s="66" t="str">
        <f aca="false">IF($AG88&lt;&gt;Constants!$B$7,$AG88,IF(AK88&amp;AO88&lt;&gt;"",Constants!$B$14,AM88+AQ88+AR88))</f>
        <v/>
      </c>
      <c r="AT88" s="66" t="str">
        <f aca="false">IF(ISBLANK($C88),"",IF($AG88=Constants!$B$7,IF(ISNUMBER(AS88),RANK(AS88,$AS$8:$AS$507),Constants!$B$14),$AG88))</f>
        <v/>
      </c>
      <c r="AU88" s="66" t="str">
        <f aca="false">IF(ISBLANK($C88), "",AM88)</f>
        <v/>
      </c>
      <c r="AV88" s="66" t="str">
        <f aca="false">IF(ISBLANK($C88),"",IF($AG88=Constants!$B$7,RANK(AU88,AU$8:AU$507),$AG88))</f>
        <v/>
      </c>
      <c r="AW88" s="66" t="str">
        <f aca="false">IF(ISBLANK($C88), "",AR88)</f>
        <v/>
      </c>
      <c r="AX88" s="66" t="str">
        <f aca="false">IF(ISBLANK($C88),"",IF($AG88=Constants!$B$7,RANK(AW88,AW$8:AW$507),$AG88))</f>
        <v/>
      </c>
      <c r="AY88" s="66" t="str">
        <f aca="false">IF(ISBLANK($C88), "",AE88)</f>
        <v/>
      </c>
      <c r="AZ88" s="66" t="str">
        <f aca="false">IF(ISBLANK($C88),"",
IF($AG88=Constants!$B$7,
  IF(ISNUMBER(AT88),
    COUNTIFS($AT$8:$AT$507,"&lt;"&amp;$AT88)
    + COUNTIFS($AT$8:$AT$507,$AT88,$AV$8:$AV$507,"&lt;"&amp;$AV88)
    + COUNTIFS($AT$8:$AT$507,$AT88,$AV$8:$AV$507,$AV88,$AX$8:$AX$507,"&lt;"&amp;$AX88)
    + COUNTIFS($AT$8:$AT$507,$AT88,$AV$8:$AV$507,$AV88,$AX$8:$AX$507,$AX88,$AY$8:$AY$507,"&lt;"&amp;$AY88)
    + 1,
  Constants!$B$14),
$AG88))</f>
        <v/>
      </c>
      <c r="BA88" s="66" t="str">
        <f aca="false">IF(ISBLANK(C88),"",IF($AG88=Constants!$B$7, IF(ISNUMBER(AT88),AT88-AZ88,Constants!$B$14),$AG88))</f>
        <v/>
      </c>
      <c r="BB88" s="70"/>
      <c r="BC88" s="84" t="str">
        <f aca="false">IF(ISBLANK($C88),"",TRIM(AK88&amp;" "&amp;AO88))</f>
        <v/>
      </c>
      <c r="BD88" s="72" t="str">
        <f aca="false">IF(ISBLANK($C88),"",IF($AG88&lt;&gt;Constants!$B$7,$AG88,AR88))</f>
        <v/>
      </c>
      <c r="BE88" s="72" t="str">
        <f aca="false">IF(ISBLANK($C88),"",IF($AG88&lt;&gt;Constants!$B$7,$AG88,AM88))</f>
        <v/>
      </c>
      <c r="BF88" s="72" t="str">
        <f aca="false">IF(ISBLANK($C88),"",IF($AG88&lt;&gt;Constants!$B$7,$AG88,AQ88))</f>
        <v/>
      </c>
      <c r="BG88" s="73" t="str">
        <f aca="false">IF(ISBLANK($C88),"",IF($AG88&lt;&gt;Constants!$B$7, $AG88 ,AS88))</f>
        <v/>
      </c>
      <c r="BH88" s="74" t="str">
        <f aca="false">IF(ISBLANK($C88),"",IF($AG88&lt;&gt;Constants!$B$7, $AG88 ,AH88))</f>
        <v/>
      </c>
      <c r="BI88" s="72" t="str">
        <f aca="false">IF(ISBLANK(C88),"",BA88)</f>
        <v/>
      </c>
      <c r="BJ88" s="72" t="str">
        <f aca="false">IF(ISBLANK(C88),"",AZ88)</f>
        <v/>
      </c>
      <c r="BK88" s="75" t="str">
        <f aca="false">IF(ISBLANK(C88),"",IFERROR(_xlfn.SWITCH(BJ88, Constants!$B$4, COUNTA($C$8:$C587)+2, Constants!$B$5, COUNTA($C$8:$C587)+1, Constants!$B$6, COUNTA($C$8:$C587)),BJ88))</f>
        <v/>
      </c>
      <c r="BL88" s="5"/>
      <c r="BM88" s="76" t="n">
        <f aca="false">IF(OR(ISNUMBER(BJ88),BJ88="DQ",BJ88="P",BJ88="NS"),
    1,
    0
)</f>
        <v>0</v>
      </c>
      <c r="BN88" s="76" t="n">
        <v>81</v>
      </c>
      <c r="BO88" s="76" t="str">
        <f aca="false">IF(ISBLANK($C88),"",IF(ISNUMBER(BK88),BK88+ROW($B88)/1000,""))</f>
        <v/>
      </c>
      <c r="BP88" s="76" t="str">
        <f aca="false">IF(ISNUMBER(BO88), RANK(BO88,BO$8:BO$507,1), "")</f>
        <v/>
      </c>
      <c r="BQ88" s="76" t="str">
        <f aca="false">IF(ISBLANK($C88),
    "",
    $B88
)</f>
        <v/>
      </c>
      <c r="BR88" s="76" t="str">
        <f aca="false">IF(ISBLANK($C88),
    "",
    $C88
)</f>
        <v/>
      </c>
      <c r="BS88" s="76" t="str">
        <f aca="false">IF(ISBLANK($C88),
    "",
    $D88
)</f>
        <v/>
      </c>
      <c r="BT88" s="77" t="str">
        <f aca="false">BH88</f>
        <v/>
      </c>
      <c r="BU88" s="78" t="str">
        <f aca="false">BG88</f>
        <v/>
      </c>
      <c r="BV88" s="76" t="str">
        <f aca="false">IF(ISBLANK($C88),
    "",
    BJ88
)</f>
        <v/>
      </c>
      <c r="BW88" s="79" t="str">
        <f aca="false">IF(BN88&gt;BM$7,
    "",
    VLOOKUP(BN88,BP$8:BV587,7,FALSE())
)</f>
        <v/>
      </c>
      <c r="BX88" s="80" t="str">
        <f aca="false">IF(BN88&gt;BM$7,
    "",
    VLOOKUP(BN88,BP$8:BV587,2,FALSE())
)</f>
        <v/>
      </c>
      <c r="BY88" s="80" t="str">
        <f aca="false">IF(BN88&gt;BM$7,
    "",
    VLOOKUP(BN88,BP$8:BV587,3,FALSE())
)</f>
        <v/>
      </c>
      <c r="BZ88" s="80" t="str">
        <f aca="false">IF(BN88&gt;BM$7,
    "",
    VLOOKUP(BN88,BP$8:BV587,4,FALSE())
)</f>
        <v/>
      </c>
      <c r="CA88" s="80" t="str">
        <f aca="false">IF(BN88&gt;BM$7,
    "",
    VLOOKUP(BN88,BP$8:BV587,5,FALSE())
)</f>
        <v/>
      </c>
      <c r="CB88" s="81" t="str">
        <f aca="false">IF(BN88&gt;BM$7,
    "",
    VLOOKUP(BN88,BP$8:BV587,6,FALSE())
)</f>
        <v/>
      </c>
      <c r="CC88" s="53"/>
    </row>
    <row r="89" customFormat="false" ht="15.75" hidden="false" customHeight="false" outlineLevel="0" collapsed="false">
      <c r="A89" s="5"/>
      <c r="B89" s="125"/>
      <c r="C89" s="126"/>
      <c r="D89" s="115"/>
      <c r="E89" s="119"/>
      <c r="F89" s="119"/>
      <c r="G89" s="91"/>
      <c r="H89" s="92"/>
      <c r="I89" s="92"/>
      <c r="J89" s="128"/>
      <c r="K89" s="128"/>
      <c r="L89" s="128"/>
      <c r="M89" s="94"/>
      <c r="N89" s="94"/>
      <c r="O89" s="94"/>
      <c r="P89" s="95"/>
      <c r="Q89" s="96"/>
      <c r="R89" s="128"/>
      <c r="S89" s="98"/>
      <c r="T89" s="99"/>
      <c r="U89" s="99" t="str">
        <f aca="false">IF(ISBLANK($C89),"",IF(G89=Constants!$B$2, TRUE(), IF(G89=Constants!$B$3, FALSE(), TRUE())))</f>
        <v/>
      </c>
      <c r="V89" s="99" t="str">
        <f aca="false">IF(ISBLANK($C89),"",IF(H89=Constants!$B$2, TRUE(), IF(H89=Constants!$B$3, FALSE(), TRUE())))</f>
        <v/>
      </c>
      <c r="W89" s="99" t="str">
        <f aca="false">IF(ISBLANK($C89),"",IF(I89=Constants!$B$2, TRUE(), IF(I89=Constants!$B$3, FALSE(), TRUE())))</f>
        <v/>
      </c>
      <c r="X89" s="99" t="str">
        <f aca="false">IF(ISBLANK($C89),"",IF(AND(ISNUMBER(J89),J89&gt;0),INT(J89),0))</f>
        <v/>
      </c>
      <c r="Y89" s="99" t="str">
        <f aca="false">IF(ISBLANK($C89),"",IF(K89=Constants!$B$2, TRUE(), IF(K89=Constants!$B$3, FALSE(), TRUE())))</f>
        <v/>
      </c>
      <c r="Z89" s="100" t="str">
        <f aca="false">IF(ISBLANK($C89),"",IF(AND(ISNUMBER(L89),L89&gt;0),INT(L89),0))</f>
        <v/>
      </c>
      <c r="AA89" s="101" t="str">
        <f aca="false">IF(ISBLANK($C89),"",IF(ISNUMBER(M89), M89, ""))</f>
        <v/>
      </c>
      <c r="AB89" s="101" t="str">
        <f aca="false">IF(ISBLANK($C89),"",IF(ISNUMBER(N89), N89, ""))</f>
        <v/>
      </c>
      <c r="AC89" s="101" t="str">
        <f aca="false">IF(ISBLANK($C89),"",IF(ISNUMBER(O89), O89, ""))</f>
        <v/>
      </c>
      <c r="AD89" s="102" t="str">
        <f aca="false">IF(ISBLANK($C89),"",IF(ISNUMBER(P89), P89, ""))</f>
        <v/>
      </c>
      <c r="AE89" s="102" t="str">
        <f aca="false">IF(ISBLANK($C89),"",IF(ISNUMBER(Q89), Q89, Constants!$B$13))</f>
        <v/>
      </c>
      <c r="AF89" s="99" t="str">
        <f aca="false">IF(ISBLANK($C89),"",IF(R89=Constants!$B$2, TRUE(), IF(R89=Constants!$B$3, FALSE(), FALSE())))</f>
        <v/>
      </c>
      <c r="AG89" s="99" t="str">
        <f aca="false">IF(ISBLANK(C89), "", IF(AF89, Constants!$B$4,IF(COUNTA(G89:P89)=0, Constants!$B$5, Constants!$B$7)))</f>
        <v/>
      </c>
      <c r="AH89" s="99" t="str">
        <f aca="false">IF(ISBLANK($C89), "",IF($AG89=Constants!$B$7,1,$AG89))</f>
        <v/>
      </c>
      <c r="AI89" s="99" t="str">
        <f aca="false">IF($AG89=Constants!$B$7,POWER(Constants!$B$11,X89)*POWER(Constants!$B$12,Z89),"")</f>
        <v/>
      </c>
      <c r="AJ89" s="99" t="str">
        <f aca="false">IF(AND($AG89=Constants!$B$7, U89, V89) ,IF(OR($AA89="",$AC89=""),"",MAX(0, $AC89-$AA89)),"")</f>
        <v/>
      </c>
      <c r="AK89" s="99" t="str">
        <f aca="false">IF(AND($AG89=Constants!$B$7, U89, V89),IF(OR($AA89="",$AC89=""),$AK$6,""),"")</f>
        <v/>
      </c>
      <c r="AL89" s="99" t="str">
        <f aca="false">IF($AG89=Constants!$B$7,IF(AND(U89,V89,W89,Y89),IF($AJ89="",0,IF($AJ$6=0,Constants!$B$9,Constants!$B$9*AJ89/$AJ$6)), 0),"")</f>
        <v/>
      </c>
      <c r="AM89" s="99" t="str">
        <f aca="false">IF(AL89&lt;&gt;"", AL89*AI89,"")</f>
        <v/>
      </c>
      <c r="AN89" s="99" t="str">
        <f aca="false">IF(AND($AG89=Constants!$B$7, U89, V89) ,IF($AB89="", "", IF(OR($AC89="",$AC89=0),"",MAX(0,1-ABS($AC89-$AB89)/$AC89))),"")</f>
        <v/>
      </c>
      <c r="AO89" s="99" t="str">
        <f aca="false">IF(AND($AG89=Constants!$B$7, U89, V89),IF(AND($AA89&lt;&gt;"",$AB89&lt;&gt;"",$AC89=0),$AO$6,""),"")</f>
        <v/>
      </c>
      <c r="AP89" s="99" t="str">
        <f aca="false">IF($AG89=Constants!$B$7 ,IF(AND(U89,V89,W89,Y89,ISNUMBER(AB89)),IF($AN89="",0,IF($AN$6=0,Constants!$B$10,Constants!$B$10*AN89/$AN$6)), 0),"")</f>
        <v/>
      </c>
      <c r="AQ89" s="99" t="str">
        <f aca="false">IF(AP89&lt;&gt;"", AP89*AI89,"")</f>
        <v/>
      </c>
      <c r="AR89" s="99" t="str">
        <f aca="false">IF($AG89=Constants!$B$7,IF($AD89="",0,IF($AR$6=0,Constants!$B$8,Constants!$B$8*AD89/$AR$6)),"")</f>
        <v/>
      </c>
      <c r="AS89" s="99" t="str">
        <f aca="false">IF($AG89&lt;&gt;Constants!$B$7,$AG89,IF(AK89&amp;AO89&lt;&gt;"",Constants!$B$14,AM89+AQ89+AR89))</f>
        <v/>
      </c>
      <c r="AT89" s="99" t="str">
        <f aca="false">IF(ISBLANK($C89),"",IF($AG89=Constants!$B$7,IF(ISNUMBER(AS89),RANK(AS89,$AS$8:$AS$507),Constants!$B$14),$AG89))</f>
        <v/>
      </c>
      <c r="AU89" s="99" t="str">
        <f aca="false">IF(ISBLANK($C89), "",AM89)</f>
        <v/>
      </c>
      <c r="AV89" s="99" t="str">
        <f aca="false">IF(ISBLANK($C89),"",IF($AG89=Constants!$B$7,RANK(AU89,AU$8:AU$507),$AG89))</f>
        <v/>
      </c>
      <c r="AW89" s="99" t="str">
        <f aca="false">IF(ISBLANK($C89), "",AR89)</f>
        <v/>
      </c>
      <c r="AX89" s="99" t="str">
        <f aca="false">IF(ISBLANK($C89),"",IF($AG89=Constants!$B$7,RANK(AW89,AW$8:AW$507),$AG89))</f>
        <v/>
      </c>
      <c r="AY89" s="99" t="str">
        <f aca="false">IF(ISBLANK($C89), "",AE89)</f>
        <v/>
      </c>
      <c r="AZ89" s="99" t="str">
        <f aca="false">IF(ISBLANK($C89),"",
IF($AG89=Constants!$B$7,
  IF(ISNUMBER(AT89),
    COUNTIFS($AT$8:$AT$507,"&lt;"&amp;$AT89)
    + COUNTIFS($AT$8:$AT$507,$AT89,$AV$8:$AV$507,"&lt;"&amp;$AV89)
    + COUNTIFS($AT$8:$AT$507,$AT89,$AV$8:$AV$507,$AV89,$AX$8:$AX$507,"&lt;"&amp;$AX89)
    + COUNTIFS($AT$8:$AT$507,$AT89,$AV$8:$AV$507,$AV89,$AX$8:$AX$507,$AX89,$AY$8:$AY$507,"&lt;"&amp;$AY89)
    + 1,
  Constants!$B$14),
$AG89))</f>
        <v/>
      </c>
      <c r="BA89" s="99" t="str">
        <f aca="false">IF(ISBLANK(C89),"",IF($AG89=Constants!$B$7, IF(ISNUMBER(AT89),AT89-AZ89,Constants!$B$14),$AG89))</f>
        <v/>
      </c>
      <c r="BB89" s="103"/>
      <c r="BC89" s="104" t="str">
        <f aca="false">IF(ISBLANK($C89),"",TRIM(AK89&amp;" "&amp;AO89))</f>
        <v/>
      </c>
      <c r="BD89" s="105" t="str">
        <f aca="false">IF(ISBLANK($C89),"",IF($AG89&lt;&gt;Constants!$B$7,$AG89,AR89))</f>
        <v/>
      </c>
      <c r="BE89" s="105" t="str">
        <f aca="false">IF(ISBLANK($C89),"",IF($AG89&lt;&gt;Constants!$B$7,$AG89,AM89))</f>
        <v/>
      </c>
      <c r="BF89" s="105" t="str">
        <f aca="false">IF(ISBLANK($C89),"",IF($AG89&lt;&gt;Constants!$B$7,$AG89,AQ89))</f>
        <v/>
      </c>
      <c r="BG89" s="106" t="str">
        <f aca="false">IF(ISBLANK($C89),"",IF($AG89&lt;&gt;Constants!$B$7, $AG89 ,AS89))</f>
        <v/>
      </c>
      <c r="BH89" s="107" t="str">
        <f aca="false">IF(ISBLANK($C89),"",IF($AG89&lt;&gt;Constants!$B$7, $AG89 ,AH89))</f>
        <v/>
      </c>
      <c r="BI89" s="105" t="str">
        <f aca="false">IF(ISBLANK(C89),"",BA89)</f>
        <v/>
      </c>
      <c r="BJ89" s="105" t="str">
        <f aca="false">IF(ISBLANK(C89),"",AZ89)</f>
        <v/>
      </c>
      <c r="BK89" s="108" t="str">
        <f aca="false">IF(ISBLANK(C89),"",IFERROR(_xlfn.SWITCH(BJ89, Constants!$B$4, COUNTA($C$8:$C588)+2, Constants!$B$5, COUNTA($C$8:$C588)+1, Constants!$B$6, COUNTA($C$8:$C588)),BJ89))</f>
        <v/>
      </c>
      <c r="BL89" s="5"/>
      <c r="BM89" s="109" t="n">
        <f aca="false">IF(OR(ISNUMBER(BJ89),BJ89="DQ",BJ89="P",BJ89="NS"),
    1,
    0
)</f>
        <v>0</v>
      </c>
      <c r="BN89" s="109" t="n">
        <v>82</v>
      </c>
      <c r="BO89" s="109" t="str">
        <f aca="false">IF(ISBLANK($C89),"",IF(ISNUMBER(BK89),BK89+ROW($B89)/1000,""))</f>
        <v/>
      </c>
      <c r="BP89" s="109" t="str">
        <f aca="false">IF(ISNUMBER(BO89), RANK(BO89,BO$8:BO$507,1), "")</f>
        <v/>
      </c>
      <c r="BQ89" s="109" t="str">
        <f aca="false">IF(ISBLANK($C89),
    "",
    $B89
)</f>
        <v/>
      </c>
      <c r="BR89" s="109" t="str">
        <f aca="false">IF(ISBLANK($C89),
    "",
    $C89
)</f>
        <v/>
      </c>
      <c r="BS89" s="109" t="str">
        <f aca="false">IF(ISBLANK($C89),
    "",
    $D89
)</f>
        <v/>
      </c>
      <c r="BT89" s="110" t="str">
        <f aca="false">BH89</f>
        <v/>
      </c>
      <c r="BU89" s="111" t="str">
        <f aca="false">BG89</f>
        <v/>
      </c>
      <c r="BV89" s="109" t="str">
        <f aca="false">IF(ISBLANK($C89),
    "",
    BJ89
)</f>
        <v/>
      </c>
      <c r="BW89" s="112" t="str">
        <f aca="false">IF(BN89&gt;BM$7,
    "",
    VLOOKUP(BN89,BP$8:BV588,7,FALSE())
)</f>
        <v/>
      </c>
      <c r="BX89" s="113" t="str">
        <f aca="false">IF(BN89&gt;BM$7,
    "",
    VLOOKUP(BN89,BP$8:BV588,2,FALSE())
)</f>
        <v/>
      </c>
      <c r="BY89" s="113" t="str">
        <f aca="false">IF(BN89&gt;BM$7,
    "",
    VLOOKUP(BN89,BP$8:BV588,3,FALSE())
)</f>
        <v/>
      </c>
      <c r="BZ89" s="113" t="str">
        <f aca="false">IF(BN89&gt;BM$7,
    "",
    VLOOKUP(BN89,BP$8:BV588,4,FALSE())
)</f>
        <v/>
      </c>
      <c r="CA89" s="113" t="str">
        <f aca="false">IF(BN89&gt;BM$7,
    "",
    VLOOKUP(BN89,BP$8:BV588,5,FALSE())
)</f>
        <v/>
      </c>
      <c r="CB89" s="114" t="str">
        <f aca="false">IF(BN89&gt;BM$7,
    "",
    VLOOKUP(BN89,BP$8:BV588,6,FALSE())
)</f>
        <v/>
      </c>
      <c r="CC89" s="53"/>
    </row>
    <row r="90" customFormat="false" ht="15.75" hidden="false" customHeight="false" outlineLevel="0" collapsed="false">
      <c r="A90" s="5"/>
      <c r="B90" s="125"/>
      <c r="C90" s="126"/>
      <c r="D90" s="115"/>
      <c r="E90" s="119"/>
      <c r="F90" s="119"/>
      <c r="G90" s="91"/>
      <c r="H90" s="92"/>
      <c r="I90" s="92"/>
      <c r="J90" s="128"/>
      <c r="K90" s="128"/>
      <c r="L90" s="128"/>
      <c r="M90" s="94"/>
      <c r="N90" s="94"/>
      <c r="O90" s="94"/>
      <c r="P90" s="95"/>
      <c r="Q90" s="96"/>
      <c r="R90" s="128"/>
      <c r="S90" s="98"/>
      <c r="T90" s="99"/>
      <c r="U90" s="99" t="str">
        <f aca="false">IF(ISBLANK($C90),"",IF(G90=Constants!$B$2, TRUE(), IF(G90=Constants!$B$3, FALSE(), TRUE())))</f>
        <v/>
      </c>
      <c r="V90" s="99" t="str">
        <f aca="false">IF(ISBLANK($C90),"",IF(H90=Constants!$B$2, TRUE(), IF(H90=Constants!$B$3, FALSE(), TRUE())))</f>
        <v/>
      </c>
      <c r="W90" s="99" t="str">
        <f aca="false">IF(ISBLANK($C90),"",IF(I90=Constants!$B$2, TRUE(), IF(I90=Constants!$B$3, FALSE(), TRUE())))</f>
        <v/>
      </c>
      <c r="X90" s="99" t="str">
        <f aca="false">IF(ISBLANK($C90),"",IF(AND(ISNUMBER(J90),J90&gt;0),INT(J90),0))</f>
        <v/>
      </c>
      <c r="Y90" s="99" t="str">
        <f aca="false">IF(ISBLANK($C90),"",IF(K90=Constants!$B$2, TRUE(), IF(K90=Constants!$B$3, FALSE(), TRUE())))</f>
        <v/>
      </c>
      <c r="Z90" s="100" t="str">
        <f aca="false">IF(ISBLANK($C90),"",IF(AND(ISNUMBER(L90),L90&gt;0),INT(L90),0))</f>
        <v/>
      </c>
      <c r="AA90" s="101" t="str">
        <f aca="false">IF(ISBLANK($C90),"",IF(ISNUMBER(M90), M90, ""))</f>
        <v/>
      </c>
      <c r="AB90" s="101" t="str">
        <f aca="false">IF(ISBLANK($C90),"",IF(ISNUMBER(N90), N90, ""))</f>
        <v/>
      </c>
      <c r="AC90" s="101" t="str">
        <f aca="false">IF(ISBLANK($C90),"",IF(ISNUMBER(O90), O90, ""))</f>
        <v/>
      </c>
      <c r="AD90" s="102" t="str">
        <f aca="false">IF(ISBLANK($C90),"",IF(ISNUMBER(P90), P90, ""))</f>
        <v/>
      </c>
      <c r="AE90" s="102" t="str">
        <f aca="false">IF(ISBLANK($C90),"",IF(ISNUMBER(Q90), Q90, Constants!$B$13))</f>
        <v/>
      </c>
      <c r="AF90" s="99" t="str">
        <f aca="false">IF(ISBLANK($C90),"",IF(R90=Constants!$B$2, TRUE(), IF(R90=Constants!$B$3, FALSE(), FALSE())))</f>
        <v/>
      </c>
      <c r="AG90" s="99" t="str">
        <f aca="false">IF(ISBLANK(C90), "", IF(AF90, Constants!$B$4,IF(COUNTA(G90:P90)=0, Constants!$B$5, Constants!$B$7)))</f>
        <v/>
      </c>
      <c r="AH90" s="99" t="str">
        <f aca="false">IF(ISBLANK($C90), "",IF($AG90=Constants!$B$7,1,$AG90))</f>
        <v/>
      </c>
      <c r="AI90" s="99" t="str">
        <f aca="false">IF($AG90=Constants!$B$7,POWER(Constants!$B$11,X90)*POWER(Constants!$B$12,Z90),"")</f>
        <v/>
      </c>
      <c r="AJ90" s="99" t="str">
        <f aca="false">IF(AND($AG90=Constants!$B$7, U90, V90) ,IF(OR($AA90="",$AC90=""),"",MAX(0, $AC90-$AA90)),"")</f>
        <v/>
      </c>
      <c r="AK90" s="99" t="str">
        <f aca="false">IF(AND($AG90=Constants!$B$7, U90, V90),IF(OR($AA90="",$AC90=""),$AK$6,""),"")</f>
        <v/>
      </c>
      <c r="AL90" s="99" t="str">
        <f aca="false">IF($AG90=Constants!$B$7,IF(AND(U90,V90,W90,Y90),IF($AJ90="",0,IF($AJ$6=0,Constants!$B$9,Constants!$B$9*AJ90/$AJ$6)), 0),"")</f>
        <v/>
      </c>
      <c r="AM90" s="99" t="str">
        <f aca="false">IF(AL90&lt;&gt;"", AL90*AI90,"")</f>
        <v/>
      </c>
      <c r="AN90" s="99" t="str">
        <f aca="false">IF(AND($AG90=Constants!$B$7, U90, V90) ,IF($AB90="", "", IF(OR($AC90="",$AC90=0),"",MAX(0,1-ABS($AC90-$AB90)/$AC90))),"")</f>
        <v/>
      </c>
      <c r="AO90" s="99" t="str">
        <f aca="false">IF(AND($AG90=Constants!$B$7, U90, V90),IF(AND($AA90&lt;&gt;"",$AB90&lt;&gt;"",$AC90=0),$AO$6,""),"")</f>
        <v/>
      </c>
      <c r="AP90" s="99" t="str">
        <f aca="false">IF($AG90=Constants!$B$7 ,IF(AND(U90,V90,W90,Y90,ISNUMBER(AB90)),IF($AN90="",0,IF($AN$6=0,Constants!$B$10,Constants!$B$10*AN90/$AN$6)), 0),"")</f>
        <v/>
      </c>
      <c r="AQ90" s="99" t="str">
        <f aca="false">IF(AP90&lt;&gt;"", AP90*AI90,"")</f>
        <v/>
      </c>
      <c r="AR90" s="99" t="str">
        <f aca="false">IF($AG90=Constants!$B$7,IF($AD90="",0,IF($AR$6=0,Constants!$B$8,Constants!$B$8*AD90/$AR$6)),"")</f>
        <v/>
      </c>
      <c r="AS90" s="99" t="str">
        <f aca="false">IF($AG90&lt;&gt;Constants!$B$7,$AG90,IF(AK90&amp;AO90&lt;&gt;"",Constants!$B$14,AM90+AQ90+AR90))</f>
        <v/>
      </c>
      <c r="AT90" s="99" t="str">
        <f aca="false">IF(ISBLANK($C90),"",IF($AG90=Constants!$B$7,IF(ISNUMBER(AS90),RANK(AS90,$AS$8:$AS$507),Constants!$B$14),$AG90))</f>
        <v/>
      </c>
      <c r="AU90" s="99" t="str">
        <f aca="false">IF(ISBLANK($C90), "",AM90)</f>
        <v/>
      </c>
      <c r="AV90" s="99" t="str">
        <f aca="false">IF(ISBLANK($C90),"",IF($AG90=Constants!$B$7,RANK(AU90,AU$8:AU$507),$AG90))</f>
        <v/>
      </c>
      <c r="AW90" s="99" t="str">
        <f aca="false">IF(ISBLANK($C90), "",AR90)</f>
        <v/>
      </c>
      <c r="AX90" s="99" t="str">
        <f aca="false">IF(ISBLANK($C90),"",IF($AG90=Constants!$B$7,RANK(AW90,AW$8:AW$507),$AG90))</f>
        <v/>
      </c>
      <c r="AY90" s="99" t="str">
        <f aca="false">IF(ISBLANK($C90), "",AE90)</f>
        <v/>
      </c>
      <c r="AZ90" s="99" t="str">
        <f aca="false">IF(ISBLANK($C90),"",
IF($AG90=Constants!$B$7,
  IF(ISNUMBER(AT90),
    COUNTIFS($AT$8:$AT$507,"&lt;"&amp;$AT90)
    + COUNTIFS($AT$8:$AT$507,$AT90,$AV$8:$AV$507,"&lt;"&amp;$AV90)
    + COUNTIFS($AT$8:$AT$507,$AT90,$AV$8:$AV$507,$AV90,$AX$8:$AX$507,"&lt;"&amp;$AX90)
    + COUNTIFS($AT$8:$AT$507,$AT90,$AV$8:$AV$507,$AV90,$AX$8:$AX$507,$AX90,$AY$8:$AY$507,"&lt;"&amp;$AY90)
    + 1,
  Constants!$B$14),
$AG90))</f>
        <v/>
      </c>
      <c r="BA90" s="99" t="str">
        <f aca="false">IF(ISBLANK(C90),"",IF($AG90=Constants!$B$7, IF(ISNUMBER(AT90),AT90-AZ90,Constants!$B$14),$AG90))</f>
        <v/>
      </c>
      <c r="BB90" s="103"/>
      <c r="BC90" s="104" t="str">
        <f aca="false">IF(ISBLANK($C90),"",TRIM(AK90&amp;" "&amp;AO90))</f>
        <v/>
      </c>
      <c r="BD90" s="105" t="str">
        <f aca="false">IF(ISBLANK($C90),"",IF($AG90&lt;&gt;Constants!$B$7,$AG90,AR90))</f>
        <v/>
      </c>
      <c r="BE90" s="105" t="str">
        <f aca="false">IF(ISBLANK($C90),"",IF($AG90&lt;&gt;Constants!$B$7,$AG90,AM90))</f>
        <v/>
      </c>
      <c r="BF90" s="105" t="str">
        <f aca="false">IF(ISBLANK($C90),"",IF($AG90&lt;&gt;Constants!$B$7,$AG90,AQ90))</f>
        <v/>
      </c>
      <c r="BG90" s="106" t="str">
        <f aca="false">IF(ISBLANK($C90),"",IF($AG90&lt;&gt;Constants!$B$7, $AG90 ,AS90))</f>
        <v/>
      </c>
      <c r="BH90" s="107" t="str">
        <f aca="false">IF(ISBLANK($C90),"",IF($AG90&lt;&gt;Constants!$B$7, $AG90 ,AH90))</f>
        <v/>
      </c>
      <c r="BI90" s="105" t="str">
        <f aca="false">IF(ISBLANK(C90),"",BA90)</f>
        <v/>
      </c>
      <c r="BJ90" s="105" t="str">
        <f aca="false">IF(ISBLANK(C90),"",AZ90)</f>
        <v/>
      </c>
      <c r="BK90" s="108" t="str">
        <f aca="false">IF(ISBLANK(C90),"",IFERROR(_xlfn.SWITCH(BJ90, Constants!$B$4, COUNTA($C$8:$C589)+2, Constants!$B$5, COUNTA($C$8:$C589)+1, Constants!$B$6, COUNTA($C$8:$C589)),BJ90))</f>
        <v/>
      </c>
      <c r="BL90" s="5"/>
      <c r="BM90" s="109" t="n">
        <f aca="false">IF(OR(ISNUMBER(BJ90),BJ90="DQ",BJ90="P",BJ90="NS"),
    1,
    0
)</f>
        <v>0</v>
      </c>
      <c r="BN90" s="109" t="n">
        <v>83</v>
      </c>
      <c r="BO90" s="109" t="str">
        <f aca="false">IF(ISBLANK($C90),"",IF(ISNUMBER(BK90),BK90+ROW($B90)/1000,""))</f>
        <v/>
      </c>
      <c r="BP90" s="109" t="str">
        <f aca="false">IF(ISNUMBER(BO90), RANK(BO90,BO$8:BO$507,1), "")</f>
        <v/>
      </c>
      <c r="BQ90" s="109" t="str">
        <f aca="false">IF(ISBLANK($C90),
    "",
    $B90
)</f>
        <v/>
      </c>
      <c r="BR90" s="109" t="str">
        <f aca="false">IF(ISBLANK($C90),
    "",
    $C90
)</f>
        <v/>
      </c>
      <c r="BS90" s="109" t="str">
        <f aca="false">IF(ISBLANK($C90),
    "",
    $D90
)</f>
        <v/>
      </c>
      <c r="BT90" s="110" t="str">
        <f aca="false">BH90</f>
        <v/>
      </c>
      <c r="BU90" s="111" t="str">
        <f aca="false">BG90</f>
        <v/>
      </c>
      <c r="BV90" s="109" t="str">
        <f aca="false">IF(ISBLANK($C90),
    "",
    BJ90
)</f>
        <v/>
      </c>
      <c r="BW90" s="112" t="str">
        <f aca="false">IF(BN90&gt;BM$7,
    "",
    VLOOKUP(BN90,BP$8:BV589,7,FALSE())
)</f>
        <v/>
      </c>
      <c r="BX90" s="113" t="str">
        <f aca="false">IF(BN90&gt;BM$7,
    "",
    VLOOKUP(BN90,BP$8:BV589,2,FALSE())
)</f>
        <v/>
      </c>
      <c r="BY90" s="113" t="str">
        <f aca="false">IF(BN90&gt;BM$7,
    "",
    VLOOKUP(BN90,BP$8:BV589,3,FALSE())
)</f>
        <v/>
      </c>
      <c r="BZ90" s="113" t="str">
        <f aca="false">IF(BN90&gt;BM$7,
    "",
    VLOOKUP(BN90,BP$8:BV589,4,FALSE())
)</f>
        <v/>
      </c>
      <c r="CA90" s="113" t="str">
        <f aca="false">IF(BN90&gt;BM$7,
    "",
    VLOOKUP(BN90,BP$8:BV589,5,FALSE())
)</f>
        <v/>
      </c>
      <c r="CB90" s="114" t="str">
        <f aca="false">IF(BN90&gt;BM$7,
    "",
    VLOOKUP(BN90,BP$8:BV589,6,FALSE())
)</f>
        <v/>
      </c>
      <c r="CC90" s="53"/>
    </row>
    <row r="91" customFormat="false" ht="15.75" hidden="false" customHeight="false" outlineLevel="0" collapsed="false">
      <c r="A91" s="5"/>
      <c r="B91" s="125"/>
      <c r="C91" s="126"/>
      <c r="D91" s="115"/>
      <c r="E91" s="119"/>
      <c r="F91" s="119"/>
      <c r="G91" s="91"/>
      <c r="H91" s="92"/>
      <c r="I91" s="92"/>
      <c r="J91" s="128"/>
      <c r="K91" s="128"/>
      <c r="L91" s="128"/>
      <c r="M91" s="94"/>
      <c r="N91" s="94"/>
      <c r="O91" s="94"/>
      <c r="P91" s="95"/>
      <c r="Q91" s="96"/>
      <c r="R91" s="128"/>
      <c r="S91" s="98"/>
      <c r="T91" s="99"/>
      <c r="U91" s="99" t="str">
        <f aca="false">IF(ISBLANK($C91),"",IF(G91=Constants!$B$2, TRUE(), IF(G91=Constants!$B$3, FALSE(), TRUE())))</f>
        <v/>
      </c>
      <c r="V91" s="99" t="str">
        <f aca="false">IF(ISBLANK($C91),"",IF(H91=Constants!$B$2, TRUE(), IF(H91=Constants!$B$3, FALSE(), TRUE())))</f>
        <v/>
      </c>
      <c r="W91" s="99" t="str">
        <f aca="false">IF(ISBLANK($C91),"",IF(I91=Constants!$B$2, TRUE(), IF(I91=Constants!$B$3, FALSE(), TRUE())))</f>
        <v/>
      </c>
      <c r="X91" s="99" t="str">
        <f aca="false">IF(ISBLANK($C91),"",IF(AND(ISNUMBER(J91),J91&gt;0),INT(J91),0))</f>
        <v/>
      </c>
      <c r="Y91" s="99" t="str">
        <f aca="false">IF(ISBLANK($C91),"",IF(K91=Constants!$B$2, TRUE(), IF(K91=Constants!$B$3, FALSE(), TRUE())))</f>
        <v/>
      </c>
      <c r="Z91" s="100" t="str">
        <f aca="false">IF(ISBLANK($C91),"",IF(AND(ISNUMBER(L91),L91&gt;0),INT(L91),0))</f>
        <v/>
      </c>
      <c r="AA91" s="101" t="str">
        <f aca="false">IF(ISBLANK($C91),"",IF(ISNUMBER(M91), M91, ""))</f>
        <v/>
      </c>
      <c r="AB91" s="101" t="str">
        <f aca="false">IF(ISBLANK($C91),"",IF(ISNUMBER(N91), N91, ""))</f>
        <v/>
      </c>
      <c r="AC91" s="101" t="str">
        <f aca="false">IF(ISBLANK($C91),"",IF(ISNUMBER(O91), O91, ""))</f>
        <v/>
      </c>
      <c r="AD91" s="102" t="str">
        <f aca="false">IF(ISBLANK($C91),"",IF(ISNUMBER(P91), P91, ""))</f>
        <v/>
      </c>
      <c r="AE91" s="102" t="str">
        <f aca="false">IF(ISBLANK($C91),"",IF(ISNUMBER(Q91), Q91, Constants!$B$13))</f>
        <v/>
      </c>
      <c r="AF91" s="99" t="str">
        <f aca="false">IF(ISBLANK($C91),"",IF(R91=Constants!$B$2, TRUE(), IF(R91=Constants!$B$3, FALSE(), FALSE())))</f>
        <v/>
      </c>
      <c r="AG91" s="99" t="str">
        <f aca="false">IF(ISBLANK(C91), "", IF(AF91, Constants!$B$4,IF(COUNTA(G91:P91)=0, Constants!$B$5, Constants!$B$7)))</f>
        <v/>
      </c>
      <c r="AH91" s="99" t="str">
        <f aca="false">IF(ISBLANK($C91), "",IF($AG91=Constants!$B$7,1,$AG91))</f>
        <v/>
      </c>
      <c r="AI91" s="99" t="str">
        <f aca="false">IF($AG91=Constants!$B$7,POWER(Constants!$B$11,X91)*POWER(Constants!$B$12,Z91),"")</f>
        <v/>
      </c>
      <c r="AJ91" s="99" t="str">
        <f aca="false">IF(AND($AG91=Constants!$B$7, U91, V91) ,IF(OR($AA91="",$AC91=""),"",MAX(0, $AC91-$AA91)),"")</f>
        <v/>
      </c>
      <c r="AK91" s="99" t="str">
        <f aca="false">IF(AND($AG91=Constants!$B$7, U91, V91),IF(OR($AA91="",$AC91=""),$AK$6,""),"")</f>
        <v/>
      </c>
      <c r="AL91" s="99" t="str">
        <f aca="false">IF($AG91=Constants!$B$7,IF(AND(U91,V91,W91,Y91),IF($AJ91="",0,IF($AJ$6=0,Constants!$B$9,Constants!$B$9*AJ91/$AJ$6)), 0),"")</f>
        <v/>
      </c>
      <c r="AM91" s="99" t="str">
        <f aca="false">IF(AL91&lt;&gt;"", AL91*AI91,"")</f>
        <v/>
      </c>
      <c r="AN91" s="99" t="str">
        <f aca="false">IF(AND($AG91=Constants!$B$7, U91, V91) ,IF($AB91="", "", IF(OR($AC91="",$AC91=0),"",MAX(0,1-ABS($AC91-$AB91)/$AC91))),"")</f>
        <v/>
      </c>
      <c r="AO91" s="99" t="str">
        <f aca="false">IF(AND($AG91=Constants!$B$7, U91, V91),IF(AND($AA91&lt;&gt;"",$AB91&lt;&gt;"",$AC91=0),$AO$6,""),"")</f>
        <v/>
      </c>
      <c r="AP91" s="99" t="str">
        <f aca="false">IF($AG91=Constants!$B$7 ,IF(AND(U91,V91,W91,Y91,ISNUMBER(AB91)),IF($AN91="",0,IF($AN$6=0,Constants!$B$10,Constants!$B$10*AN91/$AN$6)), 0),"")</f>
        <v/>
      </c>
      <c r="AQ91" s="99" t="str">
        <f aca="false">IF(AP91&lt;&gt;"", AP91*AI91,"")</f>
        <v/>
      </c>
      <c r="AR91" s="99" t="str">
        <f aca="false">IF($AG91=Constants!$B$7,IF($AD91="",0,IF($AR$6=0,Constants!$B$8,Constants!$B$8*AD91/$AR$6)),"")</f>
        <v/>
      </c>
      <c r="AS91" s="99" t="str">
        <f aca="false">IF($AG91&lt;&gt;Constants!$B$7,$AG91,IF(AK91&amp;AO91&lt;&gt;"",Constants!$B$14,AM91+AQ91+AR91))</f>
        <v/>
      </c>
      <c r="AT91" s="99" t="str">
        <f aca="false">IF(ISBLANK($C91),"",IF($AG91=Constants!$B$7,IF(ISNUMBER(AS91),RANK(AS91,$AS$8:$AS$507),Constants!$B$14),$AG91))</f>
        <v/>
      </c>
      <c r="AU91" s="99" t="str">
        <f aca="false">IF(ISBLANK($C91), "",AM91)</f>
        <v/>
      </c>
      <c r="AV91" s="99" t="str">
        <f aca="false">IF(ISBLANK($C91),"",IF($AG91=Constants!$B$7,RANK(AU91,AU$8:AU$507),$AG91))</f>
        <v/>
      </c>
      <c r="AW91" s="99" t="str">
        <f aca="false">IF(ISBLANK($C91), "",AR91)</f>
        <v/>
      </c>
      <c r="AX91" s="99" t="str">
        <f aca="false">IF(ISBLANK($C91),"",IF($AG91=Constants!$B$7,RANK(AW91,AW$8:AW$507),$AG91))</f>
        <v/>
      </c>
      <c r="AY91" s="99" t="str">
        <f aca="false">IF(ISBLANK($C91), "",AE91)</f>
        <v/>
      </c>
      <c r="AZ91" s="99" t="str">
        <f aca="false">IF(ISBLANK($C91),"",
IF($AG91=Constants!$B$7,
  IF(ISNUMBER(AT91),
    COUNTIFS($AT$8:$AT$507,"&lt;"&amp;$AT91)
    + COUNTIFS($AT$8:$AT$507,$AT91,$AV$8:$AV$507,"&lt;"&amp;$AV91)
    + COUNTIFS($AT$8:$AT$507,$AT91,$AV$8:$AV$507,$AV91,$AX$8:$AX$507,"&lt;"&amp;$AX91)
    + COUNTIFS($AT$8:$AT$507,$AT91,$AV$8:$AV$507,$AV91,$AX$8:$AX$507,$AX91,$AY$8:$AY$507,"&lt;"&amp;$AY91)
    + 1,
  Constants!$B$14),
$AG91))</f>
        <v/>
      </c>
      <c r="BA91" s="99" t="str">
        <f aca="false">IF(ISBLANK(C91),"",IF($AG91=Constants!$B$7, IF(ISNUMBER(AT91),AT91-AZ91,Constants!$B$14),$AG91))</f>
        <v/>
      </c>
      <c r="BB91" s="103"/>
      <c r="BC91" s="104" t="str">
        <f aca="false">IF(ISBLANK($C91),"",TRIM(AK91&amp;" "&amp;AO91))</f>
        <v/>
      </c>
      <c r="BD91" s="105" t="str">
        <f aca="false">IF(ISBLANK($C91),"",IF($AG91&lt;&gt;Constants!$B$7,$AG91,AR91))</f>
        <v/>
      </c>
      <c r="BE91" s="105" t="str">
        <f aca="false">IF(ISBLANK($C91),"",IF($AG91&lt;&gt;Constants!$B$7,$AG91,AM91))</f>
        <v/>
      </c>
      <c r="BF91" s="105" t="str">
        <f aca="false">IF(ISBLANK($C91),"",IF($AG91&lt;&gt;Constants!$B$7,$AG91,AQ91))</f>
        <v/>
      </c>
      <c r="BG91" s="106" t="str">
        <f aca="false">IF(ISBLANK($C91),"",IF($AG91&lt;&gt;Constants!$B$7, $AG91 ,AS91))</f>
        <v/>
      </c>
      <c r="BH91" s="107" t="str">
        <f aca="false">IF(ISBLANK($C91),"",IF($AG91&lt;&gt;Constants!$B$7, $AG91 ,AH91))</f>
        <v/>
      </c>
      <c r="BI91" s="105" t="str">
        <f aca="false">IF(ISBLANK(C91),"",BA91)</f>
        <v/>
      </c>
      <c r="BJ91" s="105" t="str">
        <f aca="false">IF(ISBLANK(C91),"",AZ91)</f>
        <v/>
      </c>
      <c r="BK91" s="108" t="str">
        <f aca="false">IF(ISBLANK(C91),"",IFERROR(_xlfn.SWITCH(BJ91, Constants!$B$4, COUNTA($C$8:$C590)+2, Constants!$B$5, COUNTA($C$8:$C590)+1, Constants!$B$6, COUNTA($C$8:$C590)),BJ91))</f>
        <v/>
      </c>
      <c r="BL91" s="5"/>
      <c r="BM91" s="109" t="n">
        <f aca="false">IF(OR(ISNUMBER(BJ91),BJ91="DQ",BJ91="P",BJ91="NS"),
    1,
    0
)</f>
        <v>0</v>
      </c>
      <c r="BN91" s="109" t="n">
        <v>84</v>
      </c>
      <c r="BO91" s="109" t="str">
        <f aca="false">IF(ISBLANK($C91),"",IF(ISNUMBER(BK91),BK91+ROW($B91)/1000,""))</f>
        <v/>
      </c>
      <c r="BP91" s="109" t="str">
        <f aca="false">IF(ISNUMBER(BO91), RANK(BO91,BO$8:BO$507,1), "")</f>
        <v/>
      </c>
      <c r="BQ91" s="109" t="str">
        <f aca="false">IF(ISBLANK($C91),
    "",
    $B91
)</f>
        <v/>
      </c>
      <c r="BR91" s="109" t="str">
        <f aca="false">IF(ISBLANK($C91),
    "",
    $C91
)</f>
        <v/>
      </c>
      <c r="BS91" s="109" t="str">
        <f aca="false">IF(ISBLANK($C91),
    "",
    $D91
)</f>
        <v/>
      </c>
      <c r="BT91" s="110" t="str">
        <f aca="false">BH91</f>
        <v/>
      </c>
      <c r="BU91" s="111" t="str">
        <f aca="false">BG91</f>
        <v/>
      </c>
      <c r="BV91" s="109" t="str">
        <f aca="false">IF(ISBLANK($C91),
    "",
    BJ91
)</f>
        <v/>
      </c>
      <c r="BW91" s="112" t="str">
        <f aca="false">IF(BN91&gt;BM$7,
    "",
    VLOOKUP(BN91,BP$8:BV590,7,FALSE())
)</f>
        <v/>
      </c>
      <c r="BX91" s="113" t="str">
        <f aca="false">IF(BN91&gt;BM$7,
    "",
    VLOOKUP(BN91,BP$8:BV590,2,FALSE())
)</f>
        <v/>
      </c>
      <c r="BY91" s="113" t="str">
        <f aca="false">IF(BN91&gt;BM$7,
    "",
    VLOOKUP(BN91,BP$8:BV590,3,FALSE())
)</f>
        <v/>
      </c>
      <c r="BZ91" s="113" t="str">
        <f aca="false">IF(BN91&gt;BM$7,
    "",
    VLOOKUP(BN91,BP$8:BV590,4,FALSE())
)</f>
        <v/>
      </c>
      <c r="CA91" s="113" t="str">
        <f aca="false">IF(BN91&gt;BM$7,
    "",
    VLOOKUP(BN91,BP$8:BV590,5,FALSE())
)</f>
        <v/>
      </c>
      <c r="CB91" s="114" t="str">
        <f aca="false">IF(BN91&gt;BM$7,
    "",
    VLOOKUP(BN91,BP$8:BV590,6,FALSE())
)</f>
        <v/>
      </c>
      <c r="CC91" s="53"/>
    </row>
    <row r="92" customFormat="false" ht="15.75" hidden="false" customHeight="false" outlineLevel="0" collapsed="false">
      <c r="A92" s="5"/>
      <c r="B92" s="129"/>
      <c r="C92" s="55"/>
      <c r="D92" s="56"/>
      <c r="E92" s="123"/>
      <c r="F92" s="123"/>
      <c r="G92" s="58"/>
      <c r="H92" s="59"/>
      <c r="I92" s="59"/>
      <c r="J92" s="83"/>
      <c r="K92" s="83"/>
      <c r="L92" s="83"/>
      <c r="M92" s="61"/>
      <c r="N92" s="61"/>
      <c r="O92" s="61"/>
      <c r="P92" s="62"/>
      <c r="Q92" s="63"/>
      <c r="R92" s="83"/>
      <c r="S92" s="65"/>
      <c r="T92" s="66"/>
      <c r="U92" s="66" t="str">
        <f aca="false">IF(ISBLANK($C92),"",IF(G92=Constants!$B$2, TRUE(), IF(G92=Constants!$B$3, FALSE(), TRUE())))</f>
        <v/>
      </c>
      <c r="V92" s="66" t="str">
        <f aca="false">IF(ISBLANK($C92),"",IF(H92=Constants!$B$2, TRUE(), IF(H92=Constants!$B$3, FALSE(), TRUE())))</f>
        <v/>
      </c>
      <c r="W92" s="66" t="str">
        <f aca="false">IF(ISBLANK($C92),"",IF(I92=Constants!$B$2, TRUE(), IF(I92=Constants!$B$3, FALSE(), TRUE())))</f>
        <v/>
      </c>
      <c r="X92" s="66" t="str">
        <f aca="false">IF(ISBLANK($C92),"",IF(AND(ISNUMBER(J92),J92&gt;0),INT(J92),0))</f>
        <v/>
      </c>
      <c r="Y92" s="66" t="str">
        <f aca="false">IF(ISBLANK($C92),"",IF(K92=Constants!$B$2, TRUE(), IF(K92=Constants!$B$3, FALSE(), TRUE())))</f>
        <v/>
      </c>
      <c r="Z92" s="66" t="str">
        <f aca="false">IF(ISBLANK($C92),"",IF(AND(ISNUMBER(L92),L92&gt;0),INT(L92),0))</f>
        <v/>
      </c>
      <c r="AA92" s="68" t="str">
        <f aca="false">IF(ISBLANK($C92),"",IF(ISNUMBER(M92), M92, ""))</f>
        <v/>
      </c>
      <c r="AB92" s="68" t="str">
        <f aca="false">IF(ISBLANK($C92),"",IF(ISNUMBER(N92), N92, ""))</f>
        <v/>
      </c>
      <c r="AC92" s="68" t="str">
        <f aca="false">IF(ISBLANK($C92),"",IF(ISNUMBER(O92), O92, ""))</f>
        <v/>
      </c>
      <c r="AD92" s="69" t="str">
        <f aca="false">IF(ISBLANK($C92),"",IF(ISNUMBER(P92), P92, ""))</f>
        <v/>
      </c>
      <c r="AE92" s="69" t="str">
        <f aca="false">IF(ISBLANK($C92),"",IF(ISNUMBER(Q92), Q92, Constants!$B$13))</f>
        <v/>
      </c>
      <c r="AF92" s="66" t="str">
        <f aca="false">IF(ISBLANK($C92),"",IF(R92=Constants!$B$2, TRUE(), IF(R92=Constants!$B$3, FALSE(), FALSE())))</f>
        <v/>
      </c>
      <c r="AG92" s="66" t="str">
        <f aca="false">IF(ISBLANK(C92), "", IF(AF92, Constants!$B$4,IF(COUNTA(G92:P92)=0, Constants!$B$5, Constants!$B$7)))</f>
        <v/>
      </c>
      <c r="AH92" s="66" t="str">
        <f aca="false">IF(ISBLANK($C92), "",IF($AG92=Constants!$B$7,1,$AG92))</f>
        <v/>
      </c>
      <c r="AI92" s="66" t="str">
        <f aca="false">IF($AG92=Constants!$B$7,POWER(Constants!$B$11,X92)*POWER(Constants!$B$12,Z92),"")</f>
        <v/>
      </c>
      <c r="AJ92" s="66" t="str">
        <f aca="false">IF(AND($AG92=Constants!$B$7, U92, V92) ,IF(OR($AA92="",$AC92=""),"",MAX(0, $AC92-$AA92)),"")</f>
        <v/>
      </c>
      <c r="AK92" s="66" t="str">
        <f aca="false">IF(AND($AG92=Constants!$B$7, U92, V92),IF(OR($AA92="",$AC92=""),$AK$6,""),"")</f>
        <v/>
      </c>
      <c r="AL92" s="66" t="str">
        <f aca="false">IF($AG92=Constants!$B$7,IF(AND(U92,V92,W92,Y92),IF($AJ92="",0,IF($AJ$6=0,Constants!$B$9,Constants!$B$9*AJ92/$AJ$6)), 0),"")</f>
        <v/>
      </c>
      <c r="AM92" s="66" t="str">
        <f aca="false">IF(AL92&lt;&gt;"", AL92*AI92,"")</f>
        <v/>
      </c>
      <c r="AN92" s="66" t="str">
        <f aca="false">IF(AND($AG92=Constants!$B$7, U92, V92) ,IF($AB92="", "", IF(OR($AC92="",$AC92=0),"",MAX(0,1-ABS($AC92-$AB92)/$AC92))),"")</f>
        <v/>
      </c>
      <c r="AO92" s="66" t="str">
        <f aca="false">IF(AND($AG92=Constants!$B$7, U92, V92),IF(AND($AA92&lt;&gt;"",$AB92&lt;&gt;"",$AC92=0),$AO$6,""),"")</f>
        <v/>
      </c>
      <c r="AP92" s="66" t="str">
        <f aca="false">IF($AG92=Constants!$B$7 ,IF(AND(U92,V92,W92,Y92,ISNUMBER(AB92)),IF($AN92="",0,IF($AN$6=0,Constants!$B$10,Constants!$B$10*AN92/$AN$6)), 0),"")</f>
        <v/>
      </c>
      <c r="AQ92" s="66" t="str">
        <f aca="false">IF(AP92&lt;&gt;"", AP92*AI92,"")</f>
        <v/>
      </c>
      <c r="AR92" s="66" t="str">
        <f aca="false">IF($AG92=Constants!$B$7,IF($AD92="",0,IF($AR$6=0,Constants!$B$8,Constants!$B$8*AD92/$AR$6)),"")</f>
        <v/>
      </c>
      <c r="AS92" s="66" t="str">
        <f aca="false">IF($AG92&lt;&gt;Constants!$B$7,$AG92,IF(AK92&amp;AO92&lt;&gt;"",Constants!$B$14,AM92+AQ92+AR92))</f>
        <v/>
      </c>
      <c r="AT92" s="66" t="str">
        <f aca="false">IF(ISBLANK($C92),"",IF($AG92=Constants!$B$7,IF(ISNUMBER(AS92),RANK(AS92,$AS$8:$AS$507),Constants!$B$14),$AG92))</f>
        <v/>
      </c>
      <c r="AU92" s="66" t="str">
        <f aca="false">IF(ISBLANK($C92), "",AM92)</f>
        <v/>
      </c>
      <c r="AV92" s="66" t="str">
        <f aca="false">IF(ISBLANK($C92),"",IF($AG92=Constants!$B$7,RANK(AU92,AU$8:AU$507),$AG92))</f>
        <v/>
      </c>
      <c r="AW92" s="66" t="str">
        <f aca="false">IF(ISBLANK($C92), "",AR92)</f>
        <v/>
      </c>
      <c r="AX92" s="66" t="str">
        <f aca="false">IF(ISBLANK($C92),"",IF($AG92=Constants!$B$7,RANK(AW92,AW$8:AW$507),$AG92))</f>
        <v/>
      </c>
      <c r="AY92" s="66" t="str">
        <f aca="false">IF(ISBLANK($C92), "",AE92)</f>
        <v/>
      </c>
      <c r="AZ92" s="66" t="str">
        <f aca="false">IF(ISBLANK($C92),"",
IF($AG92=Constants!$B$7,
  IF(ISNUMBER(AT92),
    COUNTIFS($AT$8:$AT$507,"&lt;"&amp;$AT92)
    + COUNTIFS($AT$8:$AT$507,$AT92,$AV$8:$AV$507,"&lt;"&amp;$AV92)
    + COUNTIFS($AT$8:$AT$507,$AT92,$AV$8:$AV$507,$AV92,$AX$8:$AX$507,"&lt;"&amp;$AX92)
    + COUNTIFS($AT$8:$AT$507,$AT92,$AV$8:$AV$507,$AV92,$AX$8:$AX$507,$AX92,$AY$8:$AY$507,"&lt;"&amp;$AY92)
    + 1,
  Constants!$B$14),
$AG92))</f>
        <v/>
      </c>
      <c r="BA92" s="66" t="str">
        <f aca="false">IF(ISBLANK(C92),"",IF($AG92=Constants!$B$7, IF(ISNUMBER(AT92),AT92-AZ92,Constants!$B$14),$AG92))</f>
        <v/>
      </c>
      <c r="BB92" s="70"/>
      <c r="BC92" s="84" t="str">
        <f aca="false">IF(ISBLANK($C92),"",TRIM(AK92&amp;" "&amp;AO92))</f>
        <v/>
      </c>
      <c r="BD92" s="72" t="str">
        <f aca="false">IF(ISBLANK($C92),"",IF($AG92&lt;&gt;Constants!$B$7,$AG92,AR92))</f>
        <v/>
      </c>
      <c r="BE92" s="72" t="str">
        <f aca="false">IF(ISBLANK($C92),"",IF($AG92&lt;&gt;Constants!$B$7,$AG92,AM92))</f>
        <v/>
      </c>
      <c r="BF92" s="72" t="str">
        <f aca="false">IF(ISBLANK($C92),"",IF($AG92&lt;&gt;Constants!$B$7,$AG92,AQ92))</f>
        <v/>
      </c>
      <c r="BG92" s="73" t="str">
        <f aca="false">IF(ISBLANK($C92),"",IF($AG92&lt;&gt;Constants!$B$7, $AG92 ,AS92))</f>
        <v/>
      </c>
      <c r="BH92" s="74" t="str">
        <f aca="false">IF(ISBLANK($C92),"",IF($AG92&lt;&gt;Constants!$B$7, $AG92 ,AH92))</f>
        <v/>
      </c>
      <c r="BI92" s="72" t="str">
        <f aca="false">IF(ISBLANK(C92),"",BA92)</f>
        <v/>
      </c>
      <c r="BJ92" s="72" t="str">
        <f aca="false">IF(ISBLANK(C92),"",AZ92)</f>
        <v/>
      </c>
      <c r="BK92" s="75" t="str">
        <f aca="false">IF(ISBLANK(C92),"",IFERROR(_xlfn.SWITCH(BJ92, Constants!$B$4, COUNTA($C$8:$C591)+2, Constants!$B$5, COUNTA($C$8:$C591)+1, Constants!$B$6, COUNTA($C$8:$C591)),BJ92))</f>
        <v/>
      </c>
      <c r="BL92" s="5"/>
      <c r="BM92" s="76" t="n">
        <f aca="false">IF(OR(ISNUMBER(BJ92),BJ92="DQ",BJ92="P",BJ92="NS"),
    1,
    0
)</f>
        <v>0</v>
      </c>
      <c r="BN92" s="76" t="n">
        <v>85</v>
      </c>
      <c r="BO92" s="76" t="str">
        <f aca="false">IF(ISBLANK($C92),"",IF(ISNUMBER(BK92),BK92+ROW($B92)/1000,""))</f>
        <v/>
      </c>
      <c r="BP92" s="76" t="str">
        <f aca="false">IF(ISNUMBER(BO92), RANK(BO92,BO$8:BO$507,1), "")</f>
        <v/>
      </c>
      <c r="BQ92" s="76" t="str">
        <f aca="false">IF(ISBLANK($C92),
    "",
    $B92
)</f>
        <v/>
      </c>
      <c r="BR92" s="76" t="str">
        <f aca="false">IF(ISBLANK($C92),
    "",
    $C92
)</f>
        <v/>
      </c>
      <c r="BS92" s="76" t="str">
        <f aca="false">IF(ISBLANK($C92),
    "",
    $D92
)</f>
        <v/>
      </c>
      <c r="BT92" s="77" t="str">
        <f aca="false">BH92</f>
        <v/>
      </c>
      <c r="BU92" s="78" t="str">
        <f aca="false">BG92</f>
        <v/>
      </c>
      <c r="BV92" s="76" t="str">
        <f aca="false">IF(ISBLANK($C92),
    "",
    BJ92
)</f>
        <v/>
      </c>
      <c r="BW92" s="79" t="str">
        <f aca="false">IF(BN92&gt;BM$7,
    "",
    VLOOKUP(BN92,BP$8:BV591,7,FALSE())
)</f>
        <v/>
      </c>
      <c r="BX92" s="80" t="str">
        <f aca="false">IF(BN92&gt;BM$7,
    "",
    VLOOKUP(BN92,BP$8:BV591,2,FALSE())
)</f>
        <v/>
      </c>
      <c r="BY92" s="80" t="str">
        <f aca="false">IF(BN92&gt;BM$7,
    "",
    VLOOKUP(BN92,BP$8:BV591,3,FALSE())
)</f>
        <v/>
      </c>
      <c r="BZ92" s="80" t="str">
        <f aca="false">IF(BN92&gt;BM$7,
    "",
    VLOOKUP(BN92,BP$8:BV591,4,FALSE())
)</f>
        <v/>
      </c>
      <c r="CA92" s="80" t="str">
        <f aca="false">IF(BN92&gt;BM$7,
    "",
    VLOOKUP(BN92,BP$8:BV591,5,FALSE())
)</f>
        <v/>
      </c>
      <c r="CB92" s="81" t="str">
        <f aca="false">IF(BN92&gt;BM$7,
    "",
    VLOOKUP(BN92,BP$8:BV591,6,FALSE())
)</f>
        <v/>
      </c>
      <c r="CC92" s="53"/>
    </row>
    <row r="93" customFormat="false" ht="15.75" hidden="false" customHeight="false" outlineLevel="0" collapsed="false">
      <c r="A93" s="5"/>
      <c r="B93" s="129"/>
      <c r="C93" s="55"/>
      <c r="D93" s="56"/>
      <c r="E93" s="123"/>
      <c r="F93" s="123"/>
      <c r="G93" s="58"/>
      <c r="H93" s="59"/>
      <c r="I93" s="59"/>
      <c r="J93" s="83"/>
      <c r="K93" s="83"/>
      <c r="L93" s="83"/>
      <c r="M93" s="61"/>
      <c r="N93" s="61"/>
      <c r="O93" s="61"/>
      <c r="P93" s="62"/>
      <c r="Q93" s="63"/>
      <c r="R93" s="83"/>
      <c r="S93" s="65"/>
      <c r="T93" s="66"/>
      <c r="U93" s="66" t="str">
        <f aca="false">IF(ISBLANK($C93),"",IF(G93=Constants!$B$2, TRUE(), IF(G93=Constants!$B$3, FALSE(), TRUE())))</f>
        <v/>
      </c>
      <c r="V93" s="66" t="str">
        <f aca="false">IF(ISBLANK($C93),"",IF(H93=Constants!$B$2, TRUE(), IF(H93=Constants!$B$3, FALSE(), TRUE())))</f>
        <v/>
      </c>
      <c r="W93" s="66" t="str">
        <f aca="false">IF(ISBLANK($C93),"",IF(I93=Constants!$B$2, TRUE(), IF(I93=Constants!$B$3, FALSE(), TRUE())))</f>
        <v/>
      </c>
      <c r="X93" s="66" t="str">
        <f aca="false">IF(ISBLANK($C93),"",IF(AND(ISNUMBER(J93),J93&gt;0),INT(J93),0))</f>
        <v/>
      </c>
      <c r="Y93" s="66" t="str">
        <f aca="false">IF(ISBLANK($C93),"",IF(K93=Constants!$B$2, TRUE(), IF(K93=Constants!$B$3, FALSE(), TRUE())))</f>
        <v/>
      </c>
      <c r="Z93" s="66" t="str">
        <f aca="false">IF(ISBLANK($C93),"",IF(AND(ISNUMBER(L93),L93&gt;0),INT(L93),0))</f>
        <v/>
      </c>
      <c r="AA93" s="68" t="str">
        <f aca="false">IF(ISBLANK($C93),"",IF(ISNUMBER(M93), M93, ""))</f>
        <v/>
      </c>
      <c r="AB93" s="68" t="str">
        <f aca="false">IF(ISBLANK($C93),"",IF(ISNUMBER(N93), N93, ""))</f>
        <v/>
      </c>
      <c r="AC93" s="68" t="str">
        <f aca="false">IF(ISBLANK($C93),"",IF(ISNUMBER(O93), O93, ""))</f>
        <v/>
      </c>
      <c r="AD93" s="69" t="str">
        <f aca="false">IF(ISBLANK($C93),"",IF(ISNUMBER(P93), P93, ""))</f>
        <v/>
      </c>
      <c r="AE93" s="69" t="str">
        <f aca="false">IF(ISBLANK($C93),"",IF(ISNUMBER(Q93), Q93, Constants!$B$13))</f>
        <v/>
      </c>
      <c r="AF93" s="66" t="str">
        <f aca="false">IF(ISBLANK($C93),"",IF(R93=Constants!$B$2, TRUE(), IF(R93=Constants!$B$3, FALSE(), FALSE())))</f>
        <v/>
      </c>
      <c r="AG93" s="66" t="str">
        <f aca="false">IF(ISBLANK(C93), "", IF(AF93, Constants!$B$4,IF(COUNTA(G93:P93)=0, Constants!$B$5, Constants!$B$7)))</f>
        <v/>
      </c>
      <c r="AH93" s="66" t="str">
        <f aca="false">IF(ISBLANK($C93), "",IF($AG93=Constants!$B$7,1,$AG93))</f>
        <v/>
      </c>
      <c r="AI93" s="66" t="str">
        <f aca="false">IF($AG93=Constants!$B$7,POWER(Constants!$B$11,X93)*POWER(Constants!$B$12,Z93),"")</f>
        <v/>
      </c>
      <c r="AJ93" s="66" t="str">
        <f aca="false">IF(AND($AG93=Constants!$B$7, U93, V93) ,IF(OR($AA93="",$AC93=""),"",MAX(0, $AC93-$AA93)),"")</f>
        <v/>
      </c>
      <c r="AK93" s="66" t="str">
        <f aca="false">IF(AND($AG93=Constants!$B$7, U93, V93),IF(OR($AA93="",$AC93=""),$AK$6,""),"")</f>
        <v/>
      </c>
      <c r="AL93" s="66" t="str">
        <f aca="false">IF($AG93=Constants!$B$7,IF(AND(U93,V93,W93,Y93),IF($AJ93="",0,IF($AJ$6=0,Constants!$B$9,Constants!$B$9*AJ93/$AJ$6)), 0),"")</f>
        <v/>
      </c>
      <c r="AM93" s="66" t="str">
        <f aca="false">IF(AL93&lt;&gt;"", AL93*AI93,"")</f>
        <v/>
      </c>
      <c r="AN93" s="66" t="str">
        <f aca="false">IF(AND($AG93=Constants!$B$7, U93, V93) ,IF($AB93="", "", IF(OR($AC93="",$AC93=0),"",MAX(0,1-ABS($AC93-$AB93)/$AC93))),"")</f>
        <v/>
      </c>
      <c r="AO93" s="66" t="str">
        <f aca="false">IF(AND($AG93=Constants!$B$7, U93, V93),IF(AND($AA93&lt;&gt;"",$AB93&lt;&gt;"",$AC93=0),$AO$6,""),"")</f>
        <v/>
      </c>
      <c r="AP93" s="66" t="str">
        <f aca="false">IF($AG93=Constants!$B$7 ,IF(AND(U93,V93,W93,Y93,ISNUMBER(AB93)),IF($AN93="",0,IF($AN$6=0,Constants!$B$10,Constants!$B$10*AN93/$AN$6)), 0),"")</f>
        <v/>
      </c>
      <c r="AQ93" s="66" t="str">
        <f aca="false">IF(AP93&lt;&gt;"", AP93*AI93,"")</f>
        <v/>
      </c>
      <c r="AR93" s="66" t="str">
        <f aca="false">IF($AG93=Constants!$B$7,IF($AD93="",0,IF($AR$6=0,Constants!$B$8,Constants!$B$8*AD93/$AR$6)),"")</f>
        <v/>
      </c>
      <c r="AS93" s="66" t="str">
        <f aca="false">IF($AG93&lt;&gt;Constants!$B$7,$AG93,IF(AK93&amp;AO93&lt;&gt;"",Constants!$B$14,AM93+AQ93+AR93))</f>
        <v/>
      </c>
      <c r="AT93" s="66" t="str">
        <f aca="false">IF(ISBLANK($C93),"",IF($AG93=Constants!$B$7,IF(ISNUMBER(AS93),RANK(AS93,$AS$8:$AS$507),Constants!$B$14),$AG93))</f>
        <v/>
      </c>
      <c r="AU93" s="66" t="str">
        <f aca="false">IF(ISBLANK($C93), "",AM93)</f>
        <v/>
      </c>
      <c r="AV93" s="66" t="str">
        <f aca="false">IF(ISBLANK($C93),"",IF($AG93=Constants!$B$7,RANK(AU93,AU$8:AU$507),$AG93))</f>
        <v/>
      </c>
      <c r="AW93" s="66" t="str">
        <f aca="false">IF(ISBLANK($C93), "",AR93)</f>
        <v/>
      </c>
      <c r="AX93" s="66" t="str">
        <f aca="false">IF(ISBLANK($C93),"",IF($AG93=Constants!$B$7,RANK(AW93,AW$8:AW$507),$AG93))</f>
        <v/>
      </c>
      <c r="AY93" s="66" t="str">
        <f aca="false">IF(ISBLANK($C93), "",AE93)</f>
        <v/>
      </c>
      <c r="AZ93" s="66" t="str">
        <f aca="false">IF(ISBLANK($C93),"",
IF($AG93=Constants!$B$7,
  IF(ISNUMBER(AT93),
    COUNTIFS($AT$8:$AT$507,"&lt;"&amp;$AT93)
    + COUNTIFS($AT$8:$AT$507,$AT93,$AV$8:$AV$507,"&lt;"&amp;$AV93)
    + COUNTIFS($AT$8:$AT$507,$AT93,$AV$8:$AV$507,$AV93,$AX$8:$AX$507,"&lt;"&amp;$AX93)
    + COUNTIFS($AT$8:$AT$507,$AT93,$AV$8:$AV$507,$AV93,$AX$8:$AX$507,$AX93,$AY$8:$AY$507,"&lt;"&amp;$AY93)
    + 1,
  Constants!$B$14),
$AG93))</f>
        <v/>
      </c>
      <c r="BA93" s="66" t="str">
        <f aca="false">IF(ISBLANK(C93),"",IF($AG93=Constants!$B$7, IF(ISNUMBER(AT93),AT93-AZ93,Constants!$B$14),$AG93))</f>
        <v/>
      </c>
      <c r="BB93" s="70"/>
      <c r="BC93" s="84" t="str">
        <f aca="false">IF(ISBLANK($C93),"",TRIM(AK93&amp;" "&amp;AO93))</f>
        <v/>
      </c>
      <c r="BD93" s="72" t="str">
        <f aca="false">IF(ISBLANK($C93),"",IF($AG93&lt;&gt;Constants!$B$7,$AG93,AR93))</f>
        <v/>
      </c>
      <c r="BE93" s="72" t="str">
        <f aca="false">IF(ISBLANK($C93),"",IF($AG93&lt;&gt;Constants!$B$7,$AG93,AM93))</f>
        <v/>
      </c>
      <c r="BF93" s="72" t="str">
        <f aca="false">IF(ISBLANK($C93),"",IF($AG93&lt;&gt;Constants!$B$7,$AG93,AQ93))</f>
        <v/>
      </c>
      <c r="BG93" s="73" t="str">
        <f aca="false">IF(ISBLANK($C93),"",IF($AG93&lt;&gt;Constants!$B$7, $AG93 ,AS93))</f>
        <v/>
      </c>
      <c r="BH93" s="74" t="str">
        <f aca="false">IF(ISBLANK($C93),"",IF($AG93&lt;&gt;Constants!$B$7, $AG93 ,AH93))</f>
        <v/>
      </c>
      <c r="BI93" s="72" t="str">
        <f aca="false">IF(ISBLANK(C93),"",BA93)</f>
        <v/>
      </c>
      <c r="BJ93" s="72" t="str">
        <f aca="false">IF(ISBLANK(C93),"",AZ93)</f>
        <v/>
      </c>
      <c r="BK93" s="75" t="str">
        <f aca="false">IF(ISBLANK(C93),"",IFERROR(_xlfn.SWITCH(BJ93, Constants!$B$4, COUNTA($C$8:$C592)+2, Constants!$B$5, COUNTA($C$8:$C592)+1, Constants!$B$6, COUNTA($C$8:$C592)),BJ93))</f>
        <v/>
      </c>
      <c r="BL93" s="5"/>
      <c r="BM93" s="76" t="n">
        <f aca="false">IF(OR(ISNUMBER(BJ93),BJ93="DQ",BJ93="P",BJ93="NS"),
    1,
    0
)</f>
        <v>0</v>
      </c>
      <c r="BN93" s="76" t="n">
        <v>86</v>
      </c>
      <c r="BO93" s="76" t="str">
        <f aca="false">IF(ISBLANK($C93),"",IF(ISNUMBER(BK93),BK93+ROW($B93)/1000,""))</f>
        <v/>
      </c>
      <c r="BP93" s="76" t="str">
        <f aca="false">IF(ISNUMBER(BO93), RANK(BO93,BO$8:BO$507,1), "")</f>
        <v/>
      </c>
      <c r="BQ93" s="76" t="str">
        <f aca="false">IF(ISBLANK($C93),
    "",
    $B93
)</f>
        <v/>
      </c>
      <c r="BR93" s="76" t="str">
        <f aca="false">IF(ISBLANK($C93),
    "",
    $C93
)</f>
        <v/>
      </c>
      <c r="BS93" s="76" t="str">
        <f aca="false">IF(ISBLANK($C93),
    "",
    $D93
)</f>
        <v/>
      </c>
      <c r="BT93" s="77" t="str">
        <f aca="false">BH93</f>
        <v/>
      </c>
      <c r="BU93" s="78" t="str">
        <f aca="false">BG93</f>
        <v/>
      </c>
      <c r="BV93" s="76" t="str">
        <f aca="false">IF(ISBLANK($C93),
    "",
    BJ93
)</f>
        <v/>
      </c>
      <c r="BW93" s="79" t="str">
        <f aca="false">IF(BN93&gt;BM$7,
    "",
    VLOOKUP(BN93,BP$8:BV592,7,FALSE())
)</f>
        <v/>
      </c>
      <c r="BX93" s="80" t="str">
        <f aca="false">IF(BN93&gt;BM$7,
    "",
    VLOOKUP(BN93,BP$8:BV592,2,FALSE())
)</f>
        <v/>
      </c>
      <c r="BY93" s="80" t="str">
        <f aca="false">IF(BN93&gt;BM$7,
    "",
    VLOOKUP(BN93,BP$8:BV592,3,FALSE())
)</f>
        <v/>
      </c>
      <c r="BZ93" s="80" t="str">
        <f aca="false">IF(BN93&gt;BM$7,
    "",
    VLOOKUP(BN93,BP$8:BV592,4,FALSE())
)</f>
        <v/>
      </c>
      <c r="CA93" s="80" t="str">
        <f aca="false">IF(BN93&gt;BM$7,
    "",
    VLOOKUP(BN93,BP$8:BV592,5,FALSE())
)</f>
        <v/>
      </c>
      <c r="CB93" s="81" t="str">
        <f aca="false">IF(BN93&gt;BM$7,
    "",
    VLOOKUP(BN93,BP$8:BV592,6,FALSE())
)</f>
        <v/>
      </c>
      <c r="CC93" s="53"/>
    </row>
    <row r="94" customFormat="false" ht="15.75" hidden="false" customHeight="false" outlineLevel="0" collapsed="false">
      <c r="A94" s="5"/>
      <c r="B94" s="129"/>
      <c r="C94" s="55"/>
      <c r="D94" s="56"/>
      <c r="E94" s="123"/>
      <c r="F94" s="123"/>
      <c r="G94" s="58"/>
      <c r="H94" s="59"/>
      <c r="I94" s="59"/>
      <c r="J94" s="83"/>
      <c r="K94" s="83"/>
      <c r="L94" s="83"/>
      <c r="M94" s="61"/>
      <c r="N94" s="61"/>
      <c r="O94" s="61"/>
      <c r="P94" s="62"/>
      <c r="Q94" s="63"/>
      <c r="R94" s="83"/>
      <c r="S94" s="65"/>
      <c r="T94" s="66"/>
      <c r="U94" s="66" t="str">
        <f aca="false">IF(ISBLANK($C94),"",IF(G94=Constants!$B$2, TRUE(), IF(G94=Constants!$B$3, FALSE(), TRUE())))</f>
        <v/>
      </c>
      <c r="V94" s="66" t="str">
        <f aca="false">IF(ISBLANK($C94),"",IF(H94=Constants!$B$2, TRUE(), IF(H94=Constants!$B$3, FALSE(), TRUE())))</f>
        <v/>
      </c>
      <c r="W94" s="66" t="str">
        <f aca="false">IF(ISBLANK($C94),"",IF(I94=Constants!$B$2, TRUE(), IF(I94=Constants!$B$3, FALSE(), TRUE())))</f>
        <v/>
      </c>
      <c r="X94" s="66" t="str">
        <f aca="false">IF(ISBLANK($C94),"",IF(AND(ISNUMBER(J94),J94&gt;0),INT(J94),0))</f>
        <v/>
      </c>
      <c r="Y94" s="66" t="str">
        <f aca="false">IF(ISBLANK($C94),"",IF(K94=Constants!$B$2, TRUE(), IF(K94=Constants!$B$3, FALSE(), TRUE())))</f>
        <v/>
      </c>
      <c r="Z94" s="66" t="str">
        <f aca="false">IF(ISBLANK($C94),"",IF(AND(ISNUMBER(L94),L94&gt;0),INT(L94),0))</f>
        <v/>
      </c>
      <c r="AA94" s="68" t="str">
        <f aca="false">IF(ISBLANK($C94),"",IF(ISNUMBER(M94), M94, ""))</f>
        <v/>
      </c>
      <c r="AB94" s="68" t="str">
        <f aca="false">IF(ISBLANK($C94),"",IF(ISNUMBER(N94), N94, ""))</f>
        <v/>
      </c>
      <c r="AC94" s="68" t="str">
        <f aca="false">IF(ISBLANK($C94),"",IF(ISNUMBER(O94), O94, ""))</f>
        <v/>
      </c>
      <c r="AD94" s="69" t="str">
        <f aca="false">IF(ISBLANK($C94),"",IF(ISNUMBER(P94), P94, ""))</f>
        <v/>
      </c>
      <c r="AE94" s="69" t="str">
        <f aca="false">IF(ISBLANK($C94),"",IF(ISNUMBER(Q94), Q94, Constants!$B$13))</f>
        <v/>
      </c>
      <c r="AF94" s="66" t="str">
        <f aca="false">IF(ISBLANK($C94),"",IF(R94=Constants!$B$2, TRUE(), IF(R94=Constants!$B$3, FALSE(), FALSE())))</f>
        <v/>
      </c>
      <c r="AG94" s="66" t="str">
        <f aca="false">IF(ISBLANK(C94), "", IF(AF94, Constants!$B$4,IF(COUNTA(G94:P94)=0, Constants!$B$5, Constants!$B$7)))</f>
        <v/>
      </c>
      <c r="AH94" s="66" t="str">
        <f aca="false">IF(ISBLANK($C94), "",IF($AG94=Constants!$B$7,1,$AG94))</f>
        <v/>
      </c>
      <c r="AI94" s="66" t="str">
        <f aca="false">IF($AG94=Constants!$B$7,POWER(Constants!$B$11,X94)*POWER(Constants!$B$12,Z94),"")</f>
        <v/>
      </c>
      <c r="AJ94" s="66" t="str">
        <f aca="false">IF(AND($AG94=Constants!$B$7, U94, V94) ,IF(OR($AA94="",$AC94=""),"",MAX(0, $AC94-$AA94)),"")</f>
        <v/>
      </c>
      <c r="AK94" s="66" t="str">
        <f aca="false">IF(AND($AG94=Constants!$B$7, U94, V94),IF(OR($AA94="",$AC94=""),$AK$6,""),"")</f>
        <v/>
      </c>
      <c r="AL94" s="66" t="str">
        <f aca="false">IF($AG94=Constants!$B$7,IF(AND(U94,V94,W94,Y94),IF($AJ94="",0,IF($AJ$6=0,Constants!$B$9,Constants!$B$9*AJ94/$AJ$6)), 0),"")</f>
        <v/>
      </c>
      <c r="AM94" s="66" t="str">
        <f aca="false">IF(AL94&lt;&gt;"", AL94*AI94,"")</f>
        <v/>
      </c>
      <c r="AN94" s="66" t="str">
        <f aca="false">IF(AND($AG94=Constants!$B$7, U94, V94) ,IF($AB94="", "", IF(OR($AC94="",$AC94=0),"",MAX(0,1-ABS($AC94-$AB94)/$AC94))),"")</f>
        <v/>
      </c>
      <c r="AO94" s="66" t="str">
        <f aca="false">IF(AND($AG94=Constants!$B$7, U94, V94),IF(AND($AA94&lt;&gt;"",$AB94&lt;&gt;"",$AC94=0),$AO$6,""),"")</f>
        <v/>
      </c>
      <c r="AP94" s="66" t="str">
        <f aca="false">IF($AG94=Constants!$B$7 ,IF(AND(U94,V94,W94,Y94,ISNUMBER(AB94)),IF($AN94="",0,IF($AN$6=0,Constants!$B$10,Constants!$B$10*AN94/$AN$6)), 0),"")</f>
        <v/>
      </c>
      <c r="AQ94" s="66" t="str">
        <f aca="false">IF(AP94&lt;&gt;"", AP94*AI94,"")</f>
        <v/>
      </c>
      <c r="AR94" s="66" t="str">
        <f aca="false">IF($AG94=Constants!$B$7,IF($AD94="",0,IF($AR$6=0,Constants!$B$8,Constants!$B$8*AD94/$AR$6)),"")</f>
        <v/>
      </c>
      <c r="AS94" s="66" t="str">
        <f aca="false">IF($AG94&lt;&gt;Constants!$B$7,$AG94,IF(AK94&amp;AO94&lt;&gt;"",Constants!$B$14,AM94+AQ94+AR94))</f>
        <v/>
      </c>
      <c r="AT94" s="66" t="str">
        <f aca="false">IF(ISBLANK($C94),"",IF($AG94=Constants!$B$7,IF(ISNUMBER(AS94),RANK(AS94,$AS$8:$AS$507),Constants!$B$14),$AG94))</f>
        <v/>
      </c>
      <c r="AU94" s="66" t="str">
        <f aca="false">IF(ISBLANK($C94), "",AM94)</f>
        <v/>
      </c>
      <c r="AV94" s="66" t="str">
        <f aca="false">IF(ISBLANK($C94),"",IF($AG94=Constants!$B$7,RANK(AU94,AU$8:AU$507),$AG94))</f>
        <v/>
      </c>
      <c r="AW94" s="66" t="str">
        <f aca="false">IF(ISBLANK($C94), "",AR94)</f>
        <v/>
      </c>
      <c r="AX94" s="66" t="str">
        <f aca="false">IF(ISBLANK($C94),"",IF($AG94=Constants!$B$7,RANK(AW94,AW$8:AW$507),$AG94))</f>
        <v/>
      </c>
      <c r="AY94" s="66" t="str">
        <f aca="false">IF(ISBLANK($C94), "",AE94)</f>
        <v/>
      </c>
      <c r="AZ94" s="66" t="str">
        <f aca="false">IF(ISBLANK($C94),"",
IF($AG94=Constants!$B$7,
  IF(ISNUMBER(AT94),
    COUNTIFS($AT$8:$AT$507,"&lt;"&amp;$AT94)
    + COUNTIFS($AT$8:$AT$507,$AT94,$AV$8:$AV$507,"&lt;"&amp;$AV94)
    + COUNTIFS($AT$8:$AT$507,$AT94,$AV$8:$AV$507,$AV94,$AX$8:$AX$507,"&lt;"&amp;$AX94)
    + COUNTIFS($AT$8:$AT$507,$AT94,$AV$8:$AV$507,$AV94,$AX$8:$AX$507,$AX94,$AY$8:$AY$507,"&lt;"&amp;$AY94)
    + 1,
  Constants!$B$14),
$AG94))</f>
        <v/>
      </c>
      <c r="BA94" s="66" t="str">
        <f aca="false">IF(ISBLANK(C94),"",IF($AG94=Constants!$B$7, IF(ISNUMBER(AT94),AT94-AZ94,Constants!$B$14),$AG94))</f>
        <v/>
      </c>
      <c r="BB94" s="70"/>
      <c r="BC94" s="84" t="str">
        <f aca="false">IF(ISBLANK($C94),"",TRIM(AK94&amp;" "&amp;AO94))</f>
        <v/>
      </c>
      <c r="BD94" s="72" t="str">
        <f aca="false">IF(ISBLANK($C94),"",IF($AG94&lt;&gt;Constants!$B$7,$AG94,AR94))</f>
        <v/>
      </c>
      <c r="BE94" s="72" t="str">
        <f aca="false">IF(ISBLANK($C94),"",IF($AG94&lt;&gt;Constants!$B$7,$AG94,AM94))</f>
        <v/>
      </c>
      <c r="BF94" s="72" t="str">
        <f aca="false">IF(ISBLANK($C94),"",IF($AG94&lt;&gt;Constants!$B$7,$AG94,AQ94))</f>
        <v/>
      </c>
      <c r="BG94" s="73" t="str">
        <f aca="false">IF(ISBLANK($C94),"",IF($AG94&lt;&gt;Constants!$B$7, $AG94 ,AS94))</f>
        <v/>
      </c>
      <c r="BH94" s="74" t="str">
        <f aca="false">IF(ISBLANK($C94),"",IF($AG94&lt;&gt;Constants!$B$7, $AG94 ,AH94))</f>
        <v/>
      </c>
      <c r="BI94" s="72" t="str">
        <f aca="false">IF(ISBLANK(C94),"",BA94)</f>
        <v/>
      </c>
      <c r="BJ94" s="72" t="str">
        <f aca="false">IF(ISBLANK(C94),"",AZ94)</f>
        <v/>
      </c>
      <c r="BK94" s="75" t="str">
        <f aca="false">IF(ISBLANK(C94),"",IFERROR(_xlfn.SWITCH(BJ94, Constants!$B$4, COUNTA($C$8:$C593)+2, Constants!$B$5, COUNTA($C$8:$C593)+1, Constants!$B$6, COUNTA($C$8:$C593)),BJ94))</f>
        <v/>
      </c>
      <c r="BL94" s="5"/>
      <c r="BM94" s="76" t="n">
        <f aca="false">IF(OR(ISNUMBER(BJ94),BJ94="DQ",BJ94="P",BJ94="NS"),
    1,
    0
)</f>
        <v>0</v>
      </c>
      <c r="BN94" s="76" t="n">
        <v>87</v>
      </c>
      <c r="BO94" s="76" t="str">
        <f aca="false">IF(ISBLANK($C94),"",IF(ISNUMBER(BK94),BK94+ROW($B94)/1000,""))</f>
        <v/>
      </c>
      <c r="BP94" s="76" t="str">
        <f aca="false">IF(ISNUMBER(BO94), RANK(BO94,BO$8:BO$507,1), "")</f>
        <v/>
      </c>
      <c r="BQ94" s="76" t="str">
        <f aca="false">IF(ISBLANK($C94),
    "",
    $B94
)</f>
        <v/>
      </c>
      <c r="BR94" s="76" t="str">
        <f aca="false">IF(ISBLANK($C94),
    "",
    $C94
)</f>
        <v/>
      </c>
      <c r="BS94" s="76" t="str">
        <f aca="false">IF(ISBLANK($C94),
    "",
    $D94
)</f>
        <v/>
      </c>
      <c r="BT94" s="77" t="str">
        <f aca="false">BH94</f>
        <v/>
      </c>
      <c r="BU94" s="78" t="str">
        <f aca="false">BG94</f>
        <v/>
      </c>
      <c r="BV94" s="76" t="str">
        <f aca="false">IF(ISBLANK($C94),
    "",
    BJ94
)</f>
        <v/>
      </c>
      <c r="BW94" s="79" t="str">
        <f aca="false">IF(BN94&gt;BM$7,
    "",
    VLOOKUP(BN94,BP$8:BV593,7,FALSE())
)</f>
        <v/>
      </c>
      <c r="BX94" s="80" t="str">
        <f aca="false">IF(BN94&gt;BM$7,
    "",
    VLOOKUP(BN94,BP$8:BV593,2,FALSE())
)</f>
        <v/>
      </c>
      <c r="BY94" s="80" t="str">
        <f aca="false">IF(BN94&gt;BM$7,
    "",
    VLOOKUP(BN94,BP$8:BV593,3,FALSE())
)</f>
        <v/>
      </c>
      <c r="BZ94" s="80" t="str">
        <f aca="false">IF(BN94&gt;BM$7,
    "",
    VLOOKUP(BN94,BP$8:BV593,4,FALSE())
)</f>
        <v/>
      </c>
      <c r="CA94" s="80" t="str">
        <f aca="false">IF(BN94&gt;BM$7,
    "",
    VLOOKUP(BN94,BP$8:BV593,5,FALSE())
)</f>
        <v/>
      </c>
      <c r="CB94" s="81" t="str">
        <f aca="false">IF(BN94&gt;BM$7,
    "",
    VLOOKUP(BN94,BP$8:BV593,6,FALSE())
)</f>
        <v/>
      </c>
      <c r="CC94" s="53"/>
    </row>
    <row r="95" customFormat="false" ht="15.75" hidden="false" customHeight="false" outlineLevel="0" collapsed="false">
      <c r="A95" s="5"/>
      <c r="B95" s="125"/>
      <c r="C95" s="126"/>
      <c r="D95" s="115"/>
      <c r="E95" s="119"/>
      <c r="F95" s="119"/>
      <c r="G95" s="91"/>
      <c r="H95" s="92"/>
      <c r="I95" s="92"/>
      <c r="J95" s="128"/>
      <c r="K95" s="128"/>
      <c r="L95" s="128"/>
      <c r="M95" s="94"/>
      <c r="N95" s="94"/>
      <c r="O95" s="94"/>
      <c r="P95" s="95"/>
      <c r="Q95" s="96"/>
      <c r="R95" s="128"/>
      <c r="S95" s="98"/>
      <c r="T95" s="99"/>
      <c r="U95" s="99" t="str">
        <f aca="false">IF(ISBLANK($C95),"",IF(G95=Constants!$B$2, TRUE(), IF(G95=Constants!$B$3, FALSE(), TRUE())))</f>
        <v/>
      </c>
      <c r="V95" s="99" t="str">
        <f aca="false">IF(ISBLANK($C95),"",IF(H95=Constants!$B$2, TRUE(), IF(H95=Constants!$B$3, FALSE(), TRUE())))</f>
        <v/>
      </c>
      <c r="W95" s="99" t="str">
        <f aca="false">IF(ISBLANK($C95),"",IF(I95=Constants!$B$2, TRUE(), IF(I95=Constants!$B$3, FALSE(), TRUE())))</f>
        <v/>
      </c>
      <c r="X95" s="99" t="str">
        <f aca="false">IF(ISBLANK($C95),"",IF(AND(ISNUMBER(J95),J95&gt;0),INT(J95),0))</f>
        <v/>
      </c>
      <c r="Y95" s="99" t="str">
        <f aca="false">IF(ISBLANK($C95),"",IF(K95=Constants!$B$2, TRUE(), IF(K95=Constants!$B$3, FALSE(), TRUE())))</f>
        <v/>
      </c>
      <c r="Z95" s="100" t="str">
        <f aca="false">IF(ISBLANK($C95),"",IF(AND(ISNUMBER(L95),L95&gt;0),INT(L95),0))</f>
        <v/>
      </c>
      <c r="AA95" s="101" t="str">
        <f aca="false">IF(ISBLANK($C95),"",IF(ISNUMBER(M95), M95, ""))</f>
        <v/>
      </c>
      <c r="AB95" s="101" t="str">
        <f aca="false">IF(ISBLANK($C95),"",IF(ISNUMBER(N95), N95, ""))</f>
        <v/>
      </c>
      <c r="AC95" s="101" t="str">
        <f aca="false">IF(ISBLANK($C95),"",IF(ISNUMBER(O95), O95, ""))</f>
        <v/>
      </c>
      <c r="AD95" s="102" t="str">
        <f aca="false">IF(ISBLANK($C95),"",IF(ISNUMBER(P95), P95, ""))</f>
        <v/>
      </c>
      <c r="AE95" s="102" t="str">
        <f aca="false">IF(ISBLANK($C95),"",IF(ISNUMBER(Q95), Q95, Constants!$B$13))</f>
        <v/>
      </c>
      <c r="AF95" s="99" t="str">
        <f aca="false">IF(ISBLANK($C95),"",IF(R95=Constants!$B$2, TRUE(), IF(R95=Constants!$B$3, FALSE(), FALSE())))</f>
        <v/>
      </c>
      <c r="AG95" s="99" t="str">
        <f aca="false">IF(ISBLANK(C95), "", IF(AF95, Constants!$B$4,IF(COUNTA(G95:P95)=0, Constants!$B$5, Constants!$B$7)))</f>
        <v/>
      </c>
      <c r="AH95" s="99" t="str">
        <f aca="false">IF(ISBLANK($C95), "",IF($AG95=Constants!$B$7,1,$AG95))</f>
        <v/>
      </c>
      <c r="AI95" s="99" t="str">
        <f aca="false">IF($AG95=Constants!$B$7,POWER(Constants!$B$11,X95)*POWER(Constants!$B$12,Z95),"")</f>
        <v/>
      </c>
      <c r="AJ95" s="99" t="str">
        <f aca="false">IF(AND($AG95=Constants!$B$7, U95, V95) ,IF(OR($AA95="",$AC95=""),"",MAX(0, $AC95-$AA95)),"")</f>
        <v/>
      </c>
      <c r="AK95" s="99" t="str">
        <f aca="false">IF(AND($AG95=Constants!$B$7, U95, V95),IF(OR($AA95="",$AC95=""),$AK$6,""),"")</f>
        <v/>
      </c>
      <c r="AL95" s="99" t="str">
        <f aca="false">IF($AG95=Constants!$B$7,IF(AND(U95,V95,W95,Y95),IF($AJ95="",0,IF($AJ$6=0,Constants!$B$9,Constants!$B$9*AJ95/$AJ$6)), 0),"")</f>
        <v/>
      </c>
      <c r="AM95" s="99" t="str">
        <f aca="false">IF(AL95&lt;&gt;"", AL95*AI95,"")</f>
        <v/>
      </c>
      <c r="AN95" s="99" t="str">
        <f aca="false">IF(AND($AG95=Constants!$B$7, U95, V95) ,IF($AB95="", "", IF(OR($AC95="",$AC95=0),"",MAX(0,1-ABS($AC95-$AB95)/$AC95))),"")</f>
        <v/>
      </c>
      <c r="AO95" s="99" t="str">
        <f aca="false">IF(AND($AG95=Constants!$B$7, U95, V95),IF(AND($AA95&lt;&gt;"",$AB95&lt;&gt;"",$AC95=0),$AO$6,""),"")</f>
        <v/>
      </c>
      <c r="AP95" s="99" t="str">
        <f aca="false">IF($AG95=Constants!$B$7 ,IF(AND(U95,V95,W95,Y95,ISNUMBER(AB95)),IF($AN95="",0,IF($AN$6=0,Constants!$B$10,Constants!$B$10*AN95/$AN$6)), 0),"")</f>
        <v/>
      </c>
      <c r="AQ95" s="99" t="str">
        <f aca="false">IF(AP95&lt;&gt;"", AP95*AI95,"")</f>
        <v/>
      </c>
      <c r="AR95" s="99" t="str">
        <f aca="false">IF($AG95=Constants!$B$7,IF($AD95="",0,IF($AR$6=0,Constants!$B$8,Constants!$B$8*AD95/$AR$6)),"")</f>
        <v/>
      </c>
      <c r="AS95" s="99" t="str">
        <f aca="false">IF($AG95&lt;&gt;Constants!$B$7,$AG95,IF(AK95&amp;AO95&lt;&gt;"",Constants!$B$14,AM95+AQ95+AR95))</f>
        <v/>
      </c>
      <c r="AT95" s="99" t="str">
        <f aca="false">IF(ISBLANK($C95),"",IF($AG95=Constants!$B$7,IF(ISNUMBER(AS95),RANK(AS95,$AS$8:$AS$507),Constants!$B$14),$AG95))</f>
        <v/>
      </c>
      <c r="AU95" s="99" t="str">
        <f aca="false">IF(ISBLANK($C95), "",AM95)</f>
        <v/>
      </c>
      <c r="AV95" s="99" t="str">
        <f aca="false">IF(ISBLANK($C95),"",IF($AG95=Constants!$B$7,RANK(AU95,AU$8:AU$507),$AG95))</f>
        <v/>
      </c>
      <c r="AW95" s="99" t="str">
        <f aca="false">IF(ISBLANK($C95), "",AR95)</f>
        <v/>
      </c>
      <c r="AX95" s="99" t="str">
        <f aca="false">IF(ISBLANK($C95),"",IF($AG95=Constants!$B$7,RANK(AW95,AW$8:AW$507),$AG95))</f>
        <v/>
      </c>
      <c r="AY95" s="99" t="str">
        <f aca="false">IF(ISBLANK($C95), "",AE95)</f>
        <v/>
      </c>
      <c r="AZ95" s="99" t="str">
        <f aca="false">IF(ISBLANK($C95),"",
IF($AG95=Constants!$B$7,
  IF(ISNUMBER(AT95),
    COUNTIFS($AT$8:$AT$507,"&lt;"&amp;$AT95)
    + COUNTIFS($AT$8:$AT$507,$AT95,$AV$8:$AV$507,"&lt;"&amp;$AV95)
    + COUNTIFS($AT$8:$AT$507,$AT95,$AV$8:$AV$507,$AV95,$AX$8:$AX$507,"&lt;"&amp;$AX95)
    + COUNTIFS($AT$8:$AT$507,$AT95,$AV$8:$AV$507,$AV95,$AX$8:$AX$507,$AX95,$AY$8:$AY$507,"&lt;"&amp;$AY95)
    + 1,
  Constants!$B$14),
$AG95))</f>
        <v/>
      </c>
      <c r="BA95" s="99" t="str">
        <f aca="false">IF(ISBLANK(C95),"",IF($AG95=Constants!$B$7, IF(ISNUMBER(AT95),AT95-AZ95,Constants!$B$14),$AG95))</f>
        <v/>
      </c>
      <c r="BB95" s="103"/>
      <c r="BC95" s="104" t="str">
        <f aca="false">IF(ISBLANK($C95),"",TRIM(AK95&amp;" "&amp;AO95))</f>
        <v/>
      </c>
      <c r="BD95" s="105" t="str">
        <f aca="false">IF(ISBLANK($C95),"",IF($AG95&lt;&gt;Constants!$B$7,$AG95,AR95))</f>
        <v/>
      </c>
      <c r="BE95" s="105" t="str">
        <f aca="false">IF(ISBLANK($C95),"",IF($AG95&lt;&gt;Constants!$B$7,$AG95,AM95))</f>
        <v/>
      </c>
      <c r="BF95" s="105" t="str">
        <f aca="false">IF(ISBLANK($C95),"",IF($AG95&lt;&gt;Constants!$B$7,$AG95,AQ95))</f>
        <v/>
      </c>
      <c r="BG95" s="106" t="str">
        <f aca="false">IF(ISBLANK($C95),"",IF($AG95&lt;&gt;Constants!$B$7, $AG95 ,AS95))</f>
        <v/>
      </c>
      <c r="BH95" s="107" t="str">
        <f aca="false">IF(ISBLANK($C95),"",IF($AG95&lt;&gt;Constants!$B$7, $AG95 ,AH95))</f>
        <v/>
      </c>
      <c r="BI95" s="105" t="str">
        <f aca="false">IF(ISBLANK(C95),"",BA95)</f>
        <v/>
      </c>
      <c r="BJ95" s="105" t="str">
        <f aca="false">IF(ISBLANK(C95),"",AZ95)</f>
        <v/>
      </c>
      <c r="BK95" s="108" t="str">
        <f aca="false">IF(ISBLANK(C95),"",IFERROR(_xlfn.SWITCH(BJ95, Constants!$B$4, COUNTA($C$8:$C594)+2, Constants!$B$5, COUNTA($C$8:$C594)+1, Constants!$B$6, COUNTA($C$8:$C594)),BJ95))</f>
        <v/>
      </c>
      <c r="BL95" s="5"/>
      <c r="BM95" s="109" t="n">
        <f aca="false">IF(OR(ISNUMBER(BJ95),BJ95="DQ",BJ95="P",BJ95="NS"),
    1,
    0
)</f>
        <v>0</v>
      </c>
      <c r="BN95" s="109" t="n">
        <v>88</v>
      </c>
      <c r="BO95" s="109" t="str">
        <f aca="false">IF(ISBLANK($C95),"",IF(ISNUMBER(BK95),BK95+ROW($B95)/1000,""))</f>
        <v/>
      </c>
      <c r="BP95" s="109" t="str">
        <f aca="false">IF(ISNUMBER(BO95), RANK(BO95,BO$8:BO$507,1), "")</f>
        <v/>
      </c>
      <c r="BQ95" s="109" t="str">
        <f aca="false">IF(ISBLANK($C95),
    "",
    $B95
)</f>
        <v/>
      </c>
      <c r="BR95" s="109" t="str">
        <f aca="false">IF(ISBLANK($C95),
    "",
    $C95
)</f>
        <v/>
      </c>
      <c r="BS95" s="109" t="str">
        <f aca="false">IF(ISBLANK($C95),
    "",
    $D95
)</f>
        <v/>
      </c>
      <c r="BT95" s="110" t="str">
        <f aca="false">BH95</f>
        <v/>
      </c>
      <c r="BU95" s="111" t="str">
        <f aca="false">BG95</f>
        <v/>
      </c>
      <c r="BV95" s="109" t="str">
        <f aca="false">IF(ISBLANK($C95),
    "",
    BJ95
)</f>
        <v/>
      </c>
      <c r="BW95" s="112" t="str">
        <f aca="false">IF(BN95&gt;BM$7,
    "",
    VLOOKUP(BN95,BP$8:BV594,7,FALSE())
)</f>
        <v/>
      </c>
      <c r="BX95" s="113" t="str">
        <f aca="false">IF(BN95&gt;BM$7,
    "",
    VLOOKUP(BN95,BP$8:BV594,2,FALSE())
)</f>
        <v/>
      </c>
      <c r="BY95" s="113" t="str">
        <f aca="false">IF(BN95&gt;BM$7,
    "",
    VLOOKUP(BN95,BP$8:BV594,3,FALSE())
)</f>
        <v/>
      </c>
      <c r="BZ95" s="113" t="str">
        <f aca="false">IF(BN95&gt;BM$7,
    "",
    VLOOKUP(BN95,BP$8:BV594,4,FALSE())
)</f>
        <v/>
      </c>
      <c r="CA95" s="113" t="str">
        <f aca="false">IF(BN95&gt;BM$7,
    "",
    VLOOKUP(BN95,BP$8:BV594,5,FALSE())
)</f>
        <v/>
      </c>
      <c r="CB95" s="114" t="str">
        <f aca="false">IF(BN95&gt;BM$7,
    "",
    VLOOKUP(BN95,BP$8:BV594,6,FALSE())
)</f>
        <v/>
      </c>
      <c r="CC95" s="53"/>
    </row>
    <row r="96" customFormat="false" ht="15.75" hidden="false" customHeight="false" outlineLevel="0" collapsed="false">
      <c r="A96" s="5"/>
      <c r="B96" s="125"/>
      <c r="C96" s="126"/>
      <c r="D96" s="115"/>
      <c r="E96" s="119"/>
      <c r="F96" s="119"/>
      <c r="G96" s="91"/>
      <c r="H96" s="92"/>
      <c r="I96" s="92"/>
      <c r="J96" s="128"/>
      <c r="K96" s="128"/>
      <c r="L96" s="128"/>
      <c r="M96" s="94"/>
      <c r="N96" s="94"/>
      <c r="O96" s="94"/>
      <c r="P96" s="95"/>
      <c r="Q96" s="96"/>
      <c r="R96" s="128"/>
      <c r="S96" s="98"/>
      <c r="T96" s="99"/>
      <c r="U96" s="99" t="str">
        <f aca="false">IF(ISBLANK($C96),"",IF(G96=Constants!$B$2, TRUE(), IF(G96=Constants!$B$3, FALSE(), TRUE())))</f>
        <v/>
      </c>
      <c r="V96" s="99" t="str">
        <f aca="false">IF(ISBLANK($C96),"",IF(H96=Constants!$B$2, TRUE(), IF(H96=Constants!$B$3, FALSE(), TRUE())))</f>
        <v/>
      </c>
      <c r="W96" s="99" t="str">
        <f aca="false">IF(ISBLANK($C96),"",IF(I96=Constants!$B$2, TRUE(), IF(I96=Constants!$B$3, FALSE(), TRUE())))</f>
        <v/>
      </c>
      <c r="X96" s="99" t="str">
        <f aca="false">IF(ISBLANK($C96),"",IF(AND(ISNUMBER(J96),J96&gt;0),INT(J96),0))</f>
        <v/>
      </c>
      <c r="Y96" s="99" t="str">
        <f aca="false">IF(ISBLANK($C96),"",IF(K96=Constants!$B$2, TRUE(), IF(K96=Constants!$B$3, FALSE(), TRUE())))</f>
        <v/>
      </c>
      <c r="Z96" s="100" t="str">
        <f aca="false">IF(ISBLANK($C96),"",IF(AND(ISNUMBER(L96),L96&gt;0),INT(L96),0))</f>
        <v/>
      </c>
      <c r="AA96" s="101" t="str">
        <f aca="false">IF(ISBLANK($C96),"",IF(ISNUMBER(M96), M96, ""))</f>
        <v/>
      </c>
      <c r="AB96" s="101" t="str">
        <f aca="false">IF(ISBLANK($C96),"",IF(ISNUMBER(N96), N96, ""))</f>
        <v/>
      </c>
      <c r="AC96" s="101" t="str">
        <f aca="false">IF(ISBLANK($C96),"",IF(ISNUMBER(O96), O96, ""))</f>
        <v/>
      </c>
      <c r="AD96" s="102" t="str">
        <f aca="false">IF(ISBLANK($C96),"",IF(ISNUMBER(P96), P96, ""))</f>
        <v/>
      </c>
      <c r="AE96" s="102" t="str">
        <f aca="false">IF(ISBLANK($C96),"",IF(ISNUMBER(Q96), Q96, Constants!$B$13))</f>
        <v/>
      </c>
      <c r="AF96" s="99" t="str">
        <f aca="false">IF(ISBLANK($C96),"",IF(R96=Constants!$B$2, TRUE(), IF(R96=Constants!$B$3, FALSE(), FALSE())))</f>
        <v/>
      </c>
      <c r="AG96" s="99" t="str">
        <f aca="false">IF(ISBLANK(C96), "", IF(AF96, Constants!$B$4,IF(COUNTA(G96:P96)=0, Constants!$B$5, Constants!$B$7)))</f>
        <v/>
      </c>
      <c r="AH96" s="99" t="str">
        <f aca="false">IF(ISBLANK($C96), "",IF($AG96=Constants!$B$7,1,$AG96))</f>
        <v/>
      </c>
      <c r="AI96" s="99" t="str">
        <f aca="false">IF($AG96=Constants!$B$7,POWER(Constants!$B$11,X96)*POWER(Constants!$B$12,Z96),"")</f>
        <v/>
      </c>
      <c r="AJ96" s="99" t="str">
        <f aca="false">IF(AND($AG96=Constants!$B$7, U96, V96) ,IF(OR($AA96="",$AC96=""),"",MAX(0, $AC96-$AA96)),"")</f>
        <v/>
      </c>
      <c r="AK96" s="99" t="str">
        <f aca="false">IF(AND($AG96=Constants!$B$7, U96, V96),IF(OR($AA96="",$AC96=""),$AK$6,""),"")</f>
        <v/>
      </c>
      <c r="AL96" s="99" t="str">
        <f aca="false">IF($AG96=Constants!$B$7,IF(AND(U96,V96,W96,Y96),IF($AJ96="",0,IF($AJ$6=0,Constants!$B$9,Constants!$B$9*AJ96/$AJ$6)), 0),"")</f>
        <v/>
      </c>
      <c r="AM96" s="99" t="str">
        <f aca="false">IF(AL96&lt;&gt;"", AL96*AI96,"")</f>
        <v/>
      </c>
      <c r="AN96" s="99" t="str">
        <f aca="false">IF(AND($AG96=Constants!$B$7, U96, V96) ,IF($AB96="", "", IF(OR($AC96="",$AC96=0),"",MAX(0,1-ABS($AC96-$AB96)/$AC96))),"")</f>
        <v/>
      </c>
      <c r="AO96" s="99" t="str">
        <f aca="false">IF(AND($AG96=Constants!$B$7, U96, V96),IF(AND($AA96&lt;&gt;"",$AB96&lt;&gt;"",$AC96=0),$AO$6,""),"")</f>
        <v/>
      </c>
      <c r="AP96" s="99" t="str">
        <f aca="false">IF($AG96=Constants!$B$7 ,IF(AND(U96,V96,W96,Y96,ISNUMBER(AB96)),IF($AN96="",0,IF($AN$6=0,Constants!$B$10,Constants!$B$10*AN96/$AN$6)), 0),"")</f>
        <v/>
      </c>
      <c r="AQ96" s="99" t="str">
        <f aca="false">IF(AP96&lt;&gt;"", AP96*AI96,"")</f>
        <v/>
      </c>
      <c r="AR96" s="99" t="str">
        <f aca="false">IF($AG96=Constants!$B$7,IF($AD96="",0,IF($AR$6=0,Constants!$B$8,Constants!$B$8*AD96/$AR$6)),"")</f>
        <v/>
      </c>
      <c r="AS96" s="99" t="str">
        <f aca="false">IF($AG96&lt;&gt;Constants!$B$7,$AG96,IF(AK96&amp;AO96&lt;&gt;"",Constants!$B$14,AM96+AQ96+AR96))</f>
        <v/>
      </c>
      <c r="AT96" s="99" t="str">
        <f aca="false">IF(ISBLANK($C96),"",IF($AG96=Constants!$B$7,IF(ISNUMBER(AS96),RANK(AS96,$AS$8:$AS$507),Constants!$B$14),$AG96))</f>
        <v/>
      </c>
      <c r="AU96" s="99" t="str">
        <f aca="false">IF(ISBLANK($C96), "",AM96)</f>
        <v/>
      </c>
      <c r="AV96" s="99" t="str">
        <f aca="false">IF(ISBLANK($C96),"",IF($AG96=Constants!$B$7,RANK(AU96,AU$8:AU$507),$AG96))</f>
        <v/>
      </c>
      <c r="AW96" s="99" t="str">
        <f aca="false">IF(ISBLANK($C96), "",AR96)</f>
        <v/>
      </c>
      <c r="AX96" s="99" t="str">
        <f aca="false">IF(ISBLANK($C96),"",IF($AG96=Constants!$B$7,RANK(AW96,AW$8:AW$507),$AG96))</f>
        <v/>
      </c>
      <c r="AY96" s="99" t="str">
        <f aca="false">IF(ISBLANK($C96), "",AE96)</f>
        <v/>
      </c>
      <c r="AZ96" s="99" t="str">
        <f aca="false">IF(ISBLANK($C96),"",
IF($AG96=Constants!$B$7,
  IF(ISNUMBER(AT96),
    COUNTIFS($AT$8:$AT$507,"&lt;"&amp;$AT96)
    + COUNTIFS($AT$8:$AT$507,$AT96,$AV$8:$AV$507,"&lt;"&amp;$AV96)
    + COUNTIFS($AT$8:$AT$507,$AT96,$AV$8:$AV$507,$AV96,$AX$8:$AX$507,"&lt;"&amp;$AX96)
    + COUNTIFS($AT$8:$AT$507,$AT96,$AV$8:$AV$507,$AV96,$AX$8:$AX$507,$AX96,$AY$8:$AY$507,"&lt;"&amp;$AY96)
    + 1,
  Constants!$B$14),
$AG96))</f>
        <v/>
      </c>
      <c r="BA96" s="99" t="str">
        <f aca="false">IF(ISBLANK(C96),"",IF($AG96=Constants!$B$7, IF(ISNUMBER(AT96),AT96-AZ96,Constants!$B$14),$AG96))</f>
        <v/>
      </c>
      <c r="BB96" s="103"/>
      <c r="BC96" s="104" t="str">
        <f aca="false">IF(ISBLANK($C96),"",TRIM(AK96&amp;" "&amp;AO96))</f>
        <v/>
      </c>
      <c r="BD96" s="105" t="str">
        <f aca="false">IF(ISBLANK($C96),"",IF($AG96&lt;&gt;Constants!$B$7,$AG96,AR96))</f>
        <v/>
      </c>
      <c r="BE96" s="105" t="str">
        <f aca="false">IF(ISBLANK($C96),"",IF($AG96&lt;&gt;Constants!$B$7,$AG96,AM96))</f>
        <v/>
      </c>
      <c r="BF96" s="105" t="str">
        <f aca="false">IF(ISBLANK($C96),"",IF($AG96&lt;&gt;Constants!$B$7,$AG96,AQ96))</f>
        <v/>
      </c>
      <c r="BG96" s="106" t="str">
        <f aca="false">IF(ISBLANK($C96),"",IF($AG96&lt;&gt;Constants!$B$7, $AG96 ,AS96))</f>
        <v/>
      </c>
      <c r="BH96" s="107" t="str">
        <f aca="false">IF(ISBLANK($C96),"",IF($AG96&lt;&gt;Constants!$B$7, $AG96 ,AH96))</f>
        <v/>
      </c>
      <c r="BI96" s="105" t="str">
        <f aca="false">IF(ISBLANK(C96),"",BA96)</f>
        <v/>
      </c>
      <c r="BJ96" s="105" t="str">
        <f aca="false">IF(ISBLANK(C96),"",AZ96)</f>
        <v/>
      </c>
      <c r="BK96" s="108" t="str">
        <f aca="false">IF(ISBLANK(C96),"",IFERROR(_xlfn.SWITCH(BJ96, Constants!$B$4, COUNTA($C$8:$C595)+2, Constants!$B$5, COUNTA($C$8:$C595)+1, Constants!$B$6, COUNTA($C$8:$C595)),BJ96))</f>
        <v/>
      </c>
      <c r="BL96" s="5"/>
      <c r="BM96" s="109" t="n">
        <f aca="false">IF(OR(ISNUMBER(BJ96),BJ96="DQ",BJ96="P",BJ96="NS"),
    1,
    0
)</f>
        <v>0</v>
      </c>
      <c r="BN96" s="109" t="n">
        <v>89</v>
      </c>
      <c r="BO96" s="109" t="str">
        <f aca="false">IF(ISBLANK($C96),"",IF(ISNUMBER(BK96),BK96+ROW($B96)/1000,""))</f>
        <v/>
      </c>
      <c r="BP96" s="109" t="str">
        <f aca="false">IF(ISNUMBER(BO96), RANK(BO96,BO$8:BO$507,1), "")</f>
        <v/>
      </c>
      <c r="BQ96" s="109" t="str">
        <f aca="false">IF(ISBLANK($C96),
    "",
    $B96
)</f>
        <v/>
      </c>
      <c r="BR96" s="109" t="str">
        <f aca="false">IF(ISBLANK($C96),
    "",
    $C96
)</f>
        <v/>
      </c>
      <c r="BS96" s="109" t="str">
        <f aca="false">IF(ISBLANK($C96),
    "",
    $D96
)</f>
        <v/>
      </c>
      <c r="BT96" s="110" t="str">
        <f aca="false">BH96</f>
        <v/>
      </c>
      <c r="BU96" s="111" t="str">
        <f aca="false">BG96</f>
        <v/>
      </c>
      <c r="BV96" s="109" t="str">
        <f aca="false">IF(ISBLANK($C96),
    "",
    BJ96
)</f>
        <v/>
      </c>
      <c r="BW96" s="112" t="str">
        <f aca="false">IF(BN96&gt;BM$7,
    "",
    VLOOKUP(BN96,BP$8:BV595,7,FALSE())
)</f>
        <v/>
      </c>
      <c r="BX96" s="113" t="str">
        <f aca="false">IF(BN96&gt;BM$7,
    "",
    VLOOKUP(BN96,BP$8:BV595,2,FALSE())
)</f>
        <v/>
      </c>
      <c r="BY96" s="113" t="str">
        <f aca="false">IF(BN96&gt;BM$7,
    "",
    VLOOKUP(BN96,BP$8:BV595,3,FALSE())
)</f>
        <v/>
      </c>
      <c r="BZ96" s="113" t="str">
        <f aca="false">IF(BN96&gt;BM$7,
    "",
    VLOOKUP(BN96,BP$8:BV595,4,FALSE())
)</f>
        <v/>
      </c>
      <c r="CA96" s="113" t="str">
        <f aca="false">IF(BN96&gt;BM$7,
    "",
    VLOOKUP(BN96,BP$8:BV595,5,FALSE())
)</f>
        <v/>
      </c>
      <c r="CB96" s="114" t="str">
        <f aca="false">IF(BN96&gt;BM$7,
    "",
    VLOOKUP(BN96,BP$8:BV595,6,FALSE())
)</f>
        <v/>
      </c>
      <c r="CC96" s="53"/>
    </row>
    <row r="97" customFormat="false" ht="15.75" hidden="false" customHeight="false" outlineLevel="0" collapsed="false">
      <c r="A97" s="5"/>
      <c r="B97" s="125"/>
      <c r="C97" s="126"/>
      <c r="D97" s="115"/>
      <c r="E97" s="119"/>
      <c r="F97" s="119"/>
      <c r="G97" s="91"/>
      <c r="H97" s="92"/>
      <c r="I97" s="92"/>
      <c r="J97" s="128"/>
      <c r="K97" s="128"/>
      <c r="L97" s="128"/>
      <c r="M97" s="94"/>
      <c r="N97" s="94"/>
      <c r="O97" s="94"/>
      <c r="P97" s="95"/>
      <c r="Q97" s="96"/>
      <c r="R97" s="128"/>
      <c r="S97" s="98"/>
      <c r="T97" s="99"/>
      <c r="U97" s="99" t="str">
        <f aca="false">IF(ISBLANK($C97),"",IF(G97=Constants!$B$2, TRUE(), IF(G97=Constants!$B$3, FALSE(), TRUE())))</f>
        <v/>
      </c>
      <c r="V97" s="99" t="str">
        <f aca="false">IF(ISBLANK($C97),"",IF(H97=Constants!$B$2, TRUE(), IF(H97=Constants!$B$3, FALSE(), TRUE())))</f>
        <v/>
      </c>
      <c r="W97" s="99" t="str">
        <f aca="false">IF(ISBLANK($C97),"",IF(I97=Constants!$B$2, TRUE(), IF(I97=Constants!$B$3, FALSE(), TRUE())))</f>
        <v/>
      </c>
      <c r="X97" s="99" t="str">
        <f aca="false">IF(ISBLANK($C97),"",IF(AND(ISNUMBER(J97),J97&gt;0),INT(J97),0))</f>
        <v/>
      </c>
      <c r="Y97" s="99" t="str">
        <f aca="false">IF(ISBLANK($C97),"",IF(K97=Constants!$B$2, TRUE(), IF(K97=Constants!$B$3, FALSE(), TRUE())))</f>
        <v/>
      </c>
      <c r="Z97" s="100" t="str">
        <f aca="false">IF(ISBLANK($C97),"",IF(AND(ISNUMBER(L97),L97&gt;0),INT(L97),0))</f>
        <v/>
      </c>
      <c r="AA97" s="101" t="str">
        <f aca="false">IF(ISBLANK($C97),"",IF(ISNUMBER(M97), M97, ""))</f>
        <v/>
      </c>
      <c r="AB97" s="101" t="str">
        <f aca="false">IF(ISBLANK($C97),"",IF(ISNUMBER(N97), N97, ""))</f>
        <v/>
      </c>
      <c r="AC97" s="101" t="str">
        <f aca="false">IF(ISBLANK($C97),"",IF(ISNUMBER(O97), O97, ""))</f>
        <v/>
      </c>
      <c r="AD97" s="102" t="str">
        <f aca="false">IF(ISBLANK($C97),"",IF(ISNUMBER(P97), P97, ""))</f>
        <v/>
      </c>
      <c r="AE97" s="102" t="str">
        <f aca="false">IF(ISBLANK($C97),"",IF(ISNUMBER(Q97), Q97, Constants!$B$13))</f>
        <v/>
      </c>
      <c r="AF97" s="99" t="str">
        <f aca="false">IF(ISBLANK($C97),"",IF(R97=Constants!$B$2, TRUE(), IF(R97=Constants!$B$3, FALSE(), FALSE())))</f>
        <v/>
      </c>
      <c r="AG97" s="99" t="str">
        <f aca="false">IF(ISBLANK(C97), "", IF(AF97, Constants!$B$4,IF(COUNTA(G97:P97)=0, Constants!$B$5, Constants!$B$7)))</f>
        <v/>
      </c>
      <c r="AH97" s="99" t="str">
        <f aca="false">IF(ISBLANK($C97), "",IF($AG97=Constants!$B$7,1,$AG97))</f>
        <v/>
      </c>
      <c r="AI97" s="99" t="str">
        <f aca="false">IF($AG97=Constants!$B$7,POWER(Constants!$B$11,X97)*POWER(Constants!$B$12,Z97),"")</f>
        <v/>
      </c>
      <c r="AJ97" s="99" t="str">
        <f aca="false">IF(AND($AG97=Constants!$B$7, U97, V97) ,IF(OR($AA97="",$AC97=""),"",MAX(0, $AC97-$AA97)),"")</f>
        <v/>
      </c>
      <c r="AK97" s="99" t="str">
        <f aca="false">IF(AND($AG97=Constants!$B$7, U97, V97),IF(OR($AA97="",$AC97=""),$AK$6,""),"")</f>
        <v/>
      </c>
      <c r="AL97" s="99" t="str">
        <f aca="false">IF($AG97=Constants!$B$7,IF(AND(U97,V97,W97,Y97),IF($AJ97="",0,IF($AJ$6=0,Constants!$B$9,Constants!$B$9*AJ97/$AJ$6)), 0),"")</f>
        <v/>
      </c>
      <c r="AM97" s="99" t="str">
        <f aca="false">IF(AL97&lt;&gt;"", AL97*AI97,"")</f>
        <v/>
      </c>
      <c r="AN97" s="99" t="str">
        <f aca="false">IF(AND($AG97=Constants!$B$7, U97, V97) ,IF($AB97="", "", IF(OR($AC97="",$AC97=0),"",MAX(0,1-ABS($AC97-$AB97)/$AC97))),"")</f>
        <v/>
      </c>
      <c r="AO97" s="99" t="str">
        <f aca="false">IF(AND($AG97=Constants!$B$7, U97, V97),IF(AND($AA97&lt;&gt;"",$AB97&lt;&gt;"",$AC97=0),$AO$6,""),"")</f>
        <v/>
      </c>
      <c r="AP97" s="99" t="str">
        <f aca="false">IF($AG97=Constants!$B$7 ,IF(AND(U97,V97,W97,Y97,ISNUMBER(AB97)),IF($AN97="",0,IF($AN$6=0,Constants!$B$10,Constants!$B$10*AN97/$AN$6)), 0),"")</f>
        <v/>
      </c>
      <c r="AQ97" s="99" t="str">
        <f aca="false">IF(AP97&lt;&gt;"", AP97*AI97,"")</f>
        <v/>
      </c>
      <c r="AR97" s="99" t="str">
        <f aca="false">IF($AG97=Constants!$B$7,IF($AD97="",0,IF($AR$6=0,Constants!$B$8,Constants!$B$8*AD97/$AR$6)),"")</f>
        <v/>
      </c>
      <c r="AS97" s="99" t="str">
        <f aca="false">IF($AG97&lt;&gt;Constants!$B$7,$AG97,IF(AK97&amp;AO97&lt;&gt;"",Constants!$B$14,AM97+AQ97+AR97))</f>
        <v/>
      </c>
      <c r="AT97" s="99" t="str">
        <f aca="false">IF(ISBLANK($C97),"",IF($AG97=Constants!$B$7,IF(ISNUMBER(AS97),RANK(AS97,$AS$8:$AS$507),Constants!$B$14),$AG97))</f>
        <v/>
      </c>
      <c r="AU97" s="99" t="str">
        <f aca="false">IF(ISBLANK($C97), "",AM97)</f>
        <v/>
      </c>
      <c r="AV97" s="99" t="str">
        <f aca="false">IF(ISBLANK($C97),"",IF($AG97=Constants!$B$7,RANK(AU97,AU$8:AU$507),$AG97))</f>
        <v/>
      </c>
      <c r="AW97" s="99" t="str">
        <f aca="false">IF(ISBLANK($C97), "",AR97)</f>
        <v/>
      </c>
      <c r="AX97" s="99" t="str">
        <f aca="false">IF(ISBLANK($C97),"",IF($AG97=Constants!$B$7,RANK(AW97,AW$8:AW$507),$AG97))</f>
        <v/>
      </c>
      <c r="AY97" s="99" t="str">
        <f aca="false">IF(ISBLANK($C97), "",AE97)</f>
        <v/>
      </c>
      <c r="AZ97" s="99" t="str">
        <f aca="false">IF(ISBLANK($C97),"",
IF($AG97=Constants!$B$7,
  IF(ISNUMBER(AT97),
    COUNTIFS($AT$8:$AT$507,"&lt;"&amp;$AT97)
    + COUNTIFS($AT$8:$AT$507,$AT97,$AV$8:$AV$507,"&lt;"&amp;$AV97)
    + COUNTIFS($AT$8:$AT$507,$AT97,$AV$8:$AV$507,$AV97,$AX$8:$AX$507,"&lt;"&amp;$AX97)
    + COUNTIFS($AT$8:$AT$507,$AT97,$AV$8:$AV$507,$AV97,$AX$8:$AX$507,$AX97,$AY$8:$AY$507,"&lt;"&amp;$AY97)
    + 1,
  Constants!$B$14),
$AG97))</f>
        <v/>
      </c>
      <c r="BA97" s="99" t="str">
        <f aca="false">IF(ISBLANK(C97),"",IF($AG97=Constants!$B$7, IF(ISNUMBER(AT97),AT97-AZ97,Constants!$B$14),$AG97))</f>
        <v/>
      </c>
      <c r="BB97" s="103"/>
      <c r="BC97" s="104" t="str">
        <f aca="false">IF(ISBLANK($C97),"",TRIM(AK97&amp;" "&amp;AO97))</f>
        <v/>
      </c>
      <c r="BD97" s="105" t="str">
        <f aca="false">IF(ISBLANK($C97),"",IF($AG97&lt;&gt;Constants!$B$7,$AG97,AR97))</f>
        <v/>
      </c>
      <c r="BE97" s="105" t="str">
        <f aca="false">IF(ISBLANK($C97),"",IF($AG97&lt;&gt;Constants!$B$7,$AG97,AM97))</f>
        <v/>
      </c>
      <c r="BF97" s="105" t="str">
        <f aca="false">IF(ISBLANK($C97),"",IF($AG97&lt;&gt;Constants!$B$7,$AG97,AQ97))</f>
        <v/>
      </c>
      <c r="BG97" s="106" t="str">
        <f aca="false">IF(ISBLANK($C97),"",IF($AG97&lt;&gt;Constants!$B$7, $AG97 ,AS97))</f>
        <v/>
      </c>
      <c r="BH97" s="107" t="str">
        <f aca="false">IF(ISBLANK($C97),"",IF($AG97&lt;&gt;Constants!$B$7, $AG97 ,AH97))</f>
        <v/>
      </c>
      <c r="BI97" s="105" t="str">
        <f aca="false">IF(ISBLANK(C97),"",BA97)</f>
        <v/>
      </c>
      <c r="BJ97" s="105" t="str">
        <f aca="false">IF(ISBLANK(C97),"",AZ97)</f>
        <v/>
      </c>
      <c r="BK97" s="108" t="str">
        <f aca="false">IF(ISBLANK(C97),"",IFERROR(_xlfn.SWITCH(BJ97, Constants!$B$4, COUNTA($C$8:$C596)+2, Constants!$B$5, COUNTA($C$8:$C596)+1, Constants!$B$6, COUNTA($C$8:$C596)),BJ97))</f>
        <v/>
      </c>
      <c r="BL97" s="5"/>
      <c r="BM97" s="109" t="n">
        <f aca="false">IF(OR(ISNUMBER(BJ97),BJ97="DQ",BJ97="P",BJ97="NS"),
    1,
    0
)</f>
        <v>0</v>
      </c>
      <c r="BN97" s="109" t="n">
        <v>90</v>
      </c>
      <c r="BO97" s="109" t="str">
        <f aca="false">IF(ISBLANK($C97),"",IF(ISNUMBER(BK97),BK97+ROW($B97)/1000,""))</f>
        <v/>
      </c>
      <c r="BP97" s="109" t="str">
        <f aca="false">IF(ISNUMBER(BO97), RANK(BO97,BO$8:BO$507,1), "")</f>
        <v/>
      </c>
      <c r="BQ97" s="109" t="str">
        <f aca="false">IF(ISBLANK($C97),
    "",
    $B97
)</f>
        <v/>
      </c>
      <c r="BR97" s="109" t="str">
        <f aca="false">IF(ISBLANK($C97),
    "",
    $C97
)</f>
        <v/>
      </c>
      <c r="BS97" s="109" t="str">
        <f aca="false">IF(ISBLANK($C97),
    "",
    $D97
)</f>
        <v/>
      </c>
      <c r="BT97" s="110" t="str">
        <f aca="false">BH97</f>
        <v/>
      </c>
      <c r="BU97" s="111" t="str">
        <f aca="false">BG97</f>
        <v/>
      </c>
      <c r="BV97" s="109" t="str">
        <f aca="false">IF(ISBLANK($C97),
    "",
    BJ97
)</f>
        <v/>
      </c>
      <c r="BW97" s="112" t="str">
        <f aca="false">IF(BN97&gt;BM$7,
    "",
    VLOOKUP(BN97,BP$8:BV596,7,FALSE())
)</f>
        <v/>
      </c>
      <c r="BX97" s="113" t="str">
        <f aca="false">IF(BN97&gt;BM$7,
    "",
    VLOOKUP(BN97,BP$8:BV596,2,FALSE())
)</f>
        <v/>
      </c>
      <c r="BY97" s="113" t="str">
        <f aca="false">IF(BN97&gt;BM$7,
    "",
    VLOOKUP(BN97,BP$8:BV596,3,FALSE())
)</f>
        <v/>
      </c>
      <c r="BZ97" s="113" t="str">
        <f aca="false">IF(BN97&gt;BM$7,
    "",
    VLOOKUP(BN97,BP$8:BV596,4,FALSE())
)</f>
        <v/>
      </c>
      <c r="CA97" s="113" t="str">
        <f aca="false">IF(BN97&gt;BM$7,
    "",
    VLOOKUP(BN97,BP$8:BV596,5,FALSE())
)</f>
        <v/>
      </c>
      <c r="CB97" s="114" t="str">
        <f aca="false">IF(BN97&gt;BM$7,
    "",
    VLOOKUP(BN97,BP$8:BV596,6,FALSE())
)</f>
        <v/>
      </c>
      <c r="CC97" s="53"/>
    </row>
    <row r="98" customFormat="false" ht="15.75" hidden="false" customHeight="false" outlineLevel="0" collapsed="false">
      <c r="A98" s="5"/>
      <c r="B98" s="129"/>
      <c r="C98" s="55"/>
      <c r="D98" s="56"/>
      <c r="E98" s="123"/>
      <c r="F98" s="123"/>
      <c r="G98" s="58"/>
      <c r="H98" s="59"/>
      <c r="I98" s="59"/>
      <c r="J98" s="83"/>
      <c r="K98" s="83"/>
      <c r="L98" s="83"/>
      <c r="M98" s="61"/>
      <c r="N98" s="61"/>
      <c r="O98" s="61"/>
      <c r="P98" s="62"/>
      <c r="Q98" s="63"/>
      <c r="R98" s="83"/>
      <c r="S98" s="65"/>
      <c r="T98" s="66"/>
      <c r="U98" s="66" t="str">
        <f aca="false">IF(ISBLANK($C98),"",IF(G98=Constants!$B$2, TRUE(), IF(G98=Constants!$B$3, FALSE(), TRUE())))</f>
        <v/>
      </c>
      <c r="V98" s="66" t="str">
        <f aca="false">IF(ISBLANK($C98),"",IF(H98=Constants!$B$2, TRUE(), IF(H98=Constants!$B$3, FALSE(), TRUE())))</f>
        <v/>
      </c>
      <c r="W98" s="66" t="str">
        <f aca="false">IF(ISBLANK($C98),"",IF(I98=Constants!$B$2, TRUE(), IF(I98=Constants!$B$3, FALSE(), TRUE())))</f>
        <v/>
      </c>
      <c r="X98" s="66" t="str">
        <f aca="false">IF(ISBLANK($C98),"",IF(AND(ISNUMBER(J98),J98&gt;0),INT(J98),0))</f>
        <v/>
      </c>
      <c r="Y98" s="66" t="str">
        <f aca="false">IF(ISBLANK($C98),"",IF(K98=Constants!$B$2, TRUE(), IF(K98=Constants!$B$3, FALSE(), TRUE())))</f>
        <v/>
      </c>
      <c r="Z98" s="66" t="str">
        <f aca="false">IF(ISBLANK($C98),"",IF(AND(ISNUMBER(L98),L98&gt;0),INT(L98),0))</f>
        <v/>
      </c>
      <c r="AA98" s="68" t="str">
        <f aca="false">IF(ISBLANK($C98),"",IF(ISNUMBER(M98), M98, ""))</f>
        <v/>
      </c>
      <c r="AB98" s="68" t="str">
        <f aca="false">IF(ISBLANK($C98),"",IF(ISNUMBER(N98), N98, ""))</f>
        <v/>
      </c>
      <c r="AC98" s="68" t="str">
        <f aca="false">IF(ISBLANK($C98),"",IF(ISNUMBER(O98), O98, ""))</f>
        <v/>
      </c>
      <c r="AD98" s="69" t="str">
        <f aca="false">IF(ISBLANK($C98),"",IF(ISNUMBER(P98), P98, ""))</f>
        <v/>
      </c>
      <c r="AE98" s="69" t="str">
        <f aca="false">IF(ISBLANK($C98),"",IF(ISNUMBER(Q98), Q98, Constants!$B$13))</f>
        <v/>
      </c>
      <c r="AF98" s="66" t="str">
        <f aca="false">IF(ISBLANK($C98),"",IF(R98=Constants!$B$2, TRUE(), IF(R98=Constants!$B$3, FALSE(), FALSE())))</f>
        <v/>
      </c>
      <c r="AG98" s="66" t="str">
        <f aca="false">IF(ISBLANK(C98), "", IF(AF98, Constants!$B$4,IF(COUNTA(G98:P98)=0, Constants!$B$5, Constants!$B$7)))</f>
        <v/>
      </c>
      <c r="AH98" s="66" t="str">
        <f aca="false">IF(ISBLANK($C98), "",IF($AG98=Constants!$B$7,1,$AG98))</f>
        <v/>
      </c>
      <c r="AI98" s="66" t="str">
        <f aca="false">IF($AG98=Constants!$B$7,POWER(Constants!$B$11,X98)*POWER(Constants!$B$12,Z98),"")</f>
        <v/>
      </c>
      <c r="AJ98" s="66" t="str">
        <f aca="false">IF(AND($AG98=Constants!$B$7, U98, V98) ,IF(OR($AA98="",$AC98=""),"",MAX(0, $AC98-$AA98)),"")</f>
        <v/>
      </c>
      <c r="AK98" s="66" t="str">
        <f aca="false">IF(AND($AG98=Constants!$B$7, U98, V98),IF(OR($AA98="",$AC98=""),$AK$6,""),"")</f>
        <v/>
      </c>
      <c r="AL98" s="66" t="str">
        <f aca="false">IF($AG98=Constants!$B$7,IF(AND(U98,V98,W98,Y98),IF($AJ98="",0,IF($AJ$6=0,Constants!$B$9,Constants!$B$9*AJ98/$AJ$6)), 0),"")</f>
        <v/>
      </c>
      <c r="AM98" s="66" t="str">
        <f aca="false">IF(AL98&lt;&gt;"", AL98*AI98,"")</f>
        <v/>
      </c>
      <c r="AN98" s="66" t="str">
        <f aca="false">IF(AND($AG98=Constants!$B$7, U98, V98) ,IF($AB98="", "", IF(OR($AC98="",$AC98=0),"",MAX(0,1-ABS($AC98-$AB98)/$AC98))),"")</f>
        <v/>
      </c>
      <c r="AO98" s="66" t="str">
        <f aca="false">IF(AND($AG98=Constants!$B$7, U98, V98),IF(AND($AA98&lt;&gt;"",$AB98&lt;&gt;"",$AC98=0),$AO$6,""),"")</f>
        <v/>
      </c>
      <c r="AP98" s="66" t="str">
        <f aca="false">IF($AG98=Constants!$B$7 ,IF(AND(U98,V98,W98,Y98,ISNUMBER(AB98)),IF($AN98="",0,IF($AN$6=0,Constants!$B$10,Constants!$B$10*AN98/$AN$6)), 0),"")</f>
        <v/>
      </c>
      <c r="AQ98" s="66" t="str">
        <f aca="false">IF(AP98&lt;&gt;"", AP98*AI98,"")</f>
        <v/>
      </c>
      <c r="AR98" s="66" t="str">
        <f aca="false">IF($AG98=Constants!$B$7,IF($AD98="",0,IF($AR$6=0,Constants!$B$8,Constants!$B$8*AD98/$AR$6)),"")</f>
        <v/>
      </c>
      <c r="AS98" s="66" t="str">
        <f aca="false">IF($AG98&lt;&gt;Constants!$B$7,$AG98,IF(AK98&amp;AO98&lt;&gt;"",Constants!$B$14,AM98+AQ98+AR98))</f>
        <v/>
      </c>
      <c r="AT98" s="66" t="str">
        <f aca="false">IF(ISBLANK($C98),"",IF($AG98=Constants!$B$7,IF(ISNUMBER(AS98),RANK(AS98,$AS$8:$AS$507),Constants!$B$14),$AG98))</f>
        <v/>
      </c>
      <c r="AU98" s="66" t="str">
        <f aca="false">IF(ISBLANK($C98), "",AM98)</f>
        <v/>
      </c>
      <c r="AV98" s="66" t="str">
        <f aca="false">IF(ISBLANK($C98),"",IF($AG98=Constants!$B$7,RANK(AU98,AU$8:AU$507),$AG98))</f>
        <v/>
      </c>
      <c r="AW98" s="66" t="str">
        <f aca="false">IF(ISBLANK($C98), "",AR98)</f>
        <v/>
      </c>
      <c r="AX98" s="66" t="str">
        <f aca="false">IF(ISBLANK($C98),"",IF($AG98=Constants!$B$7,RANK(AW98,AW$8:AW$507),$AG98))</f>
        <v/>
      </c>
      <c r="AY98" s="66" t="str">
        <f aca="false">IF(ISBLANK($C98), "",AE98)</f>
        <v/>
      </c>
      <c r="AZ98" s="66" t="str">
        <f aca="false">IF(ISBLANK($C98),"",
IF($AG98=Constants!$B$7,
  IF(ISNUMBER(AT98),
    COUNTIFS($AT$8:$AT$507,"&lt;"&amp;$AT98)
    + COUNTIFS($AT$8:$AT$507,$AT98,$AV$8:$AV$507,"&lt;"&amp;$AV98)
    + COUNTIFS($AT$8:$AT$507,$AT98,$AV$8:$AV$507,$AV98,$AX$8:$AX$507,"&lt;"&amp;$AX98)
    + COUNTIFS($AT$8:$AT$507,$AT98,$AV$8:$AV$507,$AV98,$AX$8:$AX$507,$AX98,$AY$8:$AY$507,"&lt;"&amp;$AY98)
    + 1,
  Constants!$B$14),
$AG98))</f>
        <v/>
      </c>
      <c r="BA98" s="66" t="str">
        <f aca="false">IF(ISBLANK(C98),"",IF($AG98=Constants!$B$7, IF(ISNUMBER(AT98),AT98-AZ98,Constants!$B$14),$AG98))</f>
        <v/>
      </c>
      <c r="BB98" s="70"/>
      <c r="BC98" s="84" t="str">
        <f aca="false">IF(ISBLANK($C98),"",TRIM(AK98&amp;" "&amp;AO98))</f>
        <v/>
      </c>
      <c r="BD98" s="72" t="str">
        <f aca="false">IF(ISBLANK($C98),"",IF($AG98&lt;&gt;Constants!$B$7,$AG98,AR98))</f>
        <v/>
      </c>
      <c r="BE98" s="72" t="str">
        <f aca="false">IF(ISBLANK($C98),"",IF($AG98&lt;&gt;Constants!$B$7,$AG98,AM98))</f>
        <v/>
      </c>
      <c r="BF98" s="72" t="str">
        <f aca="false">IF(ISBLANK($C98),"",IF($AG98&lt;&gt;Constants!$B$7,$AG98,AQ98))</f>
        <v/>
      </c>
      <c r="BG98" s="73" t="str">
        <f aca="false">IF(ISBLANK($C98),"",IF($AG98&lt;&gt;Constants!$B$7, $AG98 ,AS98))</f>
        <v/>
      </c>
      <c r="BH98" s="74" t="str">
        <f aca="false">IF(ISBLANK($C98),"",IF($AG98&lt;&gt;Constants!$B$7, $AG98 ,AH98))</f>
        <v/>
      </c>
      <c r="BI98" s="72" t="str">
        <f aca="false">IF(ISBLANK(C98),"",BA98)</f>
        <v/>
      </c>
      <c r="BJ98" s="72" t="str">
        <f aca="false">IF(ISBLANK(C98),"",AZ98)</f>
        <v/>
      </c>
      <c r="BK98" s="75" t="str">
        <f aca="false">IF(ISBLANK(C98),"",IFERROR(_xlfn.SWITCH(BJ98, Constants!$B$4, COUNTA($C$8:$C597)+2, Constants!$B$5, COUNTA($C$8:$C597)+1, Constants!$B$6, COUNTA($C$8:$C597)),BJ98))</f>
        <v/>
      </c>
      <c r="BL98" s="5"/>
      <c r="BM98" s="76" t="n">
        <f aca="false">IF(OR(ISNUMBER(BJ98),BJ98="DQ",BJ98="P",BJ98="NS"),
    1,
    0
)</f>
        <v>0</v>
      </c>
      <c r="BN98" s="76" t="n">
        <v>91</v>
      </c>
      <c r="BO98" s="76" t="str">
        <f aca="false">IF(ISBLANK($C98),"",IF(ISNUMBER(BK98),BK98+ROW($B98)/1000,""))</f>
        <v/>
      </c>
      <c r="BP98" s="76" t="str">
        <f aca="false">IF(ISNUMBER(BO98), RANK(BO98,BO$8:BO$507,1), "")</f>
        <v/>
      </c>
      <c r="BQ98" s="76" t="str">
        <f aca="false">IF(ISBLANK($C98),
    "",
    $B98
)</f>
        <v/>
      </c>
      <c r="BR98" s="76" t="str">
        <f aca="false">IF(ISBLANK($C98),
    "",
    $C98
)</f>
        <v/>
      </c>
      <c r="BS98" s="76" t="str">
        <f aca="false">IF(ISBLANK($C98),
    "",
    $D98
)</f>
        <v/>
      </c>
      <c r="BT98" s="77" t="str">
        <f aca="false">BH98</f>
        <v/>
      </c>
      <c r="BU98" s="78" t="str">
        <f aca="false">BG98</f>
        <v/>
      </c>
      <c r="BV98" s="76" t="str">
        <f aca="false">IF(ISBLANK($C98),
    "",
    BJ98
)</f>
        <v/>
      </c>
      <c r="BW98" s="79" t="str">
        <f aca="false">IF(BN98&gt;BM$7,
    "",
    VLOOKUP(BN98,BP$8:BV597,7,FALSE())
)</f>
        <v/>
      </c>
      <c r="BX98" s="80" t="str">
        <f aca="false">IF(BN98&gt;BM$7,
    "",
    VLOOKUP(BN98,BP$8:BV597,2,FALSE())
)</f>
        <v/>
      </c>
      <c r="BY98" s="80" t="str">
        <f aca="false">IF(BN98&gt;BM$7,
    "",
    VLOOKUP(BN98,BP$8:BV597,3,FALSE())
)</f>
        <v/>
      </c>
      <c r="BZ98" s="80" t="str">
        <f aca="false">IF(BN98&gt;BM$7,
    "",
    VLOOKUP(BN98,BP$8:BV597,4,FALSE())
)</f>
        <v/>
      </c>
      <c r="CA98" s="80" t="str">
        <f aca="false">IF(BN98&gt;BM$7,
    "",
    VLOOKUP(BN98,BP$8:BV597,5,FALSE())
)</f>
        <v/>
      </c>
      <c r="CB98" s="81" t="str">
        <f aca="false">IF(BN98&gt;BM$7,
    "",
    VLOOKUP(BN98,BP$8:BV597,6,FALSE())
)</f>
        <v/>
      </c>
      <c r="CC98" s="53"/>
    </row>
    <row r="99" customFormat="false" ht="15.75" hidden="false" customHeight="false" outlineLevel="0" collapsed="false">
      <c r="A99" s="5"/>
      <c r="B99" s="129"/>
      <c r="C99" s="55"/>
      <c r="D99" s="56"/>
      <c r="E99" s="123"/>
      <c r="F99" s="123"/>
      <c r="G99" s="58"/>
      <c r="H99" s="59"/>
      <c r="I99" s="59"/>
      <c r="J99" s="83"/>
      <c r="K99" s="83"/>
      <c r="L99" s="83"/>
      <c r="M99" s="61"/>
      <c r="N99" s="61"/>
      <c r="O99" s="61"/>
      <c r="P99" s="62"/>
      <c r="Q99" s="63"/>
      <c r="R99" s="83"/>
      <c r="S99" s="65"/>
      <c r="T99" s="66"/>
      <c r="U99" s="66" t="str">
        <f aca="false">IF(ISBLANK($C99),"",IF(G99=Constants!$B$2, TRUE(), IF(G99=Constants!$B$3, FALSE(), TRUE())))</f>
        <v/>
      </c>
      <c r="V99" s="66" t="str">
        <f aca="false">IF(ISBLANK($C99),"",IF(H99=Constants!$B$2, TRUE(), IF(H99=Constants!$B$3, FALSE(), TRUE())))</f>
        <v/>
      </c>
      <c r="W99" s="66" t="str">
        <f aca="false">IF(ISBLANK($C99),"",IF(I99=Constants!$B$2, TRUE(), IF(I99=Constants!$B$3, FALSE(), TRUE())))</f>
        <v/>
      </c>
      <c r="X99" s="66" t="str">
        <f aca="false">IF(ISBLANK($C99),"",IF(AND(ISNUMBER(J99),J99&gt;0),INT(J99),0))</f>
        <v/>
      </c>
      <c r="Y99" s="66" t="str">
        <f aca="false">IF(ISBLANK($C99),"",IF(K99=Constants!$B$2, TRUE(), IF(K99=Constants!$B$3, FALSE(), TRUE())))</f>
        <v/>
      </c>
      <c r="Z99" s="66" t="str">
        <f aca="false">IF(ISBLANK($C99),"",IF(AND(ISNUMBER(L99),L99&gt;0),INT(L99),0))</f>
        <v/>
      </c>
      <c r="AA99" s="68" t="str">
        <f aca="false">IF(ISBLANK($C99),"",IF(ISNUMBER(M99), M99, ""))</f>
        <v/>
      </c>
      <c r="AB99" s="68" t="str">
        <f aca="false">IF(ISBLANK($C99),"",IF(ISNUMBER(N99), N99, ""))</f>
        <v/>
      </c>
      <c r="AC99" s="68" t="str">
        <f aca="false">IF(ISBLANK($C99),"",IF(ISNUMBER(O99), O99, ""))</f>
        <v/>
      </c>
      <c r="AD99" s="69" t="str">
        <f aca="false">IF(ISBLANK($C99),"",IF(ISNUMBER(P99), P99, ""))</f>
        <v/>
      </c>
      <c r="AE99" s="69" t="str">
        <f aca="false">IF(ISBLANK($C99),"",IF(ISNUMBER(Q99), Q99, Constants!$B$13))</f>
        <v/>
      </c>
      <c r="AF99" s="66" t="str">
        <f aca="false">IF(ISBLANK($C99),"",IF(R99=Constants!$B$2, TRUE(), IF(R99=Constants!$B$3, FALSE(), FALSE())))</f>
        <v/>
      </c>
      <c r="AG99" s="66" t="str">
        <f aca="false">IF(ISBLANK(C99), "", IF(AF99, Constants!$B$4,IF(COUNTA(G99:P99)=0, Constants!$B$5, Constants!$B$7)))</f>
        <v/>
      </c>
      <c r="AH99" s="66" t="str">
        <f aca="false">IF(ISBLANK($C99), "",IF($AG99=Constants!$B$7,1,$AG99))</f>
        <v/>
      </c>
      <c r="AI99" s="66" t="str">
        <f aca="false">IF($AG99=Constants!$B$7,POWER(Constants!$B$11,X99)*POWER(Constants!$B$12,Z99),"")</f>
        <v/>
      </c>
      <c r="AJ99" s="66" t="str">
        <f aca="false">IF(AND($AG99=Constants!$B$7, U99, V99) ,IF(OR($AA99="",$AC99=""),"",MAX(0, $AC99-$AA99)),"")</f>
        <v/>
      </c>
      <c r="AK99" s="66" t="str">
        <f aca="false">IF(AND($AG99=Constants!$B$7, U99, V99),IF(OR($AA99="",$AC99=""),$AK$6,""),"")</f>
        <v/>
      </c>
      <c r="AL99" s="66" t="str">
        <f aca="false">IF($AG99=Constants!$B$7,IF(AND(U99,V99,W99,Y99),IF($AJ99="",0,IF($AJ$6=0,Constants!$B$9,Constants!$B$9*AJ99/$AJ$6)), 0),"")</f>
        <v/>
      </c>
      <c r="AM99" s="66" t="str">
        <f aca="false">IF(AL99&lt;&gt;"", AL99*AI99,"")</f>
        <v/>
      </c>
      <c r="AN99" s="66" t="str">
        <f aca="false">IF(AND($AG99=Constants!$B$7, U99, V99) ,IF($AB99="", "", IF(OR($AC99="",$AC99=0),"",MAX(0,1-ABS($AC99-$AB99)/$AC99))),"")</f>
        <v/>
      </c>
      <c r="AO99" s="66" t="str">
        <f aca="false">IF(AND($AG99=Constants!$B$7, U99, V99),IF(AND($AA99&lt;&gt;"",$AB99&lt;&gt;"",$AC99=0),$AO$6,""),"")</f>
        <v/>
      </c>
      <c r="AP99" s="66" t="str">
        <f aca="false">IF($AG99=Constants!$B$7 ,IF(AND(U99,V99,W99,Y99,ISNUMBER(AB99)),IF($AN99="",0,IF($AN$6=0,Constants!$B$10,Constants!$B$10*AN99/$AN$6)), 0),"")</f>
        <v/>
      </c>
      <c r="AQ99" s="66" t="str">
        <f aca="false">IF(AP99&lt;&gt;"", AP99*AI99,"")</f>
        <v/>
      </c>
      <c r="AR99" s="66" t="str">
        <f aca="false">IF($AG99=Constants!$B$7,IF($AD99="",0,IF($AR$6=0,Constants!$B$8,Constants!$B$8*AD99/$AR$6)),"")</f>
        <v/>
      </c>
      <c r="AS99" s="66" t="str">
        <f aca="false">IF($AG99&lt;&gt;Constants!$B$7,$AG99,IF(AK99&amp;AO99&lt;&gt;"",Constants!$B$14,AM99+AQ99+AR99))</f>
        <v/>
      </c>
      <c r="AT99" s="66" t="str">
        <f aca="false">IF(ISBLANK($C99),"",IF($AG99=Constants!$B$7,IF(ISNUMBER(AS99),RANK(AS99,$AS$8:$AS$507),Constants!$B$14),$AG99))</f>
        <v/>
      </c>
      <c r="AU99" s="66" t="str">
        <f aca="false">IF(ISBLANK($C99), "",AM99)</f>
        <v/>
      </c>
      <c r="AV99" s="66" t="str">
        <f aca="false">IF(ISBLANK($C99),"",IF($AG99=Constants!$B$7,RANK(AU99,AU$8:AU$507),$AG99))</f>
        <v/>
      </c>
      <c r="AW99" s="66" t="str">
        <f aca="false">IF(ISBLANK($C99), "",AR99)</f>
        <v/>
      </c>
      <c r="AX99" s="66" t="str">
        <f aca="false">IF(ISBLANK($C99),"",IF($AG99=Constants!$B$7,RANK(AW99,AW$8:AW$507),$AG99))</f>
        <v/>
      </c>
      <c r="AY99" s="66" t="str">
        <f aca="false">IF(ISBLANK($C99), "",AE99)</f>
        <v/>
      </c>
      <c r="AZ99" s="66" t="str">
        <f aca="false">IF(ISBLANK($C99),"",
IF($AG99=Constants!$B$7,
  IF(ISNUMBER(AT99),
    COUNTIFS($AT$8:$AT$507,"&lt;"&amp;$AT99)
    + COUNTIFS($AT$8:$AT$507,$AT99,$AV$8:$AV$507,"&lt;"&amp;$AV99)
    + COUNTIFS($AT$8:$AT$507,$AT99,$AV$8:$AV$507,$AV99,$AX$8:$AX$507,"&lt;"&amp;$AX99)
    + COUNTIFS($AT$8:$AT$507,$AT99,$AV$8:$AV$507,$AV99,$AX$8:$AX$507,$AX99,$AY$8:$AY$507,"&lt;"&amp;$AY99)
    + 1,
  Constants!$B$14),
$AG99))</f>
        <v/>
      </c>
      <c r="BA99" s="66" t="str">
        <f aca="false">IF(ISBLANK(C99),"",IF($AG99=Constants!$B$7, IF(ISNUMBER(AT99),AT99-AZ99,Constants!$B$14),$AG99))</f>
        <v/>
      </c>
      <c r="BB99" s="70"/>
      <c r="BC99" s="84" t="str">
        <f aca="false">IF(ISBLANK($C99),"",TRIM(AK99&amp;" "&amp;AO99))</f>
        <v/>
      </c>
      <c r="BD99" s="72" t="str">
        <f aca="false">IF(ISBLANK($C99),"",IF($AG99&lt;&gt;Constants!$B$7,$AG99,AR99))</f>
        <v/>
      </c>
      <c r="BE99" s="72" t="str">
        <f aca="false">IF(ISBLANK($C99),"",IF($AG99&lt;&gt;Constants!$B$7,$AG99,AM99))</f>
        <v/>
      </c>
      <c r="BF99" s="72" t="str">
        <f aca="false">IF(ISBLANK($C99),"",IF($AG99&lt;&gt;Constants!$B$7,$AG99,AQ99))</f>
        <v/>
      </c>
      <c r="BG99" s="73" t="str">
        <f aca="false">IF(ISBLANK($C99),"",IF($AG99&lt;&gt;Constants!$B$7, $AG99 ,AS99))</f>
        <v/>
      </c>
      <c r="BH99" s="74" t="str">
        <f aca="false">IF(ISBLANK($C99),"",IF($AG99&lt;&gt;Constants!$B$7, $AG99 ,AH99))</f>
        <v/>
      </c>
      <c r="BI99" s="72" t="str">
        <f aca="false">IF(ISBLANK(C99),"",BA99)</f>
        <v/>
      </c>
      <c r="BJ99" s="72" t="str">
        <f aca="false">IF(ISBLANK(C99),"",AZ99)</f>
        <v/>
      </c>
      <c r="BK99" s="75" t="str">
        <f aca="false">IF(ISBLANK(C99),"",IFERROR(_xlfn.SWITCH(BJ99, Constants!$B$4, COUNTA($C$8:$C598)+2, Constants!$B$5, COUNTA($C$8:$C598)+1, Constants!$B$6, COUNTA($C$8:$C598)),BJ99))</f>
        <v/>
      </c>
      <c r="BL99" s="5"/>
      <c r="BM99" s="76" t="n">
        <f aca="false">IF(OR(ISNUMBER(BJ99),BJ99="DQ",BJ99="P",BJ99="NS"),
    1,
    0
)</f>
        <v>0</v>
      </c>
      <c r="BN99" s="76" t="n">
        <v>92</v>
      </c>
      <c r="BO99" s="76" t="str">
        <f aca="false">IF(ISBLANK($C99),"",IF(ISNUMBER(BK99),BK99+ROW($B99)/1000,""))</f>
        <v/>
      </c>
      <c r="BP99" s="76" t="str">
        <f aca="false">IF(ISNUMBER(BO99), RANK(BO99,BO$8:BO$507,1), "")</f>
        <v/>
      </c>
      <c r="BQ99" s="76" t="str">
        <f aca="false">IF(ISBLANK($C99),
    "",
    $B99
)</f>
        <v/>
      </c>
      <c r="BR99" s="76" t="str">
        <f aca="false">IF(ISBLANK($C99),
    "",
    $C99
)</f>
        <v/>
      </c>
      <c r="BS99" s="76" t="str">
        <f aca="false">IF(ISBLANK($C99),
    "",
    $D99
)</f>
        <v/>
      </c>
      <c r="BT99" s="77" t="str">
        <f aca="false">BH99</f>
        <v/>
      </c>
      <c r="BU99" s="78" t="str">
        <f aca="false">BG99</f>
        <v/>
      </c>
      <c r="BV99" s="76" t="str">
        <f aca="false">IF(ISBLANK($C99),
    "",
    BJ99
)</f>
        <v/>
      </c>
      <c r="BW99" s="79" t="str">
        <f aca="false">IF(BN99&gt;BM$7,
    "",
    VLOOKUP(BN99,BP$8:BV598,7,FALSE())
)</f>
        <v/>
      </c>
      <c r="BX99" s="80" t="str">
        <f aca="false">IF(BN99&gt;BM$7,
    "",
    VLOOKUP(BN99,BP$8:BV598,2,FALSE())
)</f>
        <v/>
      </c>
      <c r="BY99" s="80" t="str">
        <f aca="false">IF(BN99&gt;BM$7,
    "",
    VLOOKUP(BN99,BP$8:BV598,3,FALSE())
)</f>
        <v/>
      </c>
      <c r="BZ99" s="80" t="str">
        <f aca="false">IF(BN99&gt;BM$7,
    "",
    VLOOKUP(BN99,BP$8:BV598,4,FALSE())
)</f>
        <v/>
      </c>
      <c r="CA99" s="80" t="str">
        <f aca="false">IF(BN99&gt;BM$7,
    "",
    VLOOKUP(BN99,BP$8:BV598,5,FALSE())
)</f>
        <v/>
      </c>
      <c r="CB99" s="81" t="str">
        <f aca="false">IF(BN99&gt;BM$7,
    "",
    VLOOKUP(BN99,BP$8:BV598,6,FALSE())
)</f>
        <v/>
      </c>
      <c r="CC99" s="53"/>
    </row>
    <row r="100" customFormat="false" ht="15.75" hidden="false" customHeight="false" outlineLevel="0" collapsed="false">
      <c r="A100" s="5"/>
      <c r="B100" s="129"/>
      <c r="C100" s="55"/>
      <c r="D100" s="56"/>
      <c r="E100" s="123"/>
      <c r="F100" s="123"/>
      <c r="G100" s="58"/>
      <c r="H100" s="59"/>
      <c r="I100" s="59"/>
      <c r="J100" s="83"/>
      <c r="K100" s="83"/>
      <c r="L100" s="83"/>
      <c r="M100" s="61"/>
      <c r="N100" s="61"/>
      <c r="O100" s="61"/>
      <c r="P100" s="62"/>
      <c r="Q100" s="63"/>
      <c r="R100" s="83"/>
      <c r="S100" s="65"/>
      <c r="T100" s="66"/>
      <c r="U100" s="66" t="str">
        <f aca="false">IF(ISBLANK($C100),"",IF(G100=Constants!$B$2, TRUE(), IF(G100=Constants!$B$3, FALSE(), TRUE())))</f>
        <v/>
      </c>
      <c r="V100" s="66" t="str">
        <f aca="false">IF(ISBLANK($C100),"",IF(H100=Constants!$B$2, TRUE(), IF(H100=Constants!$B$3, FALSE(), TRUE())))</f>
        <v/>
      </c>
      <c r="W100" s="66" t="str">
        <f aca="false">IF(ISBLANK($C100),"",IF(I100=Constants!$B$2, TRUE(), IF(I100=Constants!$B$3, FALSE(), TRUE())))</f>
        <v/>
      </c>
      <c r="X100" s="66" t="str">
        <f aca="false">IF(ISBLANK($C100),"",IF(AND(ISNUMBER(J100),J100&gt;0),INT(J100),0))</f>
        <v/>
      </c>
      <c r="Y100" s="66" t="str">
        <f aca="false">IF(ISBLANK($C100),"",IF(K100=Constants!$B$2, TRUE(), IF(K100=Constants!$B$3, FALSE(), TRUE())))</f>
        <v/>
      </c>
      <c r="Z100" s="66" t="str">
        <f aca="false">IF(ISBLANK($C100),"",IF(AND(ISNUMBER(L100),L100&gt;0),INT(L100),0))</f>
        <v/>
      </c>
      <c r="AA100" s="68" t="str">
        <f aca="false">IF(ISBLANK($C100),"",IF(ISNUMBER(M100), M100, ""))</f>
        <v/>
      </c>
      <c r="AB100" s="68" t="str">
        <f aca="false">IF(ISBLANK($C100),"",IF(ISNUMBER(N100), N100, ""))</f>
        <v/>
      </c>
      <c r="AC100" s="68" t="str">
        <f aca="false">IF(ISBLANK($C100),"",IF(ISNUMBER(O100), O100, ""))</f>
        <v/>
      </c>
      <c r="AD100" s="69" t="str">
        <f aca="false">IF(ISBLANK($C100),"",IF(ISNUMBER(P100), P100, ""))</f>
        <v/>
      </c>
      <c r="AE100" s="69" t="str">
        <f aca="false">IF(ISBLANK($C100),"",IF(ISNUMBER(Q100), Q100, Constants!$B$13))</f>
        <v/>
      </c>
      <c r="AF100" s="66" t="str">
        <f aca="false">IF(ISBLANK($C100),"",IF(R100=Constants!$B$2, TRUE(), IF(R100=Constants!$B$3, FALSE(), FALSE())))</f>
        <v/>
      </c>
      <c r="AG100" s="66" t="str">
        <f aca="false">IF(ISBLANK(C100), "", IF(AF100, Constants!$B$4,IF(COUNTA(G100:P100)=0, Constants!$B$5, Constants!$B$7)))</f>
        <v/>
      </c>
      <c r="AH100" s="66" t="str">
        <f aca="false">IF(ISBLANK($C100), "",IF($AG100=Constants!$B$7,1,$AG100))</f>
        <v/>
      </c>
      <c r="AI100" s="66" t="str">
        <f aca="false">IF($AG100=Constants!$B$7,POWER(Constants!$B$11,X100)*POWER(Constants!$B$12,Z100),"")</f>
        <v/>
      </c>
      <c r="AJ100" s="66" t="str">
        <f aca="false">IF(AND($AG100=Constants!$B$7, U100, V100) ,IF(OR($AA100="",$AC100=""),"",MAX(0, $AC100-$AA100)),"")</f>
        <v/>
      </c>
      <c r="AK100" s="66" t="str">
        <f aca="false">IF(AND($AG100=Constants!$B$7, U100, V100),IF(OR($AA100="",$AC100=""),$AK$6,""),"")</f>
        <v/>
      </c>
      <c r="AL100" s="66" t="str">
        <f aca="false">IF($AG100=Constants!$B$7,IF(AND(U100,V100,W100,Y100),IF($AJ100="",0,IF($AJ$6=0,Constants!$B$9,Constants!$B$9*AJ100/$AJ$6)), 0),"")</f>
        <v/>
      </c>
      <c r="AM100" s="66" t="str">
        <f aca="false">IF(AL100&lt;&gt;"", AL100*AI100,"")</f>
        <v/>
      </c>
      <c r="AN100" s="66" t="str">
        <f aca="false">IF(AND($AG100=Constants!$B$7, U100, V100) ,IF($AB100="", "", IF(OR($AC100="",$AC100=0),"",MAX(0,1-ABS($AC100-$AB100)/$AC100))),"")</f>
        <v/>
      </c>
      <c r="AO100" s="66" t="str">
        <f aca="false">IF(AND($AG100=Constants!$B$7, U100, V100),IF(AND($AA100&lt;&gt;"",$AB100&lt;&gt;"",$AC100=0),$AO$6,""),"")</f>
        <v/>
      </c>
      <c r="AP100" s="66" t="str">
        <f aca="false">IF($AG100=Constants!$B$7 ,IF(AND(U100,V100,W100,Y100,ISNUMBER(AB100)),IF($AN100="",0,IF($AN$6=0,Constants!$B$10,Constants!$B$10*AN100/$AN$6)), 0),"")</f>
        <v/>
      </c>
      <c r="AQ100" s="66" t="str">
        <f aca="false">IF(AP100&lt;&gt;"", AP100*AI100,"")</f>
        <v/>
      </c>
      <c r="AR100" s="66" t="str">
        <f aca="false">IF($AG100=Constants!$B$7,IF($AD100="",0,IF($AR$6=0,Constants!$B$8,Constants!$B$8*AD100/$AR$6)),"")</f>
        <v/>
      </c>
      <c r="AS100" s="66" t="str">
        <f aca="false">IF($AG100&lt;&gt;Constants!$B$7,$AG100,IF(AK100&amp;AO100&lt;&gt;"",Constants!$B$14,AM100+AQ100+AR100))</f>
        <v/>
      </c>
      <c r="AT100" s="66" t="str">
        <f aca="false">IF(ISBLANK($C100),"",IF($AG100=Constants!$B$7,IF(ISNUMBER(AS100),RANK(AS100,$AS$8:$AS$507),Constants!$B$14),$AG100))</f>
        <v/>
      </c>
      <c r="AU100" s="66" t="str">
        <f aca="false">IF(ISBLANK($C100), "",AM100)</f>
        <v/>
      </c>
      <c r="AV100" s="66" t="str">
        <f aca="false">IF(ISBLANK($C100),"",IF($AG100=Constants!$B$7,RANK(AU100,AU$8:AU$507),$AG100))</f>
        <v/>
      </c>
      <c r="AW100" s="66" t="str">
        <f aca="false">IF(ISBLANK($C100), "",AR100)</f>
        <v/>
      </c>
      <c r="AX100" s="66" t="str">
        <f aca="false">IF(ISBLANK($C100),"",IF($AG100=Constants!$B$7,RANK(AW100,AW$8:AW$507),$AG100))</f>
        <v/>
      </c>
      <c r="AY100" s="66" t="str">
        <f aca="false">IF(ISBLANK($C100), "",AE100)</f>
        <v/>
      </c>
      <c r="AZ100" s="66" t="str">
        <f aca="false">IF(ISBLANK($C100),"",
IF($AG100=Constants!$B$7,
  IF(ISNUMBER(AT100),
    COUNTIFS($AT$8:$AT$507,"&lt;"&amp;$AT100)
    + COUNTIFS($AT$8:$AT$507,$AT100,$AV$8:$AV$507,"&lt;"&amp;$AV100)
    + COUNTIFS($AT$8:$AT$507,$AT100,$AV$8:$AV$507,$AV100,$AX$8:$AX$507,"&lt;"&amp;$AX100)
    + COUNTIFS($AT$8:$AT$507,$AT100,$AV$8:$AV$507,$AV100,$AX$8:$AX$507,$AX100,$AY$8:$AY$507,"&lt;"&amp;$AY100)
    + 1,
  Constants!$B$14),
$AG100))</f>
        <v/>
      </c>
      <c r="BA100" s="66" t="str">
        <f aca="false">IF(ISBLANK(C100),"",IF($AG100=Constants!$B$7, IF(ISNUMBER(AT100),AT100-AZ100,Constants!$B$14),$AG100))</f>
        <v/>
      </c>
      <c r="BB100" s="70"/>
      <c r="BC100" s="84" t="str">
        <f aca="false">IF(ISBLANK($C100),"",TRIM(AK100&amp;" "&amp;AO100))</f>
        <v/>
      </c>
      <c r="BD100" s="72" t="str">
        <f aca="false">IF(ISBLANK($C100),"",IF($AG100&lt;&gt;Constants!$B$7,$AG100,AR100))</f>
        <v/>
      </c>
      <c r="BE100" s="72" t="str">
        <f aca="false">IF(ISBLANK($C100),"",IF($AG100&lt;&gt;Constants!$B$7,$AG100,AM100))</f>
        <v/>
      </c>
      <c r="BF100" s="72" t="str">
        <f aca="false">IF(ISBLANK($C100),"",IF($AG100&lt;&gt;Constants!$B$7,$AG100,AQ100))</f>
        <v/>
      </c>
      <c r="BG100" s="73" t="str">
        <f aca="false">IF(ISBLANK($C100),"",IF($AG100&lt;&gt;Constants!$B$7, $AG100 ,AS100))</f>
        <v/>
      </c>
      <c r="BH100" s="74" t="str">
        <f aca="false">IF(ISBLANK($C100),"",IF($AG100&lt;&gt;Constants!$B$7, $AG100 ,AH100))</f>
        <v/>
      </c>
      <c r="BI100" s="72" t="str">
        <f aca="false">IF(ISBLANK(C100),"",BA100)</f>
        <v/>
      </c>
      <c r="BJ100" s="72" t="str">
        <f aca="false">IF(ISBLANK(C100),"",AZ100)</f>
        <v/>
      </c>
      <c r="BK100" s="75" t="str">
        <f aca="false">IF(ISBLANK(C100),"",IFERROR(_xlfn.SWITCH(BJ100, Constants!$B$4, COUNTA($C$8:$C599)+2, Constants!$B$5, COUNTA($C$8:$C599)+1, Constants!$B$6, COUNTA($C$8:$C599)),BJ100))</f>
        <v/>
      </c>
      <c r="BL100" s="5"/>
      <c r="BM100" s="76" t="n">
        <f aca="false">IF(OR(ISNUMBER(BJ100),BJ100="DQ",BJ100="P",BJ100="NS"),
    1,
    0
)</f>
        <v>0</v>
      </c>
      <c r="BN100" s="76" t="n">
        <v>93</v>
      </c>
      <c r="BO100" s="76" t="str">
        <f aca="false">IF(ISBLANK($C100),"",IF(ISNUMBER(BK100),BK100+ROW($B100)/1000,""))</f>
        <v/>
      </c>
      <c r="BP100" s="76" t="str">
        <f aca="false">IF(ISNUMBER(BO100), RANK(BO100,BO$8:BO$507,1), "")</f>
        <v/>
      </c>
      <c r="BQ100" s="76" t="str">
        <f aca="false">IF(ISBLANK($C100),
    "",
    $B100
)</f>
        <v/>
      </c>
      <c r="BR100" s="76" t="str">
        <f aca="false">IF(ISBLANK($C100),
    "",
    $C100
)</f>
        <v/>
      </c>
      <c r="BS100" s="76" t="str">
        <f aca="false">IF(ISBLANK($C100),
    "",
    $D100
)</f>
        <v/>
      </c>
      <c r="BT100" s="77" t="str">
        <f aca="false">BH100</f>
        <v/>
      </c>
      <c r="BU100" s="78" t="str">
        <f aca="false">BG100</f>
        <v/>
      </c>
      <c r="BV100" s="76" t="str">
        <f aca="false">IF(ISBLANK($C100),
    "",
    BJ100
)</f>
        <v/>
      </c>
      <c r="BW100" s="79" t="str">
        <f aca="false">IF(BN100&gt;BM$7,
    "",
    VLOOKUP(BN100,BP$8:BV599,7,FALSE())
)</f>
        <v/>
      </c>
      <c r="BX100" s="80" t="str">
        <f aca="false">IF(BN100&gt;BM$7,
    "",
    VLOOKUP(BN100,BP$8:BV599,2,FALSE())
)</f>
        <v/>
      </c>
      <c r="BY100" s="80" t="str">
        <f aca="false">IF(BN100&gt;BM$7,
    "",
    VLOOKUP(BN100,BP$8:BV599,3,FALSE())
)</f>
        <v/>
      </c>
      <c r="BZ100" s="80" t="str">
        <f aca="false">IF(BN100&gt;BM$7,
    "",
    VLOOKUP(BN100,BP$8:BV599,4,FALSE())
)</f>
        <v/>
      </c>
      <c r="CA100" s="80" t="str">
        <f aca="false">IF(BN100&gt;BM$7,
    "",
    VLOOKUP(BN100,BP$8:BV599,5,FALSE())
)</f>
        <v/>
      </c>
      <c r="CB100" s="81" t="str">
        <f aca="false">IF(BN100&gt;BM$7,
    "",
    VLOOKUP(BN100,BP$8:BV599,6,FALSE())
)</f>
        <v/>
      </c>
      <c r="CC100" s="53"/>
    </row>
    <row r="101" customFormat="false" ht="15.75" hidden="false" customHeight="false" outlineLevel="0" collapsed="false">
      <c r="A101" s="5"/>
      <c r="B101" s="125"/>
      <c r="C101" s="126"/>
      <c r="D101" s="115"/>
      <c r="E101" s="119"/>
      <c r="F101" s="119"/>
      <c r="G101" s="91"/>
      <c r="H101" s="92"/>
      <c r="I101" s="92"/>
      <c r="J101" s="128"/>
      <c r="K101" s="128"/>
      <c r="L101" s="128"/>
      <c r="M101" s="94"/>
      <c r="N101" s="94"/>
      <c r="O101" s="94"/>
      <c r="P101" s="95"/>
      <c r="Q101" s="96"/>
      <c r="R101" s="128"/>
      <c r="S101" s="98"/>
      <c r="T101" s="99"/>
      <c r="U101" s="99" t="str">
        <f aca="false">IF(ISBLANK($C101),"",IF(G101=Constants!$B$2, TRUE(), IF(G101=Constants!$B$3, FALSE(), TRUE())))</f>
        <v/>
      </c>
      <c r="V101" s="99" t="str">
        <f aca="false">IF(ISBLANK($C101),"",IF(H101=Constants!$B$2, TRUE(), IF(H101=Constants!$B$3, FALSE(), TRUE())))</f>
        <v/>
      </c>
      <c r="W101" s="99" t="str">
        <f aca="false">IF(ISBLANK($C101),"",IF(I101=Constants!$B$2, TRUE(), IF(I101=Constants!$B$3, FALSE(), TRUE())))</f>
        <v/>
      </c>
      <c r="X101" s="99" t="str">
        <f aca="false">IF(ISBLANK($C101),"",IF(AND(ISNUMBER(J101),J101&gt;0),INT(J101),0))</f>
        <v/>
      </c>
      <c r="Y101" s="99" t="str">
        <f aca="false">IF(ISBLANK($C101),"",IF(K101=Constants!$B$2, TRUE(), IF(K101=Constants!$B$3, FALSE(), TRUE())))</f>
        <v/>
      </c>
      <c r="Z101" s="100" t="str">
        <f aca="false">IF(ISBLANK($C101),"",IF(AND(ISNUMBER(L101),L101&gt;0),INT(L101),0))</f>
        <v/>
      </c>
      <c r="AA101" s="101" t="str">
        <f aca="false">IF(ISBLANK($C101),"",IF(ISNUMBER(M101), M101, ""))</f>
        <v/>
      </c>
      <c r="AB101" s="101" t="str">
        <f aca="false">IF(ISBLANK($C101),"",IF(ISNUMBER(N101), N101, ""))</f>
        <v/>
      </c>
      <c r="AC101" s="101" t="str">
        <f aca="false">IF(ISBLANK($C101),"",IF(ISNUMBER(O101), O101, ""))</f>
        <v/>
      </c>
      <c r="AD101" s="102" t="str">
        <f aca="false">IF(ISBLANK($C101),"",IF(ISNUMBER(P101), P101, ""))</f>
        <v/>
      </c>
      <c r="AE101" s="102" t="str">
        <f aca="false">IF(ISBLANK($C101),"",IF(ISNUMBER(Q101), Q101, Constants!$B$13))</f>
        <v/>
      </c>
      <c r="AF101" s="99" t="str">
        <f aca="false">IF(ISBLANK($C101),"",IF(R101=Constants!$B$2, TRUE(), IF(R101=Constants!$B$3, FALSE(), FALSE())))</f>
        <v/>
      </c>
      <c r="AG101" s="99" t="str">
        <f aca="false">IF(ISBLANK(C101), "", IF(AF101, Constants!$B$4,IF(COUNTA(G101:P101)=0, Constants!$B$5, Constants!$B$7)))</f>
        <v/>
      </c>
      <c r="AH101" s="99" t="str">
        <f aca="false">IF(ISBLANK($C101), "",IF($AG101=Constants!$B$7,1,$AG101))</f>
        <v/>
      </c>
      <c r="AI101" s="99" t="str">
        <f aca="false">IF($AG101=Constants!$B$7,POWER(Constants!$B$11,X101)*POWER(Constants!$B$12,Z101),"")</f>
        <v/>
      </c>
      <c r="AJ101" s="99" t="str">
        <f aca="false">IF(AND($AG101=Constants!$B$7, U101, V101) ,IF(OR($AA101="",$AC101=""),"",MAX(0, $AC101-$AA101)),"")</f>
        <v/>
      </c>
      <c r="AK101" s="99" t="str">
        <f aca="false">IF(AND($AG101=Constants!$B$7, U101, V101),IF(OR($AA101="",$AC101=""),$AK$6,""),"")</f>
        <v/>
      </c>
      <c r="AL101" s="99" t="str">
        <f aca="false">IF($AG101=Constants!$B$7,IF(AND(U101,V101,W101,Y101),IF($AJ101="",0,IF($AJ$6=0,Constants!$B$9,Constants!$B$9*AJ101/$AJ$6)), 0),"")</f>
        <v/>
      </c>
      <c r="AM101" s="99" t="str">
        <f aca="false">IF(AL101&lt;&gt;"", AL101*AI101,"")</f>
        <v/>
      </c>
      <c r="AN101" s="99" t="str">
        <f aca="false">IF(AND($AG101=Constants!$B$7, U101, V101) ,IF($AB101="", "", IF(OR($AC101="",$AC101=0),"",MAX(0,1-ABS($AC101-$AB101)/$AC101))),"")</f>
        <v/>
      </c>
      <c r="AO101" s="99" t="str">
        <f aca="false">IF(AND($AG101=Constants!$B$7, U101, V101),IF(AND($AA101&lt;&gt;"",$AB101&lt;&gt;"",$AC101=0),$AO$6,""),"")</f>
        <v/>
      </c>
      <c r="AP101" s="99" t="str">
        <f aca="false">IF($AG101=Constants!$B$7 ,IF(AND(U101,V101,W101,Y101,ISNUMBER(AB101)),IF($AN101="",0,IF($AN$6=0,Constants!$B$10,Constants!$B$10*AN101/$AN$6)), 0),"")</f>
        <v/>
      </c>
      <c r="AQ101" s="99" t="str">
        <f aca="false">IF(AP101&lt;&gt;"", AP101*AI101,"")</f>
        <v/>
      </c>
      <c r="AR101" s="99" t="str">
        <f aca="false">IF($AG101=Constants!$B$7,IF($AD101="",0,IF($AR$6=0,Constants!$B$8,Constants!$B$8*AD101/$AR$6)),"")</f>
        <v/>
      </c>
      <c r="AS101" s="99" t="str">
        <f aca="false">IF($AG101&lt;&gt;Constants!$B$7,$AG101,IF(AK101&amp;AO101&lt;&gt;"",Constants!$B$14,AM101+AQ101+AR101))</f>
        <v/>
      </c>
      <c r="AT101" s="99" t="str">
        <f aca="false">IF(ISBLANK($C101),"",IF($AG101=Constants!$B$7,IF(ISNUMBER(AS101),RANK(AS101,$AS$8:$AS$507),Constants!$B$14),$AG101))</f>
        <v/>
      </c>
      <c r="AU101" s="99" t="str">
        <f aca="false">IF(ISBLANK($C101), "",AM101)</f>
        <v/>
      </c>
      <c r="AV101" s="99" t="str">
        <f aca="false">IF(ISBLANK($C101),"",IF($AG101=Constants!$B$7,RANK(AU101,AU$8:AU$507),$AG101))</f>
        <v/>
      </c>
      <c r="AW101" s="99" t="str">
        <f aca="false">IF(ISBLANK($C101), "",AR101)</f>
        <v/>
      </c>
      <c r="AX101" s="99" t="str">
        <f aca="false">IF(ISBLANK($C101),"",IF($AG101=Constants!$B$7,RANK(AW101,AW$8:AW$507),$AG101))</f>
        <v/>
      </c>
      <c r="AY101" s="99" t="str">
        <f aca="false">IF(ISBLANK($C101), "",AE101)</f>
        <v/>
      </c>
      <c r="AZ101" s="99" t="str">
        <f aca="false">IF(ISBLANK($C101),"",
IF($AG101=Constants!$B$7,
  IF(ISNUMBER(AT101),
    COUNTIFS($AT$8:$AT$507,"&lt;"&amp;$AT101)
    + COUNTIFS($AT$8:$AT$507,$AT101,$AV$8:$AV$507,"&lt;"&amp;$AV101)
    + COUNTIFS($AT$8:$AT$507,$AT101,$AV$8:$AV$507,$AV101,$AX$8:$AX$507,"&lt;"&amp;$AX101)
    + COUNTIFS($AT$8:$AT$507,$AT101,$AV$8:$AV$507,$AV101,$AX$8:$AX$507,$AX101,$AY$8:$AY$507,"&lt;"&amp;$AY101)
    + 1,
  Constants!$B$14),
$AG101))</f>
        <v/>
      </c>
      <c r="BA101" s="99" t="str">
        <f aca="false">IF(ISBLANK(C101),"",IF($AG101=Constants!$B$7, IF(ISNUMBER(AT101),AT101-AZ101,Constants!$B$14),$AG101))</f>
        <v/>
      </c>
      <c r="BB101" s="103"/>
      <c r="BC101" s="104" t="str">
        <f aca="false">IF(ISBLANK($C101),"",TRIM(AK101&amp;" "&amp;AO101))</f>
        <v/>
      </c>
      <c r="BD101" s="105" t="str">
        <f aca="false">IF(ISBLANK($C101),"",IF($AG101&lt;&gt;Constants!$B$7,$AG101,AR101))</f>
        <v/>
      </c>
      <c r="BE101" s="105" t="str">
        <f aca="false">IF(ISBLANK($C101),"",IF($AG101&lt;&gt;Constants!$B$7,$AG101,AM101))</f>
        <v/>
      </c>
      <c r="BF101" s="105" t="str">
        <f aca="false">IF(ISBLANK($C101),"",IF($AG101&lt;&gt;Constants!$B$7,$AG101,AQ101))</f>
        <v/>
      </c>
      <c r="BG101" s="106" t="str">
        <f aca="false">IF(ISBLANK($C101),"",IF($AG101&lt;&gt;Constants!$B$7, $AG101 ,AS101))</f>
        <v/>
      </c>
      <c r="BH101" s="107" t="str">
        <f aca="false">IF(ISBLANK($C101),"",IF($AG101&lt;&gt;Constants!$B$7, $AG101 ,AH101))</f>
        <v/>
      </c>
      <c r="BI101" s="105" t="str">
        <f aca="false">IF(ISBLANK(C101),"",BA101)</f>
        <v/>
      </c>
      <c r="BJ101" s="105" t="str">
        <f aca="false">IF(ISBLANK(C101),"",AZ101)</f>
        <v/>
      </c>
      <c r="BK101" s="108" t="str">
        <f aca="false">IF(ISBLANK(C101),"",IFERROR(_xlfn.SWITCH(BJ101, Constants!$B$4, COUNTA($C$8:$C600)+2, Constants!$B$5, COUNTA($C$8:$C600)+1, Constants!$B$6, COUNTA($C$8:$C600)),BJ101))</f>
        <v/>
      </c>
      <c r="BL101" s="5"/>
      <c r="BM101" s="109" t="n">
        <f aca="false">IF(OR(ISNUMBER(BJ101),BJ101="DQ",BJ101="P",BJ101="NS"),
    1,
    0
)</f>
        <v>0</v>
      </c>
      <c r="BN101" s="109" t="n">
        <v>94</v>
      </c>
      <c r="BO101" s="109" t="str">
        <f aca="false">IF(ISBLANK($C101),"",IF(ISNUMBER(BK101),BK101+ROW($B101)/1000,""))</f>
        <v/>
      </c>
      <c r="BP101" s="109" t="str">
        <f aca="false">IF(ISNUMBER(BO101), RANK(BO101,BO$8:BO$507,1), "")</f>
        <v/>
      </c>
      <c r="BQ101" s="109" t="str">
        <f aca="false">IF(ISBLANK($C101),
    "",
    $B101
)</f>
        <v/>
      </c>
      <c r="BR101" s="109" t="str">
        <f aca="false">IF(ISBLANK($C101),
    "",
    $C101
)</f>
        <v/>
      </c>
      <c r="BS101" s="109" t="str">
        <f aca="false">IF(ISBLANK($C101),
    "",
    $D101
)</f>
        <v/>
      </c>
      <c r="BT101" s="110" t="str">
        <f aca="false">BH101</f>
        <v/>
      </c>
      <c r="BU101" s="111" t="str">
        <f aca="false">BG101</f>
        <v/>
      </c>
      <c r="BV101" s="109" t="str">
        <f aca="false">IF(ISBLANK($C101),
    "",
    BJ101
)</f>
        <v/>
      </c>
      <c r="BW101" s="112" t="str">
        <f aca="false">IF(BN101&gt;BM$7,
    "",
    VLOOKUP(BN101,BP$8:BV600,7,FALSE())
)</f>
        <v/>
      </c>
      <c r="BX101" s="113" t="str">
        <f aca="false">IF(BN101&gt;BM$7,
    "",
    VLOOKUP(BN101,BP$8:BV600,2,FALSE())
)</f>
        <v/>
      </c>
      <c r="BY101" s="113" t="str">
        <f aca="false">IF(BN101&gt;BM$7,
    "",
    VLOOKUP(BN101,BP$8:BV600,3,FALSE())
)</f>
        <v/>
      </c>
      <c r="BZ101" s="113" t="str">
        <f aca="false">IF(BN101&gt;BM$7,
    "",
    VLOOKUP(BN101,BP$8:BV600,4,FALSE())
)</f>
        <v/>
      </c>
      <c r="CA101" s="113" t="str">
        <f aca="false">IF(BN101&gt;BM$7,
    "",
    VLOOKUP(BN101,BP$8:BV600,5,FALSE())
)</f>
        <v/>
      </c>
      <c r="CB101" s="114" t="str">
        <f aca="false">IF(BN101&gt;BM$7,
    "",
    VLOOKUP(BN101,BP$8:BV600,6,FALSE())
)</f>
        <v/>
      </c>
      <c r="CC101" s="53"/>
    </row>
    <row r="102" customFormat="false" ht="15.75" hidden="false" customHeight="false" outlineLevel="0" collapsed="false">
      <c r="A102" s="5"/>
      <c r="B102" s="125"/>
      <c r="C102" s="126"/>
      <c r="D102" s="115"/>
      <c r="E102" s="119"/>
      <c r="F102" s="119"/>
      <c r="G102" s="91"/>
      <c r="H102" s="92"/>
      <c r="I102" s="92"/>
      <c r="J102" s="128"/>
      <c r="K102" s="128"/>
      <c r="L102" s="128"/>
      <c r="M102" s="94"/>
      <c r="N102" s="94"/>
      <c r="O102" s="94"/>
      <c r="P102" s="95"/>
      <c r="Q102" s="96"/>
      <c r="R102" s="128"/>
      <c r="S102" s="98"/>
      <c r="T102" s="99"/>
      <c r="U102" s="99" t="str">
        <f aca="false">IF(ISBLANK($C102),"",IF(G102=Constants!$B$2, TRUE(), IF(G102=Constants!$B$3, FALSE(), TRUE())))</f>
        <v/>
      </c>
      <c r="V102" s="99" t="str">
        <f aca="false">IF(ISBLANK($C102),"",IF(H102=Constants!$B$2, TRUE(), IF(H102=Constants!$B$3, FALSE(), TRUE())))</f>
        <v/>
      </c>
      <c r="W102" s="99" t="str">
        <f aca="false">IF(ISBLANK($C102),"",IF(I102=Constants!$B$2, TRUE(), IF(I102=Constants!$B$3, FALSE(), TRUE())))</f>
        <v/>
      </c>
      <c r="X102" s="99" t="str">
        <f aca="false">IF(ISBLANK($C102),"",IF(AND(ISNUMBER(J102),J102&gt;0),INT(J102),0))</f>
        <v/>
      </c>
      <c r="Y102" s="99" t="str">
        <f aca="false">IF(ISBLANK($C102),"",IF(K102=Constants!$B$2, TRUE(), IF(K102=Constants!$B$3, FALSE(), TRUE())))</f>
        <v/>
      </c>
      <c r="Z102" s="100" t="str">
        <f aca="false">IF(ISBLANK($C102),"",IF(AND(ISNUMBER(L102),L102&gt;0),INT(L102),0))</f>
        <v/>
      </c>
      <c r="AA102" s="101" t="str">
        <f aca="false">IF(ISBLANK($C102),"",IF(ISNUMBER(M102), M102, ""))</f>
        <v/>
      </c>
      <c r="AB102" s="101" t="str">
        <f aca="false">IF(ISBLANK($C102),"",IF(ISNUMBER(N102), N102, ""))</f>
        <v/>
      </c>
      <c r="AC102" s="101" t="str">
        <f aca="false">IF(ISBLANK($C102),"",IF(ISNUMBER(O102), O102, ""))</f>
        <v/>
      </c>
      <c r="AD102" s="102" t="str">
        <f aca="false">IF(ISBLANK($C102),"",IF(ISNUMBER(P102), P102, ""))</f>
        <v/>
      </c>
      <c r="AE102" s="102" t="str">
        <f aca="false">IF(ISBLANK($C102),"",IF(ISNUMBER(Q102), Q102, Constants!$B$13))</f>
        <v/>
      </c>
      <c r="AF102" s="99" t="str">
        <f aca="false">IF(ISBLANK($C102),"",IF(R102=Constants!$B$2, TRUE(), IF(R102=Constants!$B$3, FALSE(), FALSE())))</f>
        <v/>
      </c>
      <c r="AG102" s="99" t="str">
        <f aca="false">IF(ISBLANK(C102), "", IF(AF102, Constants!$B$4,IF(COUNTA(G102:P102)=0, Constants!$B$5, Constants!$B$7)))</f>
        <v/>
      </c>
      <c r="AH102" s="99" t="str">
        <f aca="false">IF(ISBLANK($C102), "",IF($AG102=Constants!$B$7,1,$AG102))</f>
        <v/>
      </c>
      <c r="AI102" s="99" t="str">
        <f aca="false">IF($AG102=Constants!$B$7,POWER(Constants!$B$11,X102)*POWER(Constants!$B$12,Z102),"")</f>
        <v/>
      </c>
      <c r="AJ102" s="99" t="str">
        <f aca="false">IF(AND($AG102=Constants!$B$7, U102, V102) ,IF(OR($AA102="",$AC102=""),"",MAX(0, $AC102-$AA102)),"")</f>
        <v/>
      </c>
      <c r="AK102" s="99" t="str">
        <f aca="false">IF(AND($AG102=Constants!$B$7, U102, V102),IF(OR($AA102="",$AC102=""),$AK$6,""),"")</f>
        <v/>
      </c>
      <c r="AL102" s="99" t="str">
        <f aca="false">IF($AG102=Constants!$B$7,IF(AND(U102,V102,W102,Y102),IF($AJ102="",0,IF($AJ$6=0,Constants!$B$9,Constants!$B$9*AJ102/$AJ$6)), 0),"")</f>
        <v/>
      </c>
      <c r="AM102" s="99" t="str">
        <f aca="false">IF(AL102&lt;&gt;"", AL102*AI102,"")</f>
        <v/>
      </c>
      <c r="AN102" s="99" t="str">
        <f aca="false">IF(AND($AG102=Constants!$B$7, U102, V102) ,IF($AB102="", "", IF(OR($AC102="",$AC102=0),"",MAX(0,1-ABS($AC102-$AB102)/$AC102))),"")</f>
        <v/>
      </c>
      <c r="AO102" s="99" t="str">
        <f aca="false">IF(AND($AG102=Constants!$B$7, U102, V102),IF(AND($AA102&lt;&gt;"",$AB102&lt;&gt;"",$AC102=0),$AO$6,""),"")</f>
        <v/>
      </c>
      <c r="AP102" s="99" t="str">
        <f aca="false">IF($AG102=Constants!$B$7 ,IF(AND(U102,V102,W102,Y102,ISNUMBER(AB102)),IF($AN102="",0,IF($AN$6=0,Constants!$B$10,Constants!$B$10*AN102/$AN$6)), 0),"")</f>
        <v/>
      </c>
      <c r="AQ102" s="99" t="str">
        <f aca="false">IF(AP102&lt;&gt;"", AP102*AI102,"")</f>
        <v/>
      </c>
      <c r="AR102" s="99" t="str">
        <f aca="false">IF($AG102=Constants!$B$7,IF($AD102="",0,IF($AR$6=0,Constants!$B$8,Constants!$B$8*AD102/$AR$6)),"")</f>
        <v/>
      </c>
      <c r="AS102" s="99" t="str">
        <f aca="false">IF($AG102&lt;&gt;Constants!$B$7,$AG102,IF(AK102&amp;AO102&lt;&gt;"",Constants!$B$14,AM102+AQ102+AR102))</f>
        <v/>
      </c>
      <c r="AT102" s="99" t="str">
        <f aca="false">IF(ISBLANK($C102),"",IF($AG102=Constants!$B$7,IF(ISNUMBER(AS102),RANK(AS102,$AS$8:$AS$507),Constants!$B$14),$AG102))</f>
        <v/>
      </c>
      <c r="AU102" s="99" t="str">
        <f aca="false">IF(ISBLANK($C102), "",AM102)</f>
        <v/>
      </c>
      <c r="AV102" s="99" t="str">
        <f aca="false">IF(ISBLANK($C102),"",IF($AG102=Constants!$B$7,RANK(AU102,AU$8:AU$507),$AG102))</f>
        <v/>
      </c>
      <c r="AW102" s="99" t="str">
        <f aca="false">IF(ISBLANK($C102), "",AR102)</f>
        <v/>
      </c>
      <c r="AX102" s="99" t="str">
        <f aca="false">IF(ISBLANK($C102),"",IF($AG102=Constants!$B$7,RANK(AW102,AW$8:AW$507),$AG102))</f>
        <v/>
      </c>
      <c r="AY102" s="99" t="str">
        <f aca="false">IF(ISBLANK($C102), "",AE102)</f>
        <v/>
      </c>
      <c r="AZ102" s="99" t="str">
        <f aca="false">IF(ISBLANK($C102),"",
IF($AG102=Constants!$B$7,
  IF(ISNUMBER(AT102),
    COUNTIFS($AT$8:$AT$507,"&lt;"&amp;$AT102)
    + COUNTIFS($AT$8:$AT$507,$AT102,$AV$8:$AV$507,"&lt;"&amp;$AV102)
    + COUNTIFS($AT$8:$AT$507,$AT102,$AV$8:$AV$507,$AV102,$AX$8:$AX$507,"&lt;"&amp;$AX102)
    + COUNTIFS($AT$8:$AT$507,$AT102,$AV$8:$AV$507,$AV102,$AX$8:$AX$507,$AX102,$AY$8:$AY$507,"&lt;"&amp;$AY102)
    + 1,
  Constants!$B$14),
$AG102))</f>
        <v/>
      </c>
      <c r="BA102" s="99" t="str">
        <f aca="false">IF(ISBLANK(C102),"",IF($AG102=Constants!$B$7, IF(ISNUMBER(AT102),AT102-AZ102,Constants!$B$14),$AG102))</f>
        <v/>
      </c>
      <c r="BB102" s="103"/>
      <c r="BC102" s="104" t="str">
        <f aca="false">IF(ISBLANK($C102),"",TRIM(AK102&amp;" "&amp;AO102))</f>
        <v/>
      </c>
      <c r="BD102" s="105" t="str">
        <f aca="false">IF(ISBLANK($C102),"",IF($AG102&lt;&gt;Constants!$B$7,$AG102,AR102))</f>
        <v/>
      </c>
      <c r="BE102" s="105" t="str">
        <f aca="false">IF(ISBLANK($C102),"",IF($AG102&lt;&gt;Constants!$B$7,$AG102,AM102))</f>
        <v/>
      </c>
      <c r="BF102" s="105" t="str">
        <f aca="false">IF(ISBLANK($C102),"",IF($AG102&lt;&gt;Constants!$B$7,$AG102,AQ102))</f>
        <v/>
      </c>
      <c r="BG102" s="106" t="str">
        <f aca="false">IF(ISBLANK($C102),"",IF($AG102&lt;&gt;Constants!$B$7, $AG102 ,AS102))</f>
        <v/>
      </c>
      <c r="BH102" s="107" t="str">
        <f aca="false">IF(ISBLANK($C102),"",IF($AG102&lt;&gt;Constants!$B$7, $AG102 ,AH102))</f>
        <v/>
      </c>
      <c r="BI102" s="105" t="str">
        <f aca="false">IF(ISBLANK(C102),"",BA102)</f>
        <v/>
      </c>
      <c r="BJ102" s="105" t="str">
        <f aca="false">IF(ISBLANK(C102),"",AZ102)</f>
        <v/>
      </c>
      <c r="BK102" s="108" t="str">
        <f aca="false">IF(ISBLANK(C102),"",IFERROR(_xlfn.SWITCH(BJ102, Constants!$B$4, COUNTA($C$8:$C601)+2, Constants!$B$5, COUNTA($C$8:$C601)+1, Constants!$B$6, COUNTA($C$8:$C601)),BJ102))</f>
        <v/>
      </c>
      <c r="BL102" s="5"/>
      <c r="BM102" s="109" t="n">
        <f aca="false">IF(OR(ISNUMBER(BJ102),BJ102="DQ",BJ102="P",BJ102="NS"),
    1,
    0
)</f>
        <v>0</v>
      </c>
      <c r="BN102" s="109" t="n">
        <v>95</v>
      </c>
      <c r="BO102" s="109" t="str">
        <f aca="false">IF(ISBLANK($C102),"",IF(ISNUMBER(BK102),BK102+ROW($B102)/1000,""))</f>
        <v/>
      </c>
      <c r="BP102" s="109" t="str">
        <f aca="false">IF(ISNUMBER(BO102), RANK(BO102,BO$8:BO$507,1), "")</f>
        <v/>
      </c>
      <c r="BQ102" s="109" t="str">
        <f aca="false">IF(ISBLANK($C102),
    "",
    $B102
)</f>
        <v/>
      </c>
      <c r="BR102" s="109" t="str">
        <f aca="false">IF(ISBLANK($C102),
    "",
    $C102
)</f>
        <v/>
      </c>
      <c r="BS102" s="109" t="str">
        <f aca="false">IF(ISBLANK($C102),
    "",
    $D102
)</f>
        <v/>
      </c>
      <c r="BT102" s="110" t="str">
        <f aca="false">BH102</f>
        <v/>
      </c>
      <c r="BU102" s="111" t="str">
        <f aca="false">BG102</f>
        <v/>
      </c>
      <c r="BV102" s="109" t="str">
        <f aca="false">IF(ISBLANK($C102),
    "",
    BJ102
)</f>
        <v/>
      </c>
      <c r="BW102" s="112" t="str">
        <f aca="false">IF(BN102&gt;BM$7,
    "",
    VLOOKUP(BN102,BP$8:BV601,7,FALSE())
)</f>
        <v/>
      </c>
      <c r="BX102" s="113" t="str">
        <f aca="false">IF(BN102&gt;BM$7,
    "",
    VLOOKUP(BN102,BP$8:BV601,2,FALSE())
)</f>
        <v/>
      </c>
      <c r="BY102" s="113" t="str">
        <f aca="false">IF(BN102&gt;BM$7,
    "",
    VLOOKUP(BN102,BP$8:BV601,3,FALSE())
)</f>
        <v/>
      </c>
      <c r="BZ102" s="113" t="str">
        <f aca="false">IF(BN102&gt;BM$7,
    "",
    VLOOKUP(BN102,BP$8:BV601,4,FALSE())
)</f>
        <v/>
      </c>
      <c r="CA102" s="113" t="str">
        <f aca="false">IF(BN102&gt;BM$7,
    "",
    VLOOKUP(BN102,BP$8:BV601,5,FALSE())
)</f>
        <v/>
      </c>
      <c r="CB102" s="114" t="str">
        <f aca="false">IF(BN102&gt;BM$7,
    "",
    VLOOKUP(BN102,BP$8:BV601,6,FALSE())
)</f>
        <v/>
      </c>
      <c r="CC102" s="53"/>
    </row>
    <row r="103" customFormat="false" ht="15.75" hidden="false" customHeight="false" outlineLevel="0" collapsed="false">
      <c r="A103" s="5"/>
      <c r="B103" s="125"/>
      <c r="C103" s="126"/>
      <c r="D103" s="115"/>
      <c r="E103" s="119"/>
      <c r="F103" s="119"/>
      <c r="G103" s="91"/>
      <c r="H103" s="92"/>
      <c r="I103" s="92"/>
      <c r="J103" s="128"/>
      <c r="K103" s="128"/>
      <c r="L103" s="128"/>
      <c r="M103" s="94"/>
      <c r="N103" s="94"/>
      <c r="O103" s="94"/>
      <c r="P103" s="95"/>
      <c r="Q103" s="96"/>
      <c r="R103" s="128"/>
      <c r="S103" s="98"/>
      <c r="T103" s="99"/>
      <c r="U103" s="99" t="str">
        <f aca="false">IF(ISBLANK($C103),"",IF(G103=Constants!$B$2, TRUE(), IF(G103=Constants!$B$3, FALSE(), TRUE())))</f>
        <v/>
      </c>
      <c r="V103" s="99" t="str">
        <f aca="false">IF(ISBLANK($C103),"",IF(H103=Constants!$B$2, TRUE(), IF(H103=Constants!$B$3, FALSE(), TRUE())))</f>
        <v/>
      </c>
      <c r="W103" s="99" t="str">
        <f aca="false">IF(ISBLANK($C103),"",IF(I103=Constants!$B$2, TRUE(), IF(I103=Constants!$B$3, FALSE(), TRUE())))</f>
        <v/>
      </c>
      <c r="X103" s="99" t="str">
        <f aca="false">IF(ISBLANK($C103),"",IF(AND(ISNUMBER(J103),J103&gt;0),INT(J103),0))</f>
        <v/>
      </c>
      <c r="Y103" s="99" t="str">
        <f aca="false">IF(ISBLANK($C103),"",IF(K103=Constants!$B$2, TRUE(), IF(K103=Constants!$B$3, FALSE(), TRUE())))</f>
        <v/>
      </c>
      <c r="Z103" s="100" t="str">
        <f aca="false">IF(ISBLANK($C103),"",IF(AND(ISNUMBER(L103),L103&gt;0),INT(L103),0))</f>
        <v/>
      </c>
      <c r="AA103" s="101" t="str">
        <f aca="false">IF(ISBLANK($C103),"",IF(ISNUMBER(M103), M103, ""))</f>
        <v/>
      </c>
      <c r="AB103" s="101" t="str">
        <f aca="false">IF(ISBLANK($C103),"",IF(ISNUMBER(N103), N103, ""))</f>
        <v/>
      </c>
      <c r="AC103" s="101" t="str">
        <f aca="false">IF(ISBLANK($C103),"",IF(ISNUMBER(O103), O103, ""))</f>
        <v/>
      </c>
      <c r="AD103" s="102" t="str">
        <f aca="false">IF(ISBLANK($C103),"",IF(ISNUMBER(P103), P103, ""))</f>
        <v/>
      </c>
      <c r="AE103" s="102" t="str">
        <f aca="false">IF(ISBLANK($C103),"",IF(ISNUMBER(Q103), Q103, Constants!$B$13))</f>
        <v/>
      </c>
      <c r="AF103" s="99" t="str">
        <f aca="false">IF(ISBLANK($C103),"",IF(R103=Constants!$B$2, TRUE(), IF(R103=Constants!$B$3, FALSE(), FALSE())))</f>
        <v/>
      </c>
      <c r="AG103" s="99" t="str">
        <f aca="false">IF(ISBLANK(C103), "", IF(AF103, Constants!$B$4,IF(COUNTA(G103:P103)=0, Constants!$B$5, Constants!$B$7)))</f>
        <v/>
      </c>
      <c r="AH103" s="99" t="str">
        <f aca="false">IF(ISBLANK($C103), "",IF($AG103=Constants!$B$7,1,$AG103))</f>
        <v/>
      </c>
      <c r="AI103" s="99" t="str">
        <f aca="false">IF($AG103=Constants!$B$7,POWER(Constants!$B$11,X103)*POWER(Constants!$B$12,Z103),"")</f>
        <v/>
      </c>
      <c r="AJ103" s="99" t="str">
        <f aca="false">IF(AND($AG103=Constants!$B$7, U103, V103) ,IF(OR($AA103="",$AC103=""),"",MAX(0, $AC103-$AA103)),"")</f>
        <v/>
      </c>
      <c r="AK103" s="99" t="str">
        <f aca="false">IF(AND($AG103=Constants!$B$7, U103, V103),IF(OR($AA103="",$AC103=""),$AK$6,""),"")</f>
        <v/>
      </c>
      <c r="AL103" s="99" t="str">
        <f aca="false">IF($AG103=Constants!$B$7,IF(AND(U103,V103,W103,Y103),IF($AJ103="",0,IF($AJ$6=0,Constants!$B$9,Constants!$B$9*AJ103/$AJ$6)), 0),"")</f>
        <v/>
      </c>
      <c r="AM103" s="99" t="str">
        <f aca="false">IF(AL103&lt;&gt;"", AL103*AI103,"")</f>
        <v/>
      </c>
      <c r="AN103" s="99" t="str">
        <f aca="false">IF(AND($AG103=Constants!$B$7, U103, V103) ,IF($AB103="", "", IF(OR($AC103="",$AC103=0),"",MAX(0,1-ABS($AC103-$AB103)/$AC103))),"")</f>
        <v/>
      </c>
      <c r="AO103" s="99" t="str">
        <f aca="false">IF(AND($AG103=Constants!$B$7, U103, V103),IF(AND($AA103&lt;&gt;"",$AB103&lt;&gt;"",$AC103=0),$AO$6,""),"")</f>
        <v/>
      </c>
      <c r="AP103" s="99" t="str">
        <f aca="false">IF($AG103=Constants!$B$7 ,IF(AND(U103,V103,W103,Y103,ISNUMBER(AB103)),IF($AN103="",0,IF($AN$6=0,Constants!$B$10,Constants!$B$10*AN103/$AN$6)), 0),"")</f>
        <v/>
      </c>
      <c r="AQ103" s="99" t="str">
        <f aca="false">IF(AP103&lt;&gt;"", AP103*AI103,"")</f>
        <v/>
      </c>
      <c r="AR103" s="99" t="str">
        <f aca="false">IF($AG103=Constants!$B$7,IF($AD103="",0,IF($AR$6=0,Constants!$B$8,Constants!$B$8*AD103/$AR$6)),"")</f>
        <v/>
      </c>
      <c r="AS103" s="99" t="str">
        <f aca="false">IF($AG103&lt;&gt;Constants!$B$7,$AG103,IF(AK103&amp;AO103&lt;&gt;"",Constants!$B$14,AM103+AQ103+AR103))</f>
        <v/>
      </c>
      <c r="AT103" s="99" t="str">
        <f aca="false">IF(ISBLANK($C103),"",IF($AG103=Constants!$B$7,IF(ISNUMBER(AS103),RANK(AS103,$AS$8:$AS$507),Constants!$B$14),$AG103))</f>
        <v/>
      </c>
      <c r="AU103" s="99" t="str">
        <f aca="false">IF(ISBLANK($C103), "",AM103)</f>
        <v/>
      </c>
      <c r="AV103" s="99" t="str">
        <f aca="false">IF(ISBLANK($C103),"",IF($AG103=Constants!$B$7,RANK(AU103,AU$8:AU$507),$AG103))</f>
        <v/>
      </c>
      <c r="AW103" s="99" t="str">
        <f aca="false">IF(ISBLANK($C103), "",AR103)</f>
        <v/>
      </c>
      <c r="AX103" s="99" t="str">
        <f aca="false">IF(ISBLANK($C103),"",IF($AG103=Constants!$B$7,RANK(AW103,AW$8:AW$507),$AG103))</f>
        <v/>
      </c>
      <c r="AY103" s="99" t="str">
        <f aca="false">IF(ISBLANK($C103), "",AE103)</f>
        <v/>
      </c>
      <c r="AZ103" s="99" t="str">
        <f aca="false">IF(ISBLANK($C103),"",
IF($AG103=Constants!$B$7,
  IF(ISNUMBER(AT103),
    COUNTIFS($AT$8:$AT$507,"&lt;"&amp;$AT103)
    + COUNTIFS($AT$8:$AT$507,$AT103,$AV$8:$AV$507,"&lt;"&amp;$AV103)
    + COUNTIFS($AT$8:$AT$507,$AT103,$AV$8:$AV$507,$AV103,$AX$8:$AX$507,"&lt;"&amp;$AX103)
    + COUNTIFS($AT$8:$AT$507,$AT103,$AV$8:$AV$507,$AV103,$AX$8:$AX$507,$AX103,$AY$8:$AY$507,"&lt;"&amp;$AY103)
    + 1,
  Constants!$B$14),
$AG103))</f>
        <v/>
      </c>
      <c r="BA103" s="99" t="str">
        <f aca="false">IF(ISBLANK(C103),"",IF($AG103=Constants!$B$7, IF(ISNUMBER(AT103),AT103-AZ103,Constants!$B$14),$AG103))</f>
        <v/>
      </c>
      <c r="BB103" s="103"/>
      <c r="BC103" s="104" t="str">
        <f aca="false">IF(ISBLANK($C103),"",TRIM(AK103&amp;" "&amp;AO103))</f>
        <v/>
      </c>
      <c r="BD103" s="105" t="str">
        <f aca="false">IF(ISBLANK($C103),"",IF($AG103&lt;&gt;Constants!$B$7,$AG103,AR103))</f>
        <v/>
      </c>
      <c r="BE103" s="105" t="str">
        <f aca="false">IF(ISBLANK($C103),"",IF($AG103&lt;&gt;Constants!$B$7,$AG103,AM103))</f>
        <v/>
      </c>
      <c r="BF103" s="105" t="str">
        <f aca="false">IF(ISBLANK($C103),"",IF($AG103&lt;&gt;Constants!$B$7,$AG103,AQ103))</f>
        <v/>
      </c>
      <c r="BG103" s="106" t="str">
        <f aca="false">IF(ISBLANK($C103),"",IF($AG103&lt;&gt;Constants!$B$7, $AG103 ,AS103))</f>
        <v/>
      </c>
      <c r="BH103" s="107" t="str">
        <f aca="false">IF(ISBLANK($C103),"",IF($AG103&lt;&gt;Constants!$B$7, $AG103 ,AH103))</f>
        <v/>
      </c>
      <c r="BI103" s="105" t="str">
        <f aca="false">IF(ISBLANK(C103),"",BA103)</f>
        <v/>
      </c>
      <c r="BJ103" s="105" t="str">
        <f aca="false">IF(ISBLANK(C103),"",AZ103)</f>
        <v/>
      </c>
      <c r="BK103" s="108" t="str">
        <f aca="false">IF(ISBLANK(C103),"",IFERROR(_xlfn.SWITCH(BJ103, Constants!$B$4, COUNTA($C$8:$C602)+2, Constants!$B$5, COUNTA($C$8:$C602)+1, Constants!$B$6, COUNTA($C$8:$C602)),BJ103))</f>
        <v/>
      </c>
      <c r="BL103" s="5"/>
      <c r="BM103" s="109" t="n">
        <f aca="false">IF(OR(ISNUMBER(BJ103),BJ103="DQ",BJ103="P",BJ103="NS"),
    1,
    0
)</f>
        <v>0</v>
      </c>
      <c r="BN103" s="109" t="n">
        <v>96</v>
      </c>
      <c r="BO103" s="109" t="str">
        <f aca="false">IF(ISBLANK($C103),"",IF(ISNUMBER(BK103),BK103+ROW($B103)/1000,""))</f>
        <v/>
      </c>
      <c r="BP103" s="109" t="str">
        <f aca="false">IF(ISNUMBER(BO103), RANK(BO103,BO$8:BO$507,1), "")</f>
        <v/>
      </c>
      <c r="BQ103" s="109" t="str">
        <f aca="false">IF(ISBLANK($C103),
    "",
    $B103
)</f>
        <v/>
      </c>
      <c r="BR103" s="109" t="str">
        <f aca="false">IF(ISBLANK($C103),
    "",
    $C103
)</f>
        <v/>
      </c>
      <c r="BS103" s="109" t="str">
        <f aca="false">IF(ISBLANK($C103),
    "",
    $D103
)</f>
        <v/>
      </c>
      <c r="BT103" s="110" t="str">
        <f aca="false">BH103</f>
        <v/>
      </c>
      <c r="BU103" s="111" t="str">
        <f aca="false">BG103</f>
        <v/>
      </c>
      <c r="BV103" s="109" t="str">
        <f aca="false">IF(ISBLANK($C103),
    "",
    BJ103
)</f>
        <v/>
      </c>
      <c r="BW103" s="112" t="str">
        <f aca="false">IF(BN103&gt;BM$7,
    "",
    VLOOKUP(BN103,BP$8:BV602,7,FALSE())
)</f>
        <v/>
      </c>
      <c r="BX103" s="113" t="str">
        <f aca="false">IF(BN103&gt;BM$7,
    "",
    VLOOKUP(BN103,BP$8:BV602,2,FALSE())
)</f>
        <v/>
      </c>
      <c r="BY103" s="113" t="str">
        <f aca="false">IF(BN103&gt;BM$7,
    "",
    VLOOKUP(BN103,BP$8:BV602,3,FALSE())
)</f>
        <v/>
      </c>
      <c r="BZ103" s="113" t="str">
        <f aca="false">IF(BN103&gt;BM$7,
    "",
    VLOOKUP(BN103,BP$8:BV602,4,FALSE())
)</f>
        <v/>
      </c>
      <c r="CA103" s="113" t="str">
        <f aca="false">IF(BN103&gt;BM$7,
    "",
    VLOOKUP(BN103,BP$8:BV602,5,FALSE())
)</f>
        <v/>
      </c>
      <c r="CB103" s="114" t="str">
        <f aca="false">IF(BN103&gt;BM$7,
    "",
    VLOOKUP(BN103,BP$8:BV602,6,FALSE())
)</f>
        <v/>
      </c>
      <c r="CC103" s="53"/>
    </row>
    <row r="104" customFormat="false" ht="15.75" hidden="false" customHeight="false" outlineLevel="0" collapsed="false">
      <c r="A104" s="5"/>
      <c r="B104" s="129"/>
      <c r="C104" s="55"/>
      <c r="D104" s="56"/>
      <c r="E104" s="123"/>
      <c r="F104" s="123"/>
      <c r="G104" s="58"/>
      <c r="H104" s="59"/>
      <c r="I104" s="59"/>
      <c r="J104" s="83"/>
      <c r="K104" s="83"/>
      <c r="L104" s="83"/>
      <c r="M104" s="61"/>
      <c r="N104" s="61"/>
      <c r="O104" s="61"/>
      <c r="P104" s="62"/>
      <c r="Q104" s="63"/>
      <c r="R104" s="83"/>
      <c r="S104" s="65"/>
      <c r="T104" s="66"/>
      <c r="U104" s="66" t="str">
        <f aca="false">IF(ISBLANK($C104),"",IF(G104=Constants!$B$2, TRUE(), IF(G104=Constants!$B$3, FALSE(), TRUE())))</f>
        <v/>
      </c>
      <c r="V104" s="66" t="str">
        <f aca="false">IF(ISBLANK($C104),"",IF(H104=Constants!$B$2, TRUE(), IF(H104=Constants!$B$3, FALSE(), TRUE())))</f>
        <v/>
      </c>
      <c r="W104" s="66" t="str">
        <f aca="false">IF(ISBLANK($C104),"",IF(I104=Constants!$B$2, TRUE(), IF(I104=Constants!$B$3, FALSE(), TRUE())))</f>
        <v/>
      </c>
      <c r="X104" s="66" t="str">
        <f aca="false">IF(ISBLANK($C104),"",IF(AND(ISNUMBER(J104),J104&gt;0),INT(J104),0))</f>
        <v/>
      </c>
      <c r="Y104" s="66" t="str">
        <f aca="false">IF(ISBLANK($C104),"",IF(K104=Constants!$B$2, TRUE(), IF(K104=Constants!$B$3, FALSE(), TRUE())))</f>
        <v/>
      </c>
      <c r="Z104" s="66" t="str">
        <f aca="false">IF(ISBLANK($C104),"",IF(AND(ISNUMBER(L104),L104&gt;0),INT(L104),0))</f>
        <v/>
      </c>
      <c r="AA104" s="68" t="str">
        <f aca="false">IF(ISBLANK($C104),"",IF(ISNUMBER(M104), M104, ""))</f>
        <v/>
      </c>
      <c r="AB104" s="68" t="str">
        <f aca="false">IF(ISBLANK($C104),"",IF(ISNUMBER(N104), N104, ""))</f>
        <v/>
      </c>
      <c r="AC104" s="68" t="str">
        <f aca="false">IF(ISBLANK($C104),"",IF(ISNUMBER(O104), O104, ""))</f>
        <v/>
      </c>
      <c r="AD104" s="69" t="str">
        <f aca="false">IF(ISBLANK($C104),"",IF(ISNUMBER(P104), P104, ""))</f>
        <v/>
      </c>
      <c r="AE104" s="69" t="str">
        <f aca="false">IF(ISBLANK($C104),"",IF(ISNUMBER(Q104), Q104, Constants!$B$13))</f>
        <v/>
      </c>
      <c r="AF104" s="66" t="str">
        <f aca="false">IF(ISBLANK($C104),"",IF(R104=Constants!$B$2, TRUE(), IF(R104=Constants!$B$3, FALSE(), FALSE())))</f>
        <v/>
      </c>
      <c r="AG104" s="66" t="str">
        <f aca="false">IF(ISBLANK(C104), "", IF(AF104, Constants!$B$4,IF(COUNTA(G104:P104)=0, Constants!$B$5, Constants!$B$7)))</f>
        <v/>
      </c>
      <c r="AH104" s="66" t="str">
        <f aca="false">IF(ISBLANK($C104), "",IF($AG104=Constants!$B$7,1,$AG104))</f>
        <v/>
      </c>
      <c r="AI104" s="66" t="str">
        <f aca="false">IF($AG104=Constants!$B$7,POWER(Constants!$B$11,X104)*POWER(Constants!$B$12,Z104),"")</f>
        <v/>
      </c>
      <c r="AJ104" s="66" t="str">
        <f aca="false">IF(AND($AG104=Constants!$B$7, U104, V104) ,IF(OR($AA104="",$AC104=""),"",MAX(0, $AC104-$AA104)),"")</f>
        <v/>
      </c>
      <c r="AK104" s="66" t="str">
        <f aca="false">IF(AND($AG104=Constants!$B$7, U104, V104),IF(OR($AA104="",$AC104=""),$AK$6,""),"")</f>
        <v/>
      </c>
      <c r="AL104" s="66" t="str">
        <f aca="false">IF($AG104=Constants!$B$7,IF(AND(U104,V104,W104,Y104),IF($AJ104="",0,IF($AJ$6=0,Constants!$B$9,Constants!$B$9*AJ104/$AJ$6)), 0),"")</f>
        <v/>
      </c>
      <c r="AM104" s="66" t="str">
        <f aca="false">IF(AL104&lt;&gt;"", AL104*AI104,"")</f>
        <v/>
      </c>
      <c r="AN104" s="66" t="str">
        <f aca="false">IF(AND($AG104=Constants!$B$7, U104, V104) ,IF($AB104="", "", IF(OR($AC104="",$AC104=0),"",MAX(0,1-ABS($AC104-$AB104)/$AC104))),"")</f>
        <v/>
      </c>
      <c r="AO104" s="66" t="str">
        <f aca="false">IF(AND($AG104=Constants!$B$7, U104, V104),IF(AND($AA104&lt;&gt;"",$AB104&lt;&gt;"",$AC104=0),$AO$6,""),"")</f>
        <v/>
      </c>
      <c r="AP104" s="66" t="str">
        <f aca="false">IF($AG104=Constants!$B$7 ,IF(AND(U104,V104,W104,Y104,ISNUMBER(AB104)),IF($AN104="",0,IF($AN$6=0,Constants!$B$10,Constants!$B$10*AN104/$AN$6)), 0),"")</f>
        <v/>
      </c>
      <c r="AQ104" s="66" t="str">
        <f aca="false">IF(AP104&lt;&gt;"", AP104*AI104,"")</f>
        <v/>
      </c>
      <c r="AR104" s="66" t="str">
        <f aca="false">IF($AG104=Constants!$B$7,IF($AD104="",0,IF($AR$6=0,Constants!$B$8,Constants!$B$8*AD104/$AR$6)),"")</f>
        <v/>
      </c>
      <c r="AS104" s="66" t="str">
        <f aca="false">IF($AG104&lt;&gt;Constants!$B$7,$AG104,IF(AK104&amp;AO104&lt;&gt;"",Constants!$B$14,AM104+AQ104+AR104))</f>
        <v/>
      </c>
      <c r="AT104" s="66" t="str">
        <f aca="false">IF(ISBLANK($C104),"",IF($AG104=Constants!$B$7,IF(ISNUMBER(AS104),RANK(AS104,$AS$8:$AS$507),Constants!$B$14),$AG104))</f>
        <v/>
      </c>
      <c r="AU104" s="66" t="str">
        <f aca="false">IF(ISBLANK($C104), "",AM104)</f>
        <v/>
      </c>
      <c r="AV104" s="66" t="str">
        <f aca="false">IF(ISBLANK($C104),"",IF($AG104=Constants!$B$7,RANK(AU104,AU$8:AU$507),$AG104))</f>
        <v/>
      </c>
      <c r="AW104" s="66" t="str">
        <f aca="false">IF(ISBLANK($C104), "",AR104)</f>
        <v/>
      </c>
      <c r="AX104" s="66" t="str">
        <f aca="false">IF(ISBLANK($C104),"",IF($AG104=Constants!$B$7,RANK(AW104,AW$8:AW$507),$AG104))</f>
        <v/>
      </c>
      <c r="AY104" s="66" t="str">
        <f aca="false">IF(ISBLANK($C104), "",AE104)</f>
        <v/>
      </c>
      <c r="AZ104" s="66" t="str">
        <f aca="false">IF(ISBLANK($C104),"",
IF($AG104=Constants!$B$7,
  IF(ISNUMBER(AT104),
    COUNTIFS($AT$8:$AT$507,"&lt;"&amp;$AT104)
    + COUNTIFS($AT$8:$AT$507,$AT104,$AV$8:$AV$507,"&lt;"&amp;$AV104)
    + COUNTIFS($AT$8:$AT$507,$AT104,$AV$8:$AV$507,$AV104,$AX$8:$AX$507,"&lt;"&amp;$AX104)
    + COUNTIFS($AT$8:$AT$507,$AT104,$AV$8:$AV$507,$AV104,$AX$8:$AX$507,$AX104,$AY$8:$AY$507,"&lt;"&amp;$AY104)
    + 1,
  Constants!$B$14),
$AG104))</f>
        <v/>
      </c>
      <c r="BA104" s="66" t="str">
        <f aca="false">IF(ISBLANK(C104),"",IF($AG104=Constants!$B$7, IF(ISNUMBER(AT104),AT104-AZ104,Constants!$B$14),$AG104))</f>
        <v/>
      </c>
      <c r="BB104" s="70"/>
      <c r="BC104" s="84" t="str">
        <f aca="false">IF(ISBLANK($C104),"",TRIM(AK104&amp;" "&amp;AO104))</f>
        <v/>
      </c>
      <c r="BD104" s="72" t="str">
        <f aca="false">IF(ISBLANK($C104),"",IF($AG104&lt;&gt;Constants!$B$7,$AG104,AR104))</f>
        <v/>
      </c>
      <c r="BE104" s="72" t="str">
        <f aca="false">IF(ISBLANK($C104),"",IF($AG104&lt;&gt;Constants!$B$7,$AG104,AM104))</f>
        <v/>
      </c>
      <c r="BF104" s="72" t="str">
        <f aca="false">IF(ISBLANK($C104),"",IF($AG104&lt;&gt;Constants!$B$7,$AG104,AQ104))</f>
        <v/>
      </c>
      <c r="BG104" s="73" t="str">
        <f aca="false">IF(ISBLANK($C104),"",IF($AG104&lt;&gt;Constants!$B$7, $AG104 ,AS104))</f>
        <v/>
      </c>
      <c r="BH104" s="74" t="str">
        <f aca="false">IF(ISBLANK($C104),"",IF($AG104&lt;&gt;Constants!$B$7, $AG104 ,AH104))</f>
        <v/>
      </c>
      <c r="BI104" s="72" t="str">
        <f aca="false">IF(ISBLANK(C104),"",BA104)</f>
        <v/>
      </c>
      <c r="BJ104" s="72" t="str">
        <f aca="false">IF(ISBLANK(C104),"",AZ104)</f>
        <v/>
      </c>
      <c r="BK104" s="75" t="str">
        <f aca="false">IF(ISBLANK(C104),"",IFERROR(_xlfn.SWITCH(BJ104, Constants!$B$4, COUNTA($C$8:$C603)+2, Constants!$B$5, COUNTA($C$8:$C603)+1, Constants!$B$6, COUNTA($C$8:$C603)),BJ104))</f>
        <v/>
      </c>
      <c r="BL104" s="5"/>
      <c r="BM104" s="76" t="n">
        <f aca="false">IF(OR(ISNUMBER(BJ104),BJ104="DQ",BJ104="P",BJ104="NS"),
    1,
    0
)</f>
        <v>0</v>
      </c>
      <c r="BN104" s="76" t="n">
        <v>97</v>
      </c>
      <c r="BO104" s="76" t="str">
        <f aca="false">IF(ISBLANK($C104),"",IF(ISNUMBER(BK104),BK104+ROW($B104)/1000,""))</f>
        <v/>
      </c>
      <c r="BP104" s="76" t="str">
        <f aca="false">IF(ISNUMBER(BO104), RANK(BO104,BO$8:BO$507,1), "")</f>
        <v/>
      </c>
      <c r="BQ104" s="76" t="str">
        <f aca="false">IF(ISBLANK($C104),
    "",
    $B104
)</f>
        <v/>
      </c>
      <c r="BR104" s="76" t="str">
        <f aca="false">IF(ISBLANK($C104),
    "",
    $C104
)</f>
        <v/>
      </c>
      <c r="BS104" s="76" t="str">
        <f aca="false">IF(ISBLANK($C104),
    "",
    $D104
)</f>
        <v/>
      </c>
      <c r="BT104" s="77" t="str">
        <f aca="false">BH104</f>
        <v/>
      </c>
      <c r="BU104" s="78" t="str">
        <f aca="false">BG104</f>
        <v/>
      </c>
      <c r="BV104" s="76" t="str">
        <f aca="false">IF(ISBLANK($C104),
    "",
    BJ104
)</f>
        <v/>
      </c>
      <c r="BW104" s="79" t="str">
        <f aca="false">IF(BN104&gt;BM$7,
    "",
    VLOOKUP(BN104,BP$8:BV603,7,FALSE())
)</f>
        <v/>
      </c>
      <c r="BX104" s="80" t="str">
        <f aca="false">IF(BN104&gt;BM$7,
    "",
    VLOOKUP(BN104,BP$8:BV603,2,FALSE())
)</f>
        <v/>
      </c>
      <c r="BY104" s="80" t="str">
        <f aca="false">IF(BN104&gt;BM$7,
    "",
    VLOOKUP(BN104,BP$8:BV603,3,FALSE())
)</f>
        <v/>
      </c>
      <c r="BZ104" s="80" t="str">
        <f aca="false">IF(BN104&gt;BM$7,
    "",
    VLOOKUP(BN104,BP$8:BV603,4,FALSE())
)</f>
        <v/>
      </c>
      <c r="CA104" s="80" t="str">
        <f aca="false">IF(BN104&gt;BM$7,
    "",
    VLOOKUP(BN104,BP$8:BV603,5,FALSE())
)</f>
        <v/>
      </c>
      <c r="CB104" s="81" t="str">
        <f aca="false">IF(BN104&gt;BM$7,
    "",
    VLOOKUP(BN104,BP$8:BV603,6,FALSE())
)</f>
        <v/>
      </c>
      <c r="CC104" s="53"/>
    </row>
    <row r="105" customFormat="false" ht="15.75" hidden="false" customHeight="false" outlineLevel="0" collapsed="false">
      <c r="A105" s="5"/>
      <c r="B105" s="129"/>
      <c r="C105" s="55"/>
      <c r="D105" s="56"/>
      <c r="E105" s="123"/>
      <c r="F105" s="123"/>
      <c r="G105" s="58"/>
      <c r="H105" s="59"/>
      <c r="I105" s="59"/>
      <c r="J105" s="83"/>
      <c r="K105" s="83"/>
      <c r="L105" s="83"/>
      <c r="M105" s="61"/>
      <c r="N105" s="61"/>
      <c r="O105" s="61"/>
      <c r="P105" s="62"/>
      <c r="Q105" s="63"/>
      <c r="R105" s="83"/>
      <c r="S105" s="65"/>
      <c r="T105" s="66"/>
      <c r="U105" s="66" t="str">
        <f aca="false">IF(ISBLANK($C105),"",IF(G105=Constants!$B$2, TRUE(), IF(G105=Constants!$B$3, FALSE(), TRUE())))</f>
        <v/>
      </c>
      <c r="V105" s="66" t="str">
        <f aca="false">IF(ISBLANK($C105),"",IF(H105=Constants!$B$2, TRUE(), IF(H105=Constants!$B$3, FALSE(), TRUE())))</f>
        <v/>
      </c>
      <c r="W105" s="66" t="str">
        <f aca="false">IF(ISBLANK($C105),"",IF(I105=Constants!$B$2, TRUE(), IF(I105=Constants!$B$3, FALSE(), TRUE())))</f>
        <v/>
      </c>
      <c r="X105" s="66" t="str">
        <f aca="false">IF(ISBLANK($C105),"",IF(AND(ISNUMBER(J105),J105&gt;0),INT(J105),0))</f>
        <v/>
      </c>
      <c r="Y105" s="66" t="str">
        <f aca="false">IF(ISBLANK($C105),"",IF(K105=Constants!$B$2, TRUE(), IF(K105=Constants!$B$3, FALSE(), TRUE())))</f>
        <v/>
      </c>
      <c r="Z105" s="66" t="str">
        <f aca="false">IF(ISBLANK($C105),"",IF(AND(ISNUMBER(L105),L105&gt;0),INT(L105),0))</f>
        <v/>
      </c>
      <c r="AA105" s="68" t="str">
        <f aca="false">IF(ISBLANK($C105),"",IF(ISNUMBER(M105), M105, ""))</f>
        <v/>
      </c>
      <c r="AB105" s="68" t="str">
        <f aca="false">IF(ISBLANK($C105),"",IF(ISNUMBER(N105), N105, ""))</f>
        <v/>
      </c>
      <c r="AC105" s="68" t="str">
        <f aca="false">IF(ISBLANK($C105),"",IF(ISNUMBER(O105), O105, ""))</f>
        <v/>
      </c>
      <c r="AD105" s="69" t="str">
        <f aca="false">IF(ISBLANK($C105),"",IF(ISNUMBER(P105), P105, ""))</f>
        <v/>
      </c>
      <c r="AE105" s="69" t="str">
        <f aca="false">IF(ISBLANK($C105),"",IF(ISNUMBER(Q105), Q105, Constants!$B$13))</f>
        <v/>
      </c>
      <c r="AF105" s="66" t="str">
        <f aca="false">IF(ISBLANK($C105),"",IF(R105=Constants!$B$2, TRUE(), IF(R105=Constants!$B$3, FALSE(), FALSE())))</f>
        <v/>
      </c>
      <c r="AG105" s="66" t="str">
        <f aca="false">IF(ISBLANK(C105), "", IF(AF105, Constants!$B$4,IF(COUNTA(G105:P105)=0, Constants!$B$5, Constants!$B$7)))</f>
        <v/>
      </c>
      <c r="AH105" s="66" t="str">
        <f aca="false">IF(ISBLANK($C105), "",IF($AG105=Constants!$B$7,1,$AG105))</f>
        <v/>
      </c>
      <c r="AI105" s="66" t="str">
        <f aca="false">IF($AG105=Constants!$B$7,POWER(Constants!$B$11,X105)*POWER(Constants!$B$12,Z105),"")</f>
        <v/>
      </c>
      <c r="AJ105" s="66" t="str">
        <f aca="false">IF(AND($AG105=Constants!$B$7, U105, V105) ,IF(OR($AA105="",$AC105=""),"",MAX(0, $AC105-$AA105)),"")</f>
        <v/>
      </c>
      <c r="AK105" s="66" t="str">
        <f aca="false">IF(AND($AG105=Constants!$B$7, U105, V105),IF(OR($AA105="",$AC105=""),$AK$6,""),"")</f>
        <v/>
      </c>
      <c r="AL105" s="66" t="str">
        <f aca="false">IF($AG105=Constants!$B$7,IF(AND(U105,V105,W105,Y105),IF($AJ105="",0,IF($AJ$6=0,Constants!$B$9,Constants!$B$9*AJ105/$AJ$6)), 0),"")</f>
        <v/>
      </c>
      <c r="AM105" s="66" t="str">
        <f aca="false">IF(AL105&lt;&gt;"", AL105*AI105,"")</f>
        <v/>
      </c>
      <c r="AN105" s="66" t="str">
        <f aca="false">IF(AND($AG105=Constants!$B$7, U105, V105) ,IF($AB105="", "", IF(OR($AC105="",$AC105=0),"",MAX(0,1-ABS($AC105-$AB105)/$AC105))),"")</f>
        <v/>
      </c>
      <c r="AO105" s="66" t="str">
        <f aca="false">IF(AND($AG105=Constants!$B$7, U105, V105),IF(AND($AA105&lt;&gt;"",$AB105&lt;&gt;"",$AC105=0),$AO$6,""),"")</f>
        <v/>
      </c>
      <c r="AP105" s="66" t="str">
        <f aca="false">IF($AG105=Constants!$B$7 ,IF(AND(U105,V105,W105,Y105,ISNUMBER(AB105)),IF($AN105="",0,IF($AN$6=0,Constants!$B$10,Constants!$B$10*AN105/$AN$6)), 0),"")</f>
        <v/>
      </c>
      <c r="AQ105" s="66" t="str">
        <f aca="false">IF(AP105&lt;&gt;"", AP105*AI105,"")</f>
        <v/>
      </c>
      <c r="AR105" s="66" t="str">
        <f aca="false">IF($AG105=Constants!$B$7,IF($AD105="",0,IF($AR$6=0,Constants!$B$8,Constants!$B$8*AD105/$AR$6)),"")</f>
        <v/>
      </c>
      <c r="AS105" s="66" t="str">
        <f aca="false">IF($AG105&lt;&gt;Constants!$B$7,$AG105,IF(AK105&amp;AO105&lt;&gt;"",Constants!$B$14,AM105+AQ105+AR105))</f>
        <v/>
      </c>
      <c r="AT105" s="66" t="str">
        <f aca="false">IF(ISBLANK($C105),"",IF($AG105=Constants!$B$7,IF(ISNUMBER(AS105),RANK(AS105,$AS$8:$AS$507),Constants!$B$14),$AG105))</f>
        <v/>
      </c>
      <c r="AU105" s="66" t="str">
        <f aca="false">IF(ISBLANK($C105), "",AM105)</f>
        <v/>
      </c>
      <c r="AV105" s="66" t="str">
        <f aca="false">IF(ISBLANK($C105),"",IF($AG105=Constants!$B$7,RANK(AU105,AU$8:AU$507),$AG105))</f>
        <v/>
      </c>
      <c r="AW105" s="66" t="str">
        <f aca="false">IF(ISBLANK($C105), "",AR105)</f>
        <v/>
      </c>
      <c r="AX105" s="66" t="str">
        <f aca="false">IF(ISBLANK($C105),"",IF($AG105=Constants!$B$7,RANK(AW105,AW$8:AW$507),$AG105))</f>
        <v/>
      </c>
      <c r="AY105" s="66" t="str">
        <f aca="false">IF(ISBLANK($C105), "",AE105)</f>
        <v/>
      </c>
      <c r="AZ105" s="66" t="str">
        <f aca="false">IF(ISBLANK($C105),"",
IF($AG105=Constants!$B$7,
  IF(ISNUMBER(AT105),
    COUNTIFS($AT$8:$AT$507,"&lt;"&amp;$AT105)
    + COUNTIFS($AT$8:$AT$507,$AT105,$AV$8:$AV$507,"&lt;"&amp;$AV105)
    + COUNTIFS($AT$8:$AT$507,$AT105,$AV$8:$AV$507,$AV105,$AX$8:$AX$507,"&lt;"&amp;$AX105)
    + COUNTIFS($AT$8:$AT$507,$AT105,$AV$8:$AV$507,$AV105,$AX$8:$AX$507,$AX105,$AY$8:$AY$507,"&lt;"&amp;$AY105)
    + 1,
  Constants!$B$14),
$AG105))</f>
        <v/>
      </c>
      <c r="BA105" s="66" t="str">
        <f aca="false">IF(ISBLANK(C105),"",IF($AG105=Constants!$B$7, IF(ISNUMBER(AT105),AT105-AZ105,Constants!$B$14),$AG105))</f>
        <v/>
      </c>
      <c r="BB105" s="70"/>
      <c r="BC105" s="84" t="str">
        <f aca="false">IF(ISBLANK($C105),"",TRIM(AK105&amp;" "&amp;AO105))</f>
        <v/>
      </c>
      <c r="BD105" s="72" t="str">
        <f aca="false">IF(ISBLANK($C105),"",IF($AG105&lt;&gt;Constants!$B$7,$AG105,AR105))</f>
        <v/>
      </c>
      <c r="BE105" s="72" t="str">
        <f aca="false">IF(ISBLANK($C105),"",IF($AG105&lt;&gt;Constants!$B$7,$AG105,AM105))</f>
        <v/>
      </c>
      <c r="BF105" s="72" t="str">
        <f aca="false">IF(ISBLANK($C105),"",IF($AG105&lt;&gt;Constants!$B$7,$AG105,AQ105))</f>
        <v/>
      </c>
      <c r="BG105" s="73" t="str">
        <f aca="false">IF(ISBLANK($C105),"",IF($AG105&lt;&gt;Constants!$B$7, $AG105 ,AS105))</f>
        <v/>
      </c>
      <c r="BH105" s="74" t="str">
        <f aca="false">IF(ISBLANK($C105),"",IF($AG105&lt;&gt;Constants!$B$7, $AG105 ,AH105))</f>
        <v/>
      </c>
      <c r="BI105" s="72" t="str">
        <f aca="false">IF(ISBLANK(C105),"",BA105)</f>
        <v/>
      </c>
      <c r="BJ105" s="72" t="str">
        <f aca="false">IF(ISBLANK(C105),"",AZ105)</f>
        <v/>
      </c>
      <c r="BK105" s="75" t="str">
        <f aca="false">IF(ISBLANK(C105),"",IFERROR(_xlfn.SWITCH(BJ105, Constants!$B$4, COUNTA($C$8:$C604)+2, Constants!$B$5, COUNTA($C$8:$C604)+1, Constants!$B$6, COUNTA($C$8:$C604)),BJ105))</f>
        <v/>
      </c>
      <c r="BL105" s="5"/>
      <c r="BM105" s="76" t="n">
        <f aca="false">IF(OR(ISNUMBER(BJ105),BJ105="DQ",BJ105="P",BJ105="NS"),
    1,
    0
)</f>
        <v>0</v>
      </c>
      <c r="BN105" s="76" t="n">
        <v>98</v>
      </c>
      <c r="BO105" s="76" t="str">
        <f aca="false">IF(ISBLANK($C105),"",IF(ISNUMBER(BK105),BK105+ROW($B105)/1000,""))</f>
        <v/>
      </c>
      <c r="BP105" s="76" t="str">
        <f aca="false">IF(ISNUMBER(BO105), RANK(BO105,BO$8:BO$507,1), "")</f>
        <v/>
      </c>
      <c r="BQ105" s="76" t="str">
        <f aca="false">IF(ISBLANK($C105),
    "",
    $B105
)</f>
        <v/>
      </c>
      <c r="BR105" s="76" t="str">
        <f aca="false">IF(ISBLANK($C105),
    "",
    $C105
)</f>
        <v/>
      </c>
      <c r="BS105" s="76" t="str">
        <f aca="false">IF(ISBLANK($C105),
    "",
    $D105
)</f>
        <v/>
      </c>
      <c r="BT105" s="77" t="str">
        <f aca="false">BH105</f>
        <v/>
      </c>
      <c r="BU105" s="78" t="str">
        <f aca="false">BG105</f>
        <v/>
      </c>
      <c r="BV105" s="76" t="str">
        <f aca="false">IF(ISBLANK($C105),
    "",
    BJ105
)</f>
        <v/>
      </c>
      <c r="BW105" s="79" t="str">
        <f aca="false">IF(BN105&gt;BM$7,
    "",
    VLOOKUP(BN105,BP$8:BV604,7,FALSE())
)</f>
        <v/>
      </c>
      <c r="BX105" s="80" t="str">
        <f aca="false">IF(BN105&gt;BM$7,
    "",
    VLOOKUP(BN105,BP$8:BV604,2,FALSE())
)</f>
        <v/>
      </c>
      <c r="BY105" s="80" t="str">
        <f aca="false">IF(BN105&gt;BM$7,
    "",
    VLOOKUP(BN105,BP$8:BV604,3,FALSE())
)</f>
        <v/>
      </c>
      <c r="BZ105" s="80" t="str">
        <f aca="false">IF(BN105&gt;BM$7,
    "",
    VLOOKUP(BN105,BP$8:BV604,4,FALSE())
)</f>
        <v/>
      </c>
      <c r="CA105" s="80" t="str">
        <f aca="false">IF(BN105&gt;BM$7,
    "",
    VLOOKUP(BN105,BP$8:BV604,5,FALSE())
)</f>
        <v/>
      </c>
      <c r="CB105" s="81" t="str">
        <f aca="false">IF(BN105&gt;BM$7,
    "",
    VLOOKUP(BN105,BP$8:BV604,6,FALSE())
)</f>
        <v/>
      </c>
      <c r="CC105" s="53"/>
    </row>
    <row r="106" customFormat="false" ht="15.75" hidden="false" customHeight="false" outlineLevel="0" collapsed="false">
      <c r="A106" s="5"/>
      <c r="B106" s="129"/>
      <c r="C106" s="55"/>
      <c r="D106" s="56"/>
      <c r="E106" s="123"/>
      <c r="F106" s="123"/>
      <c r="G106" s="58"/>
      <c r="H106" s="59"/>
      <c r="I106" s="59"/>
      <c r="J106" s="83"/>
      <c r="K106" s="83"/>
      <c r="L106" s="83"/>
      <c r="M106" s="61"/>
      <c r="N106" s="61"/>
      <c r="O106" s="61"/>
      <c r="P106" s="62"/>
      <c r="Q106" s="63"/>
      <c r="R106" s="83"/>
      <c r="S106" s="65"/>
      <c r="T106" s="66"/>
      <c r="U106" s="66" t="str">
        <f aca="false">IF(ISBLANK($C106),"",IF(G106=Constants!$B$2, TRUE(), IF(G106=Constants!$B$3, FALSE(), TRUE())))</f>
        <v/>
      </c>
      <c r="V106" s="66" t="str">
        <f aca="false">IF(ISBLANK($C106),"",IF(H106=Constants!$B$2, TRUE(), IF(H106=Constants!$B$3, FALSE(), TRUE())))</f>
        <v/>
      </c>
      <c r="W106" s="66" t="str">
        <f aca="false">IF(ISBLANK($C106),"",IF(I106=Constants!$B$2, TRUE(), IF(I106=Constants!$B$3, FALSE(), TRUE())))</f>
        <v/>
      </c>
      <c r="X106" s="66" t="str">
        <f aca="false">IF(ISBLANK($C106),"",IF(AND(ISNUMBER(J106),J106&gt;0),INT(J106),0))</f>
        <v/>
      </c>
      <c r="Y106" s="66" t="str">
        <f aca="false">IF(ISBLANK($C106),"",IF(K106=Constants!$B$2, TRUE(), IF(K106=Constants!$B$3, FALSE(), TRUE())))</f>
        <v/>
      </c>
      <c r="Z106" s="66" t="str">
        <f aca="false">IF(ISBLANK($C106),"",IF(AND(ISNUMBER(L106),L106&gt;0),INT(L106),0))</f>
        <v/>
      </c>
      <c r="AA106" s="68" t="str">
        <f aca="false">IF(ISBLANK($C106),"",IF(ISNUMBER(M106), M106, ""))</f>
        <v/>
      </c>
      <c r="AB106" s="68" t="str">
        <f aca="false">IF(ISBLANK($C106),"",IF(ISNUMBER(N106), N106, ""))</f>
        <v/>
      </c>
      <c r="AC106" s="68" t="str">
        <f aca="false">IF(ISBLANK($C106),"",IF(ISNUMBER(O106), O106, ""))</f>
        <v/>
      </c>
      <c r="AD106" s="69" t="str">
        <f aca="false">IF(ISBLANK($C106),"",IF(ISNUMBER(P106), P106, ""))</f>
        <v/>
      </c>
      <c r="AE106" s="69" t="str">
        <f aca="false">IF(ISBLANK($C106),"",IF(ISNUMBER(Q106), Q106, Constants!$B$13))</f>
        <v/>
      </c>
      <c r="AF106" s="66" t="str">
        <f aca="false">IF(ISBLANK($C106),"",IF(R106=Constants!$B$2, TRUE(), IF(R106=Constants!$B$3, FALSE(), FALSE())))</f>
        <v/>
      </c>
      <c r="AG106" s="66" t="str">
        <f aca="false">IF(ISBLANK(C106), "", IF(AF106, Constants!$B$4,IF(COUNTA(G106:P106)=0, Constants!$B$5, Constants!$B$7)))</f>
        <v/>
      </c>
      <c r="AH106" s="66" t="str">
        <f aca="false">IF(ISBLANK($C106), "",IF($AG106=Constants!$B$7,1,$AG106))</f>
        <v/>
      </c>
      <c r="AI106" s="66" t="str">
        <f aca="false">IF($AG106=Constants!$B$7,POWER(Constants!$B$11,X106)*POWER(Constants!$B$12,Z106),"")</f>
        <v/>
      </c>
      <c r="AJ106" s="66" t="str">
        <f aca="false">IF(AND($AG106=Constants!$B$7, U106, V106) ,IF(OR($AA106="",$AC106=""),"",MAX(0, $AC106-$AA106)),"")</f>
        <v/>
      </c>
      <c r="AK106" s="66" t="str">
        <f aca="false">IF(AND($AG106=Constants!$B$7, U106, V106),IF(OR($AA106="",$AC106=""),$AK$6,""),"")</f>
        <v/>
      </c>
      <c r="AL106" s="66" t="str">
        <f aca="false">IF($AG106=Constants!$B$7,IF(AND(U106,V106,W106,Y106),IF($AJ106="",0,IF($AJ$6=0,Constants!$B$9,Constants!$B$9*AJ106/$AJ$6)), 0),"")</f>
        <v/>
      </c>
      <c r="AM106" s="66" t="str">
        <f aca="false">IF(AL106&lt;&gt;"", AL106*AI106,"")</f>
        <v/>
      </c>
      <c r="AN106" s="66" t="str">
        <f aca="false">IF(AND($AG106=Constants!$B$7, U106, V106) ,IF($AB106="", "", IF(OR($AC106="",$AC106=0),"",MAX(0,1-ABS($AC106-$AB106)/$AC106))),"")</f>
        <v/>
      </c>
      <c r="AO106" s="66" t="str">
        <f aca="false">IF(AND($AG106=Constants!$B$7, U106, V106),IF(AND($AA106&lt;&gt;"",$AB106&lt;&gt;"",$AC106=0),$AO$6,""),"")</f>
        <v/>
      </c>
      <c r="AP106" s="66" t="str">
        <f aca="false">IF($AG106=Constants!$B$7 ,IF(AND(U106,V106,W106,Y106,ISNUMBER(AB106)),IF($AN106="",0,IF($AN$6=0,Constants!$B$10,Constants!$B$10*AN106/$AN$6)), 0),"")</f>
        <v/>
      </c>
      <c r="AQ106" s="66" t="str">
        <f aca="false">IF(AP106&lt;&gt;"", AP106*AI106,"")</f>
        <v/>
      </c>
      <c r="AR106" s="66" t="str">
        <f aca="false">IF($AG106=Constants!$B$7,IF($AD106="",0,IF($AR$6=0,Constants!$B$8,Constants!$B$8*AD106/$AR$6)),"")</f>
        <v/>
      </c>
      <c r="AS106" s="66" t="str">
        <f aca="false">IF($AG106&lt;&gt;Constants!$B$7,$AG106,IF(AK106&amp;AO106&lt;&gt;"",Constants!$B$14,AM106+AQ106+AR106))</f>
        <v/>
      </c>
      <c r="AT106" s="66" t="str">
        <f aca="false">IF(ISBLANK($C106),"",IF($AG106=Constants!$B$7,IF(ISNUMBER(AS106),RANK(AS106,$AS$8:$AS$507),Constants!$B$14),$AG106))</f>
        <v/>
      </c>
      <c r="AU106" s="66" t="str">
        <f aca="false">IF(ISBLANK($C106), "",AM106)</f>
        <v/>
      </c>
      <c r="AV106" s="66" t="str">
        <f aca="false">IF(ISBLANK($C106),"",IF($AG106=Constants!$B$7,RANK(AU106,AU$8:AU$507),$AG106))</f>
        <v/>
      </c>
      <c r="AW106" s="66" t="str">
        <f aca="false">IF(ISBLANK($C106), "",AR106)</f>
        <v/>
      </c>
      <c r="AX106" s="66" t="str">
        <f aca="false">IF(ISBLANK($C106),"",IF($AG106=Constants!$B$7,RANK(AW106,AW$8:AW$507),$AG106))</f>
        <v/>
      </c>
      <c r="AY106" s="66" t="str">
        <f aca="false">IF(ISBLANK($C106), "",AE106)</f>
        <v/>
      </c>
      <c r="AZ106" s="66" t="str">
        <f aca="false">IF(ISBLANK($C106),"",
IF($AG106=Constants!$B$7,
  IF(ISNUMBER(AT106),
    COUNTIFS($AT$8:$AT$507,"&lt;"&amp;$AT106)
    + COUNTIFS($AT$8:$AT$507,$AT106,$AV$8:$AV$507,"&lt;"&amp;$AV106)
    + COUNTIFS($AT$8:$AT$507,$AT106,$AV$8:$AV$507,$AV106,$AX$8:$AX$507,"&lt;"&amp;$AX106)
    + COUNTIFS($AT$8:$AT$507,$AT106,$AV$8:$AV$507,$AV106,$AX$8:$AX$507,$AX106,$AY$8:$AY$507,"&lt;"&amp;$AY106)
    + 1,
  Constants!$B$14),
$AG106))</f>
        <v/>
      </c>
      <c r="BA106" s="66" t="str">
        <f aca="false">IF(ISBLANK(C106),"",IF($AG106=Constants!$B$7, IF(ISNUMBER(AT106),AT106-AZ106,Constants!$B$14),$AG106))</f>
        <v/>
      </c>
      <c r="BB106" s="70"/>
      <c r="BC106" s="84" t="str">
        <f aca="false">IF(ISBLANK($C106),"",TRIM(AK106&amp;" "&amp;AO106))</f>
        <v/>
      </c>
      <c r="BD106" s="72" t="str">
        <f aca="false">IF(ISBLANK($C106),"",IF($AG106&lt;&gt;Constants!$B$7,$AG106,AR106))</f>
        <v/>
      </c>
      <c r="BE106" s="72" t="str">
        <f aca="false">IF(ISBLANK($C106),"",IF($AG106&lt;&gt;Constants!$B$7,$AG106,AM106))</f>
        <v/>
      </c>
      <c r="BF106" s="72" t="str">
        <f aca="false">IF(ISBLANK($C106),"",IF($AG106&lt;&gt;Constants!$B$7,$AG106,AQ106))</f>
        <v/>
      </c>
      <c r="BG106" s="73" t="str">
        <f aca="false">IF(ISBLANK($C106),"",IF($AG106&lt;&gt;Constants!$B$7, $AG106 ,AS106))</f>
        <v/>
      </c>
      <c r="BH106" s="74" t="str">
        <f aca="false">IF(ISBLANK($C106),"",IF($AG106&lt;&gt;Constants!$B$7, $AG106 ,AH106))</f>
        <v/>
      </c>
      <c r="BI106" s="72" t="str">
        <f aca="false">IF(ISBLANK(C106),"",BA106)</f>
        <v/>
      </c>
      <c r="BJ106" s="72" t="str">
        <f aca="false">IF(ISBLANK(C106),"",AZ106)</f>
        <v/>
      </c>
      <c r="BK106" s="75" t="str">
        <f aca="false">IF(ISBLANK(C106),"",IFERROR(_xlfn.SWITCH(BJ106, Constants!$B$4, COUNTA($C$8:$C605)+2, Constants!$B$5, COUNTA($C$8:$C605)+1, Constants!$B$6, COUNTA($C$8:$C605)),BJ106))</f>
        <v/>
      </c>
      <c r="BL106" s="5"/>
      <c r="BM106" s="76" t="n">
        <f aca="false">IF(OR(ISNUMBER(BJ106),BJ106="DQ",BJ106="P",BJ106="NS"),
    1,
    0
)</f>
        <v>0</v>
      </c>
      <c r="BN106" s="76" t="n">
        <v>99</v>
      </c>
      <c r="BO106" s="76" t="str">
        <f aca="false">IF(ISBLANK($C106),"",IF(ISNUMBER(BK106),BK106+ROW($B106)/1000,""))</f>
        <v/>
      </c>
      <c r="BP106" s="76" t="str">
        <f aca="false">IF(ISNUMBER(BO106), RANK(BO106,BO$8:BO$507,1), "")</f>
        <v/>
      </c>
      <c r="BQ106" s="76" t="str">
        <f aca="false">IF(ISBLANK($C106),
    "",
    $B106
)</f>
        <v/>
      </c>
      <c r="BR106" s="76" t="str">
        <f aca="false">IF(ISBLANK($C106),
    "",
    $C106
)</f>
        <v/>
      </c>
      <c r="BS106" s="76" t="str">
        <f aca="false">IF(ISBLANK($C106),
    "",
    $D106
)</f>
        <v/>
      </c>
      <c r="BT106" s="77" t="str">
        <f aca="false">BH106</f>
        <v/>
      </c>
      <c r="BU106" s="78" t="str">
        <f aca="false">BG106</f>
        <v/>
      </c>
      <c r="BV106" s="76" t="str">
        <f aca="false">IF(ISBLANK($C106),
    "",
    BJ106
)</f>
        <v/>
      </c>
      <c r="BW106" s="79" t="str">
        <f aca="false">IF(BN106&gt;BM$7,
    "",
    VLOOKUP(BN106,BP$8:BV605,7,FALSE())
)</f>
        <v/>
      </c>
      <c r="BX106" s="80" t="str">
        <f aca="false">IF(BN106&gt;BM$7,
    "",
    VLOOKUP(BN106,BP$8:BV605,2,FALSE())
)</f>
        <v/>
      </c>
      <c r="BY106" s="80" t="str">
        <f aca="false">IF(BN106&gt;BM$7,
    "",
    VLOOKUP(BN106,BP$8:BV605,3,FALSE())
)</f>
        <v/>
      </c>
      <c r="BZ106" s="80" t="str">
        <f aca="false">IF(BN106&gt;BM$7,
    "",
    VLOOKUP(BN106,BP$8:BV605,4,FALSE())
)</f>
        <v/>
      </c>
      <c r="CA106" s="80" t="str">
        <f aca="false">IF(BN106&gt;BM$7,
    "",
    VLOOKUP(BN106,BP$8:BV605,5,FALSE())
)</f>
        <v/>
      </c>
      <c r="CB106" s="81" t="str">
        <f aca="false">IF(BN106&gt;BM$7,
    "",
    VLOOKUP(BN106,BP$8:BV605,6,FALSE())
)</f>
        <v/>
      </c>
      <c r="CC106" s="53"/>
    </row>
    <row r="107" customFormat="false" ht="15.75" hidden="false" customHeight="false" outlineLevel="0" collapsed="false">
      <c r="A107" s="5"/>
      <c r="B107" s="125"/>
      <c r="C107" s="126"/>
      <c r="D107" s="115"/>
      <c r="E107" s="119"/>
      <c r="F107" s="119"/>
      <c r="G107" s="91"/>
      <c r="H107" s="92"/>
      <c r="I107" s="92"/>
      <c r="J107" s="128"/>
      <c r="K107" s="128"/>
      <c r="L107" s="128"/>
      <c r="M107" s="94"/>
      <c r="N107" s="94"/>
      <c r="O107" s="94"/>
      <c r="P107" s="95"/>
      <c r="Q107" s="96"/>
      <c r="R107" s="128"/>
      <c r="S107" s="98"/>
      <c r="T107" s="99"/>
      <c r="U107" s="99" t="str">
        <f aca="false">IF(ISBLANK($C107),"",IF(G107=Constants!$B$2, TRUE(), IF(G107=Constants!$B$3, FALSE(), TRUE())))</f>
        <v/>
      </c>
      <c r="V107" s="99" t="str">
        <f aca="false">IF(ISBLANK($C107),"",IF(H107=Constants!$B$2, TRUE(), IF(H107=Constants!$B$3, FALSE(), TRUE())))</f>
        <v/>
      </c>
      <c r="W107" s="99" t="str">
        <f aca="false">IF(ISBLANK($C107),"",IF(I107=Constants!$B$2, TRUE(), IF(I107=Constants!$B$3, FALSE(), TRUE())))</f>
        <v/>
      </c>
      <c r="X107" s="99" t="str">
        <f aca="false">IF(ISBLANK($C107),"",IF(AND(ISNUMBER(J107),J107&gt;0),INT(J107),0))</f>
        <v/>
      </c>
      <c r="Y107" s="99" t="str">
        <f aca="false">IF(ISBLANK($C107),"",IF(K107=Constants!$B$2, TRUE(), IF(K107=Constants!$B$3, FALSE(), TRUE())))</f>
        <v/>
      </c>
      <c r="Z107" s="100" t="str">
        <f aca="false">IF(ISBLANK($C107),"",IF(AND(ISNUMBER(L107),L107&gt;0),INT(L107),0))</f>
        <v/>
      </c>
      <c r="AA107" s="101" t="str">
        <f aca="false">IF(ISBLANK($C107),"",IF(ISNUMBER(M107), M107, ""))</f>
        <v/>
      </c>
      <c r="AB107" s="101" t="str">
        <f aca="false">IF(ISBLANK($C107),"",IF(ISNUMBER(N107), N107, ""))</f>
        <v/>
      </c>
      <c r="AC107" s="101" t="str">
        <f aca="false">IF(ISBLANK($C107),"",IF(ISNUMBER(O107), O107, ""))</f>
        <v/>
      </c>
      <c r="AD107" s="102" t="str">
        <f aca="false">IF(ISBLANK($C107),"",IF(ISNUMBER(P107), P107, ""))</f>
        <v/>
      </c>
      <c r="AE107" s="102" t="str">
        <f aca="false">IF(ISBLANK($C107),"",IF(ISNUMBER(Q107), Q107, Constants!$B$13))</f>
        <v/>
      </c>
      <c r="AF107" s="99" t="str">
        <f aca="false">IF(ISBLANK($C107),"",IF(R107=Constants!$B$2, TRUE(), IF(R107=Constants!$B$3, FALSE(), FALSE())))</f>
        <v/>
      </c>
      <c r="AG107" s="99" t="str">
        <f aca="false">IF(ISBLANK(C107), "", IF(AF107, Constants!$B$4,IF(COUNTA(G107:P107)=0, Constants!$B$5, Constants!$B$7)))</f>
        <v/>
      </c>
      <c r="AH107" s="99" t="str">
        <f aca="false">IF(ISBLANK($C107), "",IF($AG107=Constants!$B$7,1,$AG107))</f>
        <v/>
      </c>
      <c r="AI107" s="99" t="str">
        <f aca="false">IF($AG107=Constants!$B$7,POWER(Constants!$B$11,X107)*POWER(Constants!$B$12,Z107),"")</f>
        <v/>
      </c>
      <c r="AJ107" s="99" t="str">
        <f aca="false">IF(AND($AG107=Constants!$B$7, U107, V107) ,IF(OR($AA107="",$AC107=""),"",MAX(0, $AC107-$AA107)),"")</f>
        <v/>
      </c>
      <c r="AK107" s="99" t="str">
        <f aca="false">IF(AND($AG107=Constants!$B$7, U107, V107),IF(OR($AA107="",$AC107=""),$AK$6,""),"")</f>
        <v/>
      </c>
      <c r="AL107" s="99" t="str">
        <f aca="false">IF($AG107=Constants!$B$7,IF(AND(U107,V107,W107,Y107),IF($AJ107="",0,IF($AJ$6=0,Constants!$B$9,Constants!$B$9*AJ107/$AJ$6)), 0),"")</f>
        <v/>
      </c>
      <c r="AM107" s="99" t="str">
        <f aca="false">IF(AL107&lt;&gt;"", AL107*AI107,"")</f>
        <v/>
      </c>
      <c r="AN107" s="99" t="str">
        <f aca="false">IF(AND($AG107=Constants!$B$7, U107, V107) ,IF($AB107="", "", IF(OR($AC107="",$AC107=0),"",MAX(0,1-ABS($AC107-$AB107)/$AC107))),"")</f>
        <v/>
      </c>
      <c r="AO107" s="99" t="str">
        <f aca="false">IF(AND($AG107=Constants!$B$7, U107, V107),IF(AND($AA107&lt;&gt;"",$AB107&lt;&gt;"",$AC107=0),$AO$6,""),"")</f>
        <v/>
      </c>
      <c r="AP107" s="99" t="str">
        <f aca="false">IF($AG107=Constants!$B$7 ,IF(AND(U107,V107,W107,Y107,ISNUMBER(AB107)),IF($AN107="",0,IF($AN$6=0,Constants!$B$10,Constants!$B$10*AN107/$AN$6)), 0),"")</f>
        <v/>
      </c>
      <c r="AQ107" s="99" t="str">
        <f aca="false">IF(AP107&lt;&gt;"", AP107*AI107,"")</f>
        <v/>
      </c>
      <c r="AR107" s="99" t="str">
        <f aca="false">IF($AG107=Constants!$B$7,IF($AD107="",0,IF($AR$6=0,Constants!$B$8,Constants!$B$8*AD107/$AR$6)),"")</f>
        <v/>
      </c>
      <c r="AS107" s="99" t="str">
        <f aca="false">IF($AG107&lt;&gt;Constants!$B$7,$AG107,IF(AK107&amp;AO107&lt;&gt;"",Constants!$B$14,AM107+AQ107+AR107))</f>
        <v/>
      </c>
      <c r="AT107" s="99" t="str">
        <f aca="false">IF(ISBLANK($C107),"",IF($AG107=Constants!$B$7,IF(ISNUMBER(AS107),RANK(AS107,$AS$8:$AS$507),Constants!$B$14),$AG107))</f>
        <v/>
      </c>
      <c r="AU107" s="99" t="str">
        <f aca="false">IF(ISBLANK($C107), "",AM107)</f>
        <v/>
      </c>
      <c r="AV107" s="99" t="str">
        <f aca="false">IF(ISBLANK($C107),"",IF($AG107=Constants!$B$7,RANK(AU107,AU$8:AU$507),$AG107))</f>
        <v/>
      </c>
      <c r="AW107" s="99" t="str">
        <f aca="false">IF(ISBLANK($C107), "",AR107)</f>
        <v/>
      </c>
      <c r="AX107" s="99" t="str">
        <f aca="false">IF(ISBLANK($C107),"",IF($AG107=Constants!$B$7,RANK(AW107,AW$8:AW$507),$AG107))</f>
        <v/>
      </c>
      <c r="AY107" s="99" t="str">
        <f aca="false">IF(ISBLANK($C107), "",AE107)</f>
        <v/>
      </c>
      <c r="AZ107" s="99" t="str">
        <f aca="false">IF(ISBLANK($C107),"",
IF($AG107=Constants!$B$7,
  IF(ISNUMBER(AT107),
    COUNTIFS($AT$8:$AT$507,"&lt;"&amp;$AT107)
    + COUNTIFS($AT$8:$AT$507,$AT107,$AV$8:$AV$507,"&lt;"&amp;$AV107)
    + COUNTIFS($AT$8:$AT$507,$AT107,$AV$8:$AV$507,$AV107,$AX$8:$AX$507,"&lt;"&amp;$AX107)
    + COUNTIFS($AT$8:$AT$507,$AT107,$AV$8:$AV$507,$AV107,$AX$8:$AX$507,$AX107,$AY$8:$AY$507,"&lt;"&amp;$AY107)
    + 1,
  Constants!$B$14),
$AG107))</f>
        <v/>
      </c>
      <c r="BA107" s="99" t="str">
        <f aca="false">IF(ISBLANK(C107),"",IF($AG107=Constants!$B$7, IF(ISNUMBER(AT107),AT107-AZ107,Constants!$B$14),$AG107))</f>
        <v/>
      </c>
      <c r="BB107" s="103"/>
      <c r="BC107" s="104" t="str">
        <f aca="false">IF(ISBLANK($C107),"",TRIM(AK107&amp;" "&amp;AO107))</f>
        <v/>
      </c>
      <c r="BD107" s="105" t="str">
        <f aca="false">IF(ISBLANK($C107),"",IF($AG107&lt;&gt;Constants!$B$7,$AG107,AR107))</f>
        <v/>
      </c>
      <c r="BE107" s="105" t="str">
        <f aca="false">IF(ISBLANK($C107),"",IF($AG107&lt;&gt;Constants!$B$7,$AG107,AM107))</f>
        <v/>
      </c>
      <c r="BF107" s="105" t="str">
        <f aca="false">IF(ISBLANK($C107),"",IF($AG107&lt;&gt;Constants!$B$7,$AG107,AQ107))</f>
        <v/>
      </c>
      <c r="BG107" s="106" t="str">
        <f aca="false">IF(ISBLANK($C107),"",IF($AG107&lt;&gt;Constants!$B$7, $AG107 ,AS107))</f>
        <v/>
      </c>
      <c r="BH107" s="107" t="str">
        <f aca="false">IF(ISBLANK($C107),"",IF($AG107&lt;&gt;Constants!$B$7, $AG107 ,AH107))</f>
        <v/>
      </c>
      <c r="BI107" s="105" t="str">
        <f aca="false">IF(ISBLANK(C107),"",BA107)</f>
        <v/>
      </c>
      <c r="BJ107" s="105" t="str">
        <f aca="false">IF(ISBLANK(C107),"",AZ107)</f>
        <v/>
      </c>
      <c r="BK107" s="108" t="str">
        <f aca="false">IF(ISBLANK(C107),"",IFERROR(_xlfn.SWITCH(BJ107, Constants!$B$4, COUNTA($C$8:$C606)+2, Constants!$B$5, COUNTA($C$8:$C606)+1, Constants!$B$6, COUNTA($C$8:$C606)),BJ107))</f>
        <v/>
      </c>
      <c r="BL107" s="5"/>
      <c r="BM107" s="109" t="n">
        <f aca="false">IF(OR(ISNUMBER(BJ107),BJ107="DQ",BJ107="P",BJ107="NS"),
    1,
    0
)</f>
        <v>0</v>
      </c>
      <c r="BN107" s="109" t="n">
        <v>100</v>
      </c>
      <c r="BO107" s="109" t="str">
        <f aca="false">IF(ISBLANK($C107),"",IF(ISNUMBER(BK107),BK107+ROW($B107)/1000,""))</f>
        <v/>
      </c>
      <c r="BP107" s="109" t="str">
        <f aca="false">IF(ISNUMBER(BO107), RANK(BO107,BO$8:BO$507,1), "")</f>
        <v/>
      </c>
      <c r="BQ107" s="109" t="str">
        <f aca="false">IF(ISBLANK($C107),
    "",
    $B107
)</f>
        <v/>
      </c>
      <c r="BR107" s="109" t="str">
        <f aca="false">IF(ISBLANK($C107),
    "",
    $C107
)</f>
        <v/>
      </c>
      <c r="BS107" s="109" t="str">
        <f aca="false">IF(ISBLANK($C107),
    "",
    $D107
)</f>
        <v/>
      </c>
      <c r="BT107" s="110" t="str">
        <f aca="false">BH107</f>
        <v/>
      </c>
      <c r="BU107" s="111" t="str">
        <f aca="false">BG107</f>
        <v/>
      </c>
      <c r="BV107" s="109" t="str">
        <f aca="false">IF(ISBLANK($C107),
    "",
    BJ107
)</f>
        <v/>
      </c>
      <c r="BW107" s="112" t="str">
        <f aca="false">IF(BN107&gt;BM$7,
    "",
    VLOOKUP(BN107,BP$8:BV606,7,FALSE())
)</f>
        <v/>
      </c>
      <c r="BX107" s="113" t="str">
        <f aca="false">IF(BN107&gt;BM$7,
    "",
    VLOOKUP(BN107,BP$8:BV606,2,FALSE())
)</f>
        <v/>
      </c>
      <c r="BY107" s="113" t="str">
        <f aca="false">IF(BN107&gt;BM$7,
    "",
    VLOOKUP(BN107,BP$8:BV606,3,FALSE())
)</f>
        <v/>
      </c>
      <c r="BZ107" s="113" t="str">
        <f aca="false">IF(BN107&gt;BM$7,
    "",
    VLOOKUP(BN107,BP$8:BV606,4,FALSE())
)</f>
        <v/>
      </c>
      <c r="CA107" s="113" t="str">
        <f aca="false">IF(BN107&gt;BM$7,
    "",
    VLOOKUP(BN107,BP$8:BV606,5,FALSE())
)</f>
        <v/>
      </c>
      <c r="CB107" s="114" t="str">
        <f aca="false">IF(BN107&gt;BM$7,
    "",
    VLOOKUP(BN107,BP$8:BV606,6,FALSE())
)</f>
        <v/>
      </c>
      <c r="CC107" s="53"/>
    </row>
    <row r="108" customFormat="false" ht="15.75" hidden="false" customHeight="false" outlineLevel="0" collapsed="false">
      <c r="A108" s="5"/>
      <c r="B108" s="125"/>
      <c r="C108" s="126"/>
      <c r="D108" s="115"/>
      <c r="E108" s="119"/>
      <c r="F108" s="119"/>
      <c r="G108" s="91"/>
      <c r="H108" s="92"/>
      <c r="I108" s="92"/>
      <c r="J108" s="128"/>
      <c r="K108" s="128"/>
      <c r="L108" s="128"/>
      <c r="M108" s="94"/>
      <c r="N108" s="94"/>
      <c r="O108" s="94"/>
      <c r="P108" s="95"/>
      <c r="Q108" s="96"/>
      <c r="R108" s="128"/>
      <c r="S108" s="98"/>
      <c r="T108" s="99"/>
      <c r="U108" s="99" t="str">
        <f aca="false">IF(ISBLANK($C108),"",IF(G108=Constants!$B$2, TRUE(), IF(G108=Constants!$B$3, FALSE(), TRUE())))</f>
        <v/>
      </c>
      <c r="V108" s="99" t="str">
        <f aca="false">IF(ISBLANK($C108),"",IF(H108=Constants!$B$2, TRUE(), IF(H108=Constants!$B$3, FALSE(), TRUE())))</f>
        <v/>
      </c>
      <c r="W108" s="99" t="str">
        <f aca="false">IF(ISBLANK($C108),"",IF(I108=Constants!$B$2, TRUE(), IF(I108=Constants!$B$3, FALSE(), TRUE())))</f>
        <v/>
      </c>
      <c r="X108" s="99" t="str">
        <f aca="false">IF(ISBLANK($C108),"",IF(AND(ISNUMBER(J108),J108&gt;0),INT(J108),0))</f>
        <v/>
      </c>
      <c r="Y108" s="99" t="str">
        <f aca="false">IF(ISBLANK($C108),"",IF(K108=Constants!$B$2, TRUE(), IF(K108=Constants!$B$3, FALSE(), TRUE())))</f>
        <v/>
      </c>
      <c r="Z108" s="100" t="str">
        <f aca="false">IF(ISBLANK($C108),"",IF(AND(ISNUMBER(L108),L108&gt;0),INT(L108),0))</f>
        <v/>
      </c>
      <c r="AA108" s="101" t="str">
        <f aca="false">IF(ISBLANK($C108),"",IF(ISNUMBER(M108), M108, ""))</f>
        <v/>
      </c>
      <c r="AB108" s="101" t="str">
        <f aca="false">IF(ISBLANK($C108),"",IF(ISNUMBER(N108), N108, ""))</f>
        <v/>
      </c>
      <c r="AC108" s="101" t="str">
        <f aca="false">IF(ISBLANK($C108),"",IF(ISNUMBER(O108), O108, ""))</f>
        <v/>
      </c>
      <c r="AD108" s="102" t="str">
        <f aca="false">IF(ISBLANK($C108),"",IF(ISNUMBER(P108), P108, ""))</f>
        <v/>
      </c>
      <c r="AE108" s="102" t="str">
        <f aca="false">IF(ISBLANK($C108),"",IF(ISNUMBER(Q108), Q108, Constants!$B$13))</f>
        <v/>
      </c>
      <c r="AF108" s="99" t="str">
        <f aca="false">IF(ISBLANK($C108),"",IF(R108=Constants!$B$2, TRUE(), IF(R108=Constants!$B$3, FALSE(), FALSE())))</f>
        <v/>
      </c>
      <c r="AG108" s="99" t="str">
        <f aca="false">IF(ISBLANK(C108), "", IF(AF108, Constants!$B$4,IF(COUNTA(G108:P108)=0, Constants!$B$5, Constants!$B$7)))</f>
        <v/>
      </c>
      <c r="AH108" s="99" t="str">
        <f aca="false">IF(ISBLANK($C108), "",IF($AG108=Constants!$B$7,1,$AG108))</f>
        <v/>
      </c>
      <c r="AI108" s="99" t="str">
        <f aca="false">IF($AG108=Constants!$B$7,POWER(Constants!$B$11,X108)*POWER(Constants!$B$12,Z108),"")</f>
        <v/>
      </c>
      <c r="AJ108" s="99" t="str">
        <f aca="false">IF(AND($AG108=Constants!$B$7, U108, V108) ,IF(OR($AA108="",$AC108=""),"",MAX(0, $AC108-$AA108)),"")</f>
        <v/>
      </c>
      <c r="AK108" s="99" t="str">
        <f aca="false">IF(AND($AG108=Constants!$B$7, U108, V108),IF(OR($AA108="",$AC108=""),$AK$6,""),"")</f>
        <v/>
      </c>
      <c r="AL108" s="99" t="str">
        <f aca="false">IF($AG108=Constants!$B$7,IF(AND(U108,V108,W108,Y108),IF($AJ108="",0,IF($AJ$6=0,Constants!$B$9,Constants!$B$9*AJ108/$AJ$6)), 0),"")</f>
        <v/>
      </c>
      <c r="AM108" s="99" t="str">
        <f aca="false">IF(AL108&lt;&gt;"", AL108*AI108,"")</f>
        <v/>
      </c>
      <c r="AN108" s="99" t="str">
        <f aca="false">IF(AND($AG108=Constants!$B$7, U108, V108) ,IF($AB108="", "", IF(OR($AC108="",$AC108=0),"",MAX(0,1-ABS($AC108-$AB108)/$AC108))),"")</f>
        <v/>
      </c>
      <c r="AO108" s="99" t="str">
        <f aca="false">IF(AND($AG108=Constants!$B$7, U108, V108),IF(AND($AA108&lt;&gt;"",$AB108&lt;&gt;"",$AC108=0),$AO$6,""),"")</f>
        <v/>
      </c>
      <c r="AP108" s="99" t="str">
        <f aca="false">IF($AG108=Constants!$B$7 ,IF(AND(U108,V108,W108,Y108,ISNUMBER(AB108)),IF($AN108="",0,IF($AN$6=0,Constants!$B$10,Constants!$B$10*AN108/$AN$6)), 0),"")</f>
        <v/>
      </c>
      <c r="AQ108" s="99" t="str">
        <f aca="false">IF(AP108&lt;&gt;"", AP108*AI108,"")</f>
        <v/>
      </c>
      <c r="AR108" s="99" t="str">
        <f aca="false">IF($AG108=Constants!$B$7,IF($AD108="",0,IF($AR$6=0,Constants!$B$8,Constants!$B$8*AD108/$AR$6)),"")</f>
        <v/>
      </c>
      <c r="AS108" s="99" t="str">
        <f aca="false">IF($AG108&lt;&gt;Constants!$B$7,$AG108,IF(AK108&amp;AO108&lt;&gt;"",Constants!$B$14,AM108+AQ108+AR108))</f>
        <v/>
      </c>
      <c r="AT108" s="99" t="str">
        <f aca="false">IF(ISBLANK($C108),"",IF($AG108=Constants!$B$7,IF(ISNUMBER(AS108),RANK(AS108,$AS$8:$AS$507),Constants!$B$14),$AG108))</f>
        <v/>
      </c>
      <c r="AU108" s="99" t="str">
        <f aca="false">IF(ISBLANK($C108), "",AM108)</f>
        <v/>
      </c>
      <c r="AV108" s="99" t="str">
        <f aca="false">IF(ISBLANK($C108),"",IF($AG108=Constants!$B$7,RANK(AU108,AU$8:AU$507),$AG108))</f>
        <v/>
      </c>
      <c r="AW108" s="99" t="str">
        <f aca="false">IF(ISBLANK($C108), "",AR108)</f>
        <v/>
      </c>
      <c r="AX108" s="99" t="str">
        <f aca="false">IF(ISBLANK($C108),"",IF($AG108=Constants!$B$7,RANK(AW108,AW$8:AW$507),$AG108))</f>
        <v/>
      </c>
      <c r="AY108" s="99" t="str">
        <f aca="false">IF(ISBLANK($C108), "",AE108)</f>
        <v/>
      </c>
      <c r="AZ108" s="99" t="str">
        <f aca="false">IF(ISBLANK($C108),"",
IF($AG108=Constants!$B$7,
  IF(ISNUMBER(AT108),
    COUNTIFS($AT$8:$AT$507,"&lt;"&amp;$AT108)
    + COUNTIFS($AT$8:$AT$507,$AT108,$AV$8:$AV$507,"&lt;"&amp;$AV108)
    + COUNTIFS($AT$8:$AT$507,$AT108,$AV$8:$AV$507,$AV108,$AX$8:$AX$507,"&lt;"&amp;$AX108)
    + COUNTIFS($AT$8:$AT$507,$AT108,$AV$8:$AV$507,$AV108,$AX$8:$AX$507,$AX108,$AY$8:$AY$507,"&lt;"&amp;$AY108)
    + 1,
  Constants!$B$14),
$AG108))</f>
        <v/>
      </c>
      <c r="BA108" s="99" t="str">
        <f aca="false">IF(ISBLANK(C108),"",IF($AG108=Constants!$B$7, IF(ISNUMBER(AT108),AT108-AZ108,Constants!$B$14),$AG108))</f>
        <v/>
      </c>
      <c r="BB108" s="103"/>
      <c r="BC108" s="104" t="str">
        <f aca="false">IF(ISBLANK($C108),"",TRIM(AK108&amp;" "&amp;AO108))</f>
        <v/>
      </c>
      <c r="BD108" s="105" t="str">
        <f aca="false">IF(ISBLANK($C108),"",IF($AG108&lt;&gt;Constants!$B$7,$AG108,AR108))</f>
        <v/>
      </c>
      <c r="BE108" s="105" t="str">
        <f aca="false">IF(ISBLANK($C108),"",IF($AG108&lt;&gt;Constants!$B$7,$AG108,AM108))</f>
        <v/>
      </c>
      <c r="BF108" s="105" t="str">
        <f aca="false">IF(ISBLANK($C108),"",IF($AG108&lt;&gt;Constants!$B$7,$AG108,AQ108))</f>
        <v/>
      </c>
      <c r="BG108" s="106" t="str">
        <f aca="false">IF(ISBLANK($C108),"",IF($AG108&lt;&gt;Constants!$B$7, $AG108 ,AS108))</f>
        <v/>
      </c>
      <c r="BH108" s="107" t="str">
        <f aca="false">IF(ISBLANK($C108),"",IF($AG108&lt;&gt;Constants!$B$7, $AG108 ,AH108))</f>
        <v/>
      </c>
      <c r="BI108" s="105" t="str">
        <f aca="false">IF(ISBLANK(C108),"",BA108)</f>
        <v/>
      </c>
      <c r="BJ108" s="105" t="str">
        <f aca="false">IF(ISBLANK(C108),"",AZ108)</f>
        <v/>
      </c>
      <c r="BK108" s="108" t="str">
        <f aca="false">IF(ISBLANK(C108),"",IFERROR(_xlfn.SWITCH(BJ108, Constants!$B$4, COUNTA($C$8:$C607)+2, Constants!$B$5, COUNTA($C$8:$C607)+1, Constants!$B$6, COUNTA($C$8:$C607)),BJ108))</f>
        <v/>
      </c>
      <c r="BL108" s="5"/>
      <c r="BM108" s="109" t="n">
        <f aca="false">IF(OR(ISNUMBER(BJ108),BJ108="DQ",BJ108="P",BJ108="NS"),
    1,
    0
)</f>
        <v>0</v>
      </c>
      <c r="BN108" s="109" t="n">
        <v>101</v>
      </c>
      <c r="BO108" s="109" t="str">
        <f aca="false">IF(ISBLANK($C108),"",IF(ISNUMBER(BK108),BK108+ROW($B108)/1000,""))</f>
        <v/>
      </c>
      <c r="BP108" s="109" t="str">
        <f aca="false">IF(ISNUMBER(BO108), RANK(BO108,BO$8:BO$507,1), "")</f>
        <v/>
      </c>
      <c r="BQ108" s="109" t="str">
        <f aca="false">IF(ISBLANK($C108),
    "",
    $B108
)</f>
        <v/>
      </c>
      <c r="BR108" s="109" t="str">
        <f aca="false">IF(ISBLANK($C108),
    "",
    $C108
)</f>
        <v/>
      </c>
      <c r="BS108" s="109" t="str">
        <f aca="false">IF(ISBLANK($C108),
    "",
    $D108
)</f>
        <v/>
      </c>
      <c r="BT108" s="110" t="str">
        <f aca="false">BH108</f>
        <v/>
      </c>
      <c r="BU108" s="111" t="str">
        <f aca="false">BG108</f>
        <v/>
      </c>
      <c r="BV108" s="109" t="str">
        <f aca="false">IF(ISBLANK($C108),
    "",
    BJ108
)</f>
        <v/>
      </c>
      <c r="BW108" s="112" t="str">
        <f aca="false">IF(BN108&gt;BM$7,
    "",
    VLOOKUP(BN108,BP$8:BV607,7,FALSE())
)</f>
        <v/>
      </c>
      <c r="BX108" s="113" t="str">
        <f aca="false">IF(BN108&gt;BM$7,
    "",
    VLOOKUP(BN108,BP$8:BV607,2,FALSE())
)</f>
        <v/>
      </c>
      <c r="BY108" s="113" t="str">
        <f aca="false">IF(BN108&gt;BM$7,
    "",
    VLOOKUP(BN108,BP$8:BV607,3,FALSE())
)</f>
        <v/>
      </c>
      <c r="BZ108" s="113" t="str">
        <f aca="false">IF(BN108&gt;BM$7,
    "",
    VLOOKUP(BN108,BP$8:BV607,4,FALSE())
)</f>
        <v/>
      </c>
      <c r="CA108" s="113" t="str">
        <f aca="false">IF(BN108&gt;BM$7,
    "",
    VLOOKUP(BN108,BP$8:BV607,5,FALSE())
)</f>
        <v/>
      </c>
      <c r="CB108" s="114" t="str">
        <f aca="false">IF(BN108&gt;BM$7,
    "",
    VLOOKUP(BN108,BP$8:BV607,6,FALSE())
)</f>
        <v/>
      </c>
      <c r="CC108" s="53"/>
    </row>
    <row r="109" customFormat="false" ht="15.75" hidden="false" customHeight="false" outlineLevel="0" collapsed="false">
      <c r="A109" s="5"/>
      <c r="B109" s="125"/>
      <c r="C109" s="126"/>
      <c r="D109" s="115"/>
      <c r="E109" s="119"/>
      <c r="F109" s="119"/>
      <c r="G109" s="91"/>
      <c r="H109" s="92"/>
      <c r="I109" s="92"/>
      <c r="J109" s="128"/>
      <c r="K109" s="128"/>
      <c r="L109" s="128"/>
      <c r="M109" s="94"/>
      <c r="N109" s="94"/>
      <c r="O109" s="94"/>
      <c r="P109" s="95"/>
      <c r="Q109" s="96"/>
      <c r="R109" s="128"/>
      <c r="S109" s="98"/>
      <c r="T109" s="99"/>
      <c r="U109" s="99" t="str">
        <f aca="false">IF(ISBLANK($C109),"",IF(G109=Constants!$B$2, TRUE(), IF(G109=Constants!$B$3, FALSE(), TRUE())))</f>
        <v/>
      </c>
      <c r="V109" s="99" t="str">
        <f aca="false">IF(ISBLANK($C109),"",IF(H109=Constants!$B$2, TRUE(), IF(H109=Constants!$B$3, FALSE(), TRUE())))</f>
        <v/>
      </c>
      <c r="W109" s="99" t="str">
        <f aca="false">IF(ISBLANK($C109),"",IF(I109=Constants!$B$2, TRUE(), IF(I109=Constants!$B$3, FALSE(), TRUE())))</f>
        <v/>
      </c>
      <c r="X109" s="99" t="str">
        <f aca="false">IF(ISBLANK($C109),"",IF(AND(ISNUMBER(J109),J109&gt;0),INT(J109),0))</f>
        <v/>
      </c>
      <c r="Y109" s="99" t="str">
        <f aca="false">IF(ISBLANK($C109),"",IF(K109=Constants!$B$2, TRUE(), IF(K109=Constants!$B$3, FALSE(), TRUE())))</f>
        <v/>
      </c>
      <c r="Z109" s="100" t="str">
        <f aca="false">IF(ISBLANK($C109),"",IF(AND(ISNUMBER(L109),L109&gt;0),INT(L109),0))</f>
        <v/>
      </c>
      <c r="AA109" s="101" t="str">
        <f aca="false">IF(ISBLANK($C109),"",IF(ISNUMBER(M109), M109, ""))</f>
        <v/>
      </c>
      <c r="AB109" s="101" t="str">
        <f aca="false">IF(ISBLANK($C109),"",IF(ISNUMBER(N109), N109, ""))</f>
        <v/>
      </c>
      <c r="AC109" s="101" t="str">
        <f aca="false">IF(ISBLANK($C109),"",IF(ISNUMBER(O109), O109, ""))</f>
        <v/>
      </c>
      <c r="AD109" s="102" t="str">
        <f aca="false">IF(ISBLANK($C109),"",IF(ISNUMBER(P109), P109, ""))</f>
        <v/>
      </c>
      <c r="AE109" s="102" t="str">
        <f aca="false">IF(ISBLANK($C109),"",IF(ISNUMBER(Q109), Q109, Constants!$B$13))</f>
        <v/>
      </c>
      <c r="AF109" s="99" t="str">
        <f aca="false">IF(ISBLANK($C109),"",IF(R109=Constants!$B$2, TRUE(), IF(R109=Constants!$B$3, FALSE(), FALSE())))</f>
        <v/>
      </c>
      <c r="AG109" s="99" t="str">
        <f aca="false">IF(ISBLANK(C109), "", IF(AF109, Constants!$B$4,IF(COUNTA(G109:P109)=0, Constants!$B$5, Constants!$B$7)))</f>
        <v/>
      </c>
      <c r="AH109" s="99" t="str">
        <f aca="false">IF(ISBLANK($C109), "",IF($AG109=Constants!$B$7,1,$AG109))</f>
        <v/>
      </c>
      <c r="AI109" s="99" t="str">
        <f aca="false">IF($AG109=Constants!$B$7,POWER(Constants!$B$11,X109)*POWER(Constants!$B$12,Z109),"")</f>
        <v/>
      </c>
      <c r="AJ109" s="99" t="str">
        <f aca="false">IF(AND($AG109=Constants!$B$7, U109, V109) ,IF(OR($AA109="",$AC109=""),"",MAX(0, $AC109-$AA109)),"")</f>
        <v/>
      </c>
      <c r="AK109" s="99" t="str">
        <f aca="false">IF(AND($AG109=Constants!$B$7, U109, V109),IF(OR($AA109="",$AC109=""),$AK$6,""),"")</f>
        <v/>
      </c>
      <c r="AL109" s="99" t="str">
        <f aca="false">IF($AG109=Constants!$B$7,IF(AND(U109,V109,W109,Y109),IF($AJ109="",0,IF($AJ$6=0,Constants!$B$9,Constants!$B$9*AJ109/$AJ$6)), 0),"")</f>
        <v/>
      </c>
      <c r="AM109" s="99" t="str">
        <f aca="false">IF(AL109&lt;&gt;"", AL109*AI109,"")</f>
        <v/>
      </c>
      <c r="AN109" s="99" t="str">
        <f aca="false">IF(AND($AG109=Constants!$B$7, U109, V109) ,IF($AB109="", "", IF(OR($AC109="",$AC109=0),"",MAX(0,1-ABS($AC109-$AB109)/$AC109))),"")</f>
        <v/>
      </c>
      <c r="AO109" s="99" t="str">
        <f aca="false">IF(AND($AG109=Constants!$B$7, U109, V109),IF(AND($AA109&lt;&gt;"",$AB109&lt;&gt;"",$AC109=0),$AO$6,""),"")</f>
        <v/>
      </c>
      <c r="AP109" s="99" t="str">
        <f aca="false">IF($AG109=Constants!$B$7 ,IF(AND(U109,V109,W109,Y109,ISNUMBER(AB109)),IF($AN109="",0,IF($AN$6=0,Constants!$B$10,Constants!$B$10*AN109/$AN$6)), 0),"")</f>
        <v/>
      </c>
      <c r="AQ109" s="99" t="str">
        <f aca="false">IF(AP109&lt;&gt;"", AP109*AI109,"")</f>
        <v/>
      </c>
      <c r="AR109" s="99" t="str">
        <f aca="false">IF($AG109=Constants!$B$7,IF($AD109="",0,IF($AR$6=0,Constants!$B$8,Constants!$B$8*AD109/$AR$6)),"")</f>
        <v/>
      </c>
      <c r="AS109" s="99" t="str">
        <f aca="false">IF($AG109&lt;&gt;Constants!$B$7,$AG109,IF(AK109&amp;AO109&lt;&gt;"",Constants!$B$14,AM109+AQ109+AR109))</f>
        <v/>
      </c>
      <c r="AT109" s="99" t="str">
        <f aca="false">IF(ISBLANK($C109),"",IF($AG109=Constants!$B$7,IF(ISNUMBER(AS109),RANK(AS109,$AS$8:$AS$507),Constants!$B$14),$AG109))</f>
        <v/>
      </c>
      <c r="AU109" s="99" t="str">
        <f aca="false">IF(ISBLANK($C109), "",AM109)</f>
        <v/>
      </c>
      <c r="AV109" s="99" t="str">
        <f aca="false">IF(ISBLANK($C109),"",IF($AG109=Constants!$B$7,RANK(AU109,AU$8:AU$507),$AG109))</f>
        <v/>
      </c>
      <c r="AW109" s="99" t="str">
        <f aca="false">IF(ISBLANK($C109), "",AR109)</f>
        <v/>
      </c>
      <c r="AX109" s="99" t="str">
        <f aca="false">IF(ISBLANK($C109),"",IF($AG109=Constants!$B$7,RANK(AW109,AW$8:AW$507),$AG109))</f>
        <v/>
      </c>
      <c r="AY109" s="99" t="str">
        <f aca="false">IF(ISBLANK($C109), "",AE109)</f>
        <v/>
      </c>
      <c r="AZ109" s="99" t="str">
        <f aca="false">IF(ISBLANK($C109),"",
IF($AG109=Constants!$B$7,
  IF(ISNUMBER(AT109),
    COUNTIFS($AT$8:$AT$507,"&lt;"&amp;$AT109)
    + COUNTIFS($AT$8:$AT$507,$AT109,$AV$8:$AV$507,"&lt;"&amp;$AV109)
    + COUNTIFS($AT$8:$AT$507,$AT109,$AV$8:$AV$507,$AV109,$AX$8:$AX$507,"&lt;"&amp;$AX109)
    + COUNTIFS($AT$8:$AT$507,$AT109,$AV$8:$AV$507,$AV109,$AX$8:$AX$507,$AX109,$AY$8:$AY$507,"&lt;"&amp;$AY109)
    + 1,
  Constants!$B$14),
$AG109))</f>
        <v/>
      </c>
      <c r="BA109" s="99" t="str">
        <f aca="false">IF(ISBLANK(C109),"",IF($AG109=Constants!$B$7, IF(ISNUMBER(AT109),AT109-AZ109,Constants!$B$14),$AG109))</f>
        <v/>
      </c>
      <c r="BB109" s="103"/>
      <c r="BC109" s="104" t="str">
        <f aca="false">IF(ISBLANK($C109),"",TRIM(AK109&amp;" "&amp;AO109))</f>
        <v/>
      </c>
      <c r="BD109" s="105" t="str">
        <f aca="false">IF(ISBLANK($C109),"",IF($AG109&lt;&gt;Constants!$B$7,$AG109,AR109))</f>
        <v/>
      </c>
      <c r="BE109" s="105" t="str">
        <f aca="false">IF(ISBLANK($C109),"",IF($AG109&lt;&gt;Constants!$B$7,$AG109,AM109))</f>
        <v/>
      </c>
      <c r="BF109" s="105" t="str">
        <f aca="false">IF(ISBLANK($C109),"",IF($AG109&lt;&gt;Constants!$B$7,$AG109,AQ109))</f>
        <v/>
      </c>
      <c r="BG109" s="106" t="str">
        <f aca="false">IF(ISBLANK($C109),"",IF($AG109&lt;&gt;Constants!$B$7, $AG109 ,AS109))</f>
        <v/>
      </c>
      <c r="BH109" s="107" t="str">
        <f aca="false">IF(ISBLANK($C109),"",IF($AG109&lt;&gt;Constants!$B$7, $AG109 ,AH109))</f>
        <v/>
      </c>
      <c r="BI109" s="105" t="str">
        <f aca="false">IF(ISBLANK(C109),"",BA109)</f>
        <v/>
      </c>
      <c r="BJ109" s="105" t="str">
        <f aca="false">IF(ISBLANK(C109),"",AZ109)</f>
        <v/>
      </c>
      <c r="BK109" s="108" t="str">
        <f aca="false">IF(ISBLANK(C109),"",IFERROR(_xlfn.SWITCH(BJ109, Constants!$B$4, COUNTA($C$8:$C608)+2, Constants!$B$5, COUNTA($C$8:$C608)+1, Constants!$B$6, COUNTA($C$8:$C608)),BJ109))</f>
        <v/>
      </c>
      <c r="BL109" s="5"/>
      <c r="BM109" s="109" t="n">
        <f aca="false">IF(OR(ISNUMBER(BJ109),BJ109="DQ",BJ109="P",BJ109="NS"),
    1,
    0
)</f>
        <v>0</v>
      </c>
      <c r="BN109" s="109" t="n">
        <v>102</v>
      </c>
      <c r="BO109" s="109" t="str">
        <f aca="false">IF(ISBLANK($C109),"",IF(ISNUMBER(BK109),BK109+ROW($B109)/1000,""))</f>
        <v/>
      </c>
      <c r="BP109" s="109" t="str">
        <f aca="false">IF(ISNUMBER(BO109), RANK(BO109,BO$8:BO$507,1), "")</f>
        <v/>
      </c>
      <c r="BQ109" s="109" t="str">
        <f aca="false">IF(ISBLANK($C109),
    "",
    $B109
)</f>
        <v/>
      </c>
      <c r="BR109" s="109" t="str">
        <f aca="false">IF(ISBLANK($C109),
    "",
    $C109
)</f>
        <v/>
      </c>
      <c r="BS109" s="109" t="str">
        <f aca="false">IF(ISBLANK($C109),
    "",
    $D109
)</f>
        <v/>
      </c>
      <c r="BT109" s="110" t="str">
        <f aca="false">BH109</f>
        <v/>
      </c>
      <c r="BU109" s="111" t="str">
        <f aca="false">BG109</f>
        <v/>
      </c>
      <c r="BV109" s="109" t="str">
        <f aca="false">IF(ISBLANK($C109),
    "",
    BJ109
)</f>
        <v/>
      </c>
      <c r="BW109" s="112" t="str">
        <f aca="false">IF(BN109&gt;BM$7,
    "",
    VLOOKUP(BN109,BP$8:BV608,7,FALSE())
)</f>
        <v/>
      </c>
      <c r="BX109" s="113" t="str">
        <f aca="false">IF(BN109&gt;BM$7,
    "",
    VLOOKUP(BN109,BP$8:BV608,2,FALSE())
)</f>
        <v/>
      </c>
      <c r="BY109" s="113" t="str">
        <f aca="false">IF(BN109&gt;BM$7,
    "",
    VLOOKUP(BN109,BP$8:BV608,3,FALSE())
)</f>
        <v/>
      </c>
      <c r="BZ109" s="113" t="str">
        <f aca="false">IF(BN109&gt;BM$7,
    "",
    VLOOKUP(BN109,BP$8:BV608,4,FALSE())
)</f>
        <v/>
      </c>
      <c r="CA109" s="113" t="str">
        <f aca="false">IF(BN109&gt;BM$7,
    "",
    VLOOKUP(BN109,BP$8:BV608,5,FALSE())
)</f>
        <v/>
      </c>
      <c r="CB109" s="114" t="str">
        <f aca="false">IF(BN109&gt;BM$7,
    "",
    VLOOKUP(BN109,BP$8:BV608,6,FALSE())
)</f>
        <v/>
      </c>
      <c r="CC109" s="53"/>
    </row>
    <row r="110" customFormat="false" ht="15.75" hidden="false" customHeight="false" outlineLevel="0" collapsed="false">
      <c r="A110" s="5"/>
      <c r="B110" s="129"/>
      <c r="C110" s="55"/>
      <c r="D110" s="56"/>
      <c r="E110" s="123"/>
      <c r="F110" s="123"/>
      <c r="G110" s="58"/>
      <c r="H110" s="59"/>
      <c r="I110" s="59"/>
      <c r="J110" s="83"/>
      <c r="K110" s="83"/>
      <c r="L110" s="83"/>
      <c r="M110" s="61"/>
      <c r="N110" s="61"/>
      <c r="O110" s="61"/>
      <c r="P110" s="62"/>
      <c r="Q110" s="63"/>
      <c r="R110" s="83"/>
      <c r="S110" s="65"/>
      <c r="T110" s="66"/>
      <c r="U110" s="66" t="str">
        <f aca="false">IF(ISBLANK($C110),"",IF(G110=Constants!$B$2, TRUE(), IF(G110=Constants!$B$3, FALSE(), TRUE())))</f>
        <v/>
      </c>
      <c r="V110" s="66" t="str">
        <f aca="false">IF(ISBLANK($C110),"",IF(H110=Constants!$B$2, TRUE(), IF(H110=Constants!$B$3, FALSE(), TRUE())))</f>
        <v/>
      </c>
      <c r="W110" s="66" t="str">
        <f aca="false">IF(ISBLANK($C110),"",IF(I110=Constants!$B$2, TRUE(), IF(I110=Constants!$B$3, FALSE(), TRUE())))</f>
        <v/>
      </c>
      <c r="X110" s="66" t="str">
        <f aca="false">IF(ISBLANK($C110),"",IF(AND(ISNUMBER(J110),J110&gt;0),INT(J110),0))</f>
        <v/>
      </c>
      <c r="Y110" s="66" t="str">
        <f aca="false">IF(ISBLANK($C110),"",IF(K110=Constants!$B$2, TRUE(), IF(K110=Constants!$B$3, FALSE(), TRUE())))</f>
        <v/>
      </c>
      <c r="Z110" s="66" t="str">
        <f aca="false">IF(ISBLANK($C110),"",IF(AND(ISNUMBER(L110),L110&gt;0),INT(L110),0))</f>
        <v/>
      </c>
      <c r="AA110" s="68" t="str">
        <f aca="false">IF(ISBLANK($C110),"",IF(ISNUMBER(M110), M110, ""))</f>
        <v/>
      </c>
      <c r="AB110" s="68" t="str">
        <f aca="false">IF(ISBLANK($C110),"",IF(ISNUMBER(N110), N110, ""))</f>
        <v/>
      </c>
      <c r="AC110" s="68" t="str">
        <f aca="false">IF(ISBLANK($C110),"",IF(ISNUMBER(O110), O110, ""))</f>
        <v/>
      </c>
      <c r="AD110" s="69" t="str">
        <f aca="false">IF(ISBLANK($C110),"",IF(ISNUMBER(P110), P110, ""))</f>
        <v/>
      </c>
      <c r="AE110" s="69" t="str">
        <f aca="false">IF(ISBLANK($C110),"",IF(ISNUMBER(Q110), Q110, Constants!$B$13))</f>
        <v/>
      </c>
      <c r="AF110" s="66" t="str">
        <f aca="false">IF(ISBLANK($C110),"",IF(R110=Constants!$B$2, TRUE(), IF(R110=Constants!$B$3, FALSE(), FALSE())))</f>
        <v/>
      </c>
      <c r="AG110" s="66" t="str">
        <f aca="false">IF(ISBLANK(C110), "", IF(AF110, Constants!$B$4,IF(COUNTA(G110:P110)=0, Constants!$B$5, Constants!$B$7)))</f>
        <v/>
      </c>
      <c r="AH110" s="66" t="str">
        <f aca="false">IF(ISBLANK($C110), "",IF($AG110=Constants!$B$7,1,$AG110))</f>
        <v/>
      </c>
      <c r="AI110" s="66" t="str">
        <f aca="false">IF($AG110=Constants!$B$7,POWER(Constants!$B$11,X110)*POWER(Constants!$B$12,Z110),"")</f>
        <v/>
      </c>
      <c r="AJ110" s="66" t="str">
        <f aca="false">IF(AND($AG110=Constants!$B$7, U110, V110) ,IF(OR($AA110="",$AC110=""),"",MAX(0, $AC110-$AA110)),"")</f>
        <v/>
      </c>
      <c r="AK110" s="66" t="str">
        <f aca="false">IF(AND($AG110=Constants!$B$7, U110, V110),IF(OR($AA110="",$AC110=""),$AK$6,""),"")</f>
        <v/>
      </c>
      <c r="AL110" s="66" t="str">
        <f aca="false">IF($AG110=Constants!$B$7,IF(AND(U110,V110,W110,Y110),IF($AJ110="",0,IF($AJ$6=0,Constants!$B$9,Constants!$B$9*AJ110/$AJ$6)), 0),"")</f>
        <v/>
      </c>
      <c r="AM110" s="66" t="str">
        <f aca="false">IF(AL110&lt;&gt;"", AL110*AI110,"")</f>
        <v/>
      </c>
      <c r="AN110" s="66" t="str">
        <f aca="false">IF(AND($AG110=Constants!$B$7, U110, V110) ,IF($AB110="", "", IF(OR($AC110="",$AC110=0),"",MAX(0,1-ABS($AC110-$AB110)/$AC110))),"")</f>
        <v/>
      </c>
      <c r="AO110" s="66" t="str">
        <f aca="false">IF(AND($AG110=Constants!$B$7, U110, V110),IF(AND($AA110&lt;&gt;"",$AB110&lt;&gt;"",$AC110=0),$AO$6,""),"")</f>
        <v/>
      </c>
      <c r="AP110" s="66" t="str">
        <f aca="false">IF($AG110=Constants!$B$7 ,IF(AND(U110,V110,W110,Y110,ISNUMBER(AB110)),IF($AN110="",0,IF($AN$6=0,Constants!$B$10,Constants!$B$10*AN110/$AN$6)), 0),"")</f>
        <v/>
      </c>
      <c r="AQ110" s="66" t="str">
        <f aca="false">IF(AP110&lt;&gt;"", AP110*AI110,"")</f>
        <v/>
      </c>
      <c r="AR110" s="66" t="str">
        <f aca="false">IF($AG110=Constants!$B$7,IF($AD110="",0,IF($AR$6=0,Constants!$B$8,Constants!$B$8*AD110/$AR$6)),"")</f>
        <v/>
      </c>
      <c r="AS110" s="66" t="str">
        <f aca="false">IF($AG110&lt;&gt;Constants!$B$7,$AG110,IF(AK110&amp;AO110&lt;&gt;"",Constants!$B$14,AM110+AQ110+AR110))</f>
        <v/>
      </c>
      <c r="AT110" s="66" t="str">
        <f aca="false">IF(ISBLANK($C110),"",IF($AG110=Constants!$B$7,IF(ISNUMBER(AS110),RANK(AS110,$AS$8:$AS$507),Constants!$B$14),$AG110))</f>
        <v/>
      </c>
      <c r="AU110" s="66" t="str">
        <f aca="false">IF(ISBLANK($C110), "",AM110)</f>
        <v/>
      </c>
      <c r="AV110" s="66" t="str">
        <f aca="false">IF(ISBLANK($C110),"",IF($AG110=Constants!$B$7,RANK(AU110,AU$8:AU$507),$AG110))</f>
        <v/>
      </c>
      <c r="AW110" s="66" t="str">
        <f aca="false">IF(ISBLANK($C110), "",AR110)</f>
        <v/>
      </c>
      <c r="AX110" s="66" t="str">
        <f aca="false">IF(ISBLANK($C110),"",IF($AG110=Constants!$B$7,RANK(AW110,AW$8:AW$507),$AG110))</f>
        <v/>
      </c>
      <c r="AY110" s="66" t="str">
        <f aca="false">IF(ISBLANK($C110), "",AE110)</f>
        <v/>
      </c>
      <c r="AZ110" s="66" t="str">
        <f aca="false">IF(ISBLANK($C110),"",
IF($AG110=Constants!$B$7,
  IF(ISNUMBER(AT110),
    COUNTIFS($AT$8:$AT$507,"&lt;"&amp;$AT110)
    + COUNTIFS($AT$8:$AT$507,$AT110,$AV$8:$AV$507,"&lt;"&amp;$AV110)
    + COUNTIFS($AT$8:$AT$507,$AT110,$AV$8:$AV$507,$AV110,$AX$8:$AX$507,"&lt;"&amp;$AX110)
    + COUNTIFS($AT$8:$AT$507,$AT110,$AV$8:$AV$507,$AV110,$AX$8:$AX$507,$AX110,$AY$8:$AY$507,"&lt;"&amp;$AY110)
    + 1,
  Constants!$B$14),
$AG110))</f>
        <v/>
      </c>
      <c r="BA110" s="66" t="str">
        <f aca="false">IF(ISBLANK(C110),"",IF($AG110=Constants!$B$7, IF(ISNUMBER(AT110),AT110-AZ110,Constants!$B$14),$AG110))</f>
        <v/>
      </c>
      <c r="BB110" s="70"/>
      <c r="BC110" s="84" t="str">
        <f aca="false">IF(ISBLANK($C110),"",TRIM(AK110&amp;" "&amp;AO110))</f>
        <v/>
      </c>
      <c r="BD110" s="72" t="str">
        <f aca="false">IF(ISBLANK($C110),"",IF($AG110&lt;&gt;Constants!$B$7,$AG110,AR110))</f>
        <v/>
      </c>
      <c r="BE110" s="72" t="str">
        <f aca="false">IF(ISBLANK($C110),"",IF($AG110&lt;&gt;Constants!$B$7,$AG110,AM110))</f>
        <v/>
      </c>
      <c r="BF110" s="72" t="str">
        <f aca="false">IF(ISBLANK($C110),"",IF($AG110&lt;&gt;Constants!$B$7,$AG110,AQ110))</f>
        <v/>
      </c>
      <c r="BG110" s="73" t="str">
        <f aca="false">IF(ISBLANK($C110),"",IF($AG110&lt;&gt;Constants!$B$7, $AG110 ,AS110))</f>
        <v/>
      </c>
      <c r="BH110" s="74" t="str">
        <f aca="false">IF(ISBLANK($C110),"",IF($AG110&lt;&gt;Constants!$B$7, $AG110 ,AH110))</f>
        <v/>
      </c>
      <c r="BI110" s="72" t="str">
        <f aca="false">IF(ISBLANK(C110),"",BA110)</f>
        <v/>
      </c>
      <c r="BJ110" s="72" t="str">
        <f aca="false">IF(ISBLANK(C110),"",AZ110)</f>
        <v/>
      </c>
      <c r="BK110" s="75" t="str">
        <f aca="false">IF(ISBLANK(C110),"",IFERROR(_xlfn.SWITCH(BJ110, Constants!$B$4, COUNTA($C$8:$C609)+2, Constants!$B$5, COUNTA($C$8:$C609)+1, Constants!$B$6, COUNTA($C$8:$C609)),BJ110))</f>
        <v/>
      </c>
      <c r="BL110" s="5"/>
      <c r="BM110" s="76" t="n">
        <f aca="false">IF(OR(ISNUMBER(BJ110),BJ110="DQ",BJ110="P",BJ110="NS"),
    1,
    0
)</f>
        <v>0</v>
      </c>
      <c r="BN110" s="76" t="n">
        <v>103</v>
      </c>
      <c r="BO110" s="76" t="str">
        <f aca="false">IF(ISBLANK($C110),"",IF(ISNUMBER(BK110),BK110+ROW($B110)/1000,""))</f>
        <v/>
      </c>
      <c r="BP110" s="76" t="str">
        <f aca="false">IF(ISNUMBER(BO110), RANK(BO110,BO$8:BO$507,1), "")</f>
        <v/>
      </c>
      <c r="BQ110" s="76" t="str">
        <f aca="false">IF(ISBLANK($C110),
    "",
    $B110
)</f>
        <v/>
      </c>
      <c r="BR110" s="76" t="str">
        <f aca="false">IF(ISBLANK($C110),
    "",
    $C110
)</f>
        <v/>
      </c>
      <c r="BS110" s="76" t="str">
        <f aca="false">IF(ISBLANK($C110),
    "",
    $D110
)</f>
        <v/>
      </c>
      <c r="BT110" s="77" t="str">
        <f aca="false">BH110</f>
        <v/>
      </c>
      <c r="BU110" s="78" t="str">
        <f aca="false">BG110</f>
        <v/>
      </c>
      <c r="BV110" s="76" t="str">
        <f aca="false">IF(ISBLANK($C110),
    "",
    BJ110
)</f>
        <v/>
      </c>
      <c r="BW110" s="79" t="str">
        <f aca="false">IF(BN110&gt;BM$7,
    "",
    VLOOKUP(BN110,BP$8:BV609,7,FALSE())
)</f>
        <v/>
      </c>
      <c r="BX110" s="80" t="str">
        <f aca="false">IF(BN110&gt;BM$7,
    "",
    VLOOKUP(BN110,BP$8:BV609,2,FALSE())
)</f>
        <v/>
      </c>
      <c r="BY110" s="80" t="str">
        <f aca="false">IF(BN110&gt;BM$7,
    "",
    VLOOKUP(BN110,BP$8:BV609,3,FALSE())
)</f>
        <v/>
      </c>
      <c r="BZ110" s="80" t="str">
        <f aca="false">IF(BN110&gt;BM$7,
    "",
    VLOOKUP(BN110,BP$8:BV609,4,FALSE())
)</f>
        <v/>
      </c>
      <c r="CA110" s="80" t="str">
        <f aca="false">IF(BN110&gt;BM$7,
    "",
    VLOOKUP(BN110,BP$8:BV609,5,FALSE())
)</f>
        <v/>
      </c>
      <c r="CB110" s="81" t="str">
        <f aca="false">IF(BN110&gt;BM$7,
    "",
    VLOOKUP(BN110,BP$8:BV609,6,FALSE())
)</f>
        <v/>
      </c>
      <c r="CC110" s="53"/>
    </row>
    <row r="111" customFormat="false" ht="15.75" hidden="false" customHeight="false" outlineLevel="0" collapsed="false">
      <c r="A111" s="5"/>
      <c r="B111" s="129"/>
      <c r="C111" s="55"/>
      <c r="D111" s="56"/>
      <c r="E111" s="123"/>
      <c r="F111" s="123"/>
      <c r="G111" s="58"/>
      <c r="H111" s="59"/>
      <c r="I111" s="59"/>
      <c r="J111" s="83"/>
      <c r="K111" s="83"/>
      <c r="L111" s="83"/>
      <c r="M111" s="61"/>
      <c r="N111" s="61"/>
      <c r="O111" s="61"/>
      <c r="P111" s="62"/>
      <c r="Q111" s="63"/>
      <c r="R111" s="83"/>
      <c r="S111" s="65"/>
      <c r="T111" s="66"/>
      <c r="U111" s="66" t="str">
        <f aca="false">IF(ISBLANK($C111),"",IF(G111=Constants!$B$2, TRUE(), IF(G111=Constants!$B$3, FALSE(), TRUE())))</f>
        <v/>
      </c>
      <c r="V111" s="66" t="str">
        <f aca="false">IF(ISBLANK($C111),"",IF(H111=Constants!$B$2, TRUE(), IF(H111=Constants!$B$3, FALSE(), TRUE())))</f>
        <v/>
      </c>
      <c r="W111" s="66" t="str">
        <f aca="false">IF(ISBLANK($C111),"",IF(I111=Constants!$B$2, TRUE(), IF(I111=Constants!$B$3, FALSE(), TRUE())))</f>
        <v/>
      </c>
      <c r="X111" s="66" t="str">
        <f aca="false">IF(ISBLANK($C111),"",IF(AND(ISNUMBER(J111),J111&gt;0),INT(J111),0))</f>
        <v/>
      </c>
      <c r="Y111" s="66" t="str">
        <f aca="false">IF(ISBLANK($C111),"",IF(K111=Constants!$B$2, TRUE(), IF(K111=Constants!$B$3, FALSE(), TRUE())))</f>
        <v/>
      </c>
      <c r="Z111" s="66" t="str">
        <f aca="false">IF(ISBLANK($C111),"",IF(AND(ISNUMBER(L111),L111&gt;0),INT(L111),0))</f>
        <v/>
      </c>
      <c r="AA111" s="68" t="str">
        <f aca="false">IF(ISBLANK($C111),"",IF(ISNUMBER(M111), M111, ""))</f>
        <v/>
      </c>
      <c r="AB111" s="68" t="str">
        <f aca="false">IF(ISBLANK($C111),"",IF(ISNUMBER(N111), N111, ""))</f>
        <v/>
      </c>
      <c r="AC111" s="68" t="str">
        <f aca="false">IF(ISBLANK($C111),"",IF(ISNUMBER(O111), O111, ""))</f>
        <v/>
      </c>
      <c r="AD111" s="69" t="str">
        <f aca="false">IF(ISBLANK($C111),"",IF(ISNUMBER(P111), P111, ""))</f>
        <v/>
      </c>
      <c r="AE111" s="69" t="str">
        <f aca="false">IF(ISBLANK($C111),"",IF(ISNUMBER(Q111), Q111, Constants!$B$13))</f>
        <v/>
      </c>
      <c r="AF111" s="66" t="str">
        <f aca="false">IF(ISBLANK($C111),"",IF(R111=Constants!$B$2, TRUE(), IF(R111=Constants!$B$3, FALSE(), FALSE())))</f>
        <v/>
      </c>
      <c r="AG111" s="66" t="str">
        <f aca="false">IF(ISBLANK(C111), "", IF(AF111, Constants!$B$4,IF(COUNTA(G111:P111)=0, Constants!$B$5, Constants!$B$7)))</f>
        <v/>
      </c>
      <c r="AH111" s="66" t="str">
        <f aca="false">IF(ISBLANK($C111), "",IF($AG111=Constants!$B$7,1,$AG111))</f>
        <v/>
      </c>
      <c r="AI111" s="66" t="str">
        <f aca="false">IF($AG111=Constants!$B$7,POWER(Constants!$B$11,X111)*POWER(Constants!$B$12,Z111),"")</f>
        <v/>
      </c>
      <c r="AJ111" s="66" t="str">
        <f aca="false">IF(AND($AG111=Constants!$B$7, U111, V111) ,IF(OR($AA111="",$AC111=""),"",MAX(0, $AC111-$AA111)),"")</f>
        <v/>
      </c>
      <c r="AK111" s="66" t="str">
        <f aca="false">IF(AND($AG111=Constants!$B$7, U111, V111),IF(OR($AA111="",$AC111=""),$AK$6,""),"")</f>
        <v/>
      </c>
      <c r="AL111" s="66" t="str">
        <f aca="false">IF($AG111=Constants!$B$7,IF(AND(U111,V111,W111,Y111),IF($AJ111="",0,IF($AJ$6=0,Constants!$B$9,Constants!$B$9*AJ111/$AJ$6)), 0),"")</f>
        <v/>
      </c>
      <c r="AM111" s="66" t="str">
        <f aca="false">IF(AL111&lt;&gt;"", AL111*AI111,"")</f>
        <v/>
      </c>
      <c r="AN111" s="66" t="str">
        <f aca="false">IF(AND($AG111=Constants!$B$7, U111, V111) ,IF($AB111="", "", IF(OR($AC111="",$AC111=0),"",MAX(0,1-ABS($AC111-$AB111)/$AC111))),"")</f>
        <v/>
      </c>
      <c r="AO111" s="66" t="str">
        <f aca="false">IF(AND($AG111=Constants!$B$7, U111, V111),IF(AND($AA111&lt;&gt;"",$AB111&lt;&gt;"",$AC111=0),$AO$6,""),"")</f>
        <v/>
      </c>
      <c r="AP111" s="66" t="str">
        <f aca="false">IF($AG111=Constants!$B$7 ,IF(AND(U111,V111,W111,Y111,ISNUMBER(AB111)),IF($AN111="",0,IF($AN$6=0,Constants!$B$10,Constants!$B$10*AN111/$AN$6)), 0),"")</f>
        <v/>
      </c>
      <c r="AQ111" s="66" t="str">
        <f aca="false">IF(AP111&lt;&gt;"", AP111*AI111,"")</f>
        <v/>
      </c>
      <c r="AR111" s="66" t="str">
        <f aca="false">IF($AG111=Constants!$B$7,IF($AD111="",0,IF($AR$6=0,Constants!$B$8,Constants!$B$8*AD111/$AR$6)),"")</f>
        <v/>
      </c>
      <c r="AS111" s="66" t="str">
        <f aca="false">IF($AG111&lt;&gt;Constants!$B$7,$AG111,IF(AK111&amp;AO111&lt;&gt;"",Constants!$B$14,AM111+AQ111+AR111))</f>
        <v/>
      </c>
      <c r="AT111" s="66" t="str">
        <f aca="false">IF(ISBLANK($C111),"",IF($AG111=Constants!$B$7,IF(ISNUMBER(AS111),RANK(AS111,$AS$8:$AS$507),Constants!$B$14),$AG111))</f>
        <v/>
      </c>
      <c r="AU111" s="66" t="str">
        <f aca="false">IF(ISBLANK($C111), "",AM111)</f>
        <v/>
      </c>
      <c r="AV111" s="66" t="str">
        <f aca="false">IF(ISBLANK($C111),"",IF($AG111=Constants!$B$7,RANK(AU111,AU$8:AU$507),$AG111))</f>
        <v/>
      </c>
      <c r="AW111" s="66" t="str">
        <f aca="false">IF(ISBLANK($C111), "",AR111)</f>
        <v/>
      </c>
      <c r="AX111" s="66" t="str">
        <f aca="false">IF(ISBLANK($C111),"",IF($AG111=Constants!$B$7,RANK(AW111,AW$8:AW$507),$AG111))</f>
        <v/>
      </c>
      <c r="AY111" s="66" t="str">
        <f aca="false">IF(ISBLANK($C111), "",AE111)</f>
        <v/>
      </c>
      <c r="AZ111" s="66" t="str">
        <f aca="false">IF(ISBLANK($C111),"",
IF($AG111=Constants!$B$7,
  IF(ISNUMBER(AT111),
    COUNTIFS($AT$8:$AT$507,"&lt;"&amp;$AT111)
    + COUNTIFS($AT$8:$AT$507,$AT111,$AV$8:$AV$507,"&lt;"&amp;$AV111)
    + COUNTIFS($AT$8:$AT$507,$AT111,$AV$8:$AV$507,$AV111,$AX$8:$AX$507,"&lt;"&amp;$AX111)
    + COUNTIFS($AT$8:$AT$507,$AT111,$AV$8:$AV$507,$AV111,$AX$8:$AX$507,$AX111,$AY$8:$AY$507,"&lt;"&amp;$AY111)
    + 1,
  Constants!$B$14),
$AG111))</f>
        <v/>
      </c>
      <c r="BA111" s="66" t="str">
        <f aca="false">IF(ISBLANK(C111),"",IF($AG111=Constants!$B$7, IF(ISNUMBER(AT111),AT111-AZ111,Constants!$B$14),$AG111))</f>
        <v/>
      </c>
      <c r="BB111" s="70"/>
      <c r="BC111" s="84" t="str">
        <f aca="false">IF(ISBLANK($C111),"",TRIM(AK111&amp;" "&amp;AO111))</f>
        <v/>
      </c>
      <c r="BD111" s="72" t="str">
        <f aca="false">IF(ISBLANK($C111),"",IF($AG111&lt;&gt;Constants!$B$7,$AG111,AR111))</f>
        <v/>
      </c>
      <c r="BE111" s="72" t="str">
        <f aca="false">IF(ISBLANK($C111),"",IF($AG111&lt;&gt;Constants!$B$7,$AG111,AM111))</f>
        <v/>
      </c>
      <c r="BF111" s="72" t="str">
        <f aca="false">IF(ISBLANK($C111),"",IF($AG111&lt;&gt;Constants!$B$7,$AG111,AQ111))</f>
        <v/>
      </c>
      <c r="BG111" s="73" t="str">
        <f aca="false">IF(ISBLANK($C111),"",IF($AG111&lt;&gt;Constants!$B$7, $AG111 ,AS111))</f>
        <v/>
      </c>
      <c r="BH111" s="74" t="str">
        <f aca="false">IF(ISBLANK($C111),"",IF($AG111&lt;&gt;Constants!$B$7, $AG111 ,AH111))</f>
        <v/>
      </c>
      <c r="BI111" s="72" t="str">
        <f aca="false">IF(ISBLANK(C111),"",BA111)</f>
        <v/>
      </c>
      <c r="BJ111" s="72" t="str">
        <f aca="false">IF(ISBLANK(C111),"",AZ111)</f>
        <v/>
      </c>
      <c r="BK111" s="75" t="str">
        <f aca="false">IF(ISBLANK(C111),"",IFERROR(_xlfn.SWITCH(BJ111, Constants!$B$4, COUNTA($C$8:$C610)+2, Constants!$B$5, COUNTA($C$8:$C610)+1, Constants!$B$6, COUNTA($C$8:$C610)),BJ111))</f>
        <v/>
      </c>
      <c r="BL111" s="5"/>
      <c r="BM111" s="76" t="n">
        <f aca="false">IF(OR(ISNUMBER(BJ111),BJ111="DQ",BJ111="P",BJ111="NS"),
    1,
    0
)</f>
        <v>0</v>
      </c>
      <c r="BN111" s="76" t="n">
        <v>104</v>
      </c>
      <c r="BO111" s="76" t="str">
        <f aca="false">IF(ISBLANK($C111),"",IF(ISNUMBER(BK111),BK111+ROW($B111)/1000,""))</f>
        <v/>
      </c>
      <c r="BP111" s="76" t="str">
        <f aca="false">IF(ISNUMBER(BO111), RANK(BO111,BO$8:BO$507,1), "")</f>
        <v/>
      </c>
      <c r="BQ111" s="76" t="str">
        <f aca="false">IF(ISBLANK($C111),
    "",
    $B111
)</f>
        <v/>
      </c>
      <c r="BR111" s="76" t="str">
        <f aca="false">IF(ISBLANK($C111),
    "",
    $C111
)</f>
        <v/>
      </c>
      <c r="BS111" s="76" t="str">
        <f aca="false">IF(ISBLANK($C111),
    "",
    $D111
)</f>
        <v/>
      </c>
      <c r="BT111" s="77" t="str">
        <f aca="false">BH111</f>
        <v/>
      </c>
      <c r="BU111" s="78" t="str">
        <f aca="false">BG111</f>
        <v/>
      </c>
      <c r="BV111" s="76" t="str">
        <f aca="false">IF(ISBLANK($C111),
    "",
    BJ111
)</f>
        <v/>
      </c>
      <c r="BW111" s="79" t="str">
        <f aca="false">IF(BN111&gt;BM$7,
    "",
    VLOOKUP(BN111,BP$8:BV610,7,FALSE())
)</f>
        <v/>
      </c>
      <c r="BX111" s="80" t="str">
        <f aca="false">IF(BN111&gt;BM$7,
    "",
    VLOOKUP(BN111,BP$8:BV610,2,FALSE())
)</f>
        <v/>
      </c>
      <c r="BY111" s="80" t="str">
        <f aca="false">IF(BN111&gt;BM$7,
    "",
    VLOOKUP(BN111,BP$8:BV610,3,FALSE())
)</f>
        <v/>
      </c>
      <c r="BZ111" s="80" t="str">
        <f aca="false">IF(BN111&gt;BM$7,
    "",
    VLOOKUP(BN111,BP$8:BV610,4,FALSE())
)</f>
        <v/>
      </c>
      <c r="CA111" s="80" t="str">
        <f aca="false">IF(BN111&gt;BM$7,
    "",
    VLOOKUP(BN111,BP$8:BV610,5,FALSE())
)</f>
        <v/>
      </c>
      <c r="CB111" s="81" t="str">
        <f aca="false">IF(BN111&gt;BM$7,
    "",
    VLOOKUP(BN111,BP$8:BV610,6,FALSE())
)</f>
        <v/>
      </c>
      <c r="CC111" s="53"/>
    </row>
    <row r="112" customFormat="false" ht="15.75" hidden="false" customHeight="false" outlineLevel="0" collapsed="false">
      <c r="A112" s="5"/>
      <c r="B112" s="129"/>
      <c r="C112" s="55"/>
      <c r="D112" s="56"/>
      <c r="E112" s="123"/>
      <c r="F112" s="123"/>
      <c r="G112" s="58"/>
      <c r="H112" s="59"/>
      <c r="I112" s="59"/>
      <c r="J112" s="83"/>
      <c r="K112" s="83"/>
      <c r="L112" s="83"/>
      <c r="M112" s="61"/>
      <c r="N112" s="61"/>
      <c r="O112" s="61"/>
      <c r="P112" s="62"/>
      <c r="Q112" s="63"/>
      <c r="R112" s="83"/>
      <c r="S112" s="65"/>
      <c r="T112" s="66"/>
      <c r="U112" s="66" t="str">
        <f aca="false">IF(ISBLANK($C112),"",IF(G112=Constants!$B$2, TRUE(), IF(G112=Constants!$B$3, FALSE(), TRUE())))</f>
        <v/>
      </c>
      <c r="V112" s="66" t="str">
        <f aca="false">IF(ISBLANK($C112),"",IF(H112=Constants!$B$2, TRUE(), IF(H112=Constants!$B$3, FALSE(), TRUE())))</f>
        <v/>
      </c>
      <c r="W112" s="66" t="str">
        <f aca="false">IF(ISBLANK($C112),"",IF(I112=Constants!$B$2, TRUE(), IF(I112=Constants!$B$3, FALSE(), TRUE())))</f>
        <v/>
      </c>
      <c r="X112" s="66" t="str">
        <f aca="false">IF(ISBLANK($C112),"",IF(AND(ISNUMBER(J112),J112&gt;0),INT(J112),0))</f>
        <v/>
      </c>
      <c r="Y112" s="66" t="str">
        <f aca="false">IF(ISBLANK($C112),"",IF(K112=Constants!$B$2, TRUE(), IF(K112=Constants!$B$3, FALSE(), TRUE())))</f>
        <v/>
      </c>
      <c r="Z112" s="66" t="str">
        <f aca="false">IF(ISBLANK($C112),"",IF(AND(ISNUMBER(L112),L112&gt;0),INT(L112),0))</f>
        <v/>
      </c>
      <c r="AA112" s="68" t="str">
        <f aca="false">IF(ISBLANK($C112),"",IF(ISNUMBER(M112), M112, ""))</f>
        <v/>
      </c>
      <c r="AB112" s="68" t="str">
        <f aca="false">IF(ISBLANK($C112),"",IF(ISNUMBER(N112), N112, ""))</f>
        <v/>
      </c>
      <c r="AC112" s="68" t="str">
        <f aca="false">IF(ISBLANK($C112),"",IF(ISNUMBER(O112), O112, ""))</f>
        <v/>
      </c>
      <c r="AD112" s="69" t="str">
        <f aca="false">IF(ISBLANK($C112),"",IF(ISNUMBER(P112), P112, ""))</f>
        <v/>
      </c>
      <c r="AE112" s="69" t="str">
        <f aca="false">IF(ISBLANK($C112),"",IF(ISNUMBER(Q112), Q112, Constants!$B$13))</f>
        <v/>
      </c>
      <c r="AF112" s="66" t="str">
        <f aca="false">IF(ISBLANK($C112),"",IF(R112=Constants!$B$2, TRUE(), IF(R112=Constants!$B$3, FALSE(), FALSE())))</f>
        <v/>
      </c>
      <c r="AG112" s="66" t="str">
        <f aca="false">IF(ISBLANK(C112), "", IF(AF112, Constants!$B$4,IF(COUNTA(G112:P112)=0, Constants!$B$5, Constants!$B$7)))</f>
        <v/>
      </c>
      <c r="AH112" s="66" t="str">
        <f aca="false">IF(ISBLANK($C112), "",IF($AG112=Constants!$B$7,1,$AG112))</f>
        <v/>
      </c>
      <c r="AI112" s="66" t="str">
        <f aca="false">IF($AG112=Constants!$B$7,POWER(Constants!$B$11,X112)*POWER(Constants!$B$12,Z112),"")</f>
        <v/>
      </c>
      <c r="AJ112" s="66" t="str">
        <f aca="false">IF(AND($AG112=Constants!$B$7, U112, V112) ,IF(OR($AA112="",$AC112=""),"",MAX(0, $AC112-$AA112)),"")</f>
        <v/>
      </c>
      <c r="AK112" s="66" t="str">
        <f aca="false">IF(AND($AG112=Constants!$B$7, U112, V112),IF(OR($AA112="",$AC112=""),$AK$6,""),"")</f>
        <v/>
      </c>
      <c r="AL112" s="66" t="str">
        <f aca="false">IF($AG112=Constants!$B$7,IF(AND(U112,V112,W112,Y112),IF($AJ112="",0,IF($AJ$6=0,Constants!$B$9,Constants!$B$9*AJ112/$AJ$6)), 0),"")</f>
        <v/>
      </c>
      <c r="AM112" s="66" t="str">
        <f aca="false">IF(AL112&lt;&gt;"", AL112*AI112,"")</f>
        <v/>
      </c>
      <c r="AN112" s="66" t="str">
        <f aca="false">IF(AND($AG112=Constants!$B$7, U112, V112) ,IF($AB112="", "", IF(OR($AC112="",$AC112=0),"",MAX(0,1-ABS($AC112-$AB112)/$AC112))),"")</f>
        <v/>
      </c>
      <c r="AO112" s="66" t="str">
        <f aca="false">IF(AND($AG112=Constants!$B$7, U112, V112),IF(AND($AA112&lt;&gt;"",$AB112&lt;&gt;"",$AC112=0),$AO$6,""),"")</f>
        <v/>
      </c>
      <c r="AP112" s="66" t="str">
        <f aca="false">IF($AG112=Constants!$B$7 ,IF(AND(U112,V112,W112,Y112,ISNUMBER(AB112)),IF($AN112="",0,IF($AN$6=0,Constants!$B$10,Constants!$B$10*AN112/$AN$6)), 0),"")</f>
        <v/>
      </c>
      <c r="AQ112" s="66" t="str">
        <f aca="false">IF(AP112&lt;&gt;"", AP112*AI112,"")</f>
        <v/>
      </c>
      <c r="AR112" s="66" t="str">
        <f aca="false">IF($AG112=Constants!$B$7,IF($AD112="",0,IF($AR$6=0,Constants!$B$8,Constants!$B$8*AD112/$AR$6)),"")</f>
        <v/>
      </c>
      <c r="AS112" s="66" t="str">
        <f aca="false">IF($AG112&lt;&gt;Constants!$B$7,$AG112,IF(AK112&amp;AO112&lt;&gt;"",Constants!$B$14,AM112+AQ112+AR112))</f>
        <v/>
      </c>
      <c r="AT112" s="66" t="str">
        <f aca="false">IF(ISBLANK($C112),"",IF($AG112=Constants!$B$7,IF(ISNUMBER(AS112),RANK(AS112,$AS$8:$AS$507),Constants!$B$14),$AG112))</f>
        <v/>
      </c>
      <c r="AU112" s="66" t="str">
        <f aca="false">IF(ISBLANK($C112), "",AM112)</f>
        <v/>
      </c>
      <c r="AV112" s="66" t="str">
        <f aca="false">IF(ISBLANK($C112),"",IF($AG112=Constants!$B$7,RANK(AU112,AU$8:AU$507),$AG112))</f>
        <v/>
      </c>
      <c r="AW112" s="66" t="str">
        <f aca="false">IF(ISBLANK($C112), "",AR112)</f>
        <v/>
      </c>
      <c r="AX112" s="66" t="str">
        <f aca="false">IF(ISBLANK($C112),"",IF($AG112=Constants!$B$7,RANK(AW112,AW$8:AW$507),$AG112))</f>
        <v/>
      </c>
      <c r="AY112" s="66" t="str">
        <f aca="false">IF(ISBLANK($C112), "",AE112)</f>
        <v/>
      </c>
      <c r="AZ112" s="66" t="str">
        <f aca="false">IF(ISBLANK($C112),"",
IF($AG112=Constants!$B$7,
  IF(ISNUMBER(AT112),
    COUNTIFS($AT$8:$AT$507,"&lt;"&amp;$AT112)
    + COUNTIFS($AT$8:$AT$507,$AT112,$AV$8:$AV$507,"&lt;"&amp;$AV112)
    + COUNTIFS($AT$8:$AT$507,$AT112,$AV$8:$AV$507,$AV112,$AX$8:$AX$507,"&lt;"&amp;$AX112)
    + COUNTIFS($AT$8:$AT$507,$AT112,$AV$8:$AV$507,$AV112,$AX$8:$AX$507,$AX112,$AY$8:$AY$507,"&lt;"&amp;$AY112)
    + 1,
  Constants!$B$14),
$AG112))</f>
        <v/>
      </c>
      <c r="BA112" s="66" t="str">
        <f aca="false">IF(ISBLANK(C112),"",IF($AG112=Constants!$B$7, IF(ISNUMBER(AT112),AT112-AZ112,Constants!$B$14),$AG112))</f>
        <v/>
      </c>
      <c r="BB112" s="70"/>
      <c r="BC112" s="84" t="str">
        <f aca="false">IF(ISBLANK($C112),"",TRIM(AK112&amp;" "&amp;AO112))</f>
        <v/>
      </c>
      <c r="BD112" s="72" t="str">
        <f aca="false">IF(ISBLANK($C112),"",IF($AG112&lt;&gt;Constants!$B$7,$AG112,AR112))</f>
        <v/>
      </c>
      <c r="BE112" s="72" t="str">
        <f aca="false">IF(ISBLANK($C112),"",IF($AG112&lt;&gt;Constants!$B$7,$AG112,AM112))</f>
        <v/>
      </c>
      <c r="BF112" s="72" t="str">
        <f aca="false">IF(ISBLANK($C112),"",IF($AG112&lt;&gt;Constants!$B$7,$AG112,AQ112))</f>
        <v/>
      </c>
      <c r="BG112" s="73" t="str">
        <f aca="false">IF(ISBLANK($C112),"",IF($AG112&lt;&gt;Constants!$B$7, $AG112 ,AS112))</f>
        <v/>
      </c>
      <c r="BH112" s="74" t="str">
        <f aca="false">IF(ISBLANK($C112),"",IF($AG112&lt;&gt;Constants!$B$7, $AG112 ,AH112))</f>
        <v/>
      </c>
      <c r="BI112" s="72" t="str">
        <f aca="false">IF(ISBLANK(C112),"",BA112)</f>
        <v/>
      </c>
      <c r="BJ112" s="72" t="str">
        <f aca="false">IF(ISBLANK(C112),"",AZ112)</f>
        <v/>
      </c>
      <c r="BK112" s="75" t="str">
        <f aca="false">IF(ISBLANK(C112),"",IFERROR(_xlfn.SWITCH(BJ112, Constants!$B$4, COUNTA($C$8:$C611)+2, Constants!$B$5, COUNTA($C$8:$C611)+1, Constants!$B$6, COUNTA($C$8:$C611)),BJ112))</f>
        <v/>
      </c>
      <c r="BL112" s="5"/>
      <c r="BM112" s="76" t="n">
        <f aca="false">IF(OR(ISNUMBER(BJ112),BJ112="DQ",BJ112="P",BJ112="NS"),
    1,
    0
)</f>
        <v>0</v>
      </c>
      <c r="BN112" s="76" t="n">
        <v>105</v>
      </c>
      <c r="BO112" s="76" t="str">
        <f aca="false">IF(ISBLANK($C112),"",IF(ISNUMBER(BK112),BK112+ROW($B112)/1000,""))</f>
        <v/>
      </c>
      <c r="BP112" s="76" t="str">
        <f aca="false">IF(ISNUMBER(BO112), RANK(BO112,BO$8:BO$507,1), "")</f>
        <v/>
      </c>
      <c r="BQ112" s="76" t="str">
        <f aca="false">IF(ISBLANK($C112),
    "",
    $B112
)</f>
        <v/>
      </c>
      <c r="BR112" s="76" t="str">
        <f aca="false">IF(ISBLANK($C112),
    "",
    $C112
)</f>
        <v/>
      </c>
      <c r="BS112" s="76" t="str">
        <f aca="false">IF(ISBLANK($C112),
    "",
    $D112
)</f>
        <v/>
      </c>
      <c r="BT112" s="77" t="str">
        <f aca="false">BH112</f>
        <v/>
      </c>
      <c r="BU112" s="78" t="str">
        <f aca="false">BG112</f>
        <v/>
      </c>
      <c r="BV112" s="76" t="str">
        <f aca="false">IF(ISBLANK($C112),
    "",
    BJ112
)</f>
        <v/>
      </c>
      <c r="BW112" s="79" t="str">
        <f aca="false">IF(BN112&gt;BM$7,
    "",
    VLOOKUP(BN112,BP$8:BV611,7,FALSE())
)</f>
        <v/>
      </c>
      <c r="BX112" s="80" t="str">
        <f aca="false">IF(BN112&gt;BM$7,
    "",
    VLOOKUP(BN112,BP$8:BV611,2,FALSE())
)</f>
        <v/>
      </c>
      <c r="BY112" s="80" t="str">
        <f aca="false">IF(BN112&gt;BM$7,
    "",
    VLOOKUP(BN112,BP$8:BV611,3,FALSE())
)</f>
        <v/>
      </c>
      <c r="BZ112" s="80" t="str">
        <f aca="false">IF(BN112&gt;BM$7,
    "",
    VLOOKUP(BN112,BP$8:BV611,4,FALSE())
)</f>
        <v/>
      </c>
      <c r="CA112" s="80" t="str">
        <f aca="false">IF(BN112&gt;BM$7,
    "",
    VLOOKUP(BN112,BP$8:BV611,5,FALSE())
)</f>
        <v/>
      </c>
      <c r="CB112" s="81" t="str">
        <f aca="false">IF(BN112&gt;BM$7,
    "",
    VLOOKUP(BN112,BP$8:BV611,6,FALSE())
)</f>
        <v/>
      </c>
      <c r="CC112" s="53"/>
    </row>
    <row r="113" customFormat="false" ht="15.75" hidden="false" customHeight="false" outlineLevel="0" collapsed="false">
      <c r="A113" s="5"/>
      <c r="B113" s="125"/>
      <c r="C113" s="126"/>
      <c r="D113" s="115"/>
      <c r="E113" s="119"/>
      <c r="F113" s="119"/>
      <c r="G113" s="91"/>
      <c r="H113" s="92"/>
      <c r="I113" s="92"/>
      <c r="J113" s="128"/>
      <c r="K113" s="128"/>
      <c r="L113" s="128"/>
      <c r="M113" s="94"/>
      <c r="N113" s="94"/>
      <c r="O113" s="94"/>
      <c r="P113" s="95"/>
      <c r="Q113" s="96"/>
      <c r="R113" s="128"/>
      <c r="S113" s="98"/>
      <c r="T113" s="99"/>
      <c r="U113" s="99" t="str">
        <f aca="false">IF(ISBLANK($C113),"",IF(G113=Constants!$B$2, TRUE(), IF(G113=Constants!$B$3, FALSE(), TRUE())))</f>
        <v/>
      </c>
      <c r="V113" s="99" t="str">
        <f aca="false">IF(ISBLANK($C113),"",IF(H113=Constants!$B$2, TRUE(), IF(H113=Constants!$B$3, FALSE(), TRUE())))</f>
        <v/>
      </c>
      <c r="W113" s="99" t="str">
        <f aca="false">IF(ISBLANK($C113),"",IF(I113=Constants!$B$2, TRUE(), IF(I113=Constants!$B$3, FALSE(), TRUE())))</f>
        <v/>
      </c>
      <c r="X113" s="99" t="str">
        <f aca="false">IF(ISBLANK($C113),"",IF(AND(ISNUMBER(J113),J113&gt;0),INT(J113),0))</f>
        <v/>
      </c>
      <c r="Y113" s="99" t="str">
        <f aca="false">IF(ISBLANK($C113),"",IF(K113=Constants!$B$2, TRUE(), IF(K113=Constants!$B$3, FALSE(), TRUE())))</f>
        <v/>
      </c>
      <c r="Z113" s="100" t="str">
        <f aca="false">IF(ISBLANK($C113),"",IF(AND(ISNUMBER(L113),L113&gt;0),INT(L113),0))</f>
        <v/>
      </c>
      <c r="AA113" s="101" t="str">
        <f aca="false">IF(ISBLANK($C113),"",IF(ISNUMBER(M113), M113, ""))</f>
        <v/>
      </c>
      <c r="AB113" s="101" t="str">
        <f aca="false">IF(ISBLANK($C113),"",IF(ISNUMBER(N113), N113, ""))</f>
        <v/>
      </c>
      <c r="AC113" s="101" t="str">
        <f aca="false">IF(ISBLANK($C113),"",IF(ISNUMBER(O113), O113, ""))</f>
        <v/>
      </c>
      <c r="AD113" s="102" t="str">
        <f aca="false">IF(ISBLANK($C113),"",IF(ISNUMBER(P113), P113, ""))</f>
        <v/>
      </c>
      <c r="AE113" s="102" t="str">
        <f aca="false">IF(ISBLANK($C113),"",IF(ISNUMBER(Q113), Q113, Constants!$B$13))</f>
        <v/>
      </c>
      <c r="AF113" s="99" t="str">
        <f aca="false">IF(ISBLANK($C113),"",IF(R113=Constants!$B$2, TRUE(), IF(R113=Constants!$B$3, FALSE(), FALSE())))</f>
        <v/>
      </c>
      <c r="AG113" s="99" t="str">
        <f aca="false">IF(ISBLANK(C113), "", IF(AF113, Constants!$B$4,IF(COUNTA(G113:P113)=0, Constants!$B$5, Constants!$B$7)))</f>
        <v/>
      </c>
      <c r="AH113" s="99" t="str">
        <f aca="false">IF(ISBLANK($C113), "",IF($AG113=Constants!$B$7,1,$AG113))</f>
        <v/>
      </c>
      <c r="AI113" s="99" t="str">
        <f aca="false">IF($AG113=Constants!$B$7,POWER(Constants!$B$11,X113)*POWER(Constants!$B$12,Z113),"")</f>
        <v/>
      </c>
      <c r="AJ113" s="99" t="str">
        <f aca="false">IF(AND($AG113=Constants!$B$7, U113, V113) ,IF(OR($AA113="",$AC113=""),"",MAX(0, $AC113-$AA113)),"")</f>
        <v/>
      </c>
      <c r="AK113" s="99" t="str">
        <f aca="false">IF(AND($AG113=Constants!$B$7, U113, V113),IF(OR($AA113="",$AC113=""),$AK$6,""),"")</f>
        <v/>
      </c>
      <c r="AL113" s="99" t="str">
        <f aca="false">IF($AG113=Constants!$B$7,IF(AND(U113,V113,W113,Y113),IF($AJ113="",0,IF($AJ$6=0,Constants!$B$9,Constants!$B$9*AJ113/$AJ$6)), 0),"")</f>
        <v/>
      </c>
      <c r="AM113" s="99" t="str">
        <f aca="false">IF(AL113&lt;&gt;"", AL113*AI113,"")</f>
        <v/>
      </c>
      <c r="AN113" s="99" t="str">
        <f aca="false">IF(AND($AG113=Constants!$B$7, U113, V113) ,IF($AB113="", "", IF(OR($AC113="",$AC113=0),"",MAX(0,1-ABS($AC113-$AB113)/$AC113))),"")</f>
        <v/>
      </c>
      <c r="AO113" s="99" t="str">
        <f aca="false">IF(AND($AG113=Constants!$B$7, U113, V113),IF(AND($AA113&lt;&gt;"",$AB113&lt;&gt;"",$AC113=0),$AO$6,""),"")</f>
        <v/>
      </c>
      <c r="AP113" s="99" t="str">
        <f aca="false">IF($AG113=Constants!$B$7 ,IF(AND(U113,V113,W113,Y113,ISNUMBER(AB113)),IF($AN113="",0,IF($AN$6=0,Constants!$B$10,Constants!$B$10*AN113/$AN$6)), 0),"")</f>
        <v/>
      </c>
      <c r="AQ113" s="99" t="str">
        <f aca="false">IF(AP113&lt;&gt;"", AP113*AI113,"")</f>
        <v/>
      </c>
      <c r="AR113" s="99" t="str">
        <f aca="false">IF($AG113=Constants!$B$7,IF($AD113="",0,IF($AR$6=0,Constants!$B$8,Constants!$B$8*AD113/$AR$6)),"")</f>
        <v/>
      </c>
      <c r="AS113" s="99" t="str">
        <f aca="false">IF($AG113&lt;&gt;Constants!$B$7,$AG113,IF(AK113&amp;AO113&lt;&gt;"",Constants!$B$14,AM113+AQ113+AR113))</f>
        <v/>
      </c>
      <c r="AT113" s="99" t="str">
        <f aca="false">IF(ISBLANK($C113),"",IF($AG113=Constants!$B$7,IF(ISNUMBER(AS113),RANK(AS113,$AS$8:$AS$507),Constants!$B$14),$AG113))</f>
        <v/>
      </c>
      <c r="AU113" s="99" t="str">
        <f aca="false">IF(ISBLANK($C113), "",AM113)</f>
        <v/>
      </c>
      <c r="AV113" s="99" t="str">
        <f aca="false">IF(ISBLANK($C113),"",IF($AG113=Constants!$B$7,RANK(AU113,AU$8:AU$507),$AG113))</f>
        <v/>
      </c>
      <c r="AW113" s="99" t="str">
        <f aca="false">IF(ISBLANK($C113), "",AR113)</f>
        <v/>
      </c>
      <c r="AX113" s="99" t="str">
        <f aca="false">IF(ISBLANK($C113),"",IF($AG113=Constants!$B$7,RANK(AW113,AW$8:AW$507),$AG113))</f>
        <v/>
      </c>
      <c r="AY113" s="99" t="str">
        <f aca="false">IF(ISBLANK($C113), "",AE113)</f>
        <v/>
      </c>
      <c r="AZ113" s="99" t="str">
        <f aca="false">IF(ISBLANK($C113),"",
IF($AG113=Constants!$B$7,
  IF(ISNUMBER(AT113),
    COUNTIFS($AT$8:$AT$507,"&lt;"&amp;$AT113)
    + COUNTIFS($AT$8:$AT$507,$AT113,$AV$8:$AV$507,"&lt;"&amp;$AV113)
    + COUNTIFS($AT$8:$AT$507,$AT113,$AV$8:$AV$507,$AV113,$AX$8:$AX$507,"&lt;"&amp;$AX113)
    + COUNTIFS($AT$8:$AT$507,$AT113,$AV$8:$AV$507,$AV113,$AX$8:$AX$507,$AX113,$AY$8:$AY$507,"&lt;"&amp;$AY113)
    + 1,
  Constants!$B$14),
$AG113))</f>
        <v/>
      </c>
      <c r="BA113" s="99" t="str">
        <f aca="false">IF(ISBLANK(C113),"",IF($AG113=Constants!$B$7, IF(ISNUMBER(AT113),AT113-AZ113,Constants!$B$14),$AG113))</f>
        <v/>
      </c>
      <c r="BB113" s="103"/>
      <c r="BC113" s="104" t="str">
        <f aca="false">IF(ISBLANK($C113),"",TRIM(AK113&amp;" "&amp;AO113))</f>
        <v/>
      </c>
      <c r="BD113" s="105" t="str">
        <f aca="false">IF(ISBLANK($C113),"",IF($AG113&lt;&gt;Constants!$B$7,$AG113,AR113))</f>
        <v/>
      </c>
      <c r="BE113" s="105" t="str">
        <f aca="false">IF(ISBLANK($C113),"",IF($AG113&lt;&gt;Constants!$B$7,$AG113,AM113))</f>
        <v/>
      </c>
      <c r="BF113" s="105" t="str">
        <f aca="false">IF(ISBLANK($C113),"",IF($AG113&lt;&gt;Constants!$B$7,$AG113,AQ113))</f>
        <v/>
      </c>
      <c r="BG113" s="106" t="str">
        <f aca="false">IF(ISBLANK($C113),"",IF($AG113&lt;&gt;Constants!$B$7, $AG113 ,AS113))</f>
        <v/>
      </c>
      <c r="BH113" s="107" t="str">
        <f aca="false">IF(ISBLANK($C113),"",IF($AG113&lt;&gt;Constants!$B$7, $AG113 ,AH113))</f>
        <v/>
      </c>
      <c r="BI113" s="105" t="str">
        <f aca="false">IF(ISBLANK(C113),"",BA113)</f>
        <v/>
      </c>
      <c r="BJ113" s="105" t="str">
        <f aca="false">IF(ISBLANK(C113),"",AZ113)</f>
        <v/>
      </c>
      <c r="BK113" s="108" t="str">
        <f aca="false">IF(ISBLANK(C113),"",IFERROR(_xlfn.SWITCH(BJ113, Constants!$B$4, COUNTA($C$8:$C612)+2, Constants!$B$5, COUNTA($C$8:$C612)+1, Constants!$B$6, COUNTA($C$8:$C612)),BJ113))</f>
        <v/>
      </c>
      <c r="BL113" s="5"/>
      <c r="BM113" s="109" t="n">
        <f aca="false">IF(OR(ISNUMBER(BJ113),BJ113="DQ",BJ113="P",BJ113="NS"),
    1,
    0
)</f>
        <v>0</v>
      </c>
      <c r="BN113" s="109" t="n">
        <v>106</v>
      </c>
      <c r="BO113" s="109" t="str">
        <f aca="false">IF(ISBLANK($C113),"",IF(ISNUMBER(BK113),BK113+ROW($B113)/1000,""))</f>
        <v/>
      </c>
      <c r="BP113" s="109" t="str">
        <f aca="false">IF(ISNUMBER(BO113), RANK(BO113,BO$8:BO$507,1), "")</f>
        <v/>
      </c>
      <c r="BQ113" s="109" t="str">
        <f aca="false">IF(ISBLANK($C113),
    "",
    $B113
)</f>
        <v/>
      </c>
      <c r="BR113" s="109" t="str">
        <f aca="false">IF(ISBLANK($C113),
    "",
    $C113
)</f>
        <v/>
      </c>
      <c r="BS113" s="109" t="str">
        <f aca="false">IF(ISBLANK($C113),
    "",
    $D113
)</f>
        <v/>
      </c>
      <c r="BT113" s="110" t="str">
        <f aca="false">BH113</f>
        <v/>
      </c>
      <c r="BU113" s="111" t="str">
        <f aca="false">BG113</f>
        <v/>
      </c>
      <c r="BV113" s="109" t="str">
        <f aca="false">IF(ISBLANK($C113),
    "",
    BJ113
)</f>
        <v/>
      </c>
      <c r="BW113" s="112" t="str">
        <f aca="false">IF(BN113&gt;BM$7,
    "",
    VLOOKUP(BN113,BP$8:BV612,7,FALSE())
)</f>
        <v/>
      </c>
      <c r="BX113" s="113" t="str">
        <f aca="false">IF(BN113&gt;BM$7,
    "",
    VLOOKUP(BN113,BP$8:BV612,2,FALSE())
)</f>
        <v/>
      </c>
      <c r="BY113" s="113" t="str">
        <f aca="false">IF(BN113&gt;BM$7,
    "",
    VLOOKUP(BN113,BP$8:BV612,3,FALSE())
)</f>
        <v/>
      </c>
      <c r="BZ113" s="113" t="str">
        <f aca="false">IF(BN113&gt;BM$7,
    "",
    VLOOKUP(BN113,BP$8:BV612,4,FALSE())
)</f>
        <v/>
      </c>
      <c r="CA113" s="113" t="str">
        <f aca="false">IF(BN113&gt;BM$7,
    "",
    VLOOKUP(BN113,BP$8:BV612,5,FALSE())
)</f>
        <v/>
      </c>
      <c r="CB113" s="114" t="str">
        <f aca="false">IF(BN113&gt;BM$7,
    "",
    VLOOKUP(BN113,BP$8:BV612,6,FALSE())
)</f>
        <v/>
      </c>
      <c r="CC113" s="53"/>
    </row>
    <row r="114" customFormat="false" ht="15.75" hidden="false" customHeight="false" outlineLevel="0" collapsed="false">
      <c r="A114" s="5"/>
      <c r="B114" s="125"/>
      <c r="C114" s="126"/>
      <c r="D114" s="115"/>
      <c r="E114" s="119"/>
      <c r="F114" s="119"/>
      <c r="G114" s="91"/>
      <c r="H114" s="92"/>
      <c r="I114" s="92"/>
      <c r="J114" s="128"/>
      <c r="K114" s="128"/>
      <c r="L114" s="128"/>
      <c r="M114" s="94"/>
      <c r="N114" s="94"/>
      <c r="O114" s="94"/>
      <c r="P114" s="95"/>
      <c r="Q114" s="96"/>
      <c r="R114" s="128"/>
      <c r="S114" s="98"/>
      <c r="T114" s="99"/>
      <c r="U114" s="99" t="str">
        <f aca="false">IF(ISBLANK($C114),"",IF(G114=Constants!$B$2, TRUE(), IF(G114=Constants!$B$3, FALSE(), TRUE())))</f>
        <v/>
      </c>
      <c r="V114" s="99" t="str">
        <f aca="false">IF(ISBLANK($C114),"",IF(H114=Constants!$B$2, TRUE(), IF(H114=Constants!$B$3, FALSE(), TRUE())))</f>
        <v/>
      </c>
      <c r="W114" s="99" t="str">
        <f aca="false">IF(ISBLANK($C114),"",IF(I114=Constants!$B$2, TRUE(), IF(I114=Constants!$B$3, FALSE(), TRUE())))</f>
        <v/>
      </c>
      <c r="X114" s="99" t="str">
        <f aca="false">IF(ISBLANK($C114),"",IF(AND(ISNUMBER(J114),J114&gt;0),INT(J114),0))</f>
        <v/>
      </c>
      <c r="Y114" s="99" t="str">
        <f aca="false">IF(ISBLANK($C114),"",IF(K114=Constants!$B$2, TRUE(), IF(K114=Constants!$B$3, FALSE(), TRUE())))</f>
        <v/>
      </c>
      <c r="Z114" s="100" t="str">
        <f aca="false">IF(ISBLANK($C114),"",IF(AND(ISNUMBER(L114),L114&gt;0),INT(L114),0))</f>
        <v/>
      </c>
      <c r="AA114" s="101" t="str">
        <f aca="false">IF(ISBLANK($C114),"",IF(ISNUMBER(M114), M114, ""))</f>
        <v/>
      </c>
      <c r="AB114" s="101" t="str">
        <f aca="false">IF(ISBLANK($C114),"",IF(ISNUMBER(N114), N114, ""))</f>
        <v/>
      </c>
      <c r="AC114" s="101" t="str">
        <f aca="false">IF(ISBLANK($C114),"",IF(ISNUMBER(O114), O114, ""))</f>
        <v/>
      </c>
      <c r="AD114" s="102" t="str">
        <f aca="false">IF(ISBLANK($C114),"",IF(ISNUMBER(P114), P114, ""))</f>
        <v/>
      </c>
      <c r="AE114" s="102" t="str">
        <f aca="false">IF(ISBLANK($C114),"",IF(ISNUMBER(Q114), Q114, Constants!$B$13))</f>
        <v/>
      </c>
      <c r="AF114" s="99" t="str">
        <f aca="false">IF(ISBLANK($C114),"",IF(R114=Constants!$B$2, TRUE(), IF(R114=Constants!$B$3, FALSE(), FALSE())))</f>
        <v/>
      </c>
      <c r="AG114" s="99" t="str">
        <f aca="false">IF(ISBLANK(C114), "", IF(AF114, Constants!$B$4,IF(COUNTA(G114:P114)=0, Constants!$B$5, Constants!$B$7)))</f>
        <v/>
      </c>
      <c r="AH114" s="99" t="str">
        <f aca="false">IF(ISBLANK($C114), "",IF($AG114=Constants!$B$7,1,$AG114))</f>
        <v/>
      </c>
      <c r="AI114" s="99" t="str">
        <f aca="false">IF($AG114=Constants!$B$7,POWER(Constants!$B$11,X114)*POWER(Constants!$B$12,Z114),"")</f>
        <v/>
      </c>
      <c r="AJ114" s="99" t="str">
        <f aca="false">IF(AND($AG114=Constants!$B$7, U114, V114) ,IF(OR($AA114="",$AC114=""),"",MAX(0, $AC114-$AA114)),"")</f>
        <v/>
      </c>
      <c r="AK114" s="99" t="str">
        <f aca="false">IF(AND($AG114=Constants!$B$7, U114, V114),IF(OR($AA114="",$AC114=""),$AK$6,""),"")</f>
        <v/>
      </c>
      <c r="AL114" s="99" t="str">
        <f aca="false">IF($AG114=Constants!$B$7,IF(AND(U114,V114,W114,Y114),IF($AJ114="",0,IF($AJ$6=0,Constants!$B$9,Constants!$B$9*AJ114/$AJ$6)), 0),"")</f>
        <v/>
      </c>
      <c r="AM114" s="99" t="str">
        <f aca="false">IF(AL114&lt;&gt;"", AL114*AI114,"")</f>
        <v/>
      </c>
      <c r="AN114" s="99" t="str">
        <f aca="false">IF(AND($AG114=Constants!$B$7, U114, V114) ,IF($AB114="", "", IF(OR($AC114="",$AC114=0),"",MAX(0,1-ABS($AC114-$AB114)/$AC114))),"")</f>
        <v/>
      </c>
      <c r="AO114" s="99" t="str">
        <f aca="false">IF(AND($AG114=Constants!$B$7, U114, V114),IF(AND($AA114&lt;&gt;"",$AB114&lt;&gt;"",$AC114=0),$AO$6,""),"")</f>
        <v/>
      </c>
      <c r="AP114" s="99" t="str">
        <f aca="false">IF($AG114=Constants!$B$7 ,IF(AND(U114,V114,W114,Y114,ISNUMBER(AB114)),IF($AN114="",0,IF($AN$6=0,Constants!$B$10,Constants!$B$10*AN114/$AN$6)), 0),"")</f>
        <v/>
      </c>
      <c r="AQ114" s="99" t="str">
        <f aca="false">IF(AP114&lt;&gt;"", AP114*AI114,"")</f>
        <v/>
      </c>
      <c r="AR114" s="99" t="str">
        <f aca="false">IF($AG114=Constants!$B$7,IF($AD114="",0,IF($AR$6=0,Constants!$B$8,Constants!$B$8*AD114/$AR$6)),"")</f>
        <v/>
      </c>
      <c r="AS114" s="99" t="str">
        <f aca="false">IF($AG114&lt;&gt;Constants!$B$7,$AG114,IF(AK114&amp;AO114&lt;&gt;"",Constants!$B$14,AM114+AQ114+AR114))</f>
        <v/>
      </c>
      <c r="AT114" s="99" t="str">
        <f aca="false">IF(ISBLANK($C114),"",IF($AG114=Constants!$B$7,IF(ISNUMBER(AS114),RANK(AS114,$AS$8:$AS$507),Constants!$B$14),$AG114))</f>
        <v/>
      </c>
      <c r="AU114" s="99" t="str">
        <f aca="false">IF(ISBLANK($C114), "",AM114)</f>
        <v/>
      </c>
      <c r="AV114" s="99" t="str">
        <f aca="false">IF(ISBLANK($C114),"",IF($AG114=Constants!$B$7,RANK(AU114,AU$8:AU$507),$AG114))</f>
        <v/>
      </c>
      <c r="AW114" s="99" t="str">
        <f aca="false">IF(ISBLANK($C114), "",AR114)</f>
        <v/>
      </c>
      <c r="AX114" s="99" t="str">
        <f aca="false">IF(ISBLANK($C114),"",IF($AG114=Constants!$B$7,RANK(AW114,AW$8:AW$507),$AG114))</f>
        <v/>
      </c>
      <c r="AY114" s="99" t="str">
        <f aca="false">IF(ISBLANK($C114), "",AE114)</f>
        <v/>
      </c>
      <c r="AZ114" s="99" t="str">
        <f aca="false">IF(ISBLANK($C114),"",
IF($AG114=Constants!$B$7,
  IF(ISNUMBER(AT114),
    COUNTIFS($AT$8:$AT$507,"&lt;"&amp;$AT114)
    + COUNTIFS($AT$8:$AT$507,$AT114,$AV$8:$AV$507,"&lt;"&amp;$AV114)
    + COUNTIFS($AT$8:$AT$507,$AT114,$AV$8:$AV$507,$AV114,$AX$8:$AX$507,"&lt;"&amp;$AX114)
    + COUNTIFS($AT$8:$AT$507,$AT114,$AV$8:$AV$507,$AV114,$AX$8:$AX$507,$AX114,$AY$8:$AY$507,"&lt;"&amp;$AY114)
    + 1,
  Constants!$B$14),
$AG114))</f>
        <v/>
      </c>
      <c r="BA114" s="99" t="str">
        <f aca="false">IF(ISBLANK(C114),"",IF($AG114=Constants!$B$7, IF(ISNUMBER(AT114),AT114-AZ114,Constants!$B$14),$AG114))</f>
        <v/>
      </c>
      <c r="BB114" s="103"/>
      <c r="BC114" s="104" t="str">
        <f aca="false">IF(ISBLANK($C114),"",TRIM(AK114&amp;" "&amp;AO114))</f>
        <v/>
      </c>
      <c r="BD114" s="105" t="str">
        <f aca="false">IF(ISBLANK($C114),"",IF($AG114&lt;&gt;Constants!$B$7,$AG114,AR114))</f>
        <v/>
      </c>
      <c r="BE114" s="105" t="str">
        <f aca="false">IF(ISBLANK($C114),"",IF($AG114&lt;&gt;Constants!$B$7,$AG114,AM114))</f>
        <v/>
      </c>
      <c r="BF114" s="105" t="str">
        <f aca="false">IF(ISBLANK($C114),"",IF($AG114&lt;&gt;Constants!$B$7,$AG114,AQ114))</f>
        <v/>
      </c>
      <c r="BG114" s="106" t="str">
        <f aca="false">IF(ISBLANK($C114),"",IF($AG114&lt;&gt;Constants!$B$7, $AG114 ,AS114))</f>
        <v/>
      </c>
      <c r="BH114" s="107" t="str">
        <f aca="false">IF(ISBLANK($C114),"",IF($AG114&lt;&gt;Constants!$B$7, $AG114 ,AH114))</f>
        <v/>
      </c>
      <c r="BI114" s="105" t="str">
        <f aca="false">IF(ISBLANK(C114),"",BA114)</f>
        <v/>
      </c>
      <c r="BJ114" s="105" t="str">
        <f aca="false">IF(ISBLANK(C114),"",AZ114)</f>
        <v/>
      </c>
      <c r="BK114" s="108" t="str">
        <f aca="false">IF(ISBLANK(C114),"",IFERROR(_xlfn.SWITCH(BJ114, Constants!$B$4, COUNTA($C$8:$C613)+2, Constants!$B$5, COUNTA($C$8:$C613)+1, Constants!$B$6, COUNTA($C$8:$C613)),BJ114))</f>
        <v/>
      </c>
      <c r="BL114" s="5"/>
      <c r="BM114" s="109" t="n">
        <f aca="false">IF(OR(ISNUMBER(BJ114),BJ114="DQ",BJ114="P",BJ114="NS"),
    1,
    0
)</f>
        <v>0</v>
      </c>
      <c r="BN114" s="109" t="n">
        <v>107</v>
      </c>
      <c r="BO114" s="109" t="str">
        <f aca="false">IF(ISBLANK($C114),"",IF(ISNUMBER(BK114),BK114+ROW($B114)/1000,""))</f>
        <v/>
      </c>
      <c r="BP114" s="109" t="str">
        <f aca="false">IF(ISNUMBER(BO114), RANK(BO114,BO$8:BO$507,1), "")</f>
        <v/>
      </c>
      <c r="BQ114" s="109" t="str">
        <f aca="false">IF(ISBLANK($C114),
    "",
    $B114
)</f>
        <v/>
      </c>
      <c r="BR114" s="109" t="str">
        <f aca="false">IF(ISBLANK($C114),
    "",
    $C114
)</f>
        <v/>
      </c>
      <c r="BS114" s="109" t="str">
        <f aca="false">IF(ISBLANK($C114),
    "",
    $D114
)</f>
        <v/>
      </c>
      <c r="BT114" s="110" t="str">
        <f aca="false">BH114</f>
        <v/>
      </c>
      <c r="BU114" s="111" t="str">
        <f aca="false">BG114</f>
        <v/>
      </c>
      <c r="BV114" s="109" t="str">
        <f aca="false">IF(ISBLANK($C114),
    "",
    BJ114
)</f>
        <v/>
      </c>
      <c r="BW114" s="112" t="str">
        <f aca="false">IF(BN114&gt;BM$7,
    "",
    VLOOKUP(BN114,BP$8:BV613,7,FALSE())
)</f>
        <v/>
      </c>
      <c r="BX114" s="113" t="str">
        <f aca="false">IF(BN114&gt;BM$7,
    "",
    VLOOKUP(BN114,BP$8:BV613,2,FALSE())
)</f>
        <v/>
      </c>
      <c r="BY114" s="113" t="str">
        <f aca="false">IF(BN114&gt;BM$7,
    "",
    VLOOKUP(BN114,BP$8:BV613,3,FALSE())
)</f>
        <v/>
      </c>
      <c r="BZ114" s="113" t="str">
        <f aca="false">IF(BN114&gt;BM$7,
    "",
    VLOOKUP(BN114,BP$8:BV613,4,FALSE())
)</f>
        <v/>
      </c>
      <c r="CA114" s="113" t="str">
        <f aca="false">IF(BN114&gt;BM$7,
    "",
    VLOOKUP(BN114,BP$8:BV613,5,FALSE())
)</f>
        <v/>
      </c>
      <c r="CB114" s="114" t="str">
        <f aca="false">IF(BN114&gt;BM$7,
    "",
    VLOOKUP(BN114,BP$8:BV613,6,FALSE())
)</f>
        <v/>
      </c>
      <c r="CC114" s="53"/>
    </row>
    <row r="115" customFormat="false" ht="15.75" hidden="false" customHeight="false" outlineLevel="0" collapsed="false">
      <c r="A115" s="5"/>
      <c r="B115" s="125"/>
      <c r="C115" s="126"/>
      <c r="D115" s="115"/>
      <c r="E115" s="119"/>
      <c r="F115" s="119"/>
      <c r="G115" s="91"/>
      <c r="H115" s="92"/>
      <c r="I115" s="92"/>
      <c r="J115" s="128"/>
      <c r="K115" s="128"/>
      <c r="L115" s="128"/>
      <c r="M115" s="94"/>
      <c r="N115" s="94"/>
      <c r="O115" s="94"/>
      <c r="P115" s="95"/>
      <c r="Q115" s="96"/>
      <c r="R115" s="128"/>
      <c r="S115" s="98"/>
      <c r="T115" s="99"/>
      <c r="U115" s="99" t="str">
        <f aca="false">IF(ISBLANK($C115),"",IF(G115=Constants!$B$2, TRUE(), IF(G115=Constants!$B$3, FALSE(), TRUE())))</f>
        <v/>
      </c>
      <c r="V115" s="99" t="str">
        <f aca="false">IF(ISBLANK($C115),"",IF(H115=Constants!$B$2, TRUE(), IF(H115=Constants!$B$3, FALSE(), TRUE())))</f>
        <v/>
      </c>
      <c r="W115" s="99" t="str">
        <f aca="false">IF(ISBLANK($C115),"",IF(I115=Constants!$B$2, TRUE(), IF(I115=Constants!$B$3, FALSE(), TRUE())))</f>
        <v/>
      </c>
      <c r="X115" s="99" t="str">
        <f aca="false">IF(ISBLANK($C115),"",IF(AND(ISNUMBER(J115),J115&gt;0),INT(J115),0))</f>
        <v/>
      </c>
      <c r="Y115" s="99" t="str">
        <f aca="false">IF(ISBLANK($C115),"",IF(K115=Constants!$B$2, TRUE(), IF(K115=Constants!$B$3, FALSE(), TRUE())))</f>
        <v/>
      </c>
      <c r="Z115" s="100" t="str">
        <f aca="false">IF(ISBLANK($C115),"",IF(AND(ISNUMBER(L115),L115&gt;0),INT(L115),0))</f>
        <v/>
      </c>
      <c r="AA115" s="101" t="str">
        <f aca="false">IF(ISBLANK($C115),"",IF(ISNUMBER(M115), M115, ""))</f>
        <v/>
      </c>
      <c r="AB115" s="101" t="str">
        <f aca="false">IF(ISBLANK($C115),"",IF(ISNUMBER(N115), N115, ""))</f>
        <v/>
      </c>
      <c r="AC115" s="101" t="str">
        <f aca="false">IF(ISBLANK($C115),"",IF(ISNUMBER(O115), O115, ""))</f>
        <v/>
      </c>
      <c r="AD115" s="102" t="str">
        <f aca="false">IF(ISBLANK($C115),"",IF(ISNUMBER(P115), P115, ""))</f>
        <v/>
      </c>
      <c r="AE115" s="102" t="str">
        <f aca="false">IF(ISBLANK($C115),"",IF(ISNUMBER(Q115), Q115, Constants!$B$13))</f>
        <v/>
      </c>
      <c r="AF115" s="99" t="str">
        <f aca="false">IF(ISBLANK($C115),"",IF(R115=Constants!$B$2, TRUE(), IF(R115=Constants!$B$3, FALSE(), FALSE())))</f>
        <v/>
      </c>
      <c r="AG115" s="99" t="str">
        <f aca="false">IF(ISBLANK(C115), "", IF(AF115, Constants!$B$4,IF(COUNTA(G115:P115)=0, Constants!$B$5, Constants!$B$7)))</f>
        <v/>
      </c>
      <c r="AH115" s="99" t="str">
        <f aca="false">IF(ISBLANK($C115), "",IF($AG115=Constants!$B$7,1,$AG115))</f>
        <v/>
      </c>
      <c r="AI115" s="99" t="str">
        <f aca="false">IF($AG115=Constants!$B$7,POWER(Constants!$B$11,X115)*POWER(Constants!$B$12,Z115),"")</f>
        <v/>
      </c>
      <c r="AJ115" s="99" t="str">
        <f aca="false">IF(AND($AG115=Constants!$B$7, U115, V115) ,IF(OR($AA115="",$AC115=""),"",MAX(0, $AC115-$AA115)),"")</f>
        <v/>
      </c>
      <c r="AK115" s="99" t="str">
        <f aca="false">IF(AND($AG115=Constants!$B$7, U115, V115),IF(OR($AA115="",$AC115=""),$AK$6,""),"")</f>
        <v/>
      </c>
      <c r="AL115" s="99" t="str">
        <f aca="false">IF($AG115=Constants!$B$7,IF(AND(U115,V115,W115,Y115),IF($AJ115="",0,IF($AJ$6=0,Constants!$B$9,Constants!$B$9*AJ115/$AJ$6)), 0),"")</f>
        <v/>
      </c>
      <c r="AM115" s="99" t="str">
        <f aca="false">IF(AL115&lt;&gt;"", AL115*AI115,"")</f>
        <v/>
      </c>
      <c r="AN115" s="99" t="str">
        <f aca="false">IF(AND($AG115=Constants!$B$7, U115, V115) ,IF($AB115="", "", IF(OR($AC115="",$AC115=0),"",MAX(0,1-ABS($AC115-$AB115)/$AC115))),"")</f>
        <v/>
      </c>
      <c r="AO115" s="99" t="str">
        <f aca="false">IF(AND($AG115=Constants!$B$7, U115, V115),IF(AND($AA115&lt;&gt;"",$AB115&lt;&gt;"",$AC115=0),$AO$6,""),"")</f>
        <v/>
      </c>
      <c r="AP115" s="99" t="str">
        <f aca="false">IF($AG115=Constants!$B$7 ,IF(AND(U115,V115,W115,Y115,ISNUMBER(AB115)),IF($AN115="",0,IF($AN$6=0,Constants!$B$10,Constants!$B$10*AN115/$AN$6)), 0),"")</f>
        <v/>
      </c>
      <c r="AQ115" s="99" t="str">
        <f aca="false">IF(AP115&lt;&gt;"", AP115*AI115,"")</f>
        <v/>
      </c>
      <c r="AR115" s="99" t="str">
        <f aca="false">IF($AG115=Constants!$B$7,IF($AD115="",0,IF($AR$6=0,Constants!$B$8,Constants!$B$8*AD115/$AR$6)),"")</f>
        <v/>
      </c>
      <c r="AS115" s="99" t="str">
        <f aca="false">IF($AG115&lt;&gt;Constants!$B$7,$AG115,IF(AK115&amp;AO115&lt;&gt;"",Constants!$B$14,AM115+AQ115+AR115))</f>
        <v/>
      </c>
      <c r="AT115" s="99" t="str">
        <f aca="false">IF(ISBLANK($C115),"",IF($AG115=Constants!$B$7,IF(ISNUMBER(AS115),RANK(AS115,$AS$8:$AS$507),Constants!$B$14),$AG115))</f>
        <v/>
      </c>
      <c r="AU115" s="99" t="str">
        <f aca="false">IF(ISBLANK($C115), "",AM115)</f>
        <v/>
      </c>
      <c r="AV115" s="99" t="str">
        <f aca="false">IF(ISBLANK($C115),"",IF($AG115=Constants!$B$7,RANK(AU115,AU$8:AU$507),$AG115))</f>
        <v/>
      </c>
      <c r="AW115" s="99" t="str">
        <f aca="false">IF(ISBLANK($C115), "",AR115)</f>
        <v/>
      </c>
      <c r="AX115" s="99" t="str">
        <f aca="false">IF(ISBLANK($C115),"",IF($AG115=Constants!$B$7,RANK(AW115,AW$8:AW$507),$AG115))</f>
        <v/>
      </c>
      <c r="AY115" s="99" t="str">
        <f aca="false">IF(ISBLANK($C115), "",AE115)</f>
        <v/>
      </c>
      <c r="AZ115" s="99" t="str">
        <f aca="false">IF(ISBLANK($C115),"",
IF($AG115=Constants!$B$7,
  IF(ISNUMBER(AT115),
    COUNTIFS($AT$8:$AT$507,"&lt;"&amp;$AT115)
    + COUNTIFS($AT$8:$AT$507,$AT115,$AV$8:$AV$507,"&lt;"&amp;$AV115)
    + COUNTIFS($AT$8:$AT$507,$AT115,$AV$8:$AV$507,$AV115,$AX$8:$AX$507,"&lt;"&amp;$AX115)
    + COUNTIFS($AT$8:$AT$507,$AT115,$AV$8:$AV$507,$AV115,$AX$8:$AX$507,$AX115,$AY$8:$AY$507,"&lt;"&amp;$AY115)
    + 1,
  Constants!$B$14),
$AG115))</f>
        <v/>
      </c>
      <c r="BA115" s="99" t="str">
        <f aca="false">IF(ISBLANK(C115),"",IF($AG115=Constants!$B$7, IF(ISNUMBER(AT115),AT115-AZ115,Constants!$B$14),$AG115))</f>
        <v/>
      </c>
      <c r="BB115" s="103"/>
      <c r="BC115" s="104" t="str">
        <f aca="false">IF(ISBLANK($C115),"",TRIM(AK115&amp;" "&amp;AO115))</f>
        <v/>
      </c>
      <c r="BD115" s="105" t="str">
        <f aca="false">IF(ISBLANK($C115),"",IF($AG115&lt;&gt;Constants!$B$7,$AG115,AR115))</f>
        <v/>
      </c>
      <c r="BE115" s="105" t="str">
        <f aca="false">IF(ISBLANK($C115),"",IF($AG115&lt;&gt;Constants!$B$7,$AG115,AM115))</f>
        <v/>
      </c>
      <c r="BF115" s="105" t="str">
        <f aca="false">IF(ISBLANK($C115),"",IF($AG115&lt;&gt;Constants!$B$7,$AG115,AQ115))</f>
        <v/>
      </c>
      <c r="BG115" s="106" t="str">
        <f aca="false">IF(ISBLANK($C115),"",IF($AG115&lt;&gt;Constants!$B$7, $AG115 ,AS115))</f>
        <v/>
      </c>
      <c r="BH115" s="107" t="str">
        <f aca="false">IF(ISBLANK($C115),"",IF($AG115&lt;&gt;Constants!$B$7, $AG115 ,AH115))</f>
        <v/>
      </c>
      <c r="BI115" s="105" t="str">
        <f aca="false">IF(ISBLANK(C115),"",BA115)</f>
        <v/>
      </c>
      <c r="BJ115" s="105" t="str">
        <f aca="false">IF(ISBLANK(C115),"",AZ115)</f>
        <v/>
      </c>
      <c r="BK115" s="108" t="str">
        <f aca="false">IF(ISBLANK(C115),"",IFERROR(_xlfn.SWITCH(BJ115, Constants!$B$4, COUNTA($C$8:$C614)+2, Constants!$B$5, COUNTA($C$8:$C614)+1, Constants!$B$6, COUNTA($C$8:$C614)),BJ115))</f>
        <v/>
      </c>
      <c r="BL115" s="5"/>
      <c r="BM115" s="109" t="n">
        <f aca="false">IF(OR(ISNUMBER(BJ115),BJ115="DQ",BJ115="P",BJ115="NS"),
    1,
    0
)</f>
        <v>0</v>
      </c>
      <c r="BN115" s="109" t="n">
        <v>108</v>
      </c>
      <c r="BO115" s="109" t="str">
        <f aca="false">IF(ISBLANK($C115),"",IF(ISNUMBER(BK115),BK115+ROW($B115)/1000,""))</f>
        <v/>
      </c>
      <c r="BP115" s="109" t="str">
        <f aca="false">IF(ISNUMBER(BO115), RANK(BO115,BO$8:BO$507,1), "")</f>
        <v/>
      </c>
      <c r="BQ115" s="109" t="str">
        <f aca="false">IF(ISBLANK($C115),
    "",
    $B115
)</f>
        <v/>
      </c>
      <c r="BR115" s="109" t="str">
        <f aca="false">IF(ISBLANK($C115),
    "",
    $C115
)</f>
        <v/>
      </c>
      <c r="BS115" s="109" t="str">
        <f aca="false">IF(ISBLANK($C115),
    "",
    $D115
)</f>
        <v/>
      </c>
      <c r="BT115" s="110" t="str">
        <f aca="false">BH115</f>
        <v/>
      </c>
      <c r="BU115" s="111" t="str">
        <f aca="false">BG115</f>
        <v/>
      </c>
      <c r="BV115" s="109" t="str">
        <f aca="false">IF(ISBLANK($C115),
    "",
    BJ115
)</f>
        <v/>
      </c>
      <c r="BW115" s="112" t="str">
        <f aca="false">IF(BN115&gt;BM$7,
    "",
    VLOOKUP(BN115,BP$8:BV614,7,FALSE())
)</f>
        <v/>
      </c>
      <c r="BX115" s="113" t="str">
        <f aca="false">IF(BN115&gt;BM$7,
    "",
    VLOOKUP(BN115,BP$8:BV614,2,FALSE())
)</f>
        <v/>
      </c>
      <c r="BY115" s="113" t="str">
        <f aca="false">IF(BN115&gt;BM$7,
    "",
    VLOOKUP(BN115,BP$8:BV614,3,FALSE())
)</f>
        <v/>
      </c>
      <c r="BZ115" s="113" t="str">
        <f aca="false">IF(BN115&gt;BM$7,
    "",
    VLOOKUP(BN115,BP$8:BV614,4,FALSE())
)</f>
        <v/>
      </c>
      <c r="CA115" s="113" t="str">
        <f aca="false">IF(BN115&gt;BM$7,
    "",
    VLOOKUP(BN115,BP$8:BV614,5,FALSE())
)</f>
        <v/>
      </c>
      <c r="CB115" s="114" t="str">
        <f aca="false">IF(BN115&gt;BM$7,
    "",
    VLOOKUP(BN115,BP$8:BV614,6,FALSE())
)</f>
        <v/>
      </c>
      <c r="CC115" s="53"/>
    </row>
    <row r="116" customFormat="false" ht="15.75" hidden="false" customHeight="false" outlineLevel="0" collapsed="false">
      <c r="A116" s="5"/>
      <c r="B116" s="129"/>
      <c r="C116" s="55"/>
      <c r="D116" s="56"/>
      <c r="E116" s="123"/>
      <c r="F116" s="123"/>
      <c r="G116" s="58"/>
      <c r="H116" s="59"/>
      <c r="I116" s="59"/>
      <c r="J116" s="83"/>
      <c r="K116" s="83"/>
      <c r="L116" s="83"/>
      <c r="M116" s="61"/>
      <c r="N116" s="61"/>
      <c r="O116" s="61"/>
      <c r="P116" s="62"/>
      <c r="Q116" s="63"/>
      <c r="R116" s="83"/>
      <c r="S116" s="65"/>
      <c r="T116" s="66"/>
      <c r="U116" s="66" t="str">
        <f aca="false">IF(ISBLANK($C116),"",IF(G116=Constants!$B$2, TRUE(), IF(G116=Constants!$B$3, FALSE(), TRUE())))</f>
        <v/>
      </c>
      <c r="V116" s="66" t="str">
        <f aca="false">IF(ISBLANK($C116),"",IF(H116=Constants!$B$2, TRUE(), IF(H116=Constants!$B$3, FALSE(), TRUE())))</f>
        <v/>
      </c>
      <c r="W116" s="66" t="str">
        <f aca="false">IF(ISBLANK($C116),"",IF(I116=Constants!$B$2, TRUE(), IF(I116=Constants!$B$3, FALSE(), TRUE())))</f>
        <v/>
      </c>
      <c r="X116" s="66" t="str">
        <f aca="false">IF(ISBLANK($C116),"",IF(AND(ISNUMBER(J116),J116&gt;0),INT(J116),0))</f>
        <v/>
      </c>
      <c r="Y116" s="66" t="str">
        <f aca="false">IF(ISBLANK($C116),"",IF(K116=Constants!$B$2, TRUE(), IF(K116=Constants!$B$3, FALSE(), TRUE())))</f>
        <v/>
      </c>
      <c r="Z116" s="66" t="str">
        <f aca="false">IF(ISBLANK($C116),"",IF(AND(ISNUMBER(L116),L116&gt;0),INT(L116),0))</f>
        <v/>
      </c>
      <c r="AA116" s="68" t="str">
        <f aca="false">IF(ISBLANK($C116),"",IF(ISNUMBER(M116), M116, ""))</f>
        <v/>
      </c>
      <c r="AB116" s="68" t="str">
        <f aca="false">IF(ISBLANK($C116),"",IF(ISNUMBER(N116), N116, ""))</f>
        <v/>
      </c>
      <c r="AC116" s="68" t="str">
        <f aca="false">IF(ISBLANK($C116),"",IF(ISNUMBER(O116), O116, ""))</f>
        <v/>
      </c>
      <c r="AD116" s="69" t="str">
        <f aca="false">IF(ISBLANK($C116),"",IF(ISNUMBER(P116), P116, ""))</f>
        <v/>
      </c>
      <c r="AE116" s="69" t="str">
        <f aca="false">IF(ISBLANK($C116),"",IF(ISNUMBER(Q116), Q116, Constants!$B$13))</f>
        <v/>
      </c>
      <c r="AF116" s="66" t="str">
        <f aca="false">IF(ISBLANK($C116),"",IF(R116=Constants!$B$2, TRUE(), IF(R116=Constants!$B$3, FALSE(), FALSE())))</f>
        <v/>
      </c>
      <c r="AG116" s="66" t="str">
        <f aca="false">IF(ISBLANK(C116), "", IF(AF116, Constants!$B$4,IF(COUNTA(G116:P116)=0, Constants!$B$5, Constants!$B$7)))</f>
        <v/>
      </c>
      <c r="AH116" s="66" t="str">
        <f aca="false">IF(ISBLANK($C116), "",IF($AG116=Constants!$B$7,1,$AG116))</f>
        <v/>
      </c>
      <c r="AI116" s="66" t="str">
        <f aca="false">IF($AG116=Constants!$B$7,POWER(Constants!$B$11,X116)*POWER(Constants!$B$12,Z116),"")</f>
        <v/>
      </c>
      <c r="AJ116" s="66" t="str">
        <f aca="false">IF(AND($AG116=Constants!$B$7, U116, V116) ,IF(OR($AA116="",$AC116=""),"",MAX(0, $AC116-$AA116)),"")</f>
        <v/>
      </c>
      <c r="AK116" s="66" t="str">
        <f aca="false">IF(AND($AG116=Constants!$B$7, U116, V116),IF(OR($AA116="",$AC116=""),$AK$6,""),"")</f>
        <v/>
      </c>
      <c r="AL116" s="66" t="str">
        <f aca="false">IF($AG116=Constants!$B$7,IF(AND(U116,V116,W116,Y116),IF($AJ116="",0,IF($AJ$6=0,Constants!$B$9,Constants!$B$9*AJ116/$AJ$6)), 0),"")</f>
        <v/>
      </c>
      <c r="AM116" s="66" t="str">
        <f aca="false">IF(AL116&lt;&gt;"", AL116*AI116,"")</f>
        <v/>
      </c>
      <c r="AN116" s="66" t="str">
        <f aca="false">IF(AND($AG116=Constants!$B$7, U116, V116) ,IF($AB116="", "", IF(OR($AC116="",$AC116=0),"",MAX(0,1-ABS($AC116-$AB116)/$AC116))),"")</f>
        <v/>
      </c>
      <c r="AO116" s="66" t="str">
        <f aca="false">IF(AND($AG116=Constants!$B$7, U116, V116),IF(AND($AA116&lt;&gt;"",$AB116&lt;&gt;"",$AC116=0),$AO$6,""),"")</f>
        <v/>
      </c>
      <c r="AP116" s="66" t="str">
        <f aca="false">IF($AG116=Constants!$B$7 ,IF(AND(U116,V116,W116,Y116,ISNUMBER(AB116)),IF($AN116="",0,IF($AN$6=0,Constants!$B$10,Constants!$B$10*AN116/$AN$6)), 0),"")</f>
        <v/>
      </c>
      <c r="AQ116" s="66" t="str">
        <f aca="false">IF(AP116&lt;&gt;"", AP116*AI116,"")</f>
        <v/>
      </c>
      <c r="AR116" s="66" t="str">
        <f aca="false">IF($AG116=Constants!$B$7,IF($AD116="",0,IF($AR$6=0,Constants!$B$8,Constants!$B$8*AD116/$AR$6)),"")</f>
        <v/>
      </c>
      <c r="AS116" s="66" t="str">
        <f aca="false">IF($AG116&lt;&gt;Constants!$B$7,$AG116,IF(AK116&amp;AO116&lt;&gt;"",Constants!$B$14,AM116+AQ116+AR116))</f>
        <v/>
      </c>
      <c r="AT116" s="66" t="str">
        <f aca="false">IF(ISBLANK($C116),"",IF($AG116=Constants!$B$7,IF(ISNUMBER(AS116),RANK(AS116,$AS$8:$AS$507),Constants!$B$14),$AG116))</f>
        <v/>
      </c>
      <c r="AU116" s="66" t="str">
        <f aca="false">IF(ISBLANK($C116), "",AM116)</f>
        <v/>
      </c>
      <c r="AV116" s="66" t="str">
        <f aca="false">IF(ISBLANK($C116),"",IF($AG116=Constants!$B$7,RANK(AU116,AU$8:AU$507),$AG116))</f>
        <v/>
      </c>
      <c r="AW116" s="66" t="str">
        <f aca="false">IF(ISBLANK($C116), "",AR116)</f>
        <v/>
      </c>
      <c r="AX116" s="66" t="str">
        <f aca="false">IF(ISBLANK($C116),"",IF($AG116=Constants!$B$7,RANK(AW116,AW$8:AW$507),$AG116))</f>
        <v/>
      </c>
      <c r="AY116" s="66" t="str">
        <f aca="false">IF(ISBLANK($C116), "",AE116)</f>
        <v/>
      </c>
      <c r="AZ116" s="66" t="str">
        <f aca="false">IF(ISBLANK($C116),"",
IF($AG116=Constants!$B$7,
  IF(ISNUMBER(AT116),
    COUNTIFS($AT$8:$AT$507,"&lt;"&amp;$AT116)
    + COUNTIFS($AT$8:$AT$507,$AT116,$AV$8:$AV$507,"&lt;"&amp;$AV116)
    + COUNTIFS($AT$8:$AT$507,$AT116,$AV$8:$AV$507,$AV116,$AX$8:$AX$507,"&lt;"&amp;$AX116)
    + COUNTIFS($AT$8:$AT$507,$AT116,$AV$8:$AV$507,$AV116,$AX$8:$AX$507,$AX116,$AY$8:$AY$507,"&lt;"&amp;$AY116)
    + 1,
  Constants!$B$14),
$AG116))</f>
        <v/>
      </c>
      <c r="BA116" s="66" t="str">
        <f aca="false">IF(ISBLANK(C116),"",IF($AG116=Constants!$B$7, IF(ISNUMBER(AT116),AT116-AZ116,Constants!$B$14),$AG116))</f>
        <v/>
      </c>
      <c r="BB116" s="70"/>
      <c r="BC116" s="84" t="str">
        <f aca="false">IF(ISBLANK($C116),"",TRIM(AK116&amp;" "&amp;AO116))</f>
        <v/>
      </c>
      <c r="BD116" s="72" t="str">
        <f aca="false">IF(ISBLANK($C116),"",IF($AG116&lt;&gt;Constants!$B$7,$AG116,AR116))</f>
        <v/>
      </c>
      <c r="BE116" s="72" t="str">
        <f aca="false">IF(ISBLANK($C116),"",IF($AG116&lt;&gt;Constants!$B$7,$AG116,AM116))</f>
        <v/>
      </c>
      <c r="BF116" s="72" t="str">
        <f aca="false">IF(ISBLANK($C116),"",IF($AG116&lt;&gt;Constants!$B$7,$AG116,AQ116))</f>
        <v/>
      </c>
      <c r="BG116" s="73" t="str">
        <f aca="false">IF(ISBLANK($C116),"",IF($AG116&lt;&gt;Constants!$B$7, $AG116 ,AS116))</f>
        <v/>
      </c>
      <c r="BH116" s="74" t="str">
        <f aca="false">IF(ISBLANK($C116),"",IF($AG116&lt;&gt;Constants!$B$7, $AG116 ,AH116))</f>
        <v/>
      </c>
      <c r="BI116" s="72" t="str">
        <f aca="false">IF(ISBLANK(C116),"",BA116)</f>
        <v/>
      </c>
      <c r="BJ116" s="72" t="str">
        <f aca="false">IF(ISBLANK(C116),"",AZ116)</f>
        <v/>
      </c>
      <c r="BK116" s="75" t="str">
        <f aca="false">IF(ISBLANK(C116),"",IFERROR(_xlfn.SWITCH(BJ116, Constants!$B$4, COUNTA($C$8:$C615)+2, Constants!$B$5, COUNTA($C$8:$C615)+1, Constants!$B$6, COUNTA($C$8:$C615)),BJ116))</f>
        <v/>
      </c>
      <c r="BL116" s="5"/>
      <c r="BM116" s="76" t="n">
        <f aca="false">IF(OR(ISNUMBER(BJ116),BJ116="DQ",BJ116="P",BJ116="NS"),
    1,
    0
)</f>
        <v>0</v>
      </c>
      <c r="BN116" s="76" t="n">
        <v>109</v>
      </c>
      <c r="BO116" s="76" t="str">
        <f aca="false">IF(ISBLANK($C116),"",IF(ISNUMBER(BK116),BK116+ROW($B116)/1000,""))</f>
        <v/>
      </c>
      <c r="BP116" s="76" t="str">
        <f aca="false">IF(ISNUMBER(BO116), RANK(BO116,BO$8:BO$507,1), "")</f>
        <v/>
      </c>
      <c r="BQ116" s="76" t="str">
        <f aca="false">IF(ISBLANK($C116),
    "",
    $B116
)</f>
        <v/>
      </c>
      <c r="BR116" s="76" t="str">
        <f aca="false">IF(ISBLANK($C116),
    "",
    $C116
)</f>
        <v/>
      </c>
      <c r="BS116" s="76" t="str">
        <f aca="false">IF(ISBLANK($C116),
    "",
    $D116
)</f>
        <v/>
      </c>
      <c r="BT116" s="77" t="str">
        <f aca="false">BH116</f>
        <v/>
      </c>
      <c r="BU116" s="78" t="str">
        <f aca="false">BG116</f>
        <v/>
      </c>
      <c r="BV116" s="76" t="str">
        <f aca="false">IF(ISBLANK($C116),
    "",
    BJ116
)</f>
        <v/>
      </c>
      <c r="BW116" s="79" t="str">
        <f aca="false">IF(BN116&gt;BM$7,
    "",
    VLOOKUP(BN116,BP$8:BV615,7,FALSE())
)</f>
        <v/>
      </c>
      <c r="BX116" s="80" t="str">
        <f aca="false">IF(BN116&gt;BM$7,
    "",
    VLOOKUP(BN116,BP$8:BV615,2,FALSE())
)</f>
        <v/>
      </c>
      <c r="BY116" s="80" t="str">
        <f aca="false">IF(BN116&gt;BM$7,
    "",
    VLOOKUP(BN116,BP$8:BV615,3,FALSE())
)</f>
        <v/>
      </c>
      <c r="BZ116" s="80" t="str">
        <f aca="false">IF(BN116&gt;BM$7,
    "",
    VLOOKUP(BN116,BP$8:BV615,4,FALSE())
)</f>
        <v/>
      </c>
      <c r="CA116" s="80" t="str">
        <f aca="false">IF(BN116&gt;BM$7,
    "",
    VLOOKUP(BN116,BP$8:BV615,5,FALSE())
)</f>
        <v/>
      </c>
      <c r="CB116" s="81" t="str">
        <f aca="false">IF(BN116&gt;BM$7,
    "",
    VLOOKUP(BN116,BP$8:BV615,6,FALSE())
)</f>
        <v/>
      </c>
      <c r="CC116" s="53"/>
    </row>
    <row r="117" customFormat="false" ht="15.75" hidden="false" customHeight="false" outlineLevel="0" collapsed="false">
      <c r="A117" s="5"/>
      <c r="B117" s="129"/>
      <c r="C117" s="55"/>
      <c r="D117" s="56"/>
      <c r="E117" s="123"/>
      <c r="F117" s="123"/>
      <c r="G117" s="58"/>
      <c r="H117" s="59"/>
      <c r="I117" s="59"/>
      <c r="J117" s="83"/>
      <c r="K117" s="83"/>
      <c r="L117" s="83"/>
      <c r="M117" s="61"/>
      <c r="N117" s="61"/>
      <c r="O117" s="61"/>
      <c r="P117" s="62"/>
      <c r="Q117" s="63"/>
      <c r="R117" s="83"/>
      <c r="S117" s="65"/>
      <c r="T117" s="66"/>
      <c r="U117" s="66" t="str">
        <f aca="false">IF(ISBLANK($C117),"",IF(G117=Constants!$B$2, TRUE(), IF(G117=Constants!$B$3, FALSE(), TRUE())))</f>
        <v/>
      </c>
      <c r="V117" s="66" t="str">
        <f aca="false">IF(ISBLANK($C117),"",IF(H117=Constants!$B$2, TRUE(), IF(H117=Constants!$B$3, FALSE(), TRUE())))</f>
        <v/>
      </c>
      <c r="W117" s="66" t="str">
        <f aca="false">IF(ISBLANK($C117),"",IF(I117=Constants!$B$2, TRUE(), IF(I117=Constants!$B$3, FALSE(), TRUE())))</f>
        <v/>
      </c>
      <c r="X117" s="66" t="str">
        <f aca="false">IF(ISBLANK($C117),"",IF(AND(ISNUMBER(J117),J117&gt;0),INT(J117),0))</f>
        <v/>
      </c>
      <c r="Y117" s="66" t="str">
        <f aca="false">IF(ISBLANK($C117),"",IF(K117=Constants!$B$2, TRUE(), IF(K117=Constants!$B$3, FALSE(), TRUE())))</f>
        <v/>
      </c>
      <c r="Z117" s="66" t="str">
        <f aca="false">IF(ISBLANK($C117),"",IF(AND(ISNUMBER(L117),L117&gt;0),INT(L117),0))</f>
        <v/>
      </c>
      <c r="AA117" s="68" t="str">
        <f aca="false">IF(ISBLANK($C117),"",IF(ISNUMBER(M117), M117, ""))</f>
        <v/>
      </c>
      <c r="AB117" s="68" t="str">
        <f aca="false">IF(ISBLANK($C117),"",IF(ISNUMBER(N117), N117, ""))</f>
        <v/>
      </c>
      <c r="AC117" s="68" t="str">
        <f aca="false">IF(ISBLANK($C117),"",IF(ISNUMBER(O117), O117, ""))</f>
        <v/>
      </c>
      <c r="AD117" s="69" t="str">
        <f aca="false">IF(ISBLANK($C117),"",IF(ISNUMBER(P117), P117, ""))</f>
        <v/>
      </c>
      <c r="AE117" s="69" t="str">
        <f aca="false">IF(ISBLANK($C117),"",IF(ISNUMBER(Q117), Q117, Constants!$B$13))</f>
        <v/>
      </c>
      <c r="AF117" s="66" t="str">
        <f aca="false">IF(ISBLANK($C117),"",IF(R117=Constants!$B$2, TRUE(), IF(R117=Constants!$B$3, FALSE(), FALSE())))</f>
        <v/>
      </c>
      <c r="AG117" s="66" t="str">
        <f aca="false">IF(ISBLANK(C117), "", IF(AF117, Constants!$B$4,IF(COUNTA(G117:P117)=0, Constants!$B$5, Constants!$B$7)))</f>
        <v/>
      </c>
      <c r="AH117" s="66" t="str">
        <f aca="false">IF(ISBLANK($C117), "",IF($AG117=Constants!$B$7,1,$AG117))</f>
        <v/>
      </c>
      <c r="AI117" s="66" t="str">
        <f aca="false">IF($AG117=Constants!$B$7,POWER(Constants!$B$11,X117)*POWER(Constants!$B$12,Z117),"")</f>
        <v/>
      </c>
      <c r="AJ117" s="66" t="str">
        <f aca="false">IF(AND($AG117=Constants!$B$7, U117, V117) ,IF(OR($AA117="",$AC117=""),"",MAX(0, $AC117-$AA117)),"")</f>
        <v/>
      </c>
      <c r="AK117" s="66" t="str">
        <f aca="false">IF(AND($AG117=Constants!$B$7, U117, V117),IF(OR($AA117="",$AC117=""),$AK$6,""),"")</f>
        <v/>
      </c>
      <c r="AL117" s="66" t="str">
        <f aca="false">IF($AG117=Constants!$B$7,IF(AND(U117,V117,W117,Y117),IF($AJ117="",0,IF($AJ$6=0,Constants!$B$9,Constants!$B$9*AJ117/$AJ$6)), 0),"")</f>
        <v/>
      </c>
      <c r="AM117" s="66" t="str">
        <f aca="false">IF(AL117&lt;&gt;"", AL117*AI117,"")</f>
        <v/>
      </c>
      <c r="AN117" s="66" t="str">
        <f aca="false">IF(AND($AG117=Constants!$B$7, U117, V117) ,IF($AB117="", "", IF(OR($AC117="",$AC117=0),"",MAX(0,1-ABS($AC117-$AB117)/$AC117))),"")</f>
        <v/>
      </c>
      <c r="AO117" s="66" t="str">
        <f aca="false">IF(AND($AG117=Constants!$B$7, U117, V117),IF(AND($AA117&lt;&gt;"",$AB117&lt;&gt;"",$AC117=0),$AO$6,""),"")</f>
        <v/>
      </c>
      <c r="AP117" s="66" t="str">
        <f aca="false">IF($AG117=Constants!$B$7 ,IF(AND(U117,V117,W117,Y117,ISNUMBER(AB117)),IF($AN117="",0,IF($AN$6=0,Constants!$B$10,Constants!$B$10*AN117/$AN$6)), 0),"")</f>
        <v/>
      </c>
      <c r="AQ117" s="66" t="str">
        <f aca="false">IF(AP117&lt;&gt;"", AP117*AI117,"")</f>
        <v/>
      </c>
      <c r="AR117" s="66" t="str">
        <f aca="false">IF($AG117=Constants!$B$7,IF($AD117="",0,IF($AR$6=0,Constants!$B$8,Constants!$B$8*AD117/$AR$6)),"")</f>
        <v/>
      </c>
      <c r="AS117" s="66" t="str">
        <f aca="false">IF($AG117&lt;&gt;Constants!$B$7,$AG117,IF(AK117&amp;AO117&lt;&gt;"",Constants!$B$14,AM117+AQ117+AR117))</f>
        <v/>
      </c>
      <c r="AT117" s="66" t="str">
        <f aca="false">IF(ISBLANK($C117),"",IF($AG117=Constants!$B$7,IF(ISNUMBER(AS117),RANK(AS117,$AS$8:$AS$507),Constants!$B$14),$AG117))</f>
        <v/>
      </c>
      <c r="AU117" s="66" t="str">
        <f aca="false">IF(ISBLANK($C117), "",AM117)</f>
        <v/>
      </c>
      <c r="AV117" s="66" t="str">
        <f aca="false">IF(ISBLANK($C117),"",IF($AG117=Constants!$B$7,RANK(AU117,AU$8:AU$507),$AG117))</f>
        <v/>
      </c>
      <c r="AW117" s="66" t="str">
        <f aca="false">IF(ISBLANK($C117), "",AR117)</f>
        <v/>
      </c>
      <c r="AX117" s="66" t="str">
        <f aca="false">IF(ISBLANK($C117),"",IF($AG117=Constants!$B$7,RANK(AW117,AW$8:AW$507),$AG117))</f>
        <v/>
      </c>
      <c r="AY117" s="66" t="str">
        <f aca="false">IF(ISBLANK($C117), "",AE117)</f>
        <v/>
      </c>
      <c r="AZ117" s="66" t="str">
        <f aca="false">IF(ISBLANK($C117),"",
IF($AG117=Constants!$B$7,
  IF(ISNUMBER(AT117),
    COUNTIFS($AT$8:$AT$507,"&lt;"&amp;$AT117)
    + COUNTIFS($AT$8:$AT$507,$AT117,$AV$8:$AV$507,"&lt;"&amp;$AV117)
    + COUNTIFS($AT$8:$AT$507,$AT117,$AV$8:$AV$507,$AV117,$AX$8:$AX$507,"&lt;"&amp;$AX117)
    + COUNTIFS($AT$8:$AT$507,$AT117,$AV$8:$AV$507,$AV117,$AX$8:$AX$507,$AX117,$AY$8:$AY$507,"&lt;"&amp;$AY117)
    + 1,
  Constants!$B$14),
$AG117))</f>
        <v/>
      </c>
      <c r="BA117" s="66" t="str">
        <f aca="false">IF(ISBLANK(C117),"",IF($AG117=Constants!$B$7, IF(ISNUMBER(AT117),AT117-AZ117,Constants!$B$14),$AG117))</f>
        <v/>
      </c>
      <c r="BB117" s="70"/>
      <c r="BC117" s="84" t="str">
        <f aca="false">IF(ISBLANK($C117),"",TRIM(AK117&amp;" "&amp;AO117))</f>
        <v/>
      </c>
      <c r="BD117" s="72" t="str">
        <f aca="false">IF(ISBLANK($C117),"",IF($AG117&lt;&gt;Constants!$B$7,$AG117,AR117))</f>
        <v/>
      </c>
      <c r="BE117" s="72" t="str">
        <f aca="false">IF(ISBLANK($C117),"",IF($AG117&lt;&gt;Constants!$B$7,$AG117,AM117))</f>
        <v/>
      </c>
      <c r="BF117" s="72" t="str">
        <f aca="false">IF(ISBLANK($C117),"",IF($AG117&lt;&gt;Constants!$B$7,$AG117,AQ117))</f>
        <v/>
      </c>
      <c r="BG117" s="73" t="str">
        <f aca="false">IF(ISBLANK($C117),"",IF($AG117&lt;&gt;Constants!$B$7, $AG117 ,AS117))</f>
        <v/>
      </c>
      <c r="BH117" s="74" t="str">
        <f aca="false">IF(ISBLANK($C117),"",IF($AG117&lt;&gt;Constants!$B$7, $AG117 ,AH117))</f>
        <v/>
      </c>
      <c r="BI117" s="72" t="str">
        <f aca="false">IF(ISBLANK(C117),"",BA117)</f>
        <v/>
      </c>
      <c r="BJ117" s="72" t="str">
        <f aca="false">IF(ISBLANK(C117),"",AZ117)</f>
        <v/>
      </c>
      <c r="BK117" s="75" t="str">
        <f aca="false">IF(ISBLANK(C117),"",IFERROR(_xlfn.SWITCH(BJ117, Constants!$B$4, COUNTA($C$8:$C616)+2, Constants!$B$5, COUNTA($C$8:$C616)+1, Constants!$B$6, COUNTA($C$8:$C616)),BJ117))</f>
        <v/>
      </c>
      <c r="BL117" s="5"/>
      <c r="BM117" s="76" t="n">
        <f aca="false">IF(OR(ISNUMBER(BJ117),BJ117="DQ",BJ117="P",BJ117="NS"),
    1,
    0
)</f>
        <v>0</v>
      </c>
      <c r="BN117" s="76" t="n">
        <v>110</v>
      </c>
      <c r="BO117" s="76" t="str">
        <f aca="false">IF(ISBLANK($C117),"",IF(ISNUMBER(BK117),BK117+ROW($B117)/1000,""))</f>
        <v/>
      </c>
      <c r="BP117" s="76" t="str">
        <f aca="false">IF(ISNUMBER(BO117), RANK(BO117,BO$8:BO$507,1), "")</f>
        <v/>
      </c>
      <c r="BQ117" s="76" t="str">
        <f aca="false">IF(ISBLANK($C117),
    "",
    $B117
)</f>
        <v/>
      </c>
      <c r="BR117" s="76" t="str">
        <f aca="false">IF(ISBLANK($C117),
    "",
    $C117
)</f>
        <v/>
      </c>
      <c r="BS117" s="76" t="str">
        <f aca="false">IF(ISBLANK($C117),
    "",
    $D117
)</f>
        <v/>
      </c>
      <c r="BT117" s="77" t="str">
        <f aca="false">BH117</f>
        <v/>
      </c>
      <c r="BU117" s="78" t="str">
        <f aca="false">BG117</f>
        <v/>
      </c>
      <c r="BV117" s="76" t="str">
        <f aca="false">IF(ISBLANK($C117),
    "",
    BJ117
)</f>
        <v/>
      </c>
      <c r="BW117" s="79" t="str">
        <f aca="false">IF(BN117&gt;BM$7,
    "",
    VLOOKUP(BN117,BP$8:BV616,7,FALSE())
)</f>
        <v/>
      </c>
      <c r="BX117" s="80" t="str">
        <f aca="false">IF(BN117&gt;BM$7,
    "",
    VLOOKUP(BN117,BP$8:BV616,2,FALSE())
)</f>
        <v/>
      </c>
      <c r="BY117" s="80" t="str">
        <f aca="false">IF(BN117&gt;BM$7,
    "",
    VLOOKUP(BN117,BP$8:BV616,3,FALSE())
)</f>
        <v/>
      </c>
      <c r="BZ117" s="80" t="str">
        <f aca="false">IF(BN117&gt;BM$7,
    "",
    VLOOKUP(BN117,BP$8:BV616,4,FALSE())
)</f>
        <v/>
      </c>
      <c r="CA117" s="80" t="str">
        <f aca="false">IF(BN117&gt;BM$7,
    "",
    VLOOKUP(BN117,BP$8:BV616,5,FALSE())
)</f>
        <v/>
      </c>
      <c r="CB117" s="81" t="str">
        <f aca="false">IF(BN117&gt;BM$7,
    "",
    VLOOKUP(BN117,BP$8:BV616,6,FALSE())
)</f>
        <v/>
      </c>
      <c r="CC117" s="53"/>
    </row>
    <row r="118" customFormat="false" ht="15.75" hidden="false" customHeight="false" outlineLevel="0" collapsed="false">
      <c r="A118" s="5"/>
      <c r="B118" s="129"/>
      <c r="C118" s="55"/>
      <c r="D118" s="56"/>
      <c r="E118" s="123"/>
      <c r="F118" s="123"/>
      <c r="G118" s="58"/>
      <c r="H118" s="59"/>
      <c r="I118" s="59"/>
      <c r="J118" s="83"/>
      <c r="K118" s="83"/>
      <c r="L118" s="83"/>
      <c r="M118" s="61"/>
      <c r="N118" s="61"/>
      <c r="O118" s="61"/>
      <c r="P118" s="62"/>
      <c r="Q118" s="63"/>
      <c r="R118" s="83"/>
      <c r="S118" s="65"/>
      <c r="T118" s="66"/>
      <c r="U118" s="66" t="str">
        <f aca="false">IF(ISBLANK($C118),"",IF(G118=Constants!$B$2, TRUE(), IF(G118=Constants!$B$3, FALSE(), TRUE())))</f>
        <v/>
      </c>
      <c r="V118" s="66" t="str">
        <f aca="false">IF(ISBLANK($C118),"",IF(H118=Constants!$B$2, TRUE(), IF(H118=Constants!$B$3, FALSE(), TRUE())))</f>
        <v/>
      </c>
      <c r="W118" s="66" t="str">
        <f aca="false">IF(ISBLANK($C118),"",IF(I118=Constants!$B$2, TRUE(), IF(I118=Constants!$B$3, FALSE(), TRUE())))</f>
        <v/>
      </c>
      <c r="X118" s="66" t="str">
        <f aca="false">IF(ISBLANK($C118),"",IF(AND(ISNUMBER(J118),J118&gt;0),INT(J118),0))</f>
        <v/>
      </c>
      <c r="Y118" s="66" t="str">
        <f aca="false">IF(ISBLANK($C118),"",IF(K118=Constants!$B$2, TRUE(), IF(K118=Constants!$B$3, FALSE(), TRUE())))</f>
        <v/>
      </c>
      <c r="Z118" s="66" t="str">
        <f aca="false">IF(ISBLANK($C118),"",IF(AND(ISNUMBER(L118),L118&gt;0),INT(L118),0))</f>
        <v/>
      </c>
      <c r="AA118" s="68" t="str">
        <f aca="false">IF(ISBLANK($C118),"",IF(ISNUMBER(M118), M118, ""))</f>
        <v/>
      </c>
      <c r="AB118" s="68" t="str">
        <f aca="false">IF(ISBLANK($C118),"",IF(ISNUMBER(N118), N118, ""))</f>
        <v/>
      </c>
      <c r="AC118" s="68" t="str">
        <f aca="false">IF(ISBLANK($C118),"",IF(ISNUMBER(O118), O118, ""))</f>
        <v/>
      </c>
      <c r="AD118" s="69" t="str">
        <f aca="false">IF(ISBLANK($C118),"",IF(ISNUMBER(P118), P118, ""))</f>
        <v/>
      </c>
      <c r="AE118" s="69" t="str">
        <f aca="false">IF(ISBLANK($C118),"",IF(ISNUMBER(Q118), Q118, Constants!$B$13))</f>
        <v/>
      </c>
      <c r="AF118" s="66" t="str">
        <f aca="false">IF(ISBLANK($C118),"",IF(R118=Constants!$B$2, TRUE(), IF(R118=Constants!$B$3, FALSE(), FALSE())))</f>
        <v/>
      </c>
      <c r="AG118" s="66" t="str">
        <f aca="false">IF(ISBLANK(C118), "", IF(AF118, Constants!$B$4,IF(COUNTA(G118:P118)=0, Constants!$B$5, Constants!$B$7)))</f>
        <v/>
      </c>
      <c r="AH118" s="66" t="str">
        <f aca="false">IF(ISBLANK($C118), "",IF($AG118=Constants!$B$7,1,$AG118))</f>
        <v/>
      </c>
      <c r="AI118" s="66" t="str">
        <f aca="false">IF($AG118=Constants!$B$7,POWER(Constants!$B$11,X118)*POWER(Constants!$B$12,Z118),"")</f>
        <v/>
      </c>
      <c r="AJ118" s="66" t="str">
        <f aca="false">IF(AND($AG118=Constants!$B$7, U118, V118) ,IF(OR($AA118="",$AC118=""),"",MAX(0, $AC118-$AA118)),"")</f>
        <v/>
      </c>
      <c r="AK118" s="66" t="str">
        <f aca="false">IF(AND($AG118=Constants!$B$7, U118, V118),IF(OR($AA118="",$AC118=""),$AK$6,""),"")</f>
        <v/>
      </c>
      <c r="AL118" s="66" t="str">
        <f aca="false">IF($AG118=Constants!$B$7,IF(AND(U118,V118,W118,Y118),IF($AJ118="",0,IF($AJ$6=0,Constants!$B$9,Constants!$B$9*AJ118/$AJ$6)), 0),"")</f>
        <v/>
      </c>
      <c r="AM118" s="66" t="str">
        <f aca="false">IF(AL118&lt;&gt;"", AL118*AI118,"")</f>
        <v/>
      </c>
      <c r="AN118" s="66" t="str">
        <f aca="false">IF(AND($AG118=Constants!$B$7, U118, V118) ,IF($AB118="", "", IF(OR($AC118="",$AC118=0),"",MAX(0,1-ABS($AC118-$AB118)/$AC118))),"")</f>
        <v/>
      </c>
      <c r="AO118" s="66" t="str">
        <f aca="false">IF(AND($AG118=Constants!$B$7, U118, V118),IF(AND($AA118&lt;&gt;"",$AB118&lt;&gt;"",$AC118=0),$AO$6,""),"")</f>
        <v/>
      </c>
      <c r="AP118" s="66" t="str">
        <f aca="false">IF($AG118=Constants!$B$7 ,IF(AND(U118,V118,W118,Y118,ISNUMBER(AB118)),IF($AN118="",0,IF($AN$6=0,Constants!$B$10,Constants!$B$10*AN118/$AN$6)), 0),"")</f>
        <v/>
      </c>
      <c r="AQ118" s="66" t="str">
        <f aca="false">IF(AP118&lt;&gt;"", AP118*AI118,"")</f>
        <v/>
      </c>
      <c r="AR118" s="66" t="str">
        <f aca="false">IF($AG118=Constants!$B$7,IF($AD118="",0,IF($AR$6=0,Constants!$B$8,Constants!$B$8*AD118/$AR$6)),"")</f>
        <v/>
      </c>
      <c r="AS118" s="66" t="str">
        <f aca="false">IF($AG118&lt;&gt;Constants!$B$7,$AG118,IF(AK118&amp;AO118&lt;&gt;"",Constants!$B$14,AM118+AQ118+AR118))</f>
        <v/>
      </c>
      <c r="AT118" s="66" t="str">
        <f aca="false">IF(ISBLANK($C118),"",IF($AG118=Constants!$B$7,IF(ISNUMBER(AS118),RANK(AS118,$AS$8:$AS$507),Constants!$B$14),$AG118))</f>
        <v/>
      </c>
      <c r="AU118" s="66" t="str">
        <f aca="false">IF(ISBLANK($C118), "",AM118)</f>
        <v/>
      </c>
      <c r="AV118" s="66" t="str">
        <f aca="false">IF(ISBLANK($C118),"",IF($AG118=Constants!$B$7,RANK(AU118,AU$8:AU$507),$AG118))</f>
        <v/>
      </c>
      <c r="AW118" s="66" t="str">
        <f aca="false">IF(ISBLANK($C118), "",AR118)</f>
        <v/>
      </c>
      <c r="AX118" s="66" t="str">
        <f aca="false">IF(ISBLANK($C118),"",IF($AG118=Constants!$B$7,RANK(AW118,AW$8:AW$507),$AG118))</f>
        <v/>
      </c>
      <c r="AY118" s="66" t="str">
        <f aca="false">IF(ISBLANK($C118), "",AE118)</f>
        <v/>
      </c>
      <c r="AZ118" s="66" t="str">
        <f aca="false">IF(ISBLANK($C118),"",
IF($AG118=Constants!$B$7,
  IF(ISNUMBER(AT118),
    COUNTIFS($AT$8:$AT$507,"&lt;"&amp;$AT118)
    + COUNTIFS($AT$8:$AT$507,$AT118,$AV$8:$AV$507,"&lt;"&amp;$AV118)
    + COUNTIFS($AT$8:$AT$507,$AT118,$AV$8:$AV$507,$AV118,$AX$8:$AX$507,"&lt;"&amp;$AX118)
    + COUNTIFS($AT$8:$AT$507,$AT118,$AV$8:$AV$507,$AV118,$AX$8:$AX$507,$AX118,$AY$8:$AY$507,"&lt;"&amp;$AY118)
    + 1,
  Constants!$B$14),
$AG118))</f>
        <v/>
      </c>
      <c r="BA118" s="66" t="str">
        <f aca="false">IF(ISBLANK(C118),"",IF($AG118=Constants!$B$7, IF(ISNUMBER(AT118),AT118-AZ118,Constants!$B$14),$AG118))</f>
        <v/>
      </c>
      <c r="BB118" s="70"/>
      <c r="BC118" s="84" t="str">
        <f aca="false">IF(ISBLANK($C118),"",TRIM(AK118&amp;" "&amp;AO118))</f>
        <v/>
      </c>
      <c r="BD118" s="72" t="str">
        <f aca="false">IF(ISBLANK($C118),"",IF($AG118&lt;&gt;Constants!$B$7,$AG118,AR118))</f>
        <v/>
      </c>
      <c r="BE118" s="72" t="str">
        <f aca="false">IF(ISBLANK($C118),"",IF($AG118&lt;&gt;Constants!$B$7,$AG118,AM118))</f>
        <v/>
      </c>
      <c r="BF118" s="72" t="str">
        <f aca="false">IF(ISBLANK($C118),"",IF($AG118&lt;&gt;Constants!$B$7,$AG118,AQ118))</f>
        <v/>
      </c>
      <c r="BG118" s="73" t="str">
        <f aca="false">IF(ISBLANK($C118),"",IF($AG118&lt;&gt;Constants!$B$7, $AG118 ,AS118))</f>
        <v/>
      </c>
      <c r="BH118" s="74" t="str">
        <f aca="false">IF(ISBLANK($C118),"",IF($AG118&lt;&gt;Constants!$B$7, $AG118 ,AH118))</f>
        <v/>
      </c>
      <c r="BI118" s="72" t="str">
        <f aca="false">IF(ISBLANK(C118),"",BA118)</f>
        <v/>
      </c>
      <c r="BJ118" s="72" t="str">
        <f aca="false">IF(ISBLANK(C118),"",AZ118)</f>
        <v/>
      </c>
      <c r="BK118" s="75" t="str">
        <f aca="false">IF(ISBLANK(C118),"",IFERROR(_xlfn.SWITCH(BJ118, Constants!$B$4, COUNTA($C$8:$C617)+2, Constants!$B$5, COUNTA($C$8:$C617)+1, Constants!$B$6, COUNTA($C$8:$C617)),BJ118))</f>
        <v/>
      </c>
      <c r="BL118" s="5"/>
      <c r="BM118" s="76" t="n">
        <f aca="false">IF(OR(ISNUMBER(BJ118),BJ118="DQ",BJ118="P",BJ118="NS"),
    1,
    0
)</f>
        <v>0</v>
      </c>
      <c r="BN118" s="76" t="n">
        <v>111</v>
      </c>
      <c r="BO118" s="76" t="str">
        <f aca="false">IF(ISBLANK($C118),"",IF(ISNUMBER(BK118),BK118+ROW($B118)/1000,""))</f>
        <v/>
      </c>
      <c r="BP118" s="76" t="str">
        <f aca="false">IF(ISNUMBER(BO118), RANK(BO118,BO$8:BO$507,1), "")</f>
        <v/>
      </c>
      <c r="BQ118" s="76" t="str">
        <f aca="false">IF(ISBLANK($C118),
    "",
    $B118
)</f>
        <v/>
      </c>
      <c r="BR118" s="76" t="str">
        <f aca="false">IF(ISBLANK($C118),
    "",
    $C118
)</f>
        <v/>
      </c>
      <c r="BS118" s="76" t="str">
        <f aca="false">IF(ISBLANK($C118),
    "",
    $D118
)</f>
        <v/>
      </c>
      <c r="BT118" s="77" t="str">
        <f aca="false">BH118</f>
        <v/>
      </c>
      <c r="BU118" s="78" t="str">
        <f aca="false">BG118</f>
        <v/>
      </c>
      <c r="BV118" s="76" t="str">
        <f aca="false">IF(ISBLANK($C118),
    "",
    BJ118
)</f>
        <v/>
      </c>
      <c r="BW118" s="79" t="str">
        <f aca="false">IF(BN118&gt;BM$7,
    "",
    VLOOKUP(BN118,BP$8:BV617,7,FALSE())
)</f>
        <v/>
      </c>
      <c r="BX118" s="80" t="str">
        <f aca="false">IF(BN118&gt;BM$7,
    "",
    VLOOKUP(BN118,BP$8:BV617,2,FALSE())
)</f>
        <v/>
      </c>
      <c r="BY118" s="80" t="str">
        <f aca="false">IF(BN118&gt;BM$7,
    "",
    VLOOKUP(BN118,BP$8:BV617,3,FALSE())
)</f>
        <v/>
      </c>
      <c r="BZ118" s="80" t="str">
        <f aca="false">IF(BN118&gt;BM$7,
    "",
    VLOOKUP(BN118,BP$8:BV617,4,FALSE())
)</f>
        <v/>
      </c>
      <c r="CA118" s="80" t="str">
        <f aca="false">IF(BN118&gt;BM$7,
    "",
    VLOOKUP(BN118,BP$8:BV617,5,FALSE())
)</f>
        <v/>
      </c>
      <c r="CB118" s="81" t="str">
        <f aca="false">IF(BN118&gt;BM$7,
    "",
    VLOOKUP(BN118,BP$8:BV617,6,FALSE())
)</f>
        <v/>
      </c>
      <c r="CC118" s="53"/>
    </row>
    <row r="119" customFormat="false" ht="15.75" hidden="false" customHeight="false" outlineLevel="0" collapsed="false">
      <c r="A119" s="5"/>
      <c r="B119" s="125"/>
      <c r="C119" s="126"/>
      <c r="D119" s="115"/>
      <c r="E119" s="119"/>
      <c r="F119" s="119"/>
      <c r="G119" s="91"/>
      <c r="H119" s="92"/>
      <c r="I119" s="92"/>
      <c r="J119" s="128"/>
      <c r="K119" s="128"/>
      <c r="L119" s="128"/>
      <c r="M119" s="94"/>
      <c r="N119" s="94"/>
      <c r="O119" s="94"/>
      <c r="P119" s="95"/>
      <c r="Q119" s="96"/>
      <c r="R119" s="128"/>
      <c r="S119" s="98"/>
      <c r="T119" s="99"/>
      <c r="U119" s="99" t="str">
        <f aca="false">IF(ISBLANK($C119),"",IF(G119=Constants!$B$2, TRUE(), IF(G119=Constants!$B$3, FALSE(), TRUE())))</f>
        <v/>
      </c>
      <c r="V119" s="99" t="str">
        <f aca="false">IF(ISBLANK($C119),"",IF(H119=Constants!$B$2, TRUE(), IF(H119=Constants!$B$3, FALSE(), TRUE())))</f>
        <v/>
      </c>
      <c r="W119" s="99" t="str">
        <f aca="false">IF(ISBLANK($C119),"",IF(I119=Constants!$B$2, TRUE(), IF(I119=Constants!$B$3, FALSE(), TRUE())))</f>
        <v/>
      </c>
      <c r="X119" s="99" t="str">
        <f aca="false">IF(ISBLANK($C119),"",IF(AND(ISNUMBER(J119),J119&gt;0),INT(J119),0))</f>
        <v/>
      </c>
      <c r="Y119" s="99" t="str">
        <f aca="false">IF(ISBLANK($C119),"",IF(K119=Constants!$B$2, TRUE(), IF(K119=Constants!$B$3, FALSE(), TRUE())))</f>
        <v/>
      </c>
      <c r="Z119" s="100" t="str">
        <f aca="false">IF(ISBLANK($C119),"",IF(AND(ISNUMBER(L119),L119&gt;0),INT(L119),0))</f>
        <v/>
      </c>
      <c r="AA119" s="101" t="str">
        <f aca="false">IF(ISBLANK($C119),"",IF(ISNUMBER(M119), M119, ""))</f>
        <v/>
      </c>
      <c r="AB119" s="101" t="str">
        <f aca="false">IF(ISBLANK($C119),"",IF(ISNUMBER(N119), N119, ""))</f>
        <v/>
      </c>
      <c r="AC119" s="101" t="str">
        <f aca="false">IF(ISBLANK($C119),"",IF(ISNUMBER(O119), O119, ""))</f>
        <v/>
      </c>
      <c r="AD119" s="102" t="str">
        <f aca="false">IF(ISBLANK($C119),"",IF(ISNUMBER(P119), P119, ""))</f>
        <v/>
      </c>
      <c r="AE119" s="102" t="str">
        <f aca="false">IF(ISBLANK($C119),"",IF(ISNUMBER(Q119), Q119, Constants!$B$13))</f>
        <v/>
      </c>
      <c r="AF119" s="99" t="str">
        <f aca="false">IF(ISBLANK($C119),"",IF(R119=Constants!$B$2, TRUE(), IF(R119=Constants!$B$3, FALSE(), FALSE())))</f>
        <v/>
      </c>
      <c r="AG119" s="99" t="str">
        <f aca="false">IF(ISBLANK(C119), "", IF(AF119, Constants!$B$4,IF(COUNTA(G119:P119)=0, Constants!$B$5, Constants!$B$7)))</f>
        <v/>
      </c>
      <c r="AH119" s="99" t="str">
        <f aca="false">IF(ISBLANK($C119), "",IF($AG119=Constants!$B$7,1,$AG119))</f>
        <v/>
      </c>
      <c r="AI119" s="99" t="str">
        <f aca="false">IF($AG119=Constants!$B$7,POWER(Constants!$B$11,X119)*POWER(Constants!$B$12,Z119),"")</f>
        <v/>
      </c>
      <c r="AJ119" s="99" t="str">
        <f aca="false">IF(AND($AG119=Constants!$B$7, U119, V119) ,IF(OR($AA119="",$AC119=""),"",MAX(0, $AC119-$AA119)),"")</f>
        <v/>
      </c>
      <c r="AK119" s="99" t="str">
        <f aca="false">IF(AND($AG119=Constants!$B$7, U119, V119),IF(OR($AA119="",$AC119=""),$AK$6,""),"")</f>
        <v/>
      </c>
      <c r="AL119" s="99" t="str">
        <f aca="false">IF($AG119=Constants!$B$7,IF(AND(U119,V119,W119,Y119),IF($AJ119="",0,IF($AJ$6=0,Constants!$B$9,Constants!$B$9*AJ119/$AJ$6)), 0),"")</f>
        <v/>
      </c>
      <c r="AM119" s="99" t="str">
        <f aca="false">IF(AL119&lt;&gt;"", AL119*AI119,"")</f>
        <v/>
      </c>
      <c r="AN119" s="99" t="str">
        <f aca="false">IF(AND($AG119=Constants!$B$7, U119, V119) ,IF($AB119="", "", IF(OR($AC119="",$AC119=0),"",MAX(0,1-ABS($AC119-$AB119)/$AC119))),"")</f>
        <v/>
      </c>
      <c r="AO119" s="99" t="str">
        <f aca="false">IF(AND($AG119=Constants!$B$7, U119, V119),IF(AND($AA119&lt;&gt;"",$AB119&lt;&gt;"",$AC119=0),$AO$6,""),"")</f>
        <v/>
      </c>
      <c r="AP119" s="99" t="str">
        <f aca="false">IF($AG119=Constants!$B$7 ,IF(AND(U119,V119,W119,Y119,ISNUMBER(AB119)),IF($AN119="",0,IF($AN$6=0,Constants!$B$10,Constants!$B$10*AN119/$AN$6)), 0),"")</f>
        <v/>
      </c>
      <c r="AQ119" s="99" t="str">
        <f aca="false">IF(AP119&lt;&gt;"", AP119*AI119,"")</f>
        <v/>
      </c>
      <c r="AR119" s="99" t="str">
        <f aca="false">IF($AG119=Constants!$B$7,IF($AD119="",0,IF($AR$6=0,Constants!$B$8,Constants!$B$8*AD119/$AR$6)),"")</f>
        <v/>
      </c>
      <c r="AS119" s="99" t="str">
        <f aca="false">IF($AG119&lt;&gt;Constants!$B$7,$AG119,IF(AK119&amp;AO119&lt;&gt;"",Constants!$B$14,AM119+AQ119+AR119))</f>
        <v/>
      </c>
      <c r="AT119" s="99" t="str">
        <f aca="false">IF(ISBLANK($C119),"",IF($AG119=Constants!$B$7,IF(ISNUMBER(AS119),RANK(AS119,$AS$8:$AS$507),Constants!$B$14),$AG119))</f>
        <v/>
      </c>
      <c r="AU119" s="99" t="str">
        <f aca="false">IF(ISBLANK($C119), "",AM119)</f>
        <v/>
      </c>
      <c r="AV119" s="99" t="str">
        <f aca="false">IF(ISBLANK($C119),"",IF($AG119=Constants!$B$7,RANK(AU119,AU$8:AU$507),$AG119))</f>
        <v/>
      </c>
      <c r="AW119" s="99" t="str">
        <f aca="false">IF(ISBLANK($C119), "",AR119)</f>
        <v/>
      </c>
      <c r="AX119" s="99" t="str">
        <f aca="false">IF(ISBLANK($C119),"",IF($AG119=Constants!$B$7,RANK(AW119,AW$8:AW$507),$AG119))</f>
        <v/>
      </c>
      <c r="AY119" s="99" t="str">
        <f aca="false">IF(ISBLANK($C119), "",AE119)</f>
        <v/>
      </c>
      <c r="AZ119" s="99" t="str">
        <f aca="false">IF(ISBLANK($C119),"",
IF($AG119=Constants!$B$7,
  IF(ISNUMBER(AT119),
    COUNTIFS($AT$8:$AT$507,"&lt;"&amp;$AT119)
    + COUNTIFS($AT$8:$AT$507,$AT119,$AV$8:$AV$507,"&lt;"&amp;$AV119)
    + COUNTIFS($AT$8:$AT$507,$AT119,$AV$8:$AV$507,$AV119,$AX$8:$AX$507,"&lt;"&amp;$AX119)
    + COUNTIFS($AT$8:$AT$507,$AT119,$AV$8:$AV$507,$AV119,$AX$8:$AX$507,$AX119,$AY$8:$AY$507,"&lt;"&amp;$AY119)
    + 1,
  Constants!$B$14),
$AG119))</f>
        <v/>
      </c>
      <c r="BA119" s="99" t="str">
        <f aca="false">IF(ISBLANK(C119),"",IF($AG119=Constants!$B$7, IF(ISNUMBER(AT119),AT119-AZ119,Constants!$B$14),$AG119))</f>
        <v/>
      </c>
      <c r="BB119" s="103"/>
      <c r="BC119" s="104" t="str">
        <f aca="false">IF(ISBLANK($C119),"",TRIM(AK119&amp;" "&amp;AO119))</f>
        <v/>
      </c>
      <c r="BD119" s="105" t="str">
        <f aca="false">IF(ISBLANK($C119),"",IF($AG119&lt;&gt;Constants!$B$7,$AG119,AR119))</f>
        <v/>
      </c>
      <c r="BE119" s="105" t="str">
        <f aca="false">IF(ISBLANK($C119),"",IF($AG119&lt;&gt;Constants!$B$7,$AG119,AM119))</f>
        <v/>
      </c>
      <c r="BF119" s="105" t="str">
        <f aca="false">IF(ISBLANK($C119),"",IF($AG119&lt;&gt;Constants!$B$7,$AG119,AQ119))</f>
        <v/>
      </c>
      <c r="BG119" s="106" t="str">
        <f aca="false">IF(ISBLANK($C119),"",IF($AG119&lt;&gt;Constants!$B$7, $AG119 ,AS119))</f>
        <v/>
      </c>
      <c r="BH119" s="107" t="str">
        <f aca="false">IF(ISBLANK($C119),"",IF($AG119&lt;&gt;Constants!$B$7, $AG119 ,AH119))</f>
        <v/>
      </c>
      <c r="BI119" s="105" t="str">
        <f aca="false">IF(ISBLANK(C119),"",BA119)</f>
        <v/>
      </c>
      <c r="BJ119" s="105" t="str">
        <f aca="false">IF(ISBLANK(C119),"",AZ119)</f>
        <v/>
      </c>
      <c r="BK119" s="108" t="str">
        <f aca="false">IF(ISBLANK(C119),"",IFERROR(_xlfn.SWITCH(BJ119, Constants!$B$4, COUNTA($C$8:$C618)+2, Constants!$B$5, COUNTA($C$8:$C618)+1, Constants!$B$6, COUNTA($C$8:$C618)),BJ119))</f>
        <v/>
      </c>
      <c r="BL119" s="5"/>
      <c r="BM119" s="109" t="n">
        <f aca="false">IF(OR(ISNUMBER(BJ119),BJ119="DQ",BJ119="P",BJ119="NS"),
    1,
    0
)</f>
        <v>0</v>
      </c>
      <c r="BN119" s="109" t="n">
        <v>112</v>
      </c>
      <c r="BO119" s="109" t="str">
        <f aca="false">IF(ISBLANK($C119),"",IF(ISNUMBER(BK119),BK119+ROW($B119)/1000,""))</f>
        <v/>
      </c>
      <c r="BP119" s="109" t="str">
        <f aca="false">IF(ISNUMBER(BO119), RANK(BO119,BO$8:BO$507,1), "")</f>
        <v/>
      </c>
      <c r="BQ119" s="109" t="str">
        <f aca="false">IF(ISBLANK($C119),
    "",
    $B119
)</f>
        <v/>
      </c>
      <c r="BR119" s="109" t="str">
        <f aca="false">IF(ISBLANK($C119),
    "",
    $C119
)</f>
        <v/>
      </c>
      <c r="BS119" s="109" t="str">
        <f aca="false">IF(ISBLANK($C119),
    "",
    $D119
)</f>
        <v/>
      </c>
      <c r="BT119" s="110" t="str">
        <f aca="false">BH119</f>
        <v/>
      </c>
      <c r="BU119" s="111" t="str">
        <f aca="false">BG119</f>
        <v/>
      </c>
      <c r="BV119" s="109" t="str">
        <f aca="false">IF(ISBLANK($C119),
    "",
    BJ119
)</f>
        <v/>
      </c>
      <c r="BW119" s="112" t="str">
        <f aca="false">IF(BN119&gt;BM$7,
    "",
    VLOOKUP(BN119,BP$8:BV618,7,FALSE())
)</f>
        <v/>
      </c>
      <c r="BX119" s="113" t="str">
        <f aca="false">IF(BN119&gt;BM$7,
    "",
    VLOOKUP(BN119,BP$8:BV618,2,FALSE())
)</f>
        <v/>
      </c>
      <c r="BY119" s="113" t="str">
        <f aca="false">IF(BN119&gt;BM$7,
    "",
    VLOOKUP(BN119,BP$8:BV618,3,FALSE())
)</f>
        <v/>
      </c>
      <c r="BZ119" s="113" t="str">
        <f aca="false">IF(BN119&gt;BM$7,
    "",
    VLOOKUP(BN119,BP$8:BV618,4,FALSE())
)</f>
        <v/>
      </c>
      <c r="CA119" s="113" t="str">
        <f aca="false">IF(BN119&gt;BM$7,
    "",
    VLOOKUP(BN119,BP$8:BV618,5,FALSE())
)</f>
        <v/>
      </c>
      <c r="CB119" s="114" t="str">
        <f aca="false">IF(BN119&gt;BM$7,
    "",
    VLOOKUP(BN119,BP$8:BV618,6,FALSE())
)</f>
        <v/>
      </c>
      <c r="CC119" s="53"/>
    </row>
    <row r="120" customFormat="false" ht="15.75" hidden="false" customHeight="false" outlineLevel="0" collapsed="false">
      <c r="A120" s="5"/>
      <c r="B120" s="125"/>
      <c r="C120" s="126"/>
      <c r="D120" s="115"/>
      <c r="E120" s="119"/>
      <c r="F120" s="119"/>
      <c r="G120" s="91"/>
      <c r="H120" s="92"/>
      <c r="I120" s="92"/>
      <c r="J120" s="128"/>
      <c r="K120" s="128"/>
      <c r="L120" s="128"/>
      <c r="M120" s="94"/>
      <c r="N120" s="94"/>
      <c r="O120" s="94"/>
      <c r="P120" s="95"/>
      <c r="Q120" s="96"/>
      <c r="R120" s="128"/>
      <c r="S120" s="98"/>
      <c r="T120" s="99"/>
      <c r="U120" s="99" t="str">
        <f aca="false">IF(ISBLANK($C120),"",IF(G120=Constants!$B$2, TRUE(), IF(G120=Constants!$B$3, FALSE(), TRUE())))</f>
        <v/>
      </c>
      <c r="V120" s="99" t="str">
        <f aca="false">IF(ISBLANK($C120),"",IF(H120=Constants!$B$2, TRUE(), IF(H120=Constants!$B$3, FALSE(), TRUE())))</f>
        <v/>
      </c>
      <c r="W120" s="99" t="str">
        <f aca="false">IF(ISBLANK($C120),"",IF(I120=Constants!$B$2, TRUE(), IF(I120=Constants!$B$3, FALSE(), TRUE())))</f>
        <v/>
      </c>
      <c r="X120" s="99" t="str">
        <f aca="false">IF(ISBLANK($C120),"",IF(AND(ISNUMBER(J120),J120&gt;0),INT(J120),0))</f>
        <v/>
      </c>
      <c r="Y120" s="99" t="str">
        <f aca="false">IF(ISBLANK($C120),"",IF(K120=Constants!$B$2, TRUE(), IF(K120=Constants!$B$3, FALSE(), TRUE())))</f>
        <v/>
      </c>
      <c r="Z120" s="100" t="str">
        <f aca="false">IF(ISBLANK($C120),"",IF(AND(ISNUMBER(L120),L120&gt;0),INT(L120),0))</f>
        <v/>
      </c>
      <c r="AA120" s="101" t="str">
        <f aca="false">IF(ISBLANK($C120),"",IF(ISNUMBER(M120), M120, ""))</f>
        <v/>
      </c>
      <c r="AB120" s="101" t="str">
        <f aca="false">IF(ISBLANK($C120),"",IF(ISNUMBER(N120), N120, ""))</f>
        <v/>
      </c>
      <c r="AC120" s="101" t="str">
        <f aca="false">IF(ISBLANK($C120),"",IF(ISNUMBER(O120), O120, ""))</f>
        <v/>
      </c>
      <c r="AD120" s="102" t="str">
        <f aca="false">IF(ISBLANK($C120),"",IF(ISNUMBER(P120), P120, ""))</f>
        <v/>
      </c>
      <c r="AE120" s="102" t="str">
        <f aca="false">IF(ISBLANK($C120),"",IF(ISNUMBER(Q120), Q120, Constants!$B$13))</f>
        <v/>
      </c>
      <c r="AF120" s="99" t="str">
        <f aca="false">IF(ISBLANK($C120),"",IF(R120=Constants!$B$2, TRUE(), IF(R120=Constants!$B$3, FALSE(), FALSE())))</f>
        <v/>
      </c>
      <c r="AG120" s="99" t="str">
        <f aca="false">IF(ISBLANK(C120), "", IF(AF120, Constants!$B$4,IF(COUNTA(G120:P120)=0, Constants!$B$5, Constants!$B$7)))</f>
        <v/>
      </c>
      <c r="AH120" s="99" t="str">
        <f aca="false">IF(ISBLANK($C120), "",IF($AG120=Constants!$B$7,1,$AG120))</f>
        <v/>
      </c>
      <c r="AI120" s="99" t="str">
        <f aca="false">IF($AG120=Constants!$B$7,POWER(Constants!$B$11,X120)*POWER(Constants!$B$12,Z120),"")</f>
        <v/>
      </c>
      <c r="AJ120" s="99" t="str">
        <f aca="false">IF(AND($AG120=Constants!$B$7, U120, V120) ,IF(OR($AA120="",$AC120=""),"",MAX(0, $AC120-$AA120)),"")</f>
        <v/>
      </c>
      <c r="AK120" s="99" t="str">
        <f aca="false">IF(AND($AG120=Constants!$B$7, U120, V120),IF(OR($AA120="",$AC120=""),$AK$6,""),"")</f>
        <v/>
      </c>
      <c r="AL120" s="99" t="str">
        <f aca="false">IF($AG120=Constants!$B$7,IF(AND(U120,V120,W120,Y120),IF($AJ120="",0,IF($AJ$6=0,Constants!$B$9,Constants!$B$9*AJ120/$AJ$6)), 0),"")</f>
        <v/>
      </c>
      <c r="AM120" s="99" t="str">
        <f aca="false">IF(AL120&lt;&gt;"", AL120*AI120,"")</f>
        <v/>
      </c>
      <c r="AN120" s="99" t="str">
        <f aca="false">IF(AND($AG120=Constants!$B$7, U120, V120) ,IF($AB120="", "", IF(OR($AC120="",$AC120=0),"",MAX(0,1-ABS($AC120-$AB120)/$AC120))),"")</f>
        <v/>
      </c>
      <c r="AO120" s="99" t="str">
        <f aca="false">IF(AND($AG120=Constants!$B$7, U120, V120),IF(AND($AA120&lt;&gt;"",$AB120&lt;&gt;"",$AC120=0),$AO$6,""),"")</f>
        <v/>
      </c>
      <c r="AP120" s="99" t="str">
        <f aca="false">IF($AG120=Constants!$B$7 ,IF(AND(U120,V120,W120,Y120,ISNUMBER(AB120)),IF($AN120="",0,IF($AN$6=0,Constants!$B$10,Constants!$B$10*AN120/$AN$6)), 0),"")</f>
        <v/>
      </c>
      <c r="AQ120" s="99" t="str">
        <f aca="false">IF(AP120&lt;&gt;"", AP120*AI120,"")</f>
        <v/>
      </c>
      <c r="AR120" s="99" t="str">
        <f aca="false">IF($AG120=Constants!$B$7,IF($AD120="",0,IF($AR$6=0,Constants!$B$8,Constants!$B$8*AD120/$AR$6)),"")</f>
        <v/>
      </c>
      <c r="AS120" s="99" t="str">
        <f aca="false">IF($AG120&lt;&gt;Constants!$B$7,$AG120,IF(AK120&amp;AO120&lt;&gt;"",Constants!$B$14,AM120+AQ120+AR120))</f>
        <v/>
      </c>
      <c r="AT120" s="99" t="str">
        <f aca="false">IF(ISBLANK($C120),"",IF($AG120=Constants!$B$7,IF(ISNUMBER(AS120),RANK(AS120,$AS$8:$AS$507),Constants!$B$14),$AG120))</f>
        <v/>
      </c>
      <c r="AU120" s="99" t="str">
        <f aca="false">IF(ISBLANK($C120), "",AM120)</f>
        <v/>
      </c>
      <c r="AV120" s="99" t="str">
        <f aca="false">IF(ISBLANK($C120),"",IF($AG120=Constants!$B$7,RANK(AU120,AU$8:AU$507),$AG120))</f>
        <v/>
      </c>
      <c r="AW120" s="99" t="str">
        <f aca="false">IF(ISBLANK($C120), "",AR120)</f>
        <v/>
      </c>
      <c r="AX120" s="99" t="str">
        <f aca="false">IF(ISBLANK($C120),"",IF($AG120=Constants!$B$7,RANK(AW120,AW$8:AW$507),$AG120))</f>
        <v/>
      </c>
      <c r="AY120" s="99" t="str">
        <f aca="false">IF(ISBLANK($C120), "",AE120)</f>
        <v/>
      </c>
      <c r="AZ120" s="99" t="str">
        <f aca="false">IF(ISBLANK($C120),"",
IF($AG120=Constants!$B$7,
  IF(ISNUMBER(AT120),
    COUNTIFS($AT$8:$AT$507,"&lt;"&amp;$AT120)
    + COUNTIFS($AT$8:$AT$507,$AT120,$AV$8:$AV$507,"&lt;"&amp;$AV120)
    + COUNTIFS($AT$8:$AT$507,$AT120,$AV$8:$AV$507,$AV120,$AX$8:$AX$507,"&lt;"&amp;$AX120)
    + COUNTIFS($AT$8:$AT$507,$AT120,$AV$8:$AV$507,$AV120,$AX$8:$AX$507,$AX120,$AY$8:$AY$507,"&lt;"&amp;$AY120)
    + 1,
  Constants!$B$14),
$AG120))</f>
        <v/>
      </c>
      <c r="BA120" s="99" t="str">
        <f aca="false">IF(ISBLANK(C120),"",IF($AG120=Constants!$B$7, IF(ISNUMBER(AT120),AT120-AZ120,Constants!$B$14),$AG120))</f>
        <v/>
      </c>
      <c r="BB120" s="103"/>
      <c r="BC120" s="104" t="str">
        <f aca="false">IF(ISBLANK($C120),"",TRIM(AK120&amp;" "&amp;AO120))</f>
        <v/>
      </c>
      <c r="BD120" s="105" t="str">
        <f aca="false">IF(ISBLANK($C120),"",IF($AG120&lt;&gt;Constants!$B$7,$AG120,AR120))</f>
        <v/>
      </c>
      <c r="BE120" s="105" t="str">
        <f aca="false">IF(ISBLANK($C120),"",IF($AG120&lt;&gt;Constants!$B$7,$AG120,AM120))</f>
        <v/>
      </c>
      <c r="BF120" s="105" t="str">
        <f aca="false">IF(ISBLANK($C120),"",IF($AG120&lt;&gt;Constants!$B$7,$AG120,AQ120))</f>
        <v/>
      </c>
      <c r="BG120" s="106" t="str">
        <f aca="false">IF(ISBLANK($C120),"",IF($AG120&lt;&gt;Constants!$B$7, $AG120 ,AS120))</f>
        <v/>
      </c>
      <c r="BH120" s="107" t="str">
        <f aca="false">IF(ISBLANK($C120),"",IF($AG120&lt;&gt;Constants!$B$7, $AG120 ,AH120))</f>
        <v/>
      </c>
      <c r="BI120" s="105" t="str">
        <f aca="false">IF(ISBLANK(C120),"",BA120)</f>
        <v/>
      </c>
      <c r="BJ120" s="105" t="str">
        <f aca="false">IF(ISBLANK(C120),"",AZ120)</f>
        <v/>
      </c>
      <c r="BK120" s="108" t="str">
        <f aca="false">IF(ISBLANK(C120),"",IFERROR(_xlfn.SWITCH(BJ120, Constants!$B$4, COUNTA($C$8:$C619)+2, Constants!$B$5, COUNTA($C$8:$C619)+1, Constants!$B$6, COUNTA($C$8:$C619)),BJ120))</f>
        <v/>
      </c>
      <c r="BL120" s="5"/>
      <c r="BM120" s="109" t="n">
        <f aca="false">IF(OR(ISNUMBER(BJ120),BJ120="DQ",BJ120="P",BJ120="NS"),
    1,
    0
)</f>
        <v>0</v>
      </c>
      <c r="BN120" s="109" t="n">
        <v>113</v>
      </c>
      <c r="BO120" s="109" t="str">
        <f aca="false">IF(ISBLANK($C120),"",IF(ISNUMBER(BK120),BK120+ROW($B120)/1000,""))</f>
        <v/>
      </c>
      <c r="BP120" s="109" t="str">
        <f aca="false">IF(ISNUMBER(BO120), RANK(BO120,BO$8:BO$507,1), "")</f>
        <v/>
      </c>
      <c r="BQ120" s="109" t="str">
        <f aca="false">IF(ISBLANK($C120),
    "",
    $B120
)</f>
        <v/>
      </c>
      <c r="BR120" s="109" t="str">
        <f aca="false">IF(ISBLANK($C120),
    "",
    $C120
)</f>
        <v/>
      </c>
      <c r="BS120" s="109" t="str">
        <f aca="false">IF(ISBLANK($C120),
    "",
    $D120
)</f>
        <v/>
      </c>
      <c r="BT120" s="110" t="str">
        <f aca="false">BH120</f>
        <v/>
      </c>
      <c r="BU120" s="111" t="str">
        <f aca="false">BG120</f>
        <v/>
      </c>
      <c r="BV120" s="109" t="str">
        <f aca="false">IF(ISBLANK($C120),
    "",
    BJ120
)</f>
        <v/>
      </c>
      <c r="BW120" s="112" t="str">
        <f aca="false">IF(BN120&gt;BM$7,
    "",
    VLOOKUP(BN120,BP$8:BV619,7,FALSE())
)</f>
        <v/>
      </c>
      <c r="BX120" s="113" t="str">
        <f aca="false">IF(BN120&gt;BM$7,
    "",
    VLOOKUP(BN120,BP$8:BV619,2,FALSE())
)</f>
        <v/>
      </c>
      <c r="BY120" s="113" t="str">
        <f aca="false">IF(BN120&gt;BM$7,
    "",
    VLOOKUP(BN120,BP$8:BV619,3,FALSE())
)</f>
        <v/>
      </c>
      <c r="BZ120" s="113" t="str">
        <f aca="false">IF(BN120&gt;BM$7,
    "",
    VLOOKUP(BN120,BP$8:BV619,4,FALSE())
)</f>
        <v/>
      </c>
      <c r="CA120" s="113" t="str">
        <f aca="false">IF(BN120&gt;BM$7,
    "",
    VLOOKUP(BN120,BP$8:BV619,5,FALSE())
)</f>
        <v/>
      </c>
      <c r="CB120" s="114" t="str">
        <f aca="false">IF(BN120&gt;BM$7,
    "",
    VLOOKUP(BN120,BP$8:BV619,6,FALSE())
)</f>
        <v/>
      </c>
      <c r="CC120" s="53"/>
    </row>
    <row r="121" customFormat="false" ht="15.75" hidden="false" customHeight="false" outlineLevel="0" collapsed="false">
      <c r="A121" s="5"/>
      <c r="B121" s="125"/>
      <c r="C121" s="126"/>
      <c r="D121" s="115"/>
      <c r="E121" s="119"/>
      <c r="F121" s="119"/>
      <c r="G121" s="91"/>
      <c r="H121" s="92"/>
      <c r="I121" s="92"/>
      <c r="J121" s="128"/>
      <c r="K121" s="128"/>
      <c r="L121" s="128"/>
      <c r="M121" s="94"/>
      <c r="N121" s="94"/>
      <c r="O121" s="94"/>
      <c r="P121" s="95"/>
      <c r="Q121" s="96"/>
      <c r="R121" s="128"/>
      <c r="S121" s="98"/>
      <c r="T121" s="99"/>
      <c r="U121" s="99" t="str">
        <f aca="false">IF(ISBLANK($C121),"",IF(G121=Constants!$B$2, TRUE(), IF(G121=Constants!$B$3, FALSE(), TRUE())))</f>
        <v/>
      </c>
      <c r="V121" s="99" t="str">
        <f aca="false">IF(ISBLANK($C121),"",IF(H121=Constants!$B$2, TRUE(), IF(H121=Constants!$B$3, FALSE(), TRUE())))</f>
        <v/>
      </c>
      <c r="W121" s="99" t="str">
        <f aca="false">IF(ISBLANK($C121),"",IF(I121=Constants!$B$2, TRUE(), IF(I121=Constants!$B$3, FALSE(), TRUE())))</f>
        <v/>
      </c>
      <c r="X121" s="99" t="str">
        <f aca="false">IF(ISBLANK($C121),"",IF(AND(ISNUMBER(J121),J121&gt;0),INT(J121),0))</f>
        <v/>
      </c>
      <c r="Y121" s="99" t="str">
        <f aca="false">IF(ISBLANK($C121),"",IF(K121=Constants!$B$2, TRUE(), IF(K121=Constants!$B$3, FALSE(), TRUE())))</f>
        <v/>
      </c>
      <c r="Z121" s="100" t="str">
        <f aca="false">IF(ISBLANK($C121),"",IF(AND(ISNUMBER(L121),L121&gt;0),INT(L121),0))</f>
        <v/>
      </c>
      <c r="AA121" s="101" t="str">
        <f aca="false">IF(ISBLANK($C121),"",IF(ISNUMBER(M121), M121, ""))</f>
        <v/>
      </c>
      <c r="AB121" s="101" t="str">
        <f aca="false">IF(ISBLANK($C121),"",IF(ISNUMBER(N121), N121, ""))</f>
        <v/>
      </c>
      <c r="AC121" s="101" t="str">
        <f aca="false">IF(ISBLANK($C121),"",IF(ISNUMBER(O121), O121, ""))</f>
        <v/>
      </c>
      <c r="AD121" s="102" t="str">
        <f aca="false">IF(ISBLANK($C121),"",IF(ISNUMBER(P121), P121, ""))</f>
        <v/>
      </c>
      <c r="AE121" s="102" t="str">
        <f aca="false">IF(ISBLANK($C121),"",IF(ISNUMBER(Q121), Q121, Constants!$B$13))</f>
        <v/>
      </c>
      <c r="AF121" s="99" t="str">
        <f aca="false">IF(ISBLANK($C121),"",IF(R121=Constants!$B$2, TRUE(), IF(R121=Constants!$B$3, FALSE(), FALSE())))</f>
        <v/>
      </c>
      <c r="AG121" s="99" t="str">
        <f aca="false">IF(ISBLANK(C121), "", IF(AF121, Constants!$B$4,IF(COUNTA(G121:P121)=0, Constants!$B$5, Constants!$B$7)))</f>
        <v/>
      </c>
      <c r="AH121" s="99" t="str">
        <f aca="false">IF(ISBLANK($C121), "",IF($AG121=Constants!$B$7,1,$AG121))</f>
        <v/>
      </c>
      <c r="AI121" s="99" t="str">
        <f aca="false">IF($AG121=Constants!$B$7,POWER(Constants!$B$11,X121)*POWER(Constants!$B$12,Z121),"")</f>
        <v/>
      </c>
      <c r="AJ121" s="99" t="str">
        <f aca="false">IF(AND($AG121=Constants!$B$7, U121, V121) ,IF(OR($AA121="",$AC121=""),"",MAX(0, $AC121-$AA121)),"")</f>
        <v/>
      </c>
      <c r="AK121" s="99" t="str">
        <f aca="false">IF(AND($AG121=Constants!$B$7, U121, V121),IF(OR($AA121="",$AC121=""),$AK$6,""),"")</f>
        <v/>
      </c>
      <c r="AL121" s="99" t="str">
        <f aca="false">IF($AG121=Constants!$B$7,IF(AND(U121,V121,W121,Y121),IF($AJ121="",0,IF($AJ$6=0,Constants!$B$9,Constants!$B$9*AJ121/$AJ$6)), 0),"")</f>
        <v/>
      </c>
      <c r="AM121" s="99" t="str">
        <f aca="false">IF(AL121&lt;&gt;"", AL121*AI121,"")</f>
        <v/>
      </c>
      <c r="AN121" s="99" t="str">
        <f aca="false">IF(AND($AG121=Constants!$B$7, U121, V121) ,IF($AB121="", "", IF(OR($AC121="",$AC121=0),"",MAX(0,1-ABS($AC121-$AB121)/$AC121))),"")</f>
        <v/>
      </c>
      <c r="AO121" s="99" t="str">
        <f aca="false">IF(AND($AG121=Constants!$B$7, U121, V121),IF(AND($AA121&lt;&gt;"",$AB121&lt;&gt;"",$AC121=0),$AO$6,""),"")</f>
        <v/>
      </c>
      <c r="AP121" s="99" t="str">
        <f aca="false">IF($AG121=Constants!$B$7 ,IF(AND(U121,V121,W121,Y121,ISNUMBER(AB121)),IF($AN121="",0,IF($AN$6=0,Constants!$B$10,Constants!$B$10*AN121/$AN$6)), 0),"")</f>
        <v/>
      </c>
      <c r="AQ121" s="99" t="str">
        <f aca="false">IF(AP121&lt;&gt;"", AP121*AI121,"")</f>
        <v/>
      </c>
      <c r="AR121" s="99" t="str">
        <f aca="false">IF($AG121=Constants!$B$7,IF($AD121="",0,IF($AR$6=0,Constants!$B$8,Constants!$B$8*AD121/$AR$6)),"")</f>
        <v/>
      </c>
      <c r="AS121" s="99" t="str">
        <f aca="false">IF($AG121&lt;&gt;Constants!$B$7,$AG121,IF(AK121&amp;AO121&lt;&gt;"",Constants!$B$14,AM121+AQ121+AR121))</f>
        <v/>
      </c>
      <c r="AT121" s="99" t="str">
        <f aca="false">IF(ISBLANK($C121),"",IF($AG121=Constants!$B$7,IF(ISNUMBER(AS121),RANK(AS121,$AS$8:$AS$507),Constants!$B$14),$AG121))</f>
        <v/>
      </c>
      <c r="AU121" s="99" t="str">
        <f aca="false">IF(ISBLANK($C121), "",AM121)</f>
        <v/>
      </c>
      <c r="AV121" s="99" t="str">
        <f aca="false">IF(ISBLANK($C121),"",IF($AG121=Constants!$B$7,RANK(AU121,AU$8:AU$507),$AG121))</f>
        <v/>
      </c>
      <c r="AW121" s="99" t="str">
        <f aca="false">IF(ISBLANK($C121), "",AR121)</f>
        <v/>
      </c>
      <c r="AX121" s="99" t="str">
        <f aca="false">IF(ISBLANK($C121),"",IF($AG121=Constants!$B$7,RANK(AW121,AW$8:AW$507),$AG121))</f>
        <v/>
      </c>
      <c r="AY121" s="99" t="str">
        <f aca="false">IF(ISBLANK($C121), "",AE121)</f>
        <v/>
      </c>
      <c r="AZ121" s="99" t="str">
        <f aca="false">IF(ISBLANK($C121),"",
IF($AG121=Constants!$B$7,
  IF(ISNUMBER(AT121),
    COUNTIFS($AT$8:$AT$507,"&lt;"&amp;$AT121)
    + COUNTIFS($AT$8:$AT$507,$AT121,$AV$8:$AV$507,"&lt;"&amp;$AV121)
    + COUNTIFS($AT$8:$AT$507,$AT121,$AV$8:$AV$507,$AV121,$AX$8:$AX$507,"&lt;"&amp;$AX121)
    + COUNTIFS($AT$8:$AT$507,$AT121,$AV$8:$AV$507,$AV121,$AX$8:$AX$507,$AX121,$AY$8:$AY$507,"&lt;"&amp;$AY121)
    + 1,
  Constants!$B$14),
$AG121))</f>
        <v/>
      </c>
      <c r="BA121" s="99" t="str">
        <f aca="false">IF(ISBLANK(C121),"",IF($AG121=Constants!$B$7, IF(ISNUMBER(AT121),AT121-AZ121,Constants!$B$14),$AG121))</f>
        <v/>
      </c>
      <c r="BB121" s="103"/>
      <c r="BC121" s="104" t="str">
        <f aca="false">IF(ISBLANK($C121),"",TRIM(AK121&amp;" "&amp;AO121))</f>
        <v/>
      </c>
      <c r="BD121" s="105" t="str">
        <f aca="false">IF(ISBLANK($C121),"",IF($AG121&lt;&gt;Constants!$B$7,$AG121,AR121))</f>
        <v/>
      </c>
      <c r="BE121" s="105" t="str">
        <f aca="false">IF(ISBLANK($C121),"",IF($AG121&lt;&gt;Constants!$B$7,$AG121,AM121))</f>
        <v/>
      </c>
      <c r="BF121" s="105" t="str">
        <f aca="false">IF(ISBLANK($C121),"",IF($AG121&lt;&gt;Constants!$B$7,$AG121,AQ121))</f>
        <v/>
      </c>
      <c r="BG121" s="106" t="str">
        <f aca="false">IF(ISBLANK($C121),"",IF($AG121&lt;&gt;Constants!$B$7, $AG121 ,AS121))</f>
        <v/>
      </c>
      <c r="BH121" s="107" t="str">
        <f aca="false">IF(ISBLANK($C121),"",IF($AG121&lt;&gt;Constants!$B$7, $AG121 ,AH121))</f>
        <v/>
      </c>
      <c r="BI121" s="105" t="str">
        <f aca="false">IF(ISBLANK(C121),"",BA121)</f>
        <v/>
      </c>
      <c r="BJ121" s="105" t="str">
        <f aca="false">IF(ISBLANK(C121),"",AZ121)</f>
        <v/>
      </c>
      <c r="BK121" s="108" t="str">
        <f aca="false">IF(ISBLANK(C121),"",IFERROR(_xlfn.SWITCH(BJ121, Constants!$B$4, COUNTA($C$8:$C620)+2, Constants!$B$5, COUNTA($C$8:$C620)+1, Constants!$B$6, COUNTA($C$8:$C620)),BJ121))</f>
        <v/>
      </c>
      <c r="BL121" s="5"/>
      <c r="BM121" s="109" t="n">
        <f aca="false">IF(OR(ISNUMBER(BJ121),BJ121="DQ",BJ121="P",BJ121="NS"),
    1,
    0
)</f>
        <v>0</v>
      </c>
      <c r="BN121" s="109" t="n">
        <v>114</v>
      </c>
      <c r="BO121" s="109" t="str">
        <f aca="false">IF(ISBLANK($C121),"",IF(ISNUMBER(BK121),BK121+ROW($B121)/1000,""))</f>
        <v/>
      </c>
      <c r="BP121" s="109" t="str">
        <f aca="false">IF(ISNUMBER(BO121), RANK(BO121,BO$8:BO$507,1), "")</f>
        <v/>
      </c>
      <c r="BQ121" s="109" t="str">
        <f aca="false">IF(ISBLANK($C121),
    "",
    $B121
)</f>
        <v/>
      </c>
      <c r="BR121" s="109" t="str">
        <f aca="false">IF(ISBLANK($C121),
    "",
    $C121
)</f>
        <v/>
      </c>
      <c r="BS121" s="109" t="str">
        <f aca="false">IF(ISBLANK($C121),
    "",
    $D121
)</f>
        <v/>
      </c>
      <c r="BT121" s="110" t="str">
        <f aca="false">BH121</f>
        <v/>
      </c>
      <c r="BU121" s="111" t="str">
        <f aca="false">BG121</f>
        <v/>
      </c>
      <c r="BV121" s="109" t="str">
        <f aca="false">IF(ISBLANK($C121),
    "",
    BJ121
)</f>
        <v/>
      </c>
      <c r="BW121" s="112" t="str">
        <f aca="false">IF(BN121&gt;BM$7,
    "",
    VLOOKUP(BN121,BP$8:BV620,7,FALSE())
)</f>
        <v/>
      </c>
      <c r="BX121" s="113" t="str">
        <f aca="false">IF(BN121&gt;BM$7,
    "",
    VLOOKUP(BN121,BP$8:BV620,2,FALSE())
)</f>
        <v/>
      </c>
      <c r="BY121" s="113" t="str">
        <f aca="false">IF(BN121&gt;BM$7,
    "",
    VLOOKUP(BN121,BP$8:BV620,3,FALSE())
)</f>
        <v/>
      </c>
      <c r="BZ121" s="113" t="str">
        <f aca="false">IF(BN121&gt;BM$7,
    "",
    VLOOKUP(BN121,BP$8:BV620,4,FALSE())
)</f>
        <v/>
      </c>
      <c r="CA121" s="113" t="str">
        <f aca="false">IF(BN121&gt;BM$7,
    "",
    VLOOKUP(BN121,BP$8:BV620,5,FALSE())
)</f>
        <v/>
      </c>
      <c r="CB121" s="114" t="str">
        <f aca="false">IF(BN121&gt;BM$7,
    "",
    VLOOKUP(BN121,BP$8:BV620,6,FALSE())
)</f>
        <v/>
      </c>
      <c r="CC121" s="53"/>
    </row>
    <row r="122" customFormat="false" ht="15.75" hidden="false" customHeight="false" outlineLevel="0" collapsed="false">
      <c r="A122" s="5"/>
      <c r="B122" s="129"/>
      <c r="C122" s="55"/>
      <c r="D122" s="56"/>
      <c r="E122" s="123"/>
      <c r="F122" s="123"/>
      <c r="G122" s="58"/>
      <c r="H122" s="59"/>
      <c r="I122" s="59"/>
      <c r="J122" s="83"/>
      <c r="K122" s="83"/>
      <c r="L122" s="83"/>
      <c r="M122" s="61"/>
      <c r="N122" s="61"/>
      <c r="O122" s="61"/>
      <c r="P122" s="62"/>
      <c r="Q122" s="63"/>
      <c r="R122" s="83"/>
      <c r="S122" s="65"/>
      <c r="T122" s="66"/>
      <c r="U122" s="66" t="str">
        <f aca="false">IF(ISBLANK($C122),"",IF(G122=Constants!$B$2, TRUE(), IF(G122=Constants!$B$3, FALSE(), TRUE())))</f>
        <v/>
      </c>
      <c r="V122" s="66" t="str">
        <f aca="false">IF(ISBLANK($C122),"",IF(H122=Constants!$B$2, TRUE(), IF(H122=Constants!$B$3, FALSE(), TRUE())))</f>
        <v/>
      </c>
      <c r="W122" s="66" t="str">
        <f aca="false">IF(ISBLANK($C122),"",IF(I122=Constants!$B$2, TRUE(), IF(I122=Constants!$B$3, FALSE(), TRUE())))</f>
        <v/>
      </c>
      <c r="X122" s="66" t="str">
        <f aca="false">IF(ISBLANK($C122),"",IF(AND(ISNUMBER(J122),J122&gt;0),INT(J122),0))</f>
        <v/>
      </c>
      <c r="Y122" s="66" t="str">
        <f aca="false">IF(ISBLANK($C122),"",IF(K122=Constants!$B$2, TRUE(), IF(K122=Constants!$B$3, FALSE(), TRUE())))</f>
        <v/>
      </c>
      <c r="Z122" s="66" t="str">
        <f aca="false">IF(ISBLANK($C122),"",IF(AND(ISNUMBER(L122),L122&gt;0),INT(L122),0))</f>
        <v/>
      </c>
      <c r="AA122" s="68" t="str">
        <f aca="false">IF(ISBLANK($C122),"",IF(ISNUMBER(M122), M122, ""))</f>
        <v/>
      </c>
      <c r="AB122" s="68" t="str">
        <f aca="false">IF(ISBLANK($C122),"",IF(ISNUMBER(N122), N122, ""))</f>
        <v/>
      </c>
      <c r="AC122" s="68" t="str">
        <f aca="false">IF(ISBLANK($C122),"",IF(ISNUMBER(O122), O122, ""))</f>
        <v/>
      </c>
      <c r="AD122" s="69" t="str">
        <f aca="false">IF(ISBLANK($C122),"",IF(ISNUMBER(P122), P122, ""))</f>
        <v/>
      </c>
      <c r="AE122" s="69" t="str">
        <f aca="false">IF(ISBLANK($C122),"",IF(ISNUMBER(Q122), Q122, Constants!$B$13))</f>
        <v/>
      </c>
      <c r="AF122" s="66" t="str">
        <f aca="false">IF(ISBLANK($C122),"",IF(R122=Constants!$B$2, TRUE(), IF(R122=Constants!$B$3, FALSE(), FALSE())))</f>
        <v/>
      </c>
      <c r="AG122" s="66" t="str">
        <f aca="false">IF(ISBLANK(C122), "", IF(AF122, Constants!$B$4,IF(COUNTA(G122:P122)=0, Constants!$B$5, Constants!$B$7)))</f>
        <v/>
      </c>
      <c r="AH122" s="66" t="str">
        <f aca="false">IF(ISBLANK($C122), "",IF($AG122=Constants!$B$7,1,$AG122))</f>
        <v/>
      </c>
      <c r="AI122" s="66" t="str">
        <f aca="false">IF($AG122=Constants!$B$7,POWER(Constants!$B$11,X122)*POWER(Constants!$B$12,Z122),"")</f>
        <v/>
      </c>
      <c r="AJ122" s="66" t="str">
        <f aca="false">IF(AND($AG122=Constants!$B$7, U122, V122) ,IF(OR($AA122="",$AC122=""),"",MAX(0, $AC122-$AA122)),"")</f>
        <v/>
      </c>
      <c r="AK122" s="66" t="str">
        <f aca="false">IF(AND($AG122=Constants!$B$7, U122, V122),IF(OR($AA122="",$AC122=""),$AK$6,""),"")</f>
        <v/>
      </c>
      <c r="AL122" s="66" t="str">
        <f aca="false">IF($AG122=Constants!$B$7,IF(AND(U122,V122,W122,Y122),IF($AJ122="",0,IF($AJ$6=0,Constants!$B$9,Constants!$B$9*AJ122/$AJ$6)), 0),"")</f>
        <v/>
      </c>
      <c r="AM122" s="66" t="str">
        <f aca="false">IF(AL122&lt;&gt;"", AL122*AI122,"")</f>
        <v/>
      </c>
      <c r="AN122" s="66" t="str">
        <f aca="false">IF(AND($AG122=Constants!$B$7, U122, V122) ,IF($AB122="", "", IF(OR($AC122="",$AC122=0),"",MAX(0,1-ABS($AC122-$AB122)/$AC122))),"")</f>
        <v/>
      </c>
      <c r="AO122" s="66" t="str">
        <f aca="false">IF(AND($AG122=Constants!$B$7, U122, V122),IF(AND($AA122&lt;&gt;"",$AB122&lt;&gt;"",$AC122=0),$AO$6,""),"")</f>
        <v/>
      </c>
      <c r="AP122" s="66" t="str">
        <f aca="false">IF($AG122=Constants!$B$7 ,IF(AND(U122,V122,W122,Y122,ISNUMBER(AB122)),IF($AN122="",0,IF($AN$6=0,Constants!$B$10,Constants!$B$10*AN122/$AN$6)), 0),"")</f>
        <v/>
      </c>
      <c r="AQ122" s="66" t="str">
        <f aca="false">IF(AP122&lt;&gt;"", AP122*AI122,"")</f>
        <v/>
      </c>
      <c r="AR122" s="66" t="str">
        <f aca="false">IF($AG122=Constants!$B$7,IF($AD122="",0,IF($AR$6=0,Constants!$B$8,Constants!$B$8*AD122/$AR$6)),"")</f>
        <v/>
      </c>
      <c r="AS122" s="66" t="str">
        <f aca="false">IF($AG122&lt;&gt;Constants!$B$7,$AG122,IF(AK122&amp;AO122&lt;&gt;"",Constants!$B$14,AM122+AQ122+AR122))</f>
        <v/>
      </c>
      <c r="AT122" s="66" t="str">
        <f aca="false">IF(ISBLANK($C122),"",IF($AG122=Constants!$B$7,IF(ISNUMBER(AS122),RANK(AS122,$AS$8:$AS$507),Constants!$B$14),$AG122))</f>
        <v/>
      </c>
      <c r="AU122" s="66" t="str">
        <f aca="false">IF(ISBLANK($C122), "",AM122)</f>
        <v/>
      </c>
      <c r="AV122" s="66" t="str">
        <f aca="false">IF(ISBLANK($C122),"",IF($AG122=Constants!$B$7,RANK(AU122,AU$8:AU$507),$AG122))</f>
        <v/>
      </c>
      <c r="AW122" s="66" t="str">
        <f aca="false">IF(ISBLANK($C122), "",AR122)</f>
        <v/>
      </c>
      <c r="AX122" s="66" t="str">
        <f aca="false">IF(ISBLANK($C122),"",IF($AG122=Constants!$B$7,RANK(AW122,AW$8:AW$507),$AG122))</f>
        <v/>
      </c>
      <c r="AY122" s="66" t="str">
        <f aca="false">IF(ISBLANK($C122), "",AE122)</f>
        <v/>
      </c>
      <c r="AZ122" s="66" t="str">
        <f aca="false">IF(ISBLANK($C122),"",
IF($AG122=Constants!$B$7,
  IF(ISNUMBER(AT122),
    COUNTIFS($AT$8:$AT$507,"&lt;"&amp;$AT122)
    + COUNTIFS($AT$8:$AT$507,$AT122,$AV$8:$AV$507,"&lt;"&amp;$AV122)
    + COUNTIFS($AT$8:$AT$507,$AT122,$AV$8:$AV$507,$AV122,$AX$8:$AX$507,"&lt;"&amp;$AX122)
    + COUNTIFS($AT$8:$AT$507,$AT122,$AV$8:$AV$507,$AV122,$AX$8:$AX$507,$AX122,$AY$8:$AY$507,"&lt;"&amp;$AY122)
    + 1,
  Constants!$B$14),
$AG122))</f>
        <v/>
      </c>
      <c r="BA122" s="66" t="str">
        <f aca="false">IF(ISBLANK(C122),"",IF($AG122=Constants!$B$7, IF(ISNUMBER(AT122),AT122-AZ122,Constants!$B$14),$AG122))</f>
        <v/>
      </c>
      <c r="BB122" s="70"/>
      <c r="BC122" s="84" t="str">
        <f aca="false">IF(ISBLANK($C122),"",TRIM(AK122&amp;" "&amp;AO122))</f>
        <v/>
      </c>
      <c r="BD122" s="72" t="str">
        <f aca="false">IF(ISBLANK($C122),"",IF($AG122&lt;&gt;Constants!$B$7,$AG122,AR122))</f>
        <v/>
      </c>
      <c r="BE122" s="72" t="str">
        <f aca="false">IF(ISBLANK($C122),"",IF($AG122&lt;&gt;Constants!$B$7,$AG122,AM122))</f>
        <v/>
      </c>
      <c r="BF122" s="72" t="str">
        <f aca="false">IF(ISBLANK($C122),"",IF($AG122&lt;&gt;Constants!$B$7,$AG122,AQ122))</f>
        <v/>
      </c>
      <c r="BG122" s="73" t="str">
        <f aca="false">IF(ISBLANK($C122),"",IF($AG122&lt;&gt;Constants!$B$7, $AG122 ,AS122))</f>
        <v/>
      </c>
      <c r="BH122" s="74" t="str">
        <f aca="false">IF(ISBLANK($C122),"",IF($AG122&lt;&gt;Constants!$B$7, $AG122 ,AH122))</f>
        <v/>
      </c>
      <c r="BI122" s="72" t="str">
        <f aca="false">IF(ISBLANK(C122),"",BA122)</f>
        <v/>
      </c>
      <c r="BJ122" s="72" t="str">
        <f aca="false">IF(ISBLANK(C122),"",AZ122)</f>
        <v/>
      </c>
      <c r="BK122" s="75" t="str">
        <f aca="false">IF(ISBLANK(C122),"",IFERROR(_xlfn.SWITCH(BJ122, Constants!$B$4, COUNTA($C$8:$C621)+2, Constants!$B$5, COUNTA($C$8:$C621)+1, Constants!$B$6, COUNTA($C$8:$C621)),BJ122))</f>
        <v/>
      </c>
      <c r="BL122" s="5"/>
      <c r="BM122" s="76" t="n">
        <f aca="false">IF(OR(ISNUMBER(BJ122),BJ122="DQ",BJ122="P",BJ122="NS"),
    1,
    0
)</f>
        <v>0</v>
      </c>
      <c r="BN122" s="76" t="n">
        <v>115</v>
      </c>
      <c r="BO122" s="76" t="str">
        <f aca="false">IF(ISBLANK($C122),"",IF(ISNUMBER(BK122),BK122+ROW($B122)/1000,""))</f>
        <v/>
      </c>
      <c r="BP122" s="76" t="str">
        <f aca="false">IF(ISNUMBER(BO122), RANK(BO122,BO$8:BO$507,1), "")</f>
        <v/>
      </c>
      <c r="BQ122" s="76" t="str">
        <f aca="false">IF(ISBLANK($C122),
    "",
    $B122
)</f>
        <v/>
      </c>
      <c r="BR122" s="76" t="str">
        <f aca="false">IF(ISBLANK($C122),
    "",
    $C122
)</f>
        <v/>
      </c>
      <c r="BS122" s="76" t="str">
        <f aca="false">IF(ISBLANK($C122),
    "",
    $D122
)</f>
        <v/>
      </c>
      <c r="BT122" s="77" t="str">
        <f aca="false">BH122</f>
        <v/>
      </c>
      <c r="BU122" s="78" t="str">
        <f aca="false">BG122</f>
        <v/>
      </c>
      <c r="BV122" s="76" t="str">
        <f aca="false">IF(ISBLANK($C122),
    "",
    BJ122
)</f>
        <v/>
      </c>
      <c r="BW122" s="79" t="str">
        <f aca="false">IF(BN122&gt;BM$7,
    "",
    VLOOKUP(BN122,BP$8:BV621,7,FALSE())
)</f>
        <v/>
      </c>
      <c r="BX122" s="80" t="str">
        <f aca="false">IF(BN122&gt;BM$7,
    "",
    VLOOKUP(BN122,BP$8:BV621,2,FALSE())
)</f>
        <v/>
      </c>
      <c r="BY122" s="80" t="str">
        <f aca="false">IF(BN122&gt;BM$7,
    "",
    VLOOKUP(BN122,BP$8:BV621,3,FALSE())
)</f>
        <v/>
      </c>
      <c r="BZ122" s="80" t="str">
        <f aca="false">IF(BN122&gt;BM$7,
    "",
    VLOOKUP(BN122,BP$8:BV621,4,FALSE())
)</f>
        <v/>
      </c>
      <c r="CA122" s="80" t="str">
        <f aca="false">IF(BN122&gt;BM$7,
    "",
    VLOOKUP(BN122,BP$8:BV621,5,FALSE())
)</f>
        <v/>
      </c>
      <c r="CB122" s="81" t="str">
        <f aca="false">IF(BN122&gt;BM$7,
    "",
    VLOOKUP(BN122,BP$8:BV621,6,FALSE())
)</f>
        <v/>
      </c>
      <c r="CC122" s="53"/>
    </row>
    <row r="123" customFormat="false" ht="15.75" hidden="false" customHeight="false" outlineLevel="0" collapsed="false">
      <c r="A123" s="5"/>
      <c r="B123" s="129"/>
      <c r="C123" s="55"/>
      <c r="D123" s="56"/>
      <c r="E123" s="123"/>
      <c r="F123" s="123"/>
      <c r="G123" s="58"/>
      <c r="H123" s="59"/>
      <c r="I123" s="59"/>
      <c r="J123" s="83"/>
      <c r="K123" s="83"/>
      <c r="L123" s="83"/>
      <c r="M123" s="61"/>
      <c r="N123" s="61"/>
      <c r="O123" s="61"/>
      <c r="P123" s="62"/>
      <c r="Q123" s="63"/>
      <c r="R123" s="83"/>
      <c r="S123" s="65"/>
      <c r="T123" s="66"/>
      <c r="U123" s="66" t="str">
        <f aca="false">IF(ISBLANK($C123),"",IF(G123=Constants!$B$2, TRUE(), IF(G123=Constants!$B$3, FALSE(), TRUE())))</f>
        <v/>
      </c>
      <c r="V123" s="66" t="str">
        <f aca="false">IF(ISBLANK($C123),"",IF(H123=Constants!$B$2, TRUE(), IF(H123=Constants!$B$3, FALSE(), TRUE())))</f>
        <v/>
      </c>
      <c r="W123" s="66" t="str">
        <f aca="false">IF(ISBLANK($C123),"",IF(I123=Constants!$B$2, TRUE(), IF(I123=Constants!$B$3, FALSE(), TRUE())))</f>
        <v/>
      </c>
      <c r="X123" s="66" t="str">
        <f aca="false">IF(ISBLANK($C123),"",IF(AND(ISNUMBER(J123),J123&gt;0),INT(J123),0))</f>
        <v/>
      </c>
      <c r="Y123" s="66" t="str">
        <f aca="false">IF(ISBLANK($C123),"",IF(K123=Constants!$B$2, TRUE(), IF(K123=Constants!$B$3, FALSE(), TRUE())))</f>
        <v/>
      </c>
      <c r="Z123" s="66" t="str">
        <f aca="false">IF(ISBLANK($C123),"",IF(AND(ISNUMBER(L123),L123&gt;0),INT(L123),0))</f>
        <v/>
      </c>
      <c r="AA123" s="68" t="str">
        <f aca="false">IF(ISBLANK($C123),"",IF(ISNUMBER(M123), M123, ""))</f>
        <v/>
      </c>
      <c r="AB123" s="68" t="str">
        <f aca="false">IF(ISBLANK($C123),"",IF(ISNUMBER(N123), N123, ""))</f>
        <v/>
      </c>
      <c r="AC123" s="68" t="str">
        <f aca="false">IF(ISBLANK($C123),"",IF(ISNUMBER(O123), O123, ""))</f>
        <v/>
      </c>
      <c r="AD123" s="69" t="str">
        <f aca="false">IF(ISBLANK($C123),"",IF(ISNUMBER(P123), P123, ""))</f>
        <v/>
      </c>
      <c r="AE123" s="69" t="str">
        <f aca="false">IF(ISBLANK($C123),"",IF(ISNUMBER(Q123), Q123, Constants!$B$13))</f>
        <v/>
      </c>
      <c r="AF123" s="66" t="str">
        <f aca="false">IF(ISBLANK($C123),"",IF(R123=Constants!$B$2, TRUE(), IF(R123=Constants!$B$3, FALSE(), FALSE())))</f>
        <v/>
      </c>
      <c r="AG123" s="66" t="str">
        <f aca="false">IF(ISBLANK(C123), "", IF(AF123, Constants!$B$4,IF(COUNTA(G123:P123)=0, Constants!$B$5, Constants!$B$7)))</f>
        <v/>
      </c>
      <c r="AH123" s="66" t="str">
        <f aca="false">IF(ISBLANK($C123), "",IF($AG123=Constants!$B$7,1,$AG123))</f>
        <v/>
      </c>
      <c r="AI123" s="66" t="str">
        <f aca="false">IF($AG123=Constants!$B$7,POWER(Constants!$B$11,X123)*POWER(Constants!$B$12,Z123),"")</f>
        <v/>
      </c>
      <c r="AJ123" s="66" t="str">
        <f aca="false">IF(AND($AG123=Constants!$B$7, U123, V123) ,IF(OR($AA123="",$AC123=""),"",MAX(0, $AC123-$AA123)),"")</f>
        <v/>
      </c>
      <c r="AK123" s="66" t="str">
        <f aca="false">IF(AND($AG123=Constants!$B$7, U123, V123),IF(OR($AA123="",$AC123=""),$AK$6,""),"")</f>
        <v/>
      </c>
      <c r="AL123" s="66" t="str">
        <f aca="false">IF($AG123=Constants!$B$7,IF(AND(U123,V123,W123,Y123),IF($AJ123="",0,IF($AJ$6=0,Constants!$B$9,Constants!$B$9*AJ123/$AJ$6)), 0),"")</f>
        <v/>
      </c>
      <c r="AM123" s="66" t="str">
        <f aca="false">IF(AL123&lt;&gt;"", AL123*AI123,"")</f>
        <v/>
      </c>
      <c r="AN123" s="66" t="str">
        <f aca="false">IF(AND($AG123=Constants!$B$7, U123, V123) ,IF($AB123="", "", IF(OR($AC123="",$AC123=0),"",MAX(0,1-ABS($AC123-$AB123)/$AC123))),"")</f>
        <v/>
      </c>
      <c r="AO123" s="66" t="str">
        <f aca="false">IF(AND($AG123=Constants!$B$7, U123, V123),IF(AND($AA123&lt;&gt;"",$AB123&lt;&gt;"",$AC123=0),$AO$6,""),"")</f>
        <v/>
      </c>
      <c r="AP123" s="66" t="str">
        <f aca="false">IF($AG123=Constants!$B$7 ,IF(AND(U123,V123,W123,Y123,ISNUMBER(AB123)),IF($AN123="",0,IF($AN$6=0,Constants!$B$10,Constants!$B$10*AN123/$AN$6)), 0),"")</f>
        <v/>
      </c>
      <c r="AQ123" s="66" t="str">
        <f aca="false">IF(AP123&lt;&gt;"", AP123*AI123,"")</f>
        <v/>
      </c>
      <c r="AR123" s="66" t="str">
        <f aca="false">IF($AG123=Constants!$B$7,IF($AD123="",0,IF($AR$6=0,Constants!$B$8,Constants!$B$8*AD123/$AR$6)),"")</f>
        <v/>
      </c>
      <c r="AS123" s="66" t="str">
        <f aca="false">IF($AG123&lt;&gt;Constants!$B$7,$AG123,IF(AK123&amp;AO123&lt;&gt;"",Constants!$B$14,AM123+AQ123+AR123))</f>
        <v/>
      </c>
      <c r="AT123" s="66" t="str">
        <f aca="false">IF(ISBLANK($C123),"",IF($AG123=Constants!$B$7,IF(ISNUMBER(AS123),RANK(AS123,$AS$8:$AS$507),Constants!$B$14),$AG123))</f>
        <v/>
      </c>
      <c r="AU123" s="66" t="str">
        <f aca="false">IF(ISBLANK($C123), "",AM123)</f>
        <v/>
      </c>
      <c r="AV123" s="66" t="str">
        <f aca="false">IF(ISBLANK($C123),"",IF($AG123=Constants!$B$7,RANK(AU123,AU$8:AU$507),$AG123))</f>
        <v/>
      </c>
      <c r="AW123" s="66" t="str">
        <f aca="false">IF(ISBLANK($C123), "",AR123)</f>
        <v/>
      </c>
      <c r="AX123" s="66" t="str">
        <f aca="false">IF(ISBLANK($C123),"",IF($AG123=Constants!$B$7,RANK(AW123,AW$8:AW$507),$AG123))</f>
        <v/>
      </c>
      <c r="AY123" s="66" t="str">
        <f aca="false">IF(ISBLANK($C123), "",AE123)</f>
        <v/>
      </c>
      <c r="AZ123" s="66" t="str">
        <f aca="false">IF(ISBLANK($C123),"",
IF($AG123=Constants!$B$7,
  IF(ISNUMBER(AT123),
    COUNTIFS($AT$8:$AT$507,"&lt;"&amp;$AT123)
    + COUNTIFS($AT$8:$AT$507,$AT123,$AV$8:$AV$507,"&lt;"&amp;$AV123)
    + COUNTIFS($AT$8:$AT$507,$AT123,$AV$8:$AV$507,$AV123,$AX$8:$AX$507,"&lt;"&amp;$AX123)
    + COUNTIFS($AT$8:$AT$507,$AT123,$AV$8:$AV$507,$AV123,$AX$8:$AX$507,$AX123,$AY$8:$AY$507,"&lt;"&amp;$AY123)
    + 1,
  Constants!$B$14),
$AG123))</f>
        <v/>
      </c>
      <c r="BA123" s="66" t="str">
        <f aca="false">IF(ISBLANK(C123),"",IF($AG123=Constants!$B$7, IF(ISNUMBER(AT123),AT123-AZ123,Constants!$B$14),$AG123))</f>
        <v/>
      </c>
      <c r="BB123" s="70"/>
      <c r="BC123" s="84" t="str">
        <f aca="false">IF(ISBLANK($C123),"",TRIM(AK123&amp;" "&amp;AO123))</f>
        <v/>
      </c>
      <c r="BD123" s="72" t="str">
        <f aca="false">IF(ISBLANK($C123),"",IF($AG123&lt;&gt;Constants!$B$7,$AG123,AR123))</f>
        <v/>
      </c>
      <c r="BE123" s="72" t="str">
        <f aca="false">IF(ISBLANK($C123),"",IF($AG123&lt;&gt;Constants!$B$7,$AG123,AM123))</f>
        <v/>
      </c>
      <c r="BF123" s="72" t="str">
        <f aca="false">IF(ISBLANK($C123),"",IF($AG123&lt;&gt;Constants!$B$7,$AG123,AQ123))</f>
        <v/>
      </c>
      <c r="BG123" s="73" t="str">
        <f aca="false">IF(ISBLANK($C123),"",IF($AG123&lt;&gt;Constants!$B$7, $AG123 ,AS123))</f>
        <v/>
      </c>
      <c r="BH123" s="74" t="str">
        <f aca="false">IF(ISBLANK($C123),"",IF($AG123&lt;&gt;Constants!$B$7, $AG123 ,AH123))</f>
        <v/>
      </c>
      <c r="BI123" s="72" t="str">
        <f aca="false">IF(ISBLANK(C123),"",BA123)</f>
        <v/>
      </c>
      <c r="BJ123" s="72" t="str">
        <f aca="false">IF(ISBLANK(C123),"",AZ123)</f>
        <v/>
      </c>
      <c r="BK123" s="75" t="str">
        <f aca="false">IF(ISBLANK(C123),"",IFERROR(_xlfn.SWITCH(BJ123, Constants!$B$4, COUNTA($C$8:$C622)+2, Constants!$B$5, COUNTA($C$8:$C622)+1, Constants!$B$6, COUNTA($C$8:$C622)),BJ123))</f>
        <v/>
      </c>
      <c r="BL123" s="5"/>
      <c r="BM123" s="76" t="n">
        <f aca="false">IF(OR(ISNUMBER(BJ123),BJ123="DQ",BJ123="P",BJ123="NS"),
    1,
    0
)</f>
        <v>0</v>
      </c>
      <c r="BN123" s="76" t="n">
        <v>116</v>
      </c>
      <c r="BO123" s="76" t="str">
        <f aca="false">IF(ISBLANK($C123),"",IF(ISNUMBER(BK123),BK123+ROW($B123)/1000,""))</f>
        <v/>
      </c>
      <c r="BP123" s="76" t="str">
        <f aca="false">IF(ISNUMBER(BO123), RANK(BO123,BO$8:BO$507,1), "")</f>
        <v/>
      </c>
      <c r="BQ123" s="76" t="str">
        <f aca="false">IF(ISBLANK($C123),
    "",
    $B123
)</f>
        <v/>
      </c>
      <c r="BR123" s="76" t="str">
        <f aca="false">IF(ISBLANK($C123),
    "",
    $C123
)</f>
        <v/>
      </c>
      <c r="BS123" s="76" t="str">
        <f aca="false">IF(ISBLANK($C123),
    "",
    $D123
)</f>
        <v/>
      </c>
      <c r="BT123" s="77" t="str">
        <f aca="false">BH123</f>
        <v/>
      </c>
      <c r="BU123" s="78" t="str">
        <f aca="false">BG123</f>
        <v/>
      </c>
      <c r="BV123" s="76" t="str">
        <f aca="false">IF(ISBLANK($C123),
    "",
    BJ123
)</f>
        <v/>
      </c>
      <c r="BW123" s="79" t="str">
        <f aca="false">IF(BN123&gt;BM$7,
    "",
    VLOOKUP(BN123,BP$8:BV622,7,FALSE())
)</f>
        <v/>
      </c>
      <c r="BX123" s="80" t="str">
        <f aca="false">IF(BN123&gt;BM$7,
    "",
    VLOOKUP(BN123,BP$8:BV622,2,FALSE())
)</f>
        <v/>
      </c>
      <c r="BY123" s="80" t="str">
        <f aca="false">IF(BN123&gt;BM$7,
    "",
    VLOOKUP(BN123,BP$8:BV622,3,FALSE())
)</f>
        <v/>
      </c>
      <c r="BZ123" s="80" t="str">
        <f aca="false">IF(BN123&gt;BM$7,
    "",
    VLOOKUP(BN123,BP$8:BV622,4,FALSE())
)</f>
        <v/>
      </c>
      <c r="CA123" s="80" t="str">
        <f aca="false">IF(BN123&gt;BM$7,
    "",
    VLOOKUP(BN123,BP$8:BV622,5,FALSE())
)</f>
        <v/>
      </c>
      <c r="CB123" s="81" t="str">
        <f aca="false">IF(BN123&gt;BM$7,
    "",
    VLOOKUP(BN123,BP$8:BV622,6,FALSE())
)</f>
        <v/>
      </c>
      <c r="CC123" s="53"/>
    </row>
    <row r="124" customFormat="false" ht="15.75" hidden="false" customHeight="false" outlineLevel="0" collapsed="false">
      <c r="A124" s="5"/>
      <c r="B124" s="129"/>
      <c r="C124" s="55"/>
      <c r="D124" s="56"/>
      <c r="E124" s="123"/>
      <c r="F124" s="123"/>
      <c r="G124" s="58"/>
      <c r="H124" s="59"/>
      <c r="I124" s="59"/>
      <c r="J124" s="83"/>
      <c r="K124" s="83"/>
      <c r="L124" s="83"/>
      <c r="M124" s="61"/>
      <c r="N124" s="61"/>
      <c r="O124" s="61"/>
      <c r="P124" s="62"/>
      <c r="Q124" s="63"/>
      <c r="R124" s="83"/>
      <c r="S124" s="65"/>
      <c r="T124" s="66"/>
      <c r="U124" s="66" t="str">
        <f aca="false">IF(ISBLANK($C124),"",IF(G124=Constants!$B$2, TRUE(), IF(G124=Constants!$B$3, FALSE(), TRUE())))</f>
        <v/>
      </c>
      <c r="V124" s="66" t="str">
        <f aca="false">IF(ISBLANK($C124),"",IF(H124=Constants!$B$2, TRUE(), IF(H124=Constants!$B$3, FALSE(), TRUE())))</f>
        <v/>
      </c>
      <c r="W124" s="66" t="str">
        <f aca="false">IF(ISBLANK($C124),"",IF(I124=Constants!$B$2, TRUE(), IF(I124=Constants!$B$3, FALSE(), TRUE())))</f>
        <v/>
      </c>
      <c r="X124" s="66" t="str">
        <f aca="false">IF(ISBLANK($C124),"",IF(AND(ISNUMBER(J124),J124&gt;0),INT(J124),0))</f>
        <v/>
      </c>
      <c r="Y124" s="66" t="str">
        <f aca="false">IF(ISBLANK($C124),"",IF(K124=Constants!$B$2, TRUE(), IF(K124=Constants!$B$3, FALSE(), TRUE())))</f>
        <v/>
      </c>
      <c r="Z124" s="66" t="str">
        <f aca="false">IF(ISBLANK($C124),"",IF(AND(ISNUMBER(L124),L124&gt;0),INT(L124),0))</f>
        <v/>
      </c>
      <c r="AA124" s="68" t="str">
        <f aca="false">IF(ISBLANK($C124),"",IF(ISNUMBER(M124), M124, ""))</f>
        <v/>
      </c>
      <c r="AB124" s="68" t="str">
        <f aca="false">IF(ISBLANK($C124),"",IF(ISNUMBER(N124), N124, ""))</f>
        <v/>
      </c>
      <c r="AC124" s="68" t="str">
        <f aca="false">IF(ISBLANK($C124),"",IF(ISNUMBER(O124), O124, ""))</f>
        <v/>
      </c>
      <c r="AD124" s="69" t="str">
        <f aca="false">IF(ISBLANK($C124),"",IF(ISNUMBER(P124), P124, ""))</f>
        <v/>
      </c>
      <c r="AE124" s="69" t="str">
        <f aca="false">IF(ISBLANK($C124),"",IF(ISNUMBER(Q124), Q124, Constants!$B$13))</f>
        <v/>
      </c>
      <c r="AF124" s="66" t="str">
        <f aca="false">IF(ISBLANK($C124),"",IF(R124=Constants!$B$2, TRUE(), IF(R124=Constants!$B$3, FALSE(), FALSE())))</f>
        <v/>
      </c>
      <c r="AG124" s="66" t="str">
        <f aca="false">IF(ISBLANK(C124), "", IF(AF124, Constants!$B$4,IF(COUNTA(G124:P124)=0, Constants!$B$5, Constants!$B$7)))</f>
        <v/>
      </c>
      <c r="AH124" s="66" t="str">
        <f aca="false">IF(ISBLANK($C124), "",IF($AG124=Constants!$B$7,1,$AG124))</f>
        <v/>
      </c>
      <c r="AI124" s="66" t="str">
        <f aca="false">IF($AG124=Constants!$B$7,POWER(Constants!$B$11,X124)*POWER(Constants!$B$12,Z124),"")</f>
        <v/>
      </c>
      <c r="AJ124" s="66" t="str">
        <f aca="false">IF(AND($AG124=Constants!$B$7, U124, V124) ,IF(OR($AA124="",$AC124=""),"",MAX(0, $AC124-$AA124)),"")</f>
        <v/>
      </c>
      <c r="AK124" s="66" t="str">
        <f aca="false">IF(AND($AG124=Constants!$B$7, U124, V124),IF(OR($AA124="",$AC124=""),$AK$6,""),"")</f>
        <v/>
      </c>
      <c r="AL124" s="66" t="str">
        <f aca="false">IF($AG124=Constants!$B$7,IF(AND(U124,V124,W124,Y124),IF($AJ124="",0,IF($AJ$6=0,Constants!$B$9,Constants!$B$9*AJ124/$AJ$6)), 0),"")</f>
        <v/>
      </c>
      <c r="AM124" s="66" t="str">
        <f aca="false">IF(AL124&lt;&gt;"", AL124*AI124,"")</f>
        <v/>
      </c>
      <c r="AN124" s="66" t="str">
        <f aca="false">IF(AND($AG124=Constants!$B$7, U124, V124) ,IF($AB124="", "", IF(OR($AC124="",$AC124=0),"",MAX(0,1-ABS($AC124-$AB124)/$AC124))),"")</f>
        <v/>
      </c>
      <c r="AO124" s="66" t="str">
        <f aca="false">IF(AND($AG124=Constants!$B$7, U124, V124),IF(AND($AA124&lt;&gt;"",$AB124&lt;&gt;"",$AC124=0),$AO$6,""),"")</f>
        <v/>
      </c>
      <c r="AP124" s="66" t="str">
        <f aca="false">IF($AG124=Constants!$B$7 ,IF(AND(U124,V124,W124,Y124,ISNUMBER(AB124)),IF($AN124="",0,IF($AN$6=0,Constants!$B$10,Constants!$B$10*AN124/$AN$6)), 0),"")</f>
        <v/>
      </c>
      <c r="AQ124" s="66" t="str">
        <f aca="false">IF(AP124&lt;&gt;"", AP124*AI124,"")</f>
        <v/>
      </c>
      <c r="AR124" s="66" t="str">
        <f aca="false">IF($AG124=Constants!$B$7,IF($AD124="",0,IF($AR$6=0,Constants!$B$8,Constants!$B$8*AD124/$AR$6)),"")</f>
        <v/>
      </c>
      <c r="AS124" s="66" t="str">
        <f aca="false">IF($AG124&lt;&gt;Constants!$B$7,$AG124,IF(AK124&amp;AO124&lt;&gt;"",Constants!$B$14,AM124+AQ124+AR124))</f>
        <v/>
      </c>
      <c r="AT124" s="66" t="str">
        <f aca="false">IF(ISBLANK($C124),"",IF($AG124=Constants!$B$7,IF(ISNUMBER(AS124),RANK(AS124,$AS$8:$AS$507),Constants!$B$14),$AG124))</f>
        <v/>
      </c>
      <c r="AU124" s="66" t="str">
        <f aca="false">IF(ISBLANK($C124), "",AM124)</f>
        <v/>
      </c>
      <c r="AV124" s="66" t="str">
        <f aca="false">IF(ISBLANK($C124),"",IF($AG124=Constants!$B$7,RANK(AU124,AU$8:AU$507),$AG124))</f>
        <v/>
      </c>
      <c r="AW124" s="66" t="str">
        <f aca="false">IF(ISBLANK($C124), "",AR124)</f>
        <v/>
      </c>
      <c r="AX124" s="66" t="str">
        <f aca="false">IF(ISBLANK($C124),"",IF($AG124=Constants!$B$7,RANK(AW124,AW$8:AW$507),$AG124))</f>
        <v/>
      </c>
      <c r="AY124" s="66" t="str">
        <f aca="false">IF(ISBLANK($C124), "",AE124)</f>
        <v/>
      </c>
      <c r="AZ124" s="66" t="str">
        <f aca="false">IF(ISBLANK($C124),"",
IF($AG124=Constants!$B$7,
  IF(ISNUMBER(AT124),
    COUNTIFS($AT$8:$AT$507,"&lt;"&amp;$AT124)
    + COUNTIFS($AT$8:$AT$507,$AT124,$AV$8:$AV$507,"&lt;"&amp;$AV124)
    + COUNTIFS($AT$8:$AT$507,$AT124,$AV$8:$AV$507,$AV124,$AX$8:$AX$507,"&lt;"&amp;$AX124)
    + COUNTIFS($AT$8:$AT$507,$AT124,$AV$8:$AV$507,$AV124,$AX$8:$AX$507,$AX124,$AY$8:$AY$507,"&lt;"&amp;$AY124)
    + 1,
  Constants!$B$14),
$AG124))</f>
        <v/>
      </c>
      <c r="BA124" s="66" t="str">
        <f aca="false">IF(ISBLANK(C124),"",IF($AG124=Constants!$B$7, IF(ISNUMBER(AT124),AT124-AZ124,Constants!$B$14),$AG124))</f>
        <v/>
      </c>
      <c r="BB124" s="70"/>
      <c r="BC124" s="84" t="str">
        <f aca="false">IF(ISBLANK($C124),"",TRIM(AK124&amp;" "&amp;AO124))</f>
        <v/>
      </c>
      <c r="BD124" s="72" t="str">
        <f aca="false">IF(ISBLANK($C124),"",IF($AG124&lt;&gt;Constants!$B$7,$AG124,AR124))</f>
        <v/>
      </c>
      <c r="BE124" s="72" t="str">
        <f aca="false">IF(ISBLANK($C124),"",IF($AG124&lt;&gt;Constants!$B$7,$AG124,AM124))</f>
        <v/>
      </c>
      <c r="BF124" s="72" t="str">
        <f aca="false">IF(ISBLANK($C124),"",IF($AG124&lt;&gt;Constants!$B$7,$AG124,AQ124))</f>
        <v/>
      </c>
      <c r="BG124" s="73" t="str">
        <f aca="false">IF(ISBLANK($C124),"",IF($AG124&lt;&gt;Constants!$B$7, $AG124 ,AS124))</f>
        <v/>
      </c>
      <c r="BH124" s="74" t="str">
        <f aca="false">IF(ISBLANK($C124),"",IF($AG124&lt;&gt;Constants!$B$7, $AG124 ,AH124))</f>
        <v/>
      </c>
      <c r="BI124" s="72" t="str">
        <f aca="false">IF(ISBLANK(C124),"",BA124)</f>
        <v/>
      </c>
      <c r="BJ124" s="72" t="str">
        <f aca="false">IF(ISBLANK(C124),"",AZ124)</f>
        <v/>
      </c>
      <c r="BK124" s="75" t="str">
        <f aca="false">IF(ISBLANK(C124),"",IFERROR(_xlfn.SWITCH(BJ124, Constants!$B$4, COUNTA($C$8:$C623)+2, Constants!$B$5, COUNTA($C$8:$C623)+1, Constants!$B$6, COUNTA($C$8:$C623)),BJ124))</f>
        <v/>
      </c>
      <c r="BL124" s="5"/>
      <c r="BM124" s="76" t="n">
        <f aca="false">IF(OR(ISNUMBER(BJ124),BJ124="DQ",BJ124="P",BJ124="NS"),
    1,
    0
)</f>
        <v>0</v>
      </c>
      <c r="BN124" s="76" t="n">
        <v>117</v>
      </c>
      <c r="BO124" s="76" t="str">
        <f aca="false">IF(ISBLANK($C124),"",IF(ISNUMBER(BK124),BK124+ROW($B124)/1000,""))</f>
        <v/>
      </c>
      <c r="BP124" s="76" t="str">
        <f aca="false">IF(ISNUMBER(BO124), RANK(BO124,BO$8:BO$507,1), "")</f>
        <v/>
      </c>
      <c r="BQ124" s="76" t="str">
        <f aca="false">IF(ISBLANK($C124),
    "",
    $B124
)</f>
        <v/>
      </c>
      <c r="BR124" s="76" t="str">
        <f aca="false">IF(ISBLANK($C124),
    "",
    $C124
)</f>
        <v/>
      </c>
      <c r="BS124" s="76" t="str">
        <f aca="false">IF(ISBLANK($C124),
    "",
    $D124
)</f>
        <v/>
      </c>
      <c r="BT124" s="77" t="str">
        <f aca="false">BH124</f>
        <v/>
      </c>
      <c r="BU124" s="78" t="str">
        <f aca="false">BG124</f>
        <v/>
      </c>
      <c r="BV124" s="76" t="str">
        <f aca="false">IF(ISBLANK($C124),
    "",
    BJ124
)</f>
        <v/>
      </c>
      <c r="BW124" s="79" t="str">
        <f aca="false">IF(BN124&gt;BM$7,
    "",
    VLOOKUP(BN124,BP$8:BV623,7,FALSE())
)</f>
        <v/>
      </c>
      <c r="BX124" s="80" t="str">
        <f aca="false">IF(BN124&gt;BM$7,
    "",
    VLOOKUP(BN124,BP$8:BV623,2,FALSE())
)</f>
        <v/>
      </c>
      <c r="BY124" s="80" t="str">
        <f aca="false">IF(BN124&gt;BM$7,
    "",
    VLOOKUP(BN124,BP$8:BV623,3,FALSE())
)</f>
        <v/>
      </c>
      <c r="BZ124" s="80" t="str">
        <f aca="false">IF(BN124&gt;BM$7,
    "",
    VLOOKUP(BN124,BP$8:BV623,4,FALSE())
)</f>
        <v/>
      </c>
      <c r="CA124" s="80" t="str">
        <f aca="false">IF(BN124&gt;BM$7,
    "",
    VLOOKUP(BN124,BP$8:BV623,5,FALSE())
)</f>
        <v/>
      </c>
      <c r="CB124" s="81" t="str">
        <f aca="false">IF(BN124&gt;BM$7,
    "",
    VLOOKUP(BN124,BP$8:BV623,6,FALSE())
)</f>
        <v/>
      </c>
      <c r="CC124" s="53"/>
    </row>
    <row r="125" customFormat="false" ht="15.75" hidden="false" customHeight="false" outlineLevel="0" collapsed="false">
      <c r="A125" s="5"/>
      <c r="B125" s="125"/>
      <c r="C125" s="126"/>
      <c r="D125" s="115"/>
      <c r="E125" s="119"/>
      <c r="F125" s="119"/>
      <c r="G125" s="91"/>
      <c r="H125" s="92"/>
      <c r="I125" s="92"/>
      <c r="J125" s="128"/>
      <c r="K125" s="128"/>
      <c r="L125" s="128"/>
      <c r="M125" s="94"/>
      <c r="N125" s="94"/>
      <c r="O125" s="94"/>
      <c r="P125" s="95"/>
      <c r="Q125" s="96"/>
      <c r="R125" s="128"/>
      <c r="S125" s="98"/>
      <c r="T125" s="99"/>
      <c r="U125" s="99" t="str">
        <f aca="false">IF(ISBLANK($C125),"",IF(G125=Constants!$B$2, TRUE(), IF(G125=Constants!$B$3, FALSE(), TRUE())))</f>
        <v/>
      </c>
      <c r="V125" s="99" t="str">
        <f aca="false">IF(ISBLANK($C125),"",IF(H125=Constants!$B$2, TRUE(), IF(H125=Constants!$B$3, FALSE(), TRUE())))</f>
        <v/>
      </c>
      <c r="W125" s="99" t="str">
        <f aca="false">IF(ISBLANK($C125),"",IF(I125=Constants!$B$2, TRUE(), IF(I125=Constants!$B$3, FALSE(), TRUE())))</f>
        <v/>
      </c>
      <c r="X125" s="99" t="str">
        <f aca="false">IF(ISBLANK($C125),"",IF(AND(ISNUMBER(J125),J125&gt;0),INT(J125),0))</f>
        <v/>
      </c>
      <c r="Y125" s="99" t="str">
        <f aca="false">IF(ISBLANK($C125),"",IF(K125=Constants!$B$2, TRUE(), IF(K125=Constants!$B$3, FALSE(), TRUE())))</f>
        <v/>
      </c>
      <c r="Z125" s="100" t="str">
        <f aca="false">IF(ISBLANK($C125),"",IF(AND(ISNUMBER(L125),L125&gt;0),INT(L125),0))</f>
        <v/>
      </c>
      <c r="AA125" s="101" t="str">
        <f aca="false">IF(ISBLANK($C125),"",IF(ISNUMBER(M125), M125, ""))</f>
        <v/>
      </c>
      <c r="AB125" s="101" t="str">
        <f aca="false">IF(ISBLANK($C125),"",IF(ISNUMBER(N125), N125, ""))</f>
        <v/>
      </c>
      <c r="AC125" s="101" t="str">
        <f aca="false">IF(ISBLANK($C125),"",IF(ISNUMBER(O125), O125, ""))</f>
        <v/>
      </c>
      <c r="AD125" s="102" t="str">
        <f aca="false">IF(ISBLANK($C125),"",IF(ISNUMBER(P125), P125, ""))</f>
        <v/>
      </c>
      <c r="AE125" s="102" t="str">
        <f aca="false">IF(ISBLANK($C125),"",IF(ISNUMBER(Q125), Q125, Constants!$B$13))</f>
        <v/>
      </c>
      <c r="AF125" s="99" t="str">
        <f aca="false">IF(ISBLANK($C125),"",IF(R125=Constants!$B$2, TRUE(), IF(R125=Constants!$B$3, FALSE(), FALSE())))</f>
        <v/>
      </c>
      <c r="AG125" s="99" t="str">
        <f aca="false">IF(ISBLANK(C125), "", IF(AF125, Constants!$B$4,IF(COUNTA(G125:P125)=0, Constants!$B$5, Constants!$B$7)))</f>
        <v/>
      </c>
      <c r="AH125" s="99" t="str">
        <f aca="false">IF(ISBLANK($C125), "",IF($AG125=Constants!$B$7,1,$AG125))</f>
        <v/>
      </c>
      <c r="AI125" s="99" t="str">
        <f aca="false">IF($AG125=Constants!$B$7,POWER(Constants!$B$11,X125)*POWER(Constants!$B$12,Z125),"")</f>
        <v/>
      </c>
      <c r="AJ125" s="99" t="str">
        <f aca="false">IF(AND($AG125=Constants!$B$7, U125, V125) ,IF(OR($AA125="",$AC125=""),"",MAX(0, $AC125-$AA125)),"")</f>
        <v/>
      </c>
      <c r="AK125" s="99" t="str">
        <f aca="false">IF(AND($AG125=Constants!$B$7, U125, V125),IF(OR($AA125="",$AC125=""),$AK$6,""),"")</f>
        <v/>
      </c>
      <c r="AL125" s="99" t="str">
        <f aca="false">IF($AG125=Constants!$B$7,IF(AND(U125,V125,W125,Y125),IF($AJ125="",0,IF($AJ$6=0,Constants!$B$9,Constants!$B$9*AJ125/$AJ$6)), 0),"")</f>
        <v/>
      </c>
      <c r="AM125" s="99" t="str">
        <f aca="false">IF(AL125&lt;&gt;"", AL125*AI125,"")</f>
        <v/>
      </c>
      <c r="AN125" s="99" t="str">
        <f aca="false">IF(AND($AG125=Constants!$B$7, U125, V125) ,IF($AB125="", "", IF(OR($AC125="",$AC125=0),"",MAX(0,1-ABS($AC125-$AB125)/$AC125))),"")</f>
        <v/>
      </c>
      <c r="AO125" s="99" t="str">
        <f aca="false">IF(AND($AG125=Constants!$B$7, U125, V125),IF(AND($AA125&lt;&gt;"",$AB125&lt;&gt;"",$AC125=0),$AO$6,""),"")</f>
        <v/>
      </c>
      <c r="AP125" s="99" t="str">
        <f aca="false">IF($AG125=Constants!$B$7 ,IF(AND(U125,V125,W125,Y125,ISNUMBER(AB125)),IF($AN125="",0,IF($AN$6=0,Constants!$B$10,Constants!$B$10*AN125/$AN$6)), 0),"")</f>
        <v/>
      </c>
      <c r="AQ125" s="99" t="str">
        <f aca="false">IF(AP125&lt;&gt;"", AP125*AI125,"")</f>
        <v/>
      </c>
      <c r="AR125" s="99" t="str">
        <f aca="false">IF($AG125=Constants!$B$7,IF($AD125="",0,IF($AR$6=0,Constants!$B$8,Constants!$B$8*AD125/$AR$6)),"")</f>
        <v/>
      </c>
      <c r="AS125" s="99" t="str">
        <f aca="false">IF($AG125&lt;&gt;Constants!$B$7,$AG125,IF(AK125&amp;AO125&lt;&gt;"",Constants!$B$14,AM125+AQ125+AR125))</f>
        <v/>
      </c>
      <c r="AT125" s="99" t="str">
        <f aca="false">IF(ISBLANK($C125),"",IF($AG125=Constants!$B$7,IF(ISNUMBER(AS125),RANK(AS125,$AS$8:$AS$507),Constants!$B$14),$AG125))</f>
        <v/>
      </c>
      <c r="AU125" s="99" t="str">
        <f aca="false">IF(ISBLANK($C125), "",AM125)</f>
        <v/>
      </c>
      <c r="AV125" s="99" t="str">
        <f aca="false">IF(ISBLANK($C125),"",IF($AG125=Constants!$B$7,RANK(AU125,AU$8:AU$507),$AG125))</f>
        <v/>
      </c>
      <c r="AW125" s="99" t="str">
        <f aca="false">IF(ISBLANK($C125), "",AR125)</f>
        <v/>
      </c>
      <c r="AX125" s="99" t="str">
        <f aca="false">IF(ISBLANK($C125),"",IF($AG125=Constants!$B$7,RANK(AW125,AW$8:AW$507),$AG125))</f>
        <v/>
      </c>
      <c r="AY125" s="99" t="str">
        <f aca="false">IF(ISBLANK($C125), "",AE125)</f>
        <v/>
      </c>
      <c r="AZ125" s="99" t="str">
        <f aca="false">IF(ISBLANK($C125),"",
IF($AG125=Constants!$B$7,
  IF(ISNUMBER(AT125),
    COUNTIFS($AT$8:$AT$507,"&lt;"&amp;$AT125)
    + COUNTIFS($AT$8:$AT$507,$AT125,$AV$8:$AV$507,"&lt;"&amp;$AV125)
    + COUNTIFS($AT$8:$AT$507,$AT125,$AV$8:$AV$507,$AV125,$AX$8:$AX$507,"&lt;"&amp;$AX125)
    + COUNTIFS($AT$8:$AT$507,$AT125,$AV$8:$AV$507,$AV125,$AX$8:$AX$507,$AX125,$AY$8:$AY$507,"&lt;"&amp;$AY125)
    + 1,
  Constants!$B$14),
$AG125))</f>
        <v/>
      </c>
      <c r="BA125" s="99" t="str">
        <f aca="false">IF(ISBLANK(C125),"",IF($AG125=Constants!$B$7, IF(ISNUMBER(AT125),AT125-AZ125,Constants!$B$14),$AG125))</f>
        <v/>
      </c>
      <c r="BB125" s="103"/>
      <c r="BC125" s="104" t="str">
        <f aca="false">IF(ISBLANK($C125),"",TRIM(AK125&amp;" "&amp;AO125))</f>
        <v/>
      </c>
      <c r="BD125" s="105" t="str">
        <f aca="false">IF(ISBLANK($C125),"",IF($AG125&lt;&gt;Constants!$B$7,$AG125,AR125))</f>
        <v/>
      </c>
      <c r="BE125" s="105" t="str">
        <f aca="false">IF(ISBLANK($C125),"",IF($AG125&lt;&gt;Constants!$B$7,$AG125,AM125))</f>
        <v/>
      </c>
      <c r="BF125" s="105" t="str">
        <f aca="false">IF(ISBLANK($C125),"",IF($AG125&lt;&gt;Constants!$B$7,$AG125,AQ125))</f>
        <v/>
      </c>
      <c r="BG125" s="106" t="str">
        <f aca="false">IF(ISBLANK($C125),"",IF($AG125&lt;&gt;Constants!$B$7, $AG125 ,AS125))</f>
        <v/>
      </c>
      <c r="BH125" s="107" t="str">
        <f aca="false">IF(ISBLANK($C125),"",IF($AG125&lt;&gt;Constants!$B$7, $AG125 ,AH125))</f>
        <v/>
      </c>
      <c r="BI125" s="105" t="str">
        <f aca="false">IF(ISBLANK(C125),"",BA125)</f>
        <v/>
      </c>
      <c r="BJ125" s="105" t="str">
        <f aca="false">IF(ISBLANK(C125),"",AZ125)</f>
        <v/>
      </c>
      <c r="BK125" s="108" t="str">
        <f aca="false">IF(ISBLANK(C125),"",IFERROR(_xlfn.SWITCH(BJ125, Constants!$B$4, COUNTA($C$8:$C624)+2, Constants!$B$5, COUNTA($C$8:$C624)+1, Constants!$B$6, COUNTA($C$8:$C624)),BJ125))</f>
        <v/>
      </c>
      <c r="BL125" s="5"/>
      <c r="BM125" s="109" t="n">
        <f aca="false">IF(OR(ISNUMBER(BJ125),BJ125="DQ",BJ125="P",BJ125="NS"),
    1,
    0
)</f>
        <v>0</v>
      </c>
      <c r="BN125" s="109" t="n">
        <v>118</v>
      </c>
      <c r="BO125" s="109" t="str">
        <f aca="false">IF(ISBLANK($C125),"",IF(ISNUMBER(BK125),BK125+ROW($B125)/1000,""))</f>
        <v/>
      </c>
      <c r="BP125" s="109" t="str">
        <f aca="false">IF(ISNUMBER(BO125), RANK(BO125,BO$8:BO$507,1), "")</f>
        <v/>
      </c>
      <c r="BQ125" s="109" t="str">
        <f aca="false">IF(ISBLANK($C125),
    "",
    $B125
)</f>
        <v/>
      </c>
      <c r="BR125" s="109" t="str">
        <f aca="false">IF(ISBLANK($C125),
    "",
    $C125
)</f>
        <v/>
      </c>
      <c r="BS125" s="109" t="str">
        <f aca="false">IF(ISBLANK($C125),
    "",
    $D125
)</f>
        <v/>
      </c>
      <c r="BT125" s="110" t="str">
        <f aca="false">BH125</f>
        <v/>
      </c>
      <c r="BU125" s="111" t="str">
        <f aca="false">BG125</f>
        <v/>
      </c>
      <c r="BV125" s="109" t="str">
        <f aca="false">IF(ISBLANK($C125),
    "",
    BJ125
)</f>
        <v/>
      </c>
      <c r="BW125" s="112" t="str">
        <f aca="false">IF(BN125&gt;BM$7,
    "",
    VLOOKUP(BN125,BP$8:BV624,7,FALSE())
)</f>
        <v/>
      </c>
      <c r="BX125" s="113" t="str">
        <f aca="false">IF(BN125&gt;BM$7,
    "",
    VLOOKUP(BN125,BP$8:BV624,2,FALSE())
)</f>
        <v/>
      </c>
      <c r="BY125" s="113" t="str">
        <f aca="false">IF(BN125&gt;BM$7,
    "",
    VLOOKUP(BN125,BP$8:BV624,3,FALSE())
)</f>
        <v/>
      </c>
      <c r="BZ125" s="113" t="str">
        <f aca="false">IF(BN125&gt;BM$7,
    "",
    VLOOKUP(BN125,BP$8:BV624,4,FALSE())
)</f>
        <v/>
      </c>
      <c r="CA125" s="113" t="str">
        <f aca="false">IF(BN125&gt;BM$7,
    "",
    VLOOKUP(BN125,BP$8:BV624,5,FALSE())
)</f>
        <v/>
      </c>
      <c r="CB125" s="114" t="str">
        <f aca="false">IF(BN125&gt;BM$7,
    "",
    VLOOKUP(BN125,BP$8:BV624,6,FALSE())
)</f>
        <v/>
      </c>
      <c r="CC125" s="53"/>
    </row>
    <row r="126" customFormat="false" ht="15.75" hidden="false" customHeight="false" outlineLevel="0" collapsed="false">
      <c r="A126" s="5"/>
      <c r="B126" s="125"/>
      <c r="C126" s="126"/>
      <c r="D126" s="115"/>
      <c r="E126" s="119"/>
      <c r="F126" s="119"/>
      <c r="G126" s="91"/>
      <c r="H126" s="92"/>
      <c r="I126" s="92"/>
      <c r="J126" s="128"/>
      <c r="K126" s="128"/>
      <c r="L126" s="128"/>
      <c r="M126" s="94"/>
      <c r="N126" s="94"/>
      <c r="O126" s="94"/>
      <c r="P126" s="95"/>
      <c r="Q126" s="96"/>
      <c r="R126" s="128"/>
      <c r="S126" s="98"/>
      <c r="T126" s="99"/>
      <c r="U126" s="99" t="str">
        <f aca="false">IF(ISBLANK($C126),"",IF(G126=Constants!$B$2, TRUE(), IF(G126=Constants!$B$3, FALSE(), TRUE())))</f>
        <v/>
      </c>
      <c r="V126" s="99" t="str">
        <f aca="false">IF(ISBLANK($C126),"",IF(H126=Constants!$B$2, TRUE(), IF(H126=Constants!$B$3, FALSE(), TRUE())))</f>
        <v/>
      </c>
      <c r="W126" s="99" t="str">
        <f aca="false">IF(ISBLANK($C126),"",IF(I126=Constants!$B$2, TRUE(), IF(I126=Constants!$B$3, FALSE(), TRUE())))</f>
        <v/>
      </c>
      <c r="X126" s="99" t="str">
        <f aca="false">IF(ISBLANK($C126),"",IF(AND(ISNUMBER(J126),J126&gt;0),INT(J126),0))</f>
        <v/>
      </c>
      <c r="Y126" s="99" t="str">
        <f aca="false">IF(ISBLANK($C126),"",IF(K126=Constants!$B$2, TRUE(), IF(K126=Constants!$B$3, FALSE(), TRUE())))</f>
        <v/>
      </c>
      <c r="Z126" s="100" t="str">
        <f aca="false">IF(ISBLANK($C126),"",IF(AND(ISNUMBER(L126),L126&gt;0),INT(L126),0))</f>
        <v/>
      </c>
      <c r="AA126" s="101" t="str">
        <f aca="false">IF(ISBLANK($C126),"",IF(ISNUMBER(M126), M126, ""))</f>
        <v/>
      </c>
      <c r="AB126" s="101" t="str">
        <f aca="false">IF(ISBLANK($C126),"",IF(ISNUMBER(N126), N126, ""))</f>
        <v/>
      </c>
      <c r="AC126" s="101" t="str">
        <f aca="false">IF(ISBLANK($C126),"",IF(ISNUMBER(O126), O126, ""))</f>
        <v/>
      </c>
      <c r="AD126" s="102" t="str">
        <f aca="false">IF(ISBLANK($C126),"",IF(ISNUMBER(P126), P126, ""))</f>
        <v/>
      </c>
      <c r="AE126" s="102" t="str">
        <f aca="false">IF(ISBLANK($C126),"",IF(ISNUMBER(Q126), Q126, Constants!$B$13))</f>
        <v/>
      </c>
      <c r="AF126" s="99" t="str">
        <f aca="false">IF(ISBLANK($C126),"",IF(R126=Constants!$B$2, TRUE(), IF(R126=Constants!$B$3, FALSE(), FALSE())))</f>
        <v/>
      </c>
      <c r="AG126" s="99" t="str">
        <f aca="false">IF(ISBLANK(C126), "", IF(AF126, Constants!$B$4,IF(COUNTA(G126:P126)=0, Constants!$B$5, Constants!$B$7)))</f>
        <v/>
      </c>
      <c r="AH126" s="99" t="str">
        <f aca="false">IF(ISBLANK($C126), "",IF($AG126=Constants!$B$7,1,$AG126))</f>
        <v/>
      </c>
      <c r="AI126" s="99" t="str">
        <f aca="false">IF($AG126=Constants!$B$7,POWER(Constants!$B$11,X126)*POWER(Constants!$B$12,Z126),"")</f>
        <v/>
      </c>
      <c r="AJ126" s="99" t="str">
        <f aca="false">IF(AND($AG126=Constants!$B$7, U126, V126) ,IF(OR($AA126="",$AC126=""),"",MAX(0, $AC126-$AA126)),"")</f>
        <v/>
      </c>
      <c r="AK126" s="99" t="str">
        <f aca="false">IF(AND($AG126=Constants!$B$7, U126, V126),IF(OR($AA126="",$AC126=""),$AK$6,""),"")</f>
        <v/>
      </c>
      <c r="AL126" s="99" t="str">
        <f aca="false">IF($AG126=Constants!$B$7,IF(AND(U126,V126,W126,Y126),IF($AJ126="",0,IF($AJ$6=0,Constants!$B$9,Constants!$B$9*AJ126/$AJ$6)), 0),"")</f>
        <v/>
      </c>
      <c r="AM126" s="99" t="str">
        <f aca="false">IF(AL126&lt;&gt;"", AL126*AI126,"")</f>
        <v/>
      </c>
      <c r="AN126" s="99" t="str">
        <f aca="false">IF(AND($AG126=Constants!$B$7, U126, V126) ,IF($AB126="", "", IF(OR($AC126="",$AC126=0),"",MAX(0,1-ABS($AC126-$AB126)/$AC126))),"")</f>
        <v/>
      </c>
      <c r="AO126" s="99" t="str">
        <f aca="false">IF(AND($AG126=Constants!$B$7, U126, V126),IF(AND($AA126&lt;&gt;"",$AB126&lt;&gt;"",$AC126=0),$AO$6,""),"")</f>
        <v/>
      </c>
      <c r="AP126" s="99" t="str">
        <f aca="false">IF($AG126=Constants!$B$7 ,IF(AND(U126,V126,W126,Y126,ISNUMBER(AB126)),IF($AN126="",0,IF($AN$6=0,Constants!$B$10,Constants!$B$10*AN126/$AN$6)), 0),"")</f>
        <v/>
      </c>
      <c r="AQ126" s="99" t="str">
        <f aca="false">IF(AP126&lt;&gt;"", AP126*AI126,"")</f>
        <v/>
      </c>
      <c r="AR126" s="99" t="str">
        <f aca="false">IF($AG126=Constants!$B$7,IF($AD126="",0,IF($AR$6=0,Constants!$B$8,Constants!$B$8*AD126/$AR$6)),"")</f>
        <v/>
      </c>
      <c r="AS126" s="99" t="str">
        <f aca="false">IF($AG126&lt;&gt;Constants!$B$7,$AG126,IF(AK126&amp;AO126&lt;&gt;"",Constants!$B$14,AM126+AQ126+AR126))</f>
        <v/>
      </c>
      <c r="AT126" s="99" t="str">
        <f aca="false">IF(ISBLANK($C126),"",IF($AG126=Constants!$B$7,IF(ISNUMBER(AS126),RANK(AS126,$AS$8:$AS$507),Constants!$B$14),$AG126))</f>
        <v/>
      </c>
      <c r="AU126" s="99" t="str">
        <f aca="false">IF(ISBLANK($C126), "",AM126)</f>
        <v/>
      </c>
      <c r="AV126" s="99" t="str">
        <f aca="false">IF(ISBLANK($C126),"",IF($AG126=Constants!$B$7,RANK(AU126,AU$8:AU$507),$AG126))</f>
        <v/>
      </c>
      <c r="AW126" s="99" t="str">
        <f aca="false">IF(ISBLANK($C126), "",AR126)</f>
        <v/>
      </c>
      <c r="AX126" s="99" t="str">
        <f aca="false">IF(ISBLANK($C126),"",IF($AG126=Constants!$B$7,RANK(AW126,AW$8:AW$507),$AG126))</f>
        <v/>
      </c>
      <c r="AY126" s="99" t="str">
        <f aca="false">IF(ISBLANK($C126), "",AE126)</f>
        <v/>
      </c>
      <c r="AZ126" s="99" t="str">
        <f aca="false">IF(ISBLANK($C126),"",
IF($AG126=Constants!$B$7,
  IF(ISNUMBER(AT126),
    COUNTIFS($AT$8:$AT$507,"&lt;"&amp;$AT126)
    + COUNTIFS($AT$8:$AT$507,$AT126,$AV$8:$AV$507,"&lt;"&amp;$AV126)
    + COUNTIFS($AT$8:$AT$507,$AT126,$AV$8:$AV$507,$AV126,$AX$8:$AX$507,"&lt;"&amp;$AX126)
    + COUNTIFS($AT$8:$AT$507,$AT126,$AV$8:$AV$507,$AV126,$AX$8:$AX$507,$AX126,$AY$8:$AY$507,"&lt;"&amp;$AY126)
    + 1,
  Constants!$B$14),
$AG126))</f>
        <v/>
      </c>
      <c r="BA126" s="99" t="str">
        <f aca="false">IF(ISBLANK(C126),"",IF($AG126=Constants!$B$7, IF(ISNUMBER(AT126),AT126-AZ126,Constants!$B$14),$AG126))</f>
        <v/>
      </c>
      <c r="BB126" s="103"/>
      <c r="BC126" s="104" t="str">
        <f aca="false">IF(ISBLANK($C126),"",TRIM(AK126&amp;" "&amp;AO126))</f>
        <v/>
      </c>
      <c r="BD126" s="105" t="str">
        <f aca="false">IF(ISBLANK($C126),"",IF($AG126&lt;&gt;Constants!$B$7,$AG126,AR126))</f>
        <v/>
      </c>
      <c r="BE126" s="105" t="str">
        <f aca="false">IF(ISBLANK($C126),"",IF($AG126&lt;&gt;Constants!$B$7,$AG126,AM126))</f>
        <v/>
      </c>
      <c r="BF126" s="105" t="str">
        <f aca="false">IF(ISBLANK($C126),"",IF($AG126&lt;&gt;Constants!$B$7,$AG126,AQ126))</f>
        <v/>
      </c>
      <c r="BG126" s="106" t="str">
        <f aca="false">IF(ISBLANK($C126),"",IF($AG126&lt;&gt;Constants!$B$7, $AG126 ,AS126))</f>
        <v/>
      </c>
      <c r="BH126" s="107" t="str">
        <f aca="false">IF(ISBLANK($C126),"",IF($AG126&lt;&gt;Constants!$B$7, $AG126 ,AH126))</f>
        <v/>
      </c>
      <c r="BI126" s="105" t="str">
        <f aca="false">IF(ISBLANK(C126),"",BA126)</f>
        <v/>
      </c>
      <c r="BJ126" s="105" t="str">
        <f aca="false">IF(ISBLANK(C126),"",AZ126)</f>
        <v/>
      </c>
      <c r="BK126" s="108" t="str">
        <f aca="false">IF(ISBLANK(C126),"",IFERROR(_xlfn.SWITCH(BJ126, Constants!$B$4, COUNTA($C$8:$C625)+2, Constants!$B$5, COUNTA($C$8:$C625)+1, Constants!$B$6, COUNTA($C$8:$C625)),BJ126))</f>
        <v/>
      </c>
      <c r="BL126" s="5"/>
      <c r="BM126" s="109" t="n">
        <f aca="false">IF(OR(ISNUMBER(BJ126),BJ126="DQ",BJ126="P",BJ126="NS"),
    1,
    0
)</f>
        <v>0</v>
      </c>
      <c r="BN126" s="109" t="n">
        <v>119</v>
      </c>
      <c r="BO126" s="109" t="str">
        <f aca="false">IF(ISBLANK($C126),"",IF(ISNUMBER(BK126),BK126+ROW($B126)/1000,""))</f>
        <v/>
      </c>
      <c r="BP126" s="109" t="str">
        <f aca="false">IF(ISNUMBER(BO126), RANK(BO126,BO$8:BO$507,1), "")</f>
        <v/>
      </c>
      <c r="BQ126" s="109" t="str">
        <f aca="false">IF(ISBLANK($C126),
    "",
    $B126
)</f>
        <v/>
      </c>
      <c r="BR126" s="109" t="str">
        <f aca="false">IF(ISBLANK($C126),
    "",
    $C126
)</f>
        <v/>
      </c>
      <c r="BS126" s="109" t="str">
        <f aca="false">IF(ISBLANK($C126),
    "",
    $D126
)</f>
        <v/>
      </c>
      <c r="BT126" s="110" t="str">
        <f aca="false">BH126</f>
        <v/>
      </c>
      <c r="BU126" s="111" t="str">
        <f aca="false">BG126</f>
        <v/>
      </c>
      <c r="BV126" s="109" t="str">
        <f aca="false">IF(ISBLANK($C126),
    "",
    BJ126
)</f>
        <v/>
      </c>
      <c r="BW126" s="112" t="str">
        <f aca="false">IF(BN126&gt;BM$7,
    "",
    VLOOKUP(BN126,BP$8:BV625,7,FALSE())
)</f>
        <v/>
      </c>
      <c r="BX126" s="113" t="str">
        <f aca="false">IF(BN126&gt;BM$7,
    "",
    VLOOKUP(BN126,BP$8:BV625,2,FALSE())
)</f>
        <v/>
      </c>
      <c r="BY126" s="113" t="str">
        <f aca="false">IF(BN126&gt;BM$7,
    "",
    VLOOKUP(BN126,BP$8:BV625,3,FALSE())
)</f>
        <v/>
      </c>
      <c r="BZ126" s="113" t="str">
        <f aca="false">IF(BN126&gt;BM$7,
    "",
    VLOOKUP(BN126,BP$8:BV625,4,FALSE())
)</f>
        <v/>
      </c>
      <c r="CA126" s="113" t="str">
        <f aca="false">IF(BN126&gt;BM$7,
    "",
    VLOOKUP(BN126,BP$8:BV625,5,FALSE())
)</f>
        <v/>
      </c>
      <c r="CB126" s="114" t="str">
        <f aca="false">IF(BN126&gt;BM$7,
    "",
    VLOOKUP(BN126,BP$8:BV625,6,FALSE())
)</f>
        <v/>
      </c>
      <c r="CC126" s="53"/>
    </row>
    <row r="127" customFormat="false" ht="15.75" hidden="false" customHeight="false" outlineLevel="0" collapsed="false">
      <c r="A127" s="5"/>
      <c r="B127" s="125"/>
      <c r="C127" s="126"/>
      <c r="D127" s="115"/>
      <c r="E127" s="119"/>
      <c r="F127" s="119"/>
      <c r="G127" s="91"/>
      <c r="H127" s="92"/>
      <c r="I127" s="92"/>
      <c r="J127" s="128"/>
      <c r="K127" s="128"/>
      <c r="L127" s="128"/>
      <c r="M127" s="94"/>
      <c r="N127" s="94"/>
      <c r="O127" s="94"/>
      <c r="P127" s="95"/>
      <c r="Q127" s="96"/>
      <c r="R127" s="128"/>
      <c r="S127" s="98"/>
      <c r="T127" s="99"/>
      <c r="U127" s="99" t="str">
        <f aca="false">IF(ISBLANK($C127),"",IF(G127=Constants!$B$2, TRUE(), IF(G127=Constants!$B$3, FALSE(), TRUE())))</f>
        <v/>
      </c>
      <c r="V127" s="99" t="str">
        <f aca="false">IF(ISBLANK($C127),"",IF(H127=Constants!$B$2, TRUE(), IF(H127=Constants!$B$3, FALSE(), TRUE())))</f>
        <v/>
      </c>
      <c r="W127" s="99" t="str">
        <f aca="false">IF(ISBLANK($C127),"",IF(I127=Constants!$B$2, TRUE(), IF(I127=Constants!$B$3, FALSE(), TRUE())))</f>
        <v/>
      </c>
      <c r="X127" s="99" t="str">
        <f aca="false">IF(ISBLANK($C127),"",IF(AND(ISNUMBER(J127),J127&gt;0),INT(J127),0))</f>
        <v/>
      </c>
      <c r="Y127" s="99" t="str">
        <f aca="false">IF(ISBLANK($C127),"",IF(K127=Constants!$B$2, TRUE(), IF(K127=Constants!$B$3, FALSE(), TRUE())))</f>
        <v/>
      </c>
      <c r="Z127" s="100" t="str">
        <f aca="false">IF(ISBLANK($C127),"",IF(AND(ISNUMBER(L127),L127&gt;0),INT(L127),0))</f>
        <v/>
      </c>
      <c r="AA127" s="101" t="str">
        <f aca="false">IF(ISBLANK($C127),"",IF(ISNUMBER(M127), M127, ""))</f>
        <v/>
      </c>
      <c r="AB127" s="101" t="str">
        <f aca="false">IF(ISBLANK($C127),"",IF(ISNUMBER(N127), N127, ""))</f>
        <v/>
      </c>
      <c r="AC127" s="101" t="str">
        <f aca="false">IF(ISBLANK($C127),"",IF(ISNUMBER(O127), O127, ""))</f>
        <v/>
      </c>
      <c r="AD127" s="102" t="str">
        <f aca="false">IF(ISBLANK($C127),"",IF(ISNUMBER(P127), P127, ""))</f>
        <v/>
      </c>
      <c r="AE127" s="102" t="str">
        <f aca="false">IF(ISBLANK($C127),"",IF(ISNUMBER(Q127), Q127, Constants!$B$13))</f>
        <v/>
      </c>
      <c r="AF127" s="99" t="str">
        <f aca="false">IF(ISBLANK($C127),"",IF(R127=Constants!$B$2, TRUE(), IF(R127=Constants!$B$3, FALSE(), FALSE())))</f>
        <v/>
      </c>
      <c r="AG127" s="99" t="str">
        <f aca="false">IF(ISBLANK(C127), "", IF(AF127, Constants!$B$4,IF(COUNTA(G127:P127)=0, Constants!$B$5, Constants!$B$7)))</f>
        <v/>
      </c>
      <c r="AH127" s="99" t="str">
        <f aca="false">IF(ISBLANK($C127), "",IF($AG127=Constants!$B$7,1,$AG127))</f>
        <v/>
      </c>
      <c r="AI127" s="99" t="str">
        <f aca="false">IF($AG127=Constants!$B$7,POWER(Constants!$B$11,X127)*POWER(Constants!$B$12,Z127),"")</f>
        <v/>
      </c>
      <c r="AJ127" s="99" t="str">
        <f aca="false">IF(AND($AG127=Constants!$B$7, U127, V127) ,IF(OR($AA127="",$AC127=""),"",MAX(0, $AC127-$AA127)),"")</f>
        <v/>
      </c>
      <c r="AK127" s="99" t="str">
        <f aca="false">IF(AND($AG127=Constants!$B$7, U127, V127),IF(OR($AA127="",$AC127=""),$AK$6,""),"")</f>
        <v/>
      </c>
      <c r="AL127" s="99" t="str">
        <f aca="false">IF($AG127=Constants!$B$7,IF(AND(U127,V127,W127,Y127),IF($AJ127="",0,IF($AJ$6=0,Constants!$B$9,Constants!$B$9*AJ127/$AJ$6)), 0),"")</f>
        <v/>
      </c>
      <c r="AM127" s="99" t="str">
        <f aca="false">IF(AL127&lt;&gt;"", AL127*AI127,"")</f>
        <v/>
      </c>
      <c r="AN127" s="99" t="str">
        <f aca="false">IF(AND($AG127=Constants!$B$7, U127, V127) ,IF($AB127="", "", IF(OR($AC127="",$AC127=0),"",MAX(0,1-ABS($AC127-$AB127)/$AC127))),"")</f>
        <v/>
      </c>
      <c r="AO127" s="99" t="str">
        <f aca="false">IF(AND($AG127=Constants!$B$7, U127, V127),IF(AND($AA127&lt;&gt;"",$AB127&lt;&gt;"",$AC127=0),$AO$6,""),"")</f>
        <v/>
      </c>
      <c r="AP127" s="99" t="str">
        <f aca="false">IF($AG127=Constants!$B$7 ,IF(AND(U127,V127,W127,Y127,ISNUMBER(AB127)),IF($AN127="",0,IF($AN$6=0,Constants!$B$10,Constants!$B$10*AN127/$AN$6)), 0),"")</f>
        <v/>
      </c>
      <c r="AQ127" s="99" t="str">
        <f aca="false">IF(AP127&lt;&gt;"", AP127*AI127,"")</f>
        <v/>
      </c>
      <c r="AR127" s="99" t="str">
        <f aca="false">IF($AG127=Constants!$B$7,IF($AD127="",0,IF($AR$6=0,Constants!$B$8,Constants!$B$8*AD127/$AR$6)),"")</f>
        <v/>
      </c>
      <c r="AS127" s="99" t="str">
        <f aca="false">IF($AG127&lt;&gt;Constants!$B$7,$AG127,IF(AK127&amp;AO127&lt;&gt;"",Constants!$B$14,AM127+AQ127+AR127))</f>
        <v/>
      </c>
      <c r="AT127" s="99" t="str">
        <f aca="false">IF(ISBLANK($C127),"",IF($AG127=Constants!$B$7,IF(ISNUMBER(AS127),RANK(AS127,$AS$8:$AS$507),Constants!$B$14),$AG127))</f>
        <v/>
      </c>
      <c r="AU127" s="99" t="str">
        <f aca="false">IF(ISBLANK($C127), "",AM127)</f>
        <v/>
      </c>
      <c r="AV127" s="99" t="str">
        <f aca="false">IF(ISBLANK($C127),"",IF($AG127=Constants!$B$7,RANK(AU127,AU$8:AU$507),$AG127))</f>
        <v/>
      </c>
      <c r="AW127" s="99" t="str">
        <f aca="false">IF(ISBLANK($C127), "",AR127)</f>
        <v/>
      </c>
      <c r="AX127" s="99" t="str">
        <f aca="false">IF(ISBLANK($C127),"",IF($AG127=Constants!$B$7,RANK(AW127,AW$8:AW$507),$AG127))</f>
        <v/>
      </c>
      <c r="AY127" s="99" t="str">
        <f aca="false">IF(ISBLANK($C127), "",AE127)</f>
        <v/>
      </c>
      <c r="AZ127" s="99" t="str">
        <f aca="false">IF(ISBLANK($C127),"",
IF($AG127=Constants!$B$7,
  IF(ISNUMBER(AT127),
    COUNTIFS($AT$8:$AT$507,"&lt;"&amp;$AT127)
    + COUNTIFS($AT$8:$AT$507,$AT127,$AV$8:$AV$507,"&lt;"&amp;$AV127)
    + COUNTIFS($AT$8:$AT$507,$AT127,$AV$8:$AV$507,$AV127,$AX$8:$AX$507,"&lt;"&amp;$AX127)
    + COUNTIFS($AT$8:$AT$507,$AT127,$AV$8:$AV$507,$AV127,$AX$8:$AX$507,$AX127,$AY$8:$AY$507,"&lt;"&amp;$AY127)
    + 1,
  Constants!$B$14),
$AG127))</f>
        <v/>
      </c>
      <c r="BA127" s="99" t="str">
        <f aca="false">IF(ISBLANK(C127),"",IF($AG127=Constants!$B$7, IF(ISNUMBER(AT127),AT127-AZ127,Constants!$B$14),$AG127))</f>
        <v/>
      </c>
      <c r="BB127" s="103"/>
      <c r="BC127" s="104" t="str">
        <f aca="false">IF(ISBLANK($C127),"",TRIM(AK127&amp;" "&amp;AO127))</f>
        <v/>
      </c>
      <c r="BD127" s="105" t="str">
        <f aca="false">IF(ISBLANK($C127),"",IF($AG127&lt;&gt;Constants!$B$7,$AG127,AR127))</f>
        <v/>
      </c>
      <c r="BE127" s="105" t="str">
        <f aca="false">IF(ISBLANK($C127),"",IF($AG127&lt;&gt;Constants!$B$7,$AG127,AM127))</f>
        <v/>
      </c>
      <c r="BF127" s="105" t="str">
        <f aca="false">IF(ISBLANK($C127),"",IF($AG127&lt;&gt;Constants!$B$7,$AG127,AQ127))</f>
        <v/>
      </c>
      <c r="BG127" s="106" t="str">
        <f aca="false">IF(ISBLANK($C127),"",IF($AG127&lt;&gt;Constants!$B$7, $AG127 ,AS127))</f>
        <v/>
      </c>
      <c r="BH127" s="107" t="str">
        <f aca="false">IF(ISBLANK($C127),"",IF($AG127&lt;&gt;Constants!$B$7, $AG127 ,AH127))</f>
        <v/>
      </c>
      <c r="BI127" s="105" t="str">
        <f aca="false">IF(ISBLANK(C127),"",BA127)</f>
        <v/>
      </c>
      <c r="BJ127" s="105" t="str">
        <f aca="false">IF(ISBLANK(C127),"",AZ127)</f>
        <v/>
      </c>
      <c r="BK127" s="108" t="str">
        <f aca="false">IF(ISBLANK(C127),"",IFERROR(_xlfn.SWITCH(BJ127, Constants!$B$4, COUNTA($C$8:$C626)+2, Constants!$B$5, COUNTA($C$8:$C626)+1, Constants!$B$6, COUNTA($C$8:$C626)),BJ127))</f>
        <v/>
      </c>
      <c r="BL127" s="5"/>
      <c r="BM127" s="109" t="n">
        <f aca="false">IF(OR(ISNUMBER(BJ127),BJ127="DQ",BJ127="P",BJ127="NS"),
    1,
    0
)</f>
        <v>0</v>
      </c>
      <c r="BN127" s="109" t="n">
        <v>120</v>
      </c>
      <c r="BO127" s="109" t="str">
        <f aca="false">IF(ISBLANK($C127),"",IF(ISNUMBER(BK127),BK127+ROW($B127)/1000,""))</f>
        <v/>
      </c>
      <c r="BP127" s="109" t="str">
        <f aca="false">IF(ISNUMBER(BO127), RANK(BO127,BO$8:BO$507,1), "")</f>
        <v/>
      </c>
      <c r="BQ127" s="109" t="str">
        <f aca="false">IF(ISBLANK($C127),
    "",
    $B127
)</f>
        <v/>
      </c>
      <c r="BR127" s="109" t="str">
        <f aca="false">IF(ISBLANK($C127),
    "",
    $C127
)</f>
        <v/>
      </c>
      <c r="BS127" s="109" t="str">
        <f aca="false">IF(ISBLANK($C127),
    "",
    $D127
)</f>
        <v/>
      </c>
      <c r="BT127" s="110" t="str">
        <f aca="false">BH127</f>
        <v/>
      </c>
      <c r="BU127" s="111" t="str">
        <f aca="false">BG127</f>
        <v/>
      </c>
      <c r="BV127" s="109" t="str">
        <f aca="false">IF(ISBLANK($C127),
    "",
    BJ127
)</f>
        <v/>
      </c>
      <c r="BW127" s="112" t="str">
        <f aca="false">IF(BN127&gt;BM$7,
    "",
    VLOOKUP(BN127,BP$8:BV626,7,FALSE())
)</f>
        <v/>
      </c>
      <c r="BX127" s="113" t="str">
        <f aca="false">IF(BN127&gt;BM$7,
    "",
    VLOOKUP(BN127,BP$8:BV626,2,FALSE())
)</f>
        <v/>
      </c>
      <c r="BY127" s="113" t="str">
        <f aca="false">IF(BN127&gt;BM$7,
    "",
    VLOOKUP(BN127,BP$8:BV626,3,FALSE())
)</f>
        <v/>
      </c>
      <c r="BZ127" s="113" t="str">
        <f aca="false">IF(BN127&gt;BM$7,
    "",
    VLOOKUP(BN127,BP$8:BV626,4,FALSE())
)</f>
        <v/>
      </c>
      <c r="CA127" s="113" t="str">
        <f aca="false">IF(BN127&gt;BM$7,
    "",
    VLOOKUP(BN127,BP$8:BV626,5,FALSE())
)</f>
        <v/>
      </c>
      <c r="CB127" s="114" t="str">
        <f aca="false">IF(BN127&gt;BM$7,
    "",
    VLOOKUP(BN127,BP$8:BV626,6,FALSE())
)</f>
        <v/>
      </c>
      <c r="CC127" s="53"/>
    </row>
    <row r="128" customFormat="false" ht="15.75" hidden="false" customHeight="false" outlineLevel="0" collapsed="false">
      <c r="A128" s="5"/>
      <c r="B128" s="129"/>
      <c r="C128" s="55"/>
      <c r="D128" s="56"/>
      <c r="E128" s="123"/>
      <c r="F128" s="123"/>
      <c r="G128" s="58"/>
      <c r="H128" s="59"/>
      <c r="I128" s="59"/>
      <c r="J128" s="83"/>
      <c r="K128" s="83"/>
      <c r="L128" s="83"/>
      <c r="M128" s="61"/>
      <c r="N128" s="61"/>
      <c r="O128" s="61"/>
      <c r="P128" s="62"/>
      <c r="Q128" s="63"/>
      <c r="R128" s="83"/>
      <c r="S128" s="65"/>
      <c r="T128" s="66"/>
      <c r="U128" s="66" t="str">
        <f aca="false">IF(ISBLANK($C128),"",IF(G128=Constants!$B$2, TRUE(), IF(G128=Constants!$B$3, FALSE(), TRUE())))</f>
        <v/>
      </c>
      <c r="V128" s="66" t="str">
        <f aca="false">IF(ISBLANK($C128),"",IF(H128=Constants!$B$2, TRUE(), IF(H128=Constants!$B$3, FALSE(), TRUE())))</f>
        <v/>
      </c>
      <c r="W128" s="66" t="str">
        <f aca="false">IF(ISBLANK($C128),"",IF(I128=Constants!$B$2, TRUE(), IF(I128=Constants!$B$3, FALSE(), TRUE())))</f>
        <v/>
      </c>
      <c r="X128" s="66" t="str">
        <f aca="false">IF(ISBLANK($C128),"",IF(AND(ISNUMBER(J128),J128&gt;0),INT(J128),0))</f>
        <v/>
      </c>
      <c r="Y128" s="66" t="str">
        <f aca="false">IF(ISBLANK($C128),"",IF(K128=Constants!$B$2, TRUE(), IF(K128=Constants!$B$3, FALSE(), TRUE())))</f>
        <v/>
      </c>
      <c r="Z128" s="66" t="str">
        <f aca="false">IF(ISBLANK($C128),"",IF(AND(ISNUMBER(L128),L128&gt;0),INT(L128),0))</f>
        <v/>
      </c>
      <c r="AA128" s="68" t="str">
        <f aca="false">IF(ISBLANK($C128),"",IF(ISNUMBER(M128), M128, ""))</f>
        <v/>
      </c>
      <c r="AB128" s="68" t="str">
        <f aca="false">IF(ISBLANK($C128),"",IF(ISNUMBER(N128), N128, ""))</f>
        <v/>
      </c>
      <c r="AC128" s="68" t="str">
        <f aca="false">IF(ISBLANK($C128),"",IF(ISNUMBER(O128), O128, ""))</f>
        <v/>
      </c>
      <c r="AD128" s="69" t="str">
        <f aca="false">IF(ISBLANK($C128),"",IF(ISNUMBER(P128), P128, ""))</f>
        <v/>
      </c>
      <c r="AE128" s="69" t="str">
        <f aca="false">IF(ISBLANK($C128),"",IF(ISNUMBER(Q128), Q128, Constants!$B$13))</f>
        <v/>
      </c>
      <c r="AF128" s="66" t="str">
        <f aca="false">IF(ISBLANK($C128),"",IF(R128=Constants!$B$2, TRUE(), IF(R128=Constants!$B$3, FALSE(), FALSE())))</f>
        <v/>
      </c>
      <c r="AG128" s="66" t="str">
        <f aca="false">IF(ISBLANK(C128), "", IF(AF128, Constants!$B$4,IF(COUNTA(G128:P128)=0, Constants!$B$5, Constants!$B$7)))</f>
        <v/>
      </c>
      <c r="AH128" s="66" t="str">
        <f aca="false">IF(ISBLANK($C128), "",IF($AG128=Constants!$B$7,1,$AG128))</f>
        <v/>
      </c>
      <c r="AI128" s="66" t="str">
        <f aca="false">IF($AG128=Constants!$B$7,POWER(Constants!$B$11,X128)*POWER(Constants!$B$12,Z128),"")</f>
        <v/>
      </c>
      <c r="AJ128" s="66" t="str">
        <f aca="false">IF(AND($AG128=Constants!$B$7, U128, V128) ,IF(OR($AA128="",$AC128=""),"",MAX(0, $AC128-$AA128)),"")</f>
        <v/>
      </c>
      <c r="AK128" s="66" t="str">
        <f aca="false">IF(AND($AG128=Constants!$B$7, U128, V128),IF(OR($AA128="",$AC128=""),$AK$6,""),"")</f>
        <v/>
      </c>
      <c r="AL128" s="66" t="str">
        <f aca="false">IF($AG128=Constants!$B$7,IF(AND(U128,V128,W128,Y128),IF($AJ128="",0,IF($AJ$6=0,Constants!$B$9,Constants!$B$9*AJ128/$AJ$6)), 0),"")</f>
        <v/>
      </c>
      <c r="AM128" s="66" t="str">
        <f aca="false">IF(AL128&lt;&gt;"", AL128*AI128,"")</f>
        <v/>
      </c>
      <c r="AN128" s="66" t="str">
        <f aca="false">IF(AND($AG128=Constants!$B$7, U128, V128) ,IF($AB128="", "", IF(OR($AC128="",$AC128=0),"",MAX(0,1-ABS($AC128-$AB128)/$AC128))),"")</f>
        <v/>
      </c>
      <c r="AO128" s="66" t="str">
        <f aca="false">IF(AND($AG128=Constants!$B$7, U128, V128),IF(AND($AA128&lt;&gt;"",$AB128&lt;&gt;"",$AC128=0),$AO$6,""),"")</f>
        <v/>
      </c>
      <c r="AP128" s="66" t="str">
        <f aca="false">IF($AG128=Constants!$B$7 ,IF(AND(U128,V128,W128,Y128,ISNUMBER(AB128)),IF($AN128="",0,IF($AN$6=0,Constants!$B$10,Constants!$B$10*AN128/$AN$6)), 0),"")</f>
        <v/>
      </c>
      <c r="AQ128" s="66" t="str">
        <f aca="false">IF(AP128&lt;&gt;"", AP128*AI128,"")</f>
        <v/>
      </c>
      <c r="AR128" s="66" t="str">
        <f aca="false">IF($AG128=Constants!$B$7,IF($AD128="",0,IF($AR$6=0,Constants!$B$8,Constants!$B$8*AD128/$AR$6)),"")</f>
        <v/>
      </c>
      <c r="AS128" s="66" t="str">
        <f aca="false">IF($AG128&lt;&gt;Constants!$B$7,$AG128,IF(AK128&amp;AO128&lt;&gt;"",Constants!$B$14,AM128+AQ128+AR128))</f>
        <v/>
      </c>
      <c r="AT128" s="66" t="str">
        <f aca="false">IF(ISBLANK($C128),"",IF($AG128=Constants!$B$7,IF(ISNUMBER(AS128),RANK(AS128,$AS$8:$AS$507),Constants!$B$14),$AG128))</f>
        <v/>
      </c>
      <c r="AU128" s="66" t="str">
        <f aca="false">IF(ISBLANK($C128), "",AM128)</f>
        <v/>
      </c>
      <c r="AV128" s="66" t="str">
        <f aca="false">IF(ISBLANK($C128),"",IF($AG128=Constants!$B$7,RANK(AU128,AU$8:AU$507),$AG128))</f>
        <v/>
      </c>
      <c r="AW128" s="66" t="str">
        <f aca="false">IF(ISBLANK($C128), "",AR128)</f>
        <v/>
      </c>
      <c r="AX128" s="66" t="str">
        <f aca="false">IF(ISBLANK($C128),"",IF($AG128=Constants!$B$7,RANK(AW128,AW$8:AW$507),$AG128))</f>
        <v/>
      </c>
      <c r="AY128" s="66" t="str">
        <f aca="false">IF(ISBLANK($C128), "",AE128)</f>
        <v/>
      </c>
      <c r="AZ128" s="66" t="str">
        <f aca="false">IF(ISBLANK($C128),"",
IF($AG128=Constants!$B$7,
  IF(ISNUMBER(AT128),
    COUNTIFS($AT$8:$AT$507,"&lt;"&amp;$AT128)
    + COUNTIFS($AT$8:$AT$507,$AT128,$AV$8:$AV$507,"&lt;"&amp;$AV128)
    + COUNTIFS($AT$8:$AT$507,$AT128,$AV$8:$AV$507,$AV128,$AX$8:$AX$507,"&lt;"&amp;$AX128)
    + COUNTIFS($AT$8:$AT$507,$AT128,$AV$8:$AV$507,$AV128,$AX$8:$AX$507,$AX128,$AY$8:$AY$507,"&lt;"&amp;$AY128)
    + 1,
  Constants!$B$14),
$AG128))</f>
        <v/>
      </c>
      <c r="BA128" s="66" t="str">
        <f aca="false">IF(ISBLANK(C128),"",IF($AG128=Constants!$B$7, IF(ISNUMBER(AT128),AT128-AZ128,Constants!$B$14),$AG128))</f>
        <v/>
      </c>
      <c r="BB128" s="70"/>
      <c r="BC128" s="84" t="str">
        <f aca="false">IF(ISBLANK($C128),"",TRIM(AK128&amp;" "&amp;AO128))</f>
        <v/>
      </c>
      <c r="BD128" s="72" t="str">
        <f aca="false">IF(ISBLANK($C128),"",IF($AG128&lt;&gt;Constants!$B$7,$AG128,AR128))</f>
        <v/>
      </c>
      <c r="BE128" s="72" t="str">
        <f aca="false">IF(ISBLANK($C128),"",IF($AG128&lt;&gt;Constants!$B$7,$AG128,AM128))</f>
        <v/>
      </c>
      <c r="BF128" s="72" t="str">
        <f aca="false">IF(ISBLANK($C128),"",IF($AG128&lt;&gt;Constants!$B$7,$AG128,AQ128))</f>
        <v/>
      </c>
      <c r="BG128" s="73" t="str">
        <f aca="false">IF(ISBLANK($C128),"",IF($AG128&lt;&gt;Constants!$B$7, $AG128 ,AS128))</f>
        <v/>
      </c>
      <c r="BH128" s="74" t="str">
        <f aca="false">IF(ISBLANK($C128),"",IF($AG128&lt;&gt;Constants!$B$7, $AG128 ,AH128))</f>
        <v/>
      </c>
      <c r="BI128" s="72" t="str">
        <f aca="false">IF(ISBLANK(C128),"",BA128)</f>
        <v/>
      </c>
      <c r="BJ128" s="72" t="str">
        <f aca="false">IF(ISBLANK(C128),"",AZ128)</f>
        <v/>
      </c>
      <c r="BK128" s="75" t="str">
        <f aca="false">IF(ISBLANK(C128),"",IFERROR(_xlfn.SWITCH(BJ128, Constants!$B$4, COUNTA($C$8:$C627)+2, Constants!$B$5, COUNTA($C$8:$C627)+1, Constants!$B$6, COUNTA($C$8:$C627)),BJ128))</f>
        <v/>
      </c>
      <c r="BL128" s="5"/>
      <c r="BM128" s="76" t="n">
        <f aca="false">IF(OR(ISNUMBER(BJ128),BJ128="DQ",BJ128="P",BJ128="NS"),
    1,
    0
)</f>
        <v>0</v>
      </c>
      <c r="BN128" s="76" t="n">
        <v>121</v>
      </c>
      <c r="BO128" s="76" t="str">
        <f aca="false">IF(ISBLANK($C128),"",IF(ISNUMBER(BK128),BK128+ROW($B128)/1000,""))</f>
        <v/>
      </c>
      <c r="BP128" s="76" t="str">
        <f aca="false">IF(ISNUMBER(BO128), RANK(BO128,BO$8:BO$507,1), "")</f>
        <v/>
      </c>
      <c r="BQ128" s="76" t="str">
        <f aca="false">IF(ISBLANK($C128),
    "",
    $B128
)</f>
        <v/>
      </c>
      <c r="BR128" s="76" t="str">
        <f aca="false">IF(ISBLANK($C128),
    "",
    $C128
)</f>
        <v/>
      </c>
      <c r="BS128" s="76" t="str">
        <f aca="false">IF(ISBLANK($C128),
    "",
    $D128
)</f>
        <v/>
      </c>
      <c r="BT128" s="77" t="str">
        <f aca="false">BH128</f>
        <v/>
      </c>
      <c r="BU128" s="78" t="str">
        <f aca="false">BG128</f>
        <v/>
      </c>
      <c r="BV128" s="76" t="str">
        <f aca="false">IF(ISBLANK($C128),
    "",
    BJ128
)</f>
        <v/>
      </c>
      <c r="BW128" s="79" t="str">
        <f aca="false">IF(BN128&gt;BM$7,
    "",
    VLOOKUP(BN128,BP$8:BV627,7,FALSE())
)</f>
        <v/>
      </c>
      <c r="BX128" s="80" t="str">
        <f aca="false">IF(BN128&gt;BM$7,
    "",
    VLOOKUP(BN128,BP$8:BV627,2,FALSE())
)</f>
        <v/>
      </c>
      <c r="BY128" s="80" t="str">
        <f aca="false">IF(BN128&gt;BM$7,
    "",
    VLOOKUP(BN128,BP$8:BV627,3,FALSE())
)</f>
        <v/>
      </c>
      <c r="BZ128" s="80" t="str">
        <f aca="false">IF(BN128&gt;BM$7,
    "",
    VLOOKUP(BN128,BP$8:BV627,4,FALSE())
)</f>
        <v/>
      </c>
      <c r="CA128" s="80" t="str">
        <f aca="false">IF(BN128&gt;BM$7,
    "",
    VLOOKUP(BN128,BP$8:BV627,5,FALSE())
)</f>
        <v/>
      </c>
      <c r="CB128" s="81" t="str">
        <f aca="false">IF(BN128&gt;BM$7,
    "",
    VLOOKUP(BN128,BP$8:BV627,6,FALSE())
)</f>
        <v/>
      </c>
      <c r="CC128" s="53"/>
    </row>
    <row r="129" customFormat="false" ht="15.75" hidden="false" customHeight="false" outlineLevel="0" collapsed="false">
      <c r="A129" s="5"/>
      <c r="B129" s="129"/>
      <c r="C129" s="55"/>
      <c r="D129" s="56"/>
      <c r="E129" s="123"/>
      <c r="F129" s="123"/>
      <c r="G129" s="58"/>
      <c r="H129" s="59"/>
      <c r="I129" s="59"/>
      <c r="J129" s="83"/>
      <c r="K129" s="83"/>
      <c r="L129" s="83"/>
      <c r="M129" s="61"/>
      <c r="N129" s="61"/>
      <c r="O129" s="61"/>
      <c r="P129" s="62"/>
      <c r="Q129" s="63"/>
      <c r="R129" s="83"/>
      <c r="S129" s="65"/>
      <c r="T129" s="66"/>
      <c r="U129" s="66" t="str">
        <f aca="false">IF(ISBLANK($C129),"",IF(G129=Constants!$B$2, TRUE(), IF(G129=Constants!$B$3, FALSE(), TRUE())))</f>
        <v/>
      </c>
      <c r="V129" s="66" t="str">
        <f aca="false">IF(ISBLANK($C129),"",IF(H129=Constants!$B$2, TRUE(), IF(H129=Constants!$B$3, FALSE(), TRUE())))</f>
        <v/>
      </c>
      <c r="W129" s="66" t="str">
        <f aca="false">IF(ISBLANK($C129),"",IF(I129=Constants!$B$2, TRUE(), IF(I129=Constants!$B$3, FALSE(), TRUE())))</f>
        <v/>
      </c>
      <c r="X129" s="66" t="str">
        <f aca="false">IF(ISBLANK($C129),"",IF(AND(ISNUMBER(J129),J129&gt;0),INT(J129),0))</f>
        <v/>
      </c>
      <c r="Y129" s="66" t="str">
        <f aca="false">IF(ISBLANK($C129),"",IF(K129=Constants!$B$2, TRUE(), IF(K129=Constants!$B$3, FALSE(), TRUE())))</f>
        <v/>
      </c>
      <c r="Z129" s="66" t="str">
        <f aca="false">IF(ISBLANK($C129),"",IF(AND(ISNUMBER(L129),L129&gt;0),INT(L129),0))</f>
        <v/>
      </c>
      <c r="AA129" s="68" t="str">
        <f aca="false">IF(ISBLANK($C129),"",IF(ISNUMBER(M129), M129, ""))</f>
        <v/>
      </c>
      <c r="AB129" s="68" t="str">
        <f aca="false">IF(ISBLANK($C129),"",IF(ISNUMBER(N129), N129, ""))</f>
        <v/>
      </c>
      <c r="AC129" s="68" t="str">
        <f aca="false">IF(ISBLANK($C129),"",IF(ISNUMBER(O129), O129, ""))</f>
        <v/>
      </c>
      <c r="AD129" s="69" t="str">
        <f aca="false">IF(ISBLANK($C129),"",IF(ISNUMBER(P129), P129, ""))</f>
        <v/>
      </c>
      <c r="AE129" s="69" t="str">
        <f aca="false">IF(ISBLANK($C129),"",IF(ISNUMBER(Q129), Q129, Constants!$B$13))</f>
        <v/>
      </c>
      <c r="AF129" s="66" t="str">
        <f aca="false">IF(ISBLANK($C129),"",IF(R129=Constants!$B$2, TRUE(), IF(R129=Constants!$B$3, FALSE(), FALSE())))</f>
        <v/>
      </c>
      <c r="AG129" s="66" t="str">
        <f aca="false">IF(ISBLANK(C129), "", IF(AF129, Constants!$B$4,IF(COUNTA(G129:P129)=0, Constants!$B$5, Constants!$B$7)))</f>
        <v/>
      </c>
      <c r="AH129" s="66" t="str">
        <f aca="false">IF(ISBLANK($C129), "",IF($AG129=Constants!$B$7,1,$AG129))</f>
        <v/>
      </c>
      <c r="AI129" s="66" t="str">
        <f aca="false">IF($AG129=Constants!$B$7,POWER(Constants!$B$11,X129)*POWER(Constants!$B$12,Z129),"")</f>
        <v/>
      </c>
      <c r="AJ129" s="66" t="str">
        <f aca="false">IF(AND($AG129=Constants!$B$7, U129, V129) ,IF(OR($AA129="",$AC129=""),"",MAX(0, $AC129-$AA129)),"")</f>
        <v/>
      </c>
      <c r="AK129" s="66" t="str">
        <f aca="false">IF(AND($AG129=Constants!$B$7, U129, V129),IF(OR($AA129="",$AC129=""),$AK$6,""),"")</f>
        <v/>
      </c>
      <c r="AL129" s="66" t="str">
        <f aca="false">IF($AG129=Constants!$B$7,IF(AND(U129,V129,W129,Y129),IF($AJ129="",0,IF($AJ$6=0,Constants!$B$9,Constants!$B$9*AJ129/$AJ$6)), 0),"")</f>
        <v/>
      </c>
      <c r="AM129" s="66" t="str">
        <f aca="false">IF(AL129&lt;&gt;"", AL129*AI129,"")</f>
        <v/>
      </c>
      <c r="AN129" s="66" t="str">
        <f aca="false">IF(AND($AG129=Constants!$B$7, U129, V129) ,IF($AB129="", "", IF(OR($AC129="",$AC129=0),"",MAX(0,1-ABS($AC129-$AB129)/$AC129))),"")</f>
        <v/>
      </c>
      <c r="AO129" s="66" t="str">
        <f aca="false">IF(AND($AG129=Constants!$B$7, U129, V129),IF(AND($AA129&lt;&gt;"",$AB129&lt;&gt;"",$AC129=0),$AO$6,""),"")</f>
        <v/>
      </c>
      <c r="AP129" s="66" t="str">
        <f aca="false">IF($AG129=Constants!$B$7 ,IF(AND(U129,V129,W129,Y129,ISNUMBER(AB129)),IF($AN129="",0,IF($AN$6=0,Constants!$B$10,Constants!$B$10*AN129/$AN$6)), 0),"")</f>
        <v/>
      </c>
      <c r="AQ129" s="66" t="str">
        <f aca="false">IF(AP129&lt;&gt;"", AP129*AI129,"")</f>
        <v/>
      </c>
      <c r="AR129" s="66" t="str">
        <f aca="false">IF($AG129=Constants!$B$7,IF($AD129="",0,IF($AR$6=0,Constants!$B$8,Constants!$B$8*AD129/$AR$6)),"")</f>
        <v/>
      </c>
      <c r="AS129" s="66" t="str">
        <f aca="false">IF($AG129&lt;&gt;Constants!$B$7,$AG129,IF(AK129&amp;AO129&lt;&gt;"",Constants!$B$14,AM129+AQ129+AR129))</f>
        <v/>
      </c>
      <c r="AT129" s="66" t="str">
        <f aca="false">IF(ISBLANK($C129),"",IF($AG129=Constants!$B$7,IF(ISNUMBER(AS129),RANK(AS129,$AS$8:$AS$507),Constants!$B$14),$AG129))</f>
        <v/>
      </c>
      <c r="AU129" s="66" t="str">
        <f aca="false">IF(ISBLANK($C129), "",AM129)</f>
        <v/>
      </c>
      <c r="AV129" s="66" t="str">
        <f aca="false">IF(ISBLANK($C129),"",IF($AG129=Constants!$B$7,RANK(AU129,AU$8:AU$507),$AG129))</f>
        <v/>
      </c>
      <c r="AW129" s="66" t="str">
        <f aca="false">IF(ISBLANK($C129), "",AR129)</f>
        <v/>
      </c>
      <c r="AX129" s="66" t="str">
        <f aca="false">IF(ISBLANK($C129),"",IF($AG129=Constants!$B$7,RANK(AW129,AW$8:AW$507),$AG129))</f>
        <v/>
      </c>
      <c r="AY129" s="66" t="str">
        <f aca="false">IF(ISBLANK($C129), "",AE129)</f>
        <v/>
      </c>
      <c r="AZ129" s="66" t="str">
        <f aca="false">IF(ISBLANK($C129),"",
IF($AG129=Constants!$B$7,
  IF(ISNUMBER(AT129),
    COUNTIFS($AT$8:$AT$507,"&lt;"&amp;$AT129)
    + COUNTIFS($AT$8:$AT$507,$AT129,$AV$8:$AV$507,"&lt;"&amp;$AV129)
    + COUNTIFS($AT$8:$AT$507,$AT129,$AV$8:$AV$507,$AV129,$AX$8:$AX$507,"&lt;"&amp;$AX129)
    + COUNTIFS($AT$8:$AT$507,$AT129,$AV$8:$AV$507,$AV129,$AX$8:$AX$507,$AX129,$AY$8:$AY$507,"&lt;"&amp;$AY129)
    + 1,
  Constants!$B$14),
$AG129))</f>
        <v/>
      </c>
      <c r="BA129" s="66" t="str">
        <f aca="false">IF(ISBLANK(C129),"",IF($AG129=Constants!$B$7, IF(ISNUMBER(AT129),AT129-AZ129,Constants!$B$14),$AG129))</f>
        <v/>
      </c>
      <c r="BB129" s="70"/>
      <c r="BC129" s="84" t="str">
        <f aca="false">IF(ISBLANK($C129),"",TRIM(AK129&amp;" "&amp;AO129))</f>
        <v/>
      </c>
      <c r="BD129" s="72" t="str">
        <f aca="false">IF(ISBLANK($C129),"",IF($AG129&lt;&gt;Constants!$B$7,$AG129,AR129))</f>
        <v/>
      </c>
      <c r="BE129" s="72" t="str">
        <f aca="false">IF(ISBLANK($C129),"",IF($AG129&lt;&gt;Constants!$B$7,$AG129,AM129))</f>
        <v/>
      </c>
      <c r="BF129" s="72" t="str">
        <f aca="false">IF(ISBLANK($C129),"",IF($AG129&lt;&gt;Constants!$B$7,$AG129,AQ129))</f>
        <v/>
      </c>
      <c r="BG129" s="73" t="str">
        <f aca="false">IF(ISBLANK($C129),"",IF($AG129&lt;&gt;Constants!$B$7, $AG129 ,AS129))</f>
        <v/>
      </c>
      <c r="BH129" s="74" t="str">
        <f aca="false">IF(ISBLANK($C129),"",IF($AG129&lt;&gt;Constants!$B$7, $AG129 ,AH129))</f>
        <v/>
      </c>
      <c r="BI129" s="72" t="str">
        <f aca="false">IF(ISBLANK(C129),"",BA129)</f>
        <v/>
      </c>
      <c r="BJ129" s="72" t="str">
        <f aca="false">IF(ISBLANK(C129),"",AZ129)</f>
        <v/>
      </c>
      <c r="BK129" s="75" t="str">
        <f aca="false">IF(ISBLANK(C129),"",IFERROR(_xlfn.SWITCH(BJ129, Constants!$B$4, COUNTA($C$8:$C628)+2, Constants!$B$5, COUNTA($C$8:$C628)+1, Constants!$B$6, COUNTA($C$8:$C628)),BJ129))</f>
        <v/>
      </c>
      <c r="BL129" s="5"/>
      <c r="BM129" s="76" t="n">
        <f aca="false">IF(OR(ISNUMBER(BJ129),BJ129="DQ",BJ129="P",BJ129="NS"),
    1,
    0
)</f>
        <v>0</v>
      </c>
      <c r="BN129" s="76" t="n">
        <v>122</v>
      </c>
      <c r="BO129" s="76" t="str">
        <f aca="false">IF(ISBLANK($C129),"",IF(ISNUMBER(BK129),BK129+ROW($B129)/1000,""))</f>
        <v/>
      </c>
      <c r="BP129" s="76" t="str">
        <f aca="false">IF(ISNUMBER(BO129), RANK(BO129,BO$8:BO$507,1), "")</f>
        <v/>
      </c>
      <c r="BQ129" s="76" t="str">
        <f aca="false">IF(ISBLANK($C129),
    "",
    $B129
)</f>
        <v/>
      </c>
      <c r="BR129" s="76" t="str">
        <f aca="false">IF(ISBLANK($C129),
    "",
    $C129
)</f>
        <v/>
      </c>
      <c r="BS129" s="76" t="str">
        <f aca="false">IF(ISBLANK($C129),
    "",
    $D129
)</f>
        <v/>
      </c>
      <c r="BT129" s="77" t="str">
        <f aca="false">BH129</f>
        <v/>
      </c>
      <c r="BU129" s="78" t="str">
        <f aca="false">BG129</f>
        <v/>
      </c>
      <c r="BV129" s="76" t="str">
        <f aca="false">IF(ISBLANK($C129),
    "",
    BJ129
)</f>
        <v/>
      </c>
      <c r="BW129" s="79" t="str">
        <f aca="false">IF(BN129&gt;BM$7,
    "",
    VLOOKUP(BN129,BP$8:BV628,7,FALSE())
)</f>
        <v/>
      </c>
      <c r="BX129" s="80" t="str">
        <f aca="false">IF(BN129&gt;BM$7,
    "",
    VLOOKUP(BN129,BP$8:BV628,2,FALSE())
)</f>
        <v/>
      </c>
      <c r="BY129" s="80" t="str">
        <f aca="false">IF(BN129&gt;BM$7,
    "",
    VLOOKUP(BN129,BP$8:BV628,3,FALSE())
)</f>
        <v/>
      </c>
      <c r="BZ129" s="80" t="str">
        <f aca="false">IF(BN129&gt;BM$7,
    "",
    VLOOKUP(BN129,BP$8:BV628,4,FALSE())
)</f>
        <v/>
      </c>
      <c r="CA129" s="80" t="str">
        <f aca="false">IF(BN129&gt;BM$7,
    "",
    VLOOKUP(BN129,BP$8:BV628,5,FALSE())
)</f>
        <v/>
      </c>
      <c r="CB129" s="81" t="str">
        <f aca="false">IF(BN129&gt;BM$7,
    "",
    VLOOKUP(BN129,BP$8:BV628,6,FALSE())
)</f>
        <v/>
      </c>
      <c r="CC129" s="53"/>
    </row>
    <row r="130" customFormat="false" ht="15.75" hidden="false" customHeight="false" outlineLevel="0" collapsed="false">
      <c r="A130" s="5"/>
      <c r="B130" s="129"/>
      <c r="C130" s="55"/>
      <c r="D130" s="56"/>
      <c r="E130" s="123"/>
      <c r="F130" s="123"/>
      <c r="G130" s="58"/>
      <c r="H130" s="59"/>
      <c r="I130" s="59"/>
      <c r="J130" s="83"/>
      <c r="K130" s="83"/>
      <c r="L130" s="83"/>
      <c r="M130" s="61"/>
      <c r="N130" s="61"/>
      <c r="O130" s="61"/>
      <c r="P130" s="62"/>
      <c r="Q130" s="63"/>
      <c r="R130" s="83"/>
      <c r="S130" s="65"/>
      <c r="T130" s="66"/>
      <c r="U130" s="66" t="str">
        <f aca="false">IF(ISBLANK($C130),"",IF(G130=Constants!$B$2, TRUE(), IF(G130=Constants!$B$3, FALSE(), TRUE())))</f>
        <v/>
      </c>
      <c r="V130" s="66" t="str">
        <f aca="false">IF(ISBLANK($C130),"",IF(H130=Constants!$B$2, TRUE(), IF(H130=Constants!$B$3, FALSE(), TRUE())))</f>
        <v/>
      </c>
      <c r="W130" s="66" t="str">
        <f aca="false">IF(ISBLANK($C130),"",IF(I130=Constants!$B$2, TRUE(), IF(I130=Constants!$B$3, FALSE(), TRUE())))</f>
        <v/>
      </c>
      <c r="X130" s="66" t="str">
        <f aca="false">IF(ISBLANK($C130),"",IF(AND(ISNUMBER(J130),J130&gt;0),INT(J130),0))</f>
        <v/>
      </c>
      <c r="Y130" s="66" t="str">
        <f aca="false">IF(ISBLANK($C130),"",IF(K130=Constants!$B$2, TRUE(), IF(K130=Constants!$B$3, FALSE(), TRUE())))</f>
        <v/>
      </c>
      <c r="Z130" s="66" t="str">
        <f aca="false">IF(ISBLANK($C130),"",IF(AND(ISNUMBER(L130),L130&gt;0),INT(L130),0))</f>
        <v/>
      </c>
      <c r="AA130" s="68" t="str">
        <f aca="false">IF(ISBLANK($C130),"",IF(ISNUMBER(M130), M130, ""))</f>
        <v/>
      </c>
      <c r="AB130" s="68" t="str">
        <f aca="false">IF(ISBLANK($C130),"",IF(ISNUMBER(N130), N130, ""))</f>
        <v/>
      </c>
      <c r="AC130" s="68" t="str">
        <f aca="false">IF(ISBLANK($C130),"",IF(ISNUMBER(O130), O130, ""))</f>
        <v/>
      </c>
      <c r="AD130" s="69" t="str">
        <f aca="false">IF(ISBLANK($C130),"",IF(ISNUMBER(P130), P130, ""))</f>
        <v/>
      </c>
      <c r="AE130" s="69" t="str">
        <f aca="false">IF(ISBLANK($C130),"",IF(ISNUMBER(Q130), Q130, Constants!$B$13))</f>
        <v/>
      </c>
      <c r="AF130" s="66" t="str">
        <f aca="false">IF(ISBLANK($C130),"",IF(R130=Constants!$B$2, TRUE(), IF(R130=Constants!$B$3, FALSE(), FALSE())))</f>
        <v/>
      </c>
      <c r="AG130" s="66" t="str">
        <f aca="false">IF(ISBLANK(C130), "", IF(AF130, Constants!$B$4,IF(COUNTA(G130:P130)=0, Constants!$B$5, Constants!$B$7)))</f>
        <v/>
      </c>
      <c r="AH130" s="66" t="str">
        <f aca="false">IF(ISBLANK($C130), "",IF($AG130=Constants!$B$7,1,$AG130))</f>
        <v/>
      </c>
      <c r="AI130" s="66" t="str">
        <f aca="false">IF($AG130=Constants!$B$7,POWER(Constants!$B$11,X130)*POWER(Constants!$B$12,Z130),"")</f>
        <v/>
      </c>
      <c r="AJ130" s="66" t="str">
        <f aca="false">IF(AND($AG130=Constants!$B$7, U130, V130) ,IF(OR($AA130="",$AC130=""),"",MAX(0, $AC130-$AA130)),"")</f>
        <v/>
      </c>
      <c r="AK130" s="66" t="str">
        <f aca="false">IF(AND($AG130=Constants!$B$7, U130, V130),IF(OR($AA130="",$AC130=""),$AK$6,""),"")</f>
        <v/>
      </c>
      <c r="AL130" s="66" t="str">
        <f aca="false">IF($AG130=Constants!$B$7,IF(AND(U130,V130,W130,Y130),IF($AJ130="",0,IF($AJ$6=0,Constants!$B$9,Constants!$B$9*AJ130/$AJ$6)), 0),"")</f>
        <v/>
      </c>
      <c r="AM130" s="66" t="str">
        <f aca="false">IF(AL130&lt;&gt;"", AL130*AI130,"")</f>
        <v/>
      </c>
      <c r="AN130" s="66" t="str">
        <f aca="false">IF(AND($AG130=Constants!$B$7, U130, V130) ,IF($AB130="", "", IF(OR($AC130="",$AC130=0),"",MAX(0,1-ABS($AC130-$AB130)/$AC130))),"")</f>
        <v/>
      </c>
      <c r="AO130" s="66" t="str">
        <f aca="false">IF(AND($AG130=Constants!$B$7, U130, V130),IF(AND($AA130&lt;&gt;"",$AB130&lt;&gt;"",$AC130=0),$AO$6,""),"")</f>
        <v/>
      </c>
      <c r="AP130" s="66" t="str">
        <f aca="false">IF($AG130=Constants!$B$7 ,IF(AND(U130,V130,W130,Y130,ISNUMBER(AB130)),IF($AN130="",0,IF($AN$6=0,Constants!$B$10,Constants!$B$10*AN130/$AN$6)), 0),"")</f>
        <v/>
      </c>
      <c r="AQ130" s="66" t="str">
        <f aca="false">IF(AP130&lt;&gt;"", AP130*AI130,"")</f>
        <v/>
      </c>
      <c r="AR130" s="66" t="str">
        <f aca="false">IF($AG130=Constants!$B$7,IF($AD130="",0,IF($AR$6=0,Constants!$B$8,Constants!$B$8*AD130/$AR$6)),"")</f>
        <v/>
      </c>
      <c r="AS130" s="66" t="str">
        <f aca="false">IF($AG130&lt;&gt;Constants!$B$7,$AG130,IF(AK130&amp;AO130&lt;&gt;"",Constants!$B$14,AM130+AQ130+AR130))</f>
        <v/>
      </c>
      <c r="AT130" s="66" t="str">
        <f aca="false">IF(ISBLANK($C130),"",IF($AG130=Constants!$B$7,IF(ISNUMBER(AS130),RANK(AS130,$AS$8:$AS$507),Constants!$B$14),$AG130))</f>
        <v/>
      </c>
      <c r="AU130" s="66" t="str">
        <f aca="false">IF(ISBLANK($C130), "",AM130)</f>
        <v/>
      </c>
      <c r="AV130" s="66" t="str">
        <f aca="false">IF(ISBLANK($C130),"",IF($AG130=Constants!$B$7,RANK(AU130,AU$8:AU$507),$AG130))</f>
        <v/>
      </c>
      <c r="AW130" s="66" t="str">
        <f aca="false">IF(ISBLANK($C130), "",AR130)</f>
        <v/>
      </c>
      <c r="AX130" s="66" t="str">
        <f aca="false">IF(ISBLANK($C130),"",IF($AG130=Constants!$B$7,RANK(AW130,AW$8:AW$507),$AG130))</f>
        <v/>
      </c>
      <c r="AY130" s="66" t="str">
        <f aca="false">IF(ISBLANK($C130), "",AE130)</f>
        <v/>
      </c>
      <c r="AZ130" s="66" t="str">
        <f aca="false">IF(ISBLANK($C130),"",
IF($AG130=Constants!$B$7,
  IF(ISNUMBER(AT130),
    COUNTIFS($AT$8:$AT$507,"&lt;"&amp;$AT130)
    + COUNTIFS($AT$8:$AT$507,$AT130,$AV$8:$AV$507,"&lt;"&amp;$AV130)
    + COUNTIFS($AT$8:$AT$507,$AT130,$AV$8:$AV$507,$AV130,$AX$8:$AX$507,"&lt;"&amp;$AX130)
    + COUNTIFS($AT$8:$AT$507,$AT130,$AV$8:$AV$507,$AV130,$AX$8:$AX$507,$AX130,$AY$8:$AY$507,"&lt;"&amp;$AY130)
    + 1,
  Constants!$B$14),
$AG130))</f>
        <v/>
      </c>
      <c r="BA130" s="66" t="str">
        <f aca="false">IF(ISBLANK(C130),"",IF($AG130=Constants!$B$7, IF(ISNUMBER(AT130),AT130-AZ130,Constants!$B$14),$AG130))</f>
        <v/>
      </c>
      <c r="BB130" s="70"/>
      <c r="BC130" s="84" t="str">
        <f aca="false">IF(ISBLANK($C130),"",TRIM(AK130&amp;" "&amp;AO130))</f>
        <v/>
      </c>
      <c r="BD130" s="72" t="str">
        <f aca="false">IF(ISBLANK($C130),"",IF($AG130&lt;&gt;Constants!$B$7,$AG130,AR130))</f>
        <v/>
      </c>
      <c r="BE130" s="72" t="str">
        <f aca="false">IF(ISBLANK($C130),"",IF($AG130&lt;&gt;Constants!$B$7,$AG130,AM130))</f>
        <v/>
      </c>
      <c r="BF130" s="72" t="str">
        <f aca="false">IF(ISBLANK($C130),"",IF($AG130&lt;&gt;Constants!$B$7,$AG130,AQ130))</f>
        <v/>
      </c>
      <c r="BG130" s="73" t="str">
        <f aca="false">IF(ISBLANK($C130),"",IF($AG130&lt;&gt;Constants!$B$7, $AG130 ,AS130))</f>
        <v/>
      </c>
      <c r="BH130" s="74" t="str">
        <f aca="false">IF(ISBLANK($C130),"",IF($AG130&lt;&gt;Constants!$B$7, $AG130 ,AH130))</f>
        <v/>
      </c>
      <c r="BI130" s="72" t="str">
        <f aca="false">IF(ISBLANK(C130),"",BA130)</f>
        <v/>
      </c>
      <c r="BJ130" s="72" t="str">
        <f aca="false">IF(ISBLANK(C130),"",AZ130)</f>
        <v/>
      </c>
      <c r="BK130" s="75" t="str">
        <f aca="false">IF(ISBLANK(C130),"",IFERROR(_xlfn.SWITCH(BJ130, Constants!$B$4, COUNTA($C$8:$C629)+2, Constants!$B$5, COUNTA($C$8:$C629)+1, Constants!$B$6, COUNTA($C$8:$C629)),BJ130))</f>
        <v/>
      </c>
      <c r="BL130" s="5"/>
      <c r="BM130" s="76" t="n">
        <f aca="false">IF(OR(ISNUMBER(BJ130),BJ130="DQ",BJ130="P",BJ130="NS"),
    1,
    0
)</f>
        <v>0</v>
      </c>
      <c r="BN130" s="76" t="n">
        <v>123</v>
      </c>
      <c r="BO130" s="76" t="str">
        <f aca="false">IF(ISBLANK($C130),"",IF(ISNUMBER(BK130),BK130+ROW($B130)/1000,""))</f>
        <v/>
      </c>
      <c r="BP130" s="76" t="str">
        <f aca="false">IF(ISNUMBER(BO130), RANK(BO130,BO$8:BO$507,1), "")</f>
        <v/>
      </c>
      <c r="BQ130" s="76" t="str">
        <f aca="false">IF(ISBLANK($C130),
    "",
    $B130
)</f>
        <v/>
      </c>
      <c r="BR130" s="76" t="str">
        <f aca="false">IF(ISBLANK($C130),
    "",
    $C130
)</f>
        <v/>
      </c>
      <c r="BS130" s="76" t="str">
        <f aca="false">IF(ISBLANK($C130),
    "",
    $D130
)</f>
        <v/>
      </c>
      <c r="BT130" s="77" t="str">
        <f aca="false">BH130</f>
        <v/>
      </c>
      <c r="BU130" s="78" t="str">
        <f aca="false">BG130</f>
        <v/>
      </c>
      <c r="BV130" s="76" t="str">
        <f aca="false">IF(ISBLANK($C130),
    "",
    BJ130
)</f>
        <v/>
      </c>
      <c r="BW130" s="79" t="str">
        <f aca="false">IF(BN130&gt;BM$7,
    "",
    VLOOKUP(BN130,BP$8:BV629,7,FALSE())
)</f>
        <v/>
      </c>
      <c r="BX130" s="80" t="str">
        <f aca="false">IF(BN130&gt;BM$7,
    "",
    VLOOKUP(BN130,BP$8:BV629,2,FALSE())
)</f>
        <v/>
      </c>
      <c r="BY130" s="80" t="str">
        <f aca="false">IF(BN130&gt;BM$7,
    "",
    VLOOKUP(BN130,BP$8:BV629,3,FALSE())
)</f>
        <v/>
      </c>
      <c r="BZ130" s="80" t="str">
        <f aca="false">IF(BN130&gt;BM$7,
    "",
    VLOOKUP(BN130,BP$8:BV629,4,FALSE())
)</f>
        <v/>
      </c>
      <c r="CA130" s="80" t="str">
        <f aca="false">IF(BN130&gt;BM$7,
    "",
    VLOOKUP(BN130,BP$8:BV629,5,FALSE())
)</f>
        <v/>
      </c>
      <c r="CB130" s="81" t="str">
        <f aca="false">IF(BN130&gt;BM$7,
    "",
    VLOOKUP(BN130,BP$8:BV629,6,FALSE())
)</f>
        <v/>
      </c>
      <c r="CC130" s="53"/>
    </row>
    <row r="131" customFormat="false" ht="15.75" hidden="false" customHeight="false" outlineLevel="0" collapsed="false">
      <c r="A131" s="5"/>
      <c r="B131" s="125"/>
      <c r="C131" s="126"/>
      <c r="D131" s="115"/>
      <c r="E131" s="119"/>
      <c r="F131" s="119"/>
      <c r="G131" s="91"/>
      <c r="H131" s="92"/>
      <c r="I131" s="92"/>
      <c r="J131" s="128"/>
      <c r="K131" s="128"/>
      <c r="L131" s="128"/>
      <c r="M131" s="94"/>
      <c r="N131" s="94"/>
      <c r="O131" s="94"/>
      <c r="P131" s="95"/>
      <c r="Q131" s="96"/>
      <c r="R131" s="128"/>
      <c r="S131" s="98"/>
      <c r="T131" s="99"/>
      <c r="U131" s="99" t="str">
        <f aca="false">IF(ISBLANK($C131),"",IF(G131=Constants!$B$2, TRUE(), IF(G131=Constants!$B$3, FALSE(), TRUE())))</f>
        <v/>
      </c>
      <c r="V131" s="99" t="str">
        <f aca="false">IF(ISBLANK($C131),"",IF(H131=Constants!$B$2, TRUE(), IF(H131=Constants!$B$3, FALSE(), TRUE())))</f>
        <v/>
      </c>
      <c r="W131" s="99" t="str">
        <f aca="false">IF(ISBLANK($C131),"",IF(I131=Constants!$B$2, TRUE(), IF(I131=Constants!$B$3, FALSE(), TRUE())))</f>
        <v/>
      </c>
      <c r="X131" s="99" t="str">
        <f aca="false">IF(ISBLANK($C131),"",IF(AND(ISNUMBER(J131),J131&gt;0),INT(J131),0))</f>
        <v/>
      </c>
      <c r="Y131" s="99" t="str">
        <f aca="false">IF(ISBLANK($C131),"",IF(K131=Constants!$B$2, TRUE(), IF(K131=Constants!$B$3, FALSE(), TRUE())))</f>
        <v/>
      </c>
      <c r="Z131" s="100" t="str">
        <f aca="false">IF(ISBLANK($C131),"",IF(AND(ISNUMBER(L131),L131&gt;0),INT(L131),0))</f>
        <v/>
      </c>
      <c r="AA131" s="101" t="str">
        <f aca="false">IF(ISBLANK($C131),"",IF(ISNUMBER(M131), M131, ""))</f>
        <v/>
      </c>
      <c r="AB131" s="101" t="str">
        <f aca="false">IF(ISBLANK($C131),"",IF(ISNUMBER(N131), N131, ""))</f>
        <v/>
      </c>
      <c r="AC131" s="101" t="str">
        <f aca="false">IF(ISBLANK($C131),"",IF(ISNUMBER(O131), O131, ""))</f>
        <v/>
      </c>
      <c r="AD131" s="102" t="str">
        <f aca="false">IF(ISBLANK($C131),"",IF(ISNUMBER(P131), P131, ""))</f>
        <v/>
      </c>
      <c r="AE131" s="102" t="str">
        <f aca="false">IF(ISBLANK($C131),"",IF(ISNUMBER(Q131), Q131, Constants!$B$13))</f>
        <v/>
      </c>
      <c r="AF131" s="99" t="str">
        <f aca="false">IF(ISBLANK($C131),"",IF(R131=Constants!$B$2, TRUE(), IF(R131=Constants!$B$3, FALSE(), FALSE())))</f>
        <v/>
      </c>
      <c r="AG131" s="99" t="str">
        <f aca="false">IF(ISBLANK(C131), "", IF(AF131, Constants!$B$4,IF(COUNTA(G131:P131)=0, Constants!$B$5, Constants!$B$7)))</f>
        <v/>
      </c>
      <c r="AH131" s="99" t="str">
        <f aca="false">IF(ISBLANK($C131), "",IF($AG131=Constants!$B$7,1,$AG131))</f>
        <v/>
      </c>
      <c r="AI131" s="99" t="str">
        <f aca="false">IF($AG131=Constants!$B$7,POWER(Constants!$B$11,X131)*POWER(Constants!$B$12,Z131),"")</f>
        <v/>
      </c>
      <c r="AJ131" s="99" t="str">
        <f aca="false">IF(AND($AG131=Constants!$B$7, U131, V131) ,IF(OR($AA131="",$AC131=""),"",MAX(0, $AC131-$AA131)),"")</f>
        <v/>
      </c>
      <c r="AK131" s="99" t="str">
        <f aca="false">IF(AND($AG131=Constants!$B$7, U131, V131),IF(OR($AA131="",$AC131=""),$AK$6,""),"")</f>
        <v/>
      </c>
      <c r="AL131" s="99" t="str">
        <f aca="false">IF($AG131=Constants!$B$7,IF(AND(U131,V131,W131,Y131),IF($AJ131="",0,IF($AJ$6=0,Constants!$B$9,Constants!$B$9*AJ131/$AJ$6)), 0),"")</f>
        <v/>
      </c>
      <c r="AM131" s="99" t="str">
        <f aca="false">IF(AL131&lt;&gt;"", AL131*AI131,"")</f>
        <v/>
      </c>
      <c r="AN131" s="99" t="str">
        <f aca="false">IF(AND($AG131=Constants!$B$7, U131, V131) ,IF($AB131="", "", IF(OR($AC131="",$AC131=0),"",MAX(0,1-ABS($AC131-$AB131)/$AC131))),"")</f>
        <v/>
      </c>
      <c r="AO131" s="99" t="str">
        <f aca="false">IF(AND($AG131=Constants!$B$7, U131, V131),IF(AND($AA131&lt;&gt;"",$AB131&lt;&gt;"",$AC131=0),$AO$6,""),"")</f>
        <v/>
      </c>
      <c r="AP131" s="99" t="str">
        <f aca="false">IF($AG131=Constants!$B$7 ,IF(AND(U131,V131,W131,Y131,ISNUMBER(AB131)),IF($AN131="",0,IF($AN$6=0,Constants!$B$10,Constants!$B$10*AN131/$AN$6)), 0),"")</f>
        <v/>
      </c>
      <c r="AQ131" s="99" t="str">
        <f aca="false">IF(AP131&lt;&gt;"", AP131*AI131,"")</f>
        <v/>
      </c>
      <c r="AR131" s="99" t="str">
        <f aca="false">IF($AG131=Constants!$B$7,IF($AD131="",0,IF($AR$6=0,Constants!$B$8,Constants!$B$8*AD131/$AR$6)),"")</f>
        <v/>
      </c>
      <c r="AS131" s="99" t="str">
        <f aca="false">IF($AG131&lt;&gt;Constants!$B$7,$AG131,IF(AK131&amp;AO131&lt;&gt;"",Constants!$B$14,AM131+AQ131+AR131))</f>
        <v/>
      </c>
      <c r="AT131" s="99" t="str">
        <f aca="false">IF(ISBLANK($C131),"",IF($AG131=Constants!$B$7,IF(ISNUMBER(AS131),RANK(AS131,$AS$8:$AS$507),Constants!$B$14),$AG131))</f>
        <v/>
      </c>
      <c r="AU131" s="99" t="str">
        <f aca="false">IF(ISBLANK($C131), "",AM131)</f>
        <v/>
      </c>
      <c r="AV131" s="99" t="str">
        <f aca="false">IF(ISBLANK($C131),"",IF($AG131=Constants!$B$7,RANK(AU131,AU$8:AU$507),$AG131))</f>
        <v/>
      </c>
      <c r="AW131" s="99" t="str">
        <f aca="false">IF(ISBLANK($C131), "",AR131)</f>
        <v/>
      </c>
      <c r="AX131" s="99" t="str">
        <f aca="false">IF(ISBLANK($C131),"",IF($AG131=Constants!$B$7,RANK(AW131,AW$8:AW$507),$AG131))</f>
        <v/>
      </c>
      <c r="AY131" s="99" t="str">
        <f aca="false">IF(ISBLANK($C131), "",AE131)</f>
        <v/>
      </c>
      <c r="AZ131" s="99" t="str">
        <f aca="false">IF(ISBLANK($C131),"",
IF($AG131=Constants!$B$7,
  IF(ISNUMBER(AT131),
    COUNTIFS($AT$8:$AT$507,"&lt;"&amp;$AT131)
    + COUNTIFS($AT$8:$AT$507,$AT131,$AV$8:$AV$507,"&lt;"&amp;$AV131)
    + COUNTIFS($AT$8:$AT$507,$AT131,$AV$8:$AV$507,$AV131,$AX$8:$AX$507,"&lt;"&amp;$AX131)
    + COUNTIFS($AT$8:$AT$507,$AT131,$AV$8:$AV$507,$AV131,$AX$8:$AX$507,$AX131,$AY$8:$AY$507,"&lt;"&amp;$AY131)
    + 1,
  Constants!$B$14),
$AG131))</f>
        <v/>
      </c>
      <c r="BA131" s="99" t="str">
        <f aca="false">IF(ISBLANK(C131),"",IF($AG131=Constants!$B$7, IF(ISNUMBER(AT131),AT131-AZ131,Constants!$B$14),$AG131))</f>
        <v/>
      </c>
      <c r="BB131" s="103"/>
      <c r="BC131" s="104" t="str">
        <f aca="false">IF(ISBLANK($C131),"",TRIM(AK131&amp;" "&amp;AO131))</f>
        <v/>
      </c>
      <c r="BD131" s="105" t="str">
        <f aca="false">IF(ISBLANK($C131),"",IF($AG131&lt;&gt;Constants!$B$7,$AG131,AR131))</f>
        <v/>
      </c>
      <c r="BE131" s="105" t="str">
        <f aca="false">IF(ISBLANK($C131),"",IF($AG131&lt;&gt;Constants!$B$7,$AG131,AM131))</f>
        <v/>
      </c>
      <c r="BF131" s="105" t="str">
        <f aca="false">IF(ISBLANK($C131),"",IF($AG131&lt;&gt;Constants!$B$7,$AG131,AQ131))</f>
        <v/>
      </c>
      <c r="BG131" s="106" t="str">
        <f aca="false">IF(ISBLANK($C131),"",IF($AG131&lt;&gt;Constants!$B$7, $AG131 ,AS131))</f>
        <v/>
      </c>
      <c r="BH131" s="107" t="str">
        <f aca="false">IF(ISBLANK($C131),"",IF($AG131&lt;&gt;Constants!$B$7, $AG131 ,AH131))</f>
        <v/>
      </c>
      <c r="BI131" s="105" t="str">
        <f aca="false">IF(ISBLANK(C131),"",BA131)</f>
        <v/>
      </c>
      <c r="BJ131" s="105" t="str">
        <f aca="false">IF(ISBLANK(C131),"",AZ131)</f>
        <v/>
      </c>
      <c r="BK131" s="108" t="str">
        <f aca="false">IF(ISBLANK(C131),"",IFERROR(_xlfn.SWITCH(BJ131, Constants!$B$4, COUNTA($C$8:$C630)+2, Constants!$B$5, COUNTA($C$8:$C630)+1, Constants!$B$6, COUNTA($C$8:$C630)),BJ131))</f>
        <v/>
      </c>
      <c r="BL131" s="5"/>
      <c r="BM131" s="109" t="n">
        <f aca="false">IF(OR(ISNUMBER(BJ131),BJ131="DQ",BJ131="P",BJ131="NS"),
    1,
    0
)</f>
        <v>0</v>
      </c>
      <c r="BN131" s="109" t="n">
        <v>124</v>
      </c>
      <c r="BO131" s="109" t="str">
        <f aca="false">IF(ISBLANK($C131),"",IF(ISNUMBER(BK131),BK131+ROW($B131)/1000,""))</f>
        <v/>
      </c>
      <c r="BP131" s="109" t="str">
        <f aca="false">IF(ISNUMBER(BO131), RANK(BO131,BO$8:BO$507,1), "")</f>
        <v/>
      </c>
      <c r="BQ131" s="109" t="str">
        <f aca="false">IF(ISBLANK($C131),
    "",
    $B131
)</f>
        <v/>
      </c>
      <c r="BR131" s="109" t="str">
        <f aca="false">IF(ISBLANK($C131),
    "",
    $C131
)</f>
        <v/>
      </c>
      <c r="BS131" s="109" t="str">
        <f aca="false">IF(ISBLANK($C131),
    "",
    $D131
)</f>
        <v/>
      </c>
      <c r="BT131" s="110" t="str">
        <f aca="false">BH131</f>
        <v/>
      </c>
      <c r="BU131" s="111" t="str">
        <f aca="false">BG131</f>
        <v/>
      </c>
      <c r="BV131" s="109" t="str">
        <f aca="false">IF(ISBLANK($C131),
    "",
    BJ131
)</f>
        <v/>
      </c>
      <c r="BW131" s="112" t="str">
        <f aca="false">IF(BN131&gt;BM$7,
    "",
    VLOOKUP(BN131,BP$8:BV630,7,FALSE())
)</f>
        <v/>
      </c>
      <c r="BX131" s="113" t="str">
        <f aca="false">IF(BN131&gt;BM$7,
    "",
    VLOOKUP(BN131,BP$8:BV630,2,FALSE())
)</f>
        <v/>
      </c>
      <c r="BY131" s="113" t="str">
        <f aca="false">IF(BN131&gt;BM$7,
    "",
    VLOOKUP(BN131,BP$8:BV630,3,FALSE())
)</f>
        <v/>
      </c>
      <c r="BZ131" s="113" t="str">
        <f aca="false">IF(BN131&gt;BM$7,
    "",
    VLOOKUP(BN131,BP$8:BV630,4,FALSE())
)</f>
        <v/>
      </c>
      <c r="CA131" s="113" t="str">
        <f aca="false">IF(BN131&gt;BM$7,
    "",
    VLOOKUP(BN131,BP$8:BV630,5,FALSE())
)</f>
        <v/>
      </c>
      <c r="CB131" s="114" t="str">
        <f aca="false">IF(BN131&gt;BM$7,
    "",
    VLOOKUP(BN131,BP$8:BV630,6,FALSE())
)</f>
        <v/>
      </c>
      <c r="CC131" s="53"/>
    </row>
    <row r="132" customFormat="false" ht="15.75" hidden="false" customHeight="false" outlineLevel="0" collapsed="false">
      <c r="A132" s="5"/>
      <c r="B132" s="125"/>
      <c r="C132" s="126"/>
      <c r="D132" s="115"/>
      <c r="E132" s="119"/>
      <c r="F132" s="119"/>
      <c r="G132" s="91"/>
      <c r="H132" s="92"/>
      <c r="I132" s="92"/>
      <c r="J132" s="128"/>
      <c r="K132" s="128"/>
      <c r="L132" s="128"/>
      <c r="M132" s="94"/>
      <c r="N132" s="94"/>
      <c r="O132" s="94"/>
      <c r="P132" s="95"/>
      <c r="Q132" s="96"/>
      <c r="R132" s="128"/>
      <c r="S132" s="98"/>
      <c r="T132" s="99"/>
      <c r="U132" s="99" t="str">
        <f aca="false">IF(ISBLANK($C132),"",IF(G132=Constants!$B$2, TRUE(), IF(G132=Constants!$B$3, FALSE(), TRUE())))</f>
        <v/>
      </c>
      <c r="V132" s="99" t="str">
        <f aca="false">IF(ISBLANK($C132),"",IF(H132=Constants!$B$2, TRUE(), IF(H132=Constants!$B$3, FALSE(), TRUE())))</f>
        <v/>
      </c>
      <c r="W132" s="99" t="str">
        <f aca="false">IF(ISBLANK($C132),"",IF(I132=Constants!$B$2, TRUE(), IF(I132=Constants!$B$3, FALSE(), TRUE())))</f>
        <v/>
      </c>
      <c r="X132" s="99" t="str">
        <f aca="false">IF(ISBLANK($C132),"",IF(AND(ISNUMBER(J132),J132&gt;0),INT(J132),0))</f>
        <v/>
      </c>
      <c r="Y132" s="99" t="str">
        <f aca="false">IF(ISBLANK($C132),"",IF(K132=Constants!$B$2, TRUE(), IF(K132=Constants!$B$3, FALSE(), TRUE())))</f>
        <v/>
      </c>
      <c r="Z132" s="100" t="str">
        <f aca="false">IF(ISBLANK($C132),"",IF(AND(ISNUMBER(L132),L132&gt;0),INT(L132),0))</f>
        <v/>
      </c>
      <c r="AA132" s="101" t="str">
        <f aca="false">IF(ISBLANK($C132),"",IF(ISNUMBER(M132), M132, ""))</f>
        <v/>
      </c>
      <c r="AB132" s="101" t="str">
        <f aca="false">IF(ISBLANK($C132),"",IF(ISNUMBER(N132), N132, ""))</f>
        <v/>
      </c>
      <c r="AC132" s="101" t="str">
        <f aca="false">IF(ISBLANK($C132),"",IF(ISNUMBER(O132), O132, ""))</f>
        <v/>
      </c>
      <c r="AD132" s="102" t="str">
        <f aca="false">IF(ISBLANK($C132),"",IF(ISNUMBER(P132), P132, ""))</f>
        <v/>
      </c>
      <c r="AE132" s="102" t="str">
        <f aca="false">IF(ISBLANK($C132),"",IF(ISNUMBER(Q132), Q132, Constants!$B$13))</f>
        <v/>
      </c>
      <c r="AF132" s="99" t="str">
        <f aca="false">IF(ISBLANK($C132),"",IF(R132=Constants!$B$2, TRUE(), IF(R132=Constants!$B$3, FALSE(), FALSE())))</f>
        <v/>
      </c>
      <c r="AG132" s="99" t="str">
        <f aca="false">IF(ISBLANK(C132), "", IF(AF132, Constants!$B$4,IF(COUNTA(G132:P132)=0, Constants!$B$5, Constants!$B$7)))</f>
        <v/>
      </c>
      <c r="AH132" s="99" t="str">
        <f aca="false">IF(ISBLANK($C132), "",IF($AG132=Constants!$B$7,1,$AG132))</f>
        <v/>
      </c>
      <c r="AI132" s="99" t="str">
        <f aca="false">IF($AG132=Constants!$B$7,POWER(Constants!$B$11,X132)*POWER(Constants!$B$12,Z132),"")</f>
        <v/>
      </c>
      <c r="AJ132" s="99" t="str">
        <f aca="false">IF(AND($AG132=Constants!$B$7, U132, V132) ,IF(OR($AA132="",$AC132=""),"",MAX(0, $AC132-$AA132)),"")</f>
        <v/>
      </c>
      <c r="AK132" s="99" t="str">
        <f aca="false">IF(AND($AG132=Constants!$B$7, U132, V132),IF(OR($AA132="",$AC132=""),$AK$6,""),"")</f>
        <v/>
      </c>
      <c r="AL132" s="99" t="str">
        <f aca="false">IF($AG132=Constants!$B$7,IF(AND(U132,V132,W132,Y132),IF($AJ132="",0,IF($AJ$6=0,Constants!$B$9,Constants!$B$9*AJ132/$AJ$6)), 0),"")</f>
        <v/>
      </c>
      <c r="AM132" s="99" t="str">
        <f aca="false">IF(AL132&lt;&gt;"", AL132*AI132,"")</f>
        <v/>
      </c>
      <c r="AN132" s="99" t="str">
        <f aca="false">IF(AND($AG132=Constants!$B$7, U132, V132) ,IF($AB132="", "", IF(OR($AC132="",$AC132=0),"",MAX(0,1-ABS($AC132-$AB132)/$AC132))),"")</f>
        <v/>
      </c>
      <c r="AO132" s="99" t="str">
        <f aca="false">IF(AND($AG132=Constants!$B$7, U132, V132),IF(AND($AA132&lt;&gt;"",$AB132&lt;&gt;"",$AC132=0),$AO$6,""),"")</f>
        <v/>
      </c>
      <c r="AP132" s="99" t="str">
        <f aca="false">IF($AG132=Constants!$B$7 ,IF(AND(U132,V132,W132,Y132,ISNUMBER(AB132)),IF($AN132="",0,IF($AN$6=0,Constants!$B$10,Constants!$B$10*AN132/$AN$6)), 0),"")</f>
        <v/>
      </c>
      <c r="AQ132" s="99" t="str">
        <f aca="false">IF(AP132&lt;&gt;"", AP132*AI132,"")</f>
        <v/>
      </c>
      <c r="AR132" s="99" t="str">
        <f aca="false">IF($AG132=Constants!$B$7,IF($AD132="",0,IF($AR$6=0,Constants!$B$8,Constants!$B$8*AD132/$AR$6)),"")</f>
        <v/>
      </c>
      <c r="AS132" s="99" t="str">
        <f aca="false">IF($AG132&lt;&gt;Constants!$B$7,$AG132,IF(AK132&amp;AO132&lt;&gt;"",Constants!$B$14,AM132+AQ132+AR132))</f>
        <v/>
      </c>
      <c r="AT132" s="99" t="str">
        <f aca="false">IF(ISBLANK($C132),"",IF($AG132=Constants!$B$7,IF(ISNUMBER(AS132),RANK(AS132,$AS$8:$AS$507),Constants!$B$14),$AG132))</f>
        <v/>
      </c>
      <c r="AU132" s="99" t="str">
        <f aca="false">IF(ISBLANK($C132), "",AM132)</f>
        <v/>
      </c>
      <c r="AV132" s="99" t="str">
        <f aca="false">IF(ISBLANK($C132),"",IF($AG132=Constants!$B$7,RANK(AU132,AU$8:AU$507),$AG132))</f>
        <v/>
      </c>
      <c r="AW132" s="99" t="str">
        <f aca="false">IF(ISBLANK($C132), "",AR132)</f>
        <v/>
      </c>
      <c r="AX132" s="99" t="str">
        <f aca="false">IF(ISBLANK($C132),"",IF($AG132=Constants!$B$7,RANK(AW132,AW$8:AW$507),$AG132))</f>
        <v/>
      </c>
      <c r="AY132" s="99" t="str">
        <f aca="false">IF(ISBLANK($C132), "",AE132)</f>
        <v/>
      </c>
      <c r="AZ132" s="99" t="str">
        <f aca="false">IF(ISBLANK($C132),"",
IF($AG132=Constants!$B$7,
  IF(ISNUMBER(AT132),
    COUNTIFS($AT$8:$AT$507,"&lt;"&amp;$AT132)
    + COUNTIFS($AT$8:$AT$507,$AT132,$AV$8:$AV$507,"&lt;"&amp;$AV132)
    + COUNTIFS($AT$8:$AT$507,$AT132,$AV$8:$AV$507,$AV132,$AX$8:$AX$507,"&lt;"&amp;$AX132)
    + COUNTIFS($AT$8:$AT$507,$AT132,$AV$8:$AV$507,$AV132,$AX$8:$AX$507,$AX132,$AY$8:$AY$507,"&lt;"&amp;$AY132)
    + 1,
  Constants!$B$14),
$AG132))</f>
        <v/>
      </c>
      <c r="BA132" s="99" t="str">
        <f aca="false">IF(ISBLANK(C132),"",IF($AG132=Constants!$B$7, IF(ISNUMBER(AT132),AT132-AZ132,Constants!$B$14),$AG132))</f>
        <v/>
      </c>
      <c r="BB132" s="103"/>
      <c r="BC132" s="104" t="str">
        <f aca="false">IF(ISBLANK($C132),"",TRIM(AK132&amp;" "&amp;AO132))</f>
        <v/>
      </c>
      <c r="BD132" s="105" t="str">
        <f aca="false">IF(ISBLANK($C132),"",IF($AG132&lt;&gt;Constants!$B$7,$AG132,AR132))</f>
        <v/>
      </c>
      <c r="BE132" s="105" t="str">
        <f aca="false">IF(ISBLANK($C132),"",IF($AG132&lt;&gt;Constants!$B$7,$AG132,AM132))</f>
        <v/>
      </c>
      <c r="BF132" s="105" t="str">
        <f aca="false">IF(ISBLANK($C132),"",IF($AG132&lt;&gt;Constants!$B$7,$AG132,AQ132))</f>
        <v/>
      </c>
      <c r="BG132" s="106" t="str">
        <f aca="false">IF(ISBLANK($C132),"",IF($AG132&lt;&gt;Constants!$B$7, $AG132 ,AS132))</f>
        <v/>
      </c>
      <c r="BH132" s="107" t="str">
        <f aca="false">IF(ISBLANK($C132),"",IF($AG132&lt;&gt;Constants!$B$7, $AG132 ,AH132))</f>
        <v/>
      </c>
      <c r="BI132" s="105" t="str">
        <f aca="false">IF(ISBLANK(C132),"",BA132)</f>
        <v/>
      </c>
      <c r="BJ132" s="105" t="str">
        <f aca="false">IF(ISBLANK(C132),"",AZ132)</f>
        <v/>
      </c>
      <c r="BK132" s="108" t="str">
        <f aca="false">IF(ISBLANK(C132),"",IFERROR(_xlfn.SWITCH(BJ132, Constants!$B$4, COUNTA($C$8:$C631)+2, Constants!$B$5, COUNTA($C$8:$C631)+1, Constants!$B$6, COUNTA($C$8:$C631)),BJ132))</f>
        <v/>
      </c>
      <c r="BL132" s="5"/>
      <c r="BM132" s="109" t="n">
        <f aca="false">IF(OR(ISNUMBER(BJ132),BJ132="DQ",BJ132="P",BJ132="NS"),
    1,
    0
)</f>
        <v>0</v>
      </c>
      <c r="BN132" s="109" t="n">
        <v>125</v>
      </c>
      <c r="BO132" s="109" t="str">
        <f aca="false">IF(ISBLANK($C132),"",IF(ISNUMBER(BK132),BK132+ROW($B132)/1000,""))</f>
        <v/>
      </c>
      <c r="BP132" s="109" t="str">
        <f aca="false">IF(ISNUMBER(BO132), RANK(BO132,BO$8:BO$507,1), "")</f>
        <v/>
      </c>
      <c r="BQ132" s="109" t="str">
        <f aca="false">IF(ISBLANK($C132),
    "",
    $B132
)</f>
        <v/>
      </c>
      <c r="BR132" s="109" t="str">
        <f aca="false">IF(ISBLANK($C132),
    "",
    $C132
)</f>
        <v/>
      </c>
      <c r="BS132" s="109" t="str">
        <f aca="false">IF(ISBLANK($C132),
    "",
    $D132
)</f>
        <v/>
      </c>
      <c r="BT132" s="110" t="str">
        <f aca="false">BH132</f>
        <v/>
      </c>
      <c r="BU132" s="111" t="str">
        <f aca="false">BG132</f>
        <v/>
      </c>
      <c r="BV132" s="109" t="str">
        <f aca="false">IF(ISBLANK($C132),
    "",
    BJ132
)</f>
        <v/>
      </c>
      <c r="BW132" s="112" t="str">
        <f aca="false">IF(BN132&gt;BM$7,
    "",
    VLOOKUP(BN132,BP$8:BV631,7,FALSE())
)</f>
        <v/>
      </c>
      <c r="BX132" s="113" t="str">
        <f aca="false">IF(BN132&gt;BM$7,
    "",
    VLOOKUP(BN132,BP$8:BV631,2,FALSE())
)</f>
        <v/>
      </c>
      <c r="BY132" s="113" t="str">
        <f aca="false">IF(BN132&gt;BM$7,
    "",
    VLOOKUP(BN132,BP$8:BV631,3,FALSE())
)</f>
        <v/>
      </c>
      <c r="BZ132" s="113" t="str">
        <f aca="false">IF(BN132&gt;BM$7,
    "",
    VLOOKUP(BN132,BP$8:BV631,4,FALSE())
)</f>
        <v/>
      </c>
      <c r="CA132" s="113" t="str">
        <f aca="false">IF(BN132&gt;BM$7,
    "",
    VLOOKUP(BN132,BP$8:BV631,5,FALSE())
)</f>
        <v/>
      </c>
      <c r="CB132" s="114" t="str">
        <f aca="false">IF(BN132&gt;BM$7,
    "",
    VLOOKUP(BN132,BP$8:BV631,6,FALSE())
)</f>
        <v/>
      </c>
      <c r="CC132" s="53"/>
    </row>
    <row r="133" customFormat="false" ht="15.75" hidden="false" customHeight="false" outlineLevel="0" collapsed="false">
      <c r="A133" s="5"/>
      <c r="B133" s="125"/>
      <c r="C133" s="126"/>
      <c r="D133" s="115"/>
      <c r="E133" s="119"/>
      <c r="F133" s="119"/>
      <c r="G133" s="91"/>
      <c r="H133" s="92"/>
      <c r="I133" s="92"/>
      <c r="J133" s="128"/>
      <c r="K133" s="128"/>
      <c r="L133" s="128"/>
      <c r="M133" s="94"/>
      <c r="N133" s="94"/>
      <c r="O133" s="94"/>
      <c r="P133" s="95"/>
      <c r="Q133" s="96"/>
      <c r="R133" s="128"/>
      <c r="S133" s="98"/>
      <c r="T133" s="99"/>
      <c r="U133" s="99" t="str">
        <f aca="false">IF(ISBLANK($C133),"",IF(G133=Constants!$B$2, TRUE(), IF(G133=Constants!$B$3, FALSE(), TRUE())))</f>
        <v/>
      </c>
      <c r="V133" s="99" t="str">
        <f aca="false">IF(ISBLANK($C133),"",IF(H133=Constants!$B$2, TRUE(), IF(H133=Constants!$B$3, FALSE(), TRUE())))</f>
        <v/>
      </c>
      <c r="W133" s="99" t="str">
        <f aca="false">IF(ISBLANK($C133),"",IF(I133=Constants!$B$2, TRUE(), IF(I133=Constants!$B$3, FALSE(), TRUE())))</f>
        <v/>
      </c>
      <c r="X133" s="99" t="str">
        <f aca="false">IF(ISBLANK($C133),"",IF(AND(ISNUMBER(J133),J133&gt;0),INT(J133),0))</f>
        <v/>
      </c>
      <c r="Y133" s="99" t="str">
        <f aca="false">IF(ISBLANK($C133),"",IF(K133=Constants!$B$2, TRUE(), IF(K133=Constants!$B$3, FALSE(), TRUE())))</f>
        <v/>
      </c>
      <c r="Z133" s="100" t="str">
        <f aca="false">IF(ISBLANK($C133),"",IF(AND(ISNUMBER(L133),L133&gt;0),INT(L133),0))</f>
        <v/>
      </c>
      <c r="AA133" s="101" t="str">
        <f aca="false">IF(ISBLANK($C133),"",IF(ISNUMBER(M133), M133, ""))</f>
        <v/>
      </c>
      <c r="AB133" s="101" t="str">
        <f aca="false">IF(ISBLANK($C133),"",IF(ISNUMBER(N133), N133, ""))</f>
        <v/>
      </c>
      <c r="AC133" s="101" t="str">
        <f aca="false">IF(ISBLANK($C133),"",IF(ISNUMBER(O133), O133, ""))</f>
        <v/>
      </c>
      <c r="AD133" s="102" t="str">
        <f aca="false">IF(ISBLANK($C133),"",IF(ISNUMBER(P133), P133, ""))</f>
        <v/>
      </c>
      <c r="AE133" s="102" t="str">
        <f aca="false">IF(ISBLANK($C133),"",IF(ISNUMBER(Q133), Q133, Constants!$B$13))</f>
        <v/>
      </c>
      <c r="AF133" s="99" t="str">
        <f aca="false">IF(ISBLANK($C133),"",IF(R133=Constants!$B$2, TRUE(), IF(R133=Constants!$B$3, FALSE(), FALSE())))</f>
        <v/>
      </c>
      <c r="AG133" s="99" t="str">
        <f aca="false">IF(ISBLANK(C133), "", IF(AF133, Constants!$B$4,IF(COUNTA(G133:P133)=0, Constants!$B$5, Constants!$B$7)))</f>
        <v/>
      </c>
      <c r="AH133" s="99" t="str">
        <f aca="false">IF(ISBLANK($C133), "",IF($AG133=Constants!$B$7,1,$AG133))</f>
        <v/>
      </c>
      <c r="AI133" s="99" t="str">
        <f aca="false">IF($AG133=Constants!$B$7,POWER(Constants!$B$11,X133)*POWER(Constants!$B$12,Z133),"")</f>
        <v/>
      </c>
      <c r="AJ133" s="99" t="str">
        <f aca="false">IF(AND($AG133=Constants!$B$7, U133, V133) ,IF(OR($AA133="",$AC133=""),"",MAX(0, $AC133-$AA133)),"")</f>
        <v/>
      </c>
      <c r="AK133" s="99" t="str">
        <f aca="false">IF(AND($AG133=Constants!$B$7, U133, V133),IF(OR($AA133="",$AC133=""),$AK$6,""),"")</f>
        <v/>
      </c>
      <c r="AL133" s="99" t="str">
        <f aca="false">IF($AG133=Constants!$B$7,IF(AND(U133,V133,W133,Y133),IF($AJ133="",0,IF($AJ$6=0,Constants!$B$9,Constants!$B$9*AJ133/$AJ$6)), 0),"")</f>
        <v/>
      </c>
      <c r="AM133" s="99" t="str">
        <f aca="false">IF(AL133&lt;&gt;"", AL133*AI133,"")</f>
        <v/>
      </c>
      <c r="AN133" s="99" t="str">
        <f aca="false">IF(AND($AG133=Constants!$B$7, U133, V133) ,IF($AB133="", "", IF(OR($AC133="",$AC133=0),"",MAX(0,1-ABS($AC133-$AB133)/$AC133))),"")</f>
        <v/>
      </c>
      <c r="AO133" s="99" t="str">
        <f aca="false">IF(AND($AG133=Constants!$B$7, U133, V133),IF(AND($AA133&lt;&gt;"",$AB133&lt;&gt;"",$AC133=0),$AO$6,""),"")</f>
        <v/>
      </c>
      <c r="AP133" s="99" t="str">
        <f aca="false">IF($AG133=Constants!$B$7 ,IF(AND(U133,V133,W133,Y133,ISNUMBER(AB133)),IF($AN133="",0,IF($AN$6=0,Constants!$B$10,Constants!$B$10*AN133/$AN$6)), 0),"")</f>
        <v/>
      </c>
      <c r="AQ133" s="99" t="str">
        <f aca="false">IF(AP133&lt;&gt;"", AP133*AI133,"")</f>
        <v/>
      </c>
      <c r="AR133" s="99" t="str">
        <f aca="false">IF($AG133=Constants!$B$7,IF($AD133="",0,IF($AR$6=0,Constants!$B$8,Constants!$B$8*AD133/$AR$6)),"")</f>
        <v/>
      </c>
      <c r="AS133" s="99" t="str">
        <f aca="false">IF($AG133&lt;&gt;Constants!$B$7,$AG133,IF(AK133&amp;AO133&lt;&gt;"",Constants!$B$14,AM133+AQ133+AR133))</f>
        <v/>
      </c>
      <c r="AT133" s="99" t="str">
        <f aca="false">IF(ISBLANK($C133),"",IF($AG133=Constants!$B$7,IF(ISNUMBER(AS133),RANK(AS133,$AS$8:$AS$507),Constants!$B$14),$AG133))</f>
        <v/>
      </c>
      <c r="AU133" s="99" t="str">
        <f aca="false">IF(ISBLANK($C133), "",AM133)</f>
        <v/>
      </c>
      <c r="AV133" s="99" t="str">
        <f aca="false">IF(ISBLANK($C133),"",IF($AG133=Constants!$B$7,RANK(AU133,AU$8:AU$507),$AG133))</f>
        <v/>
      </c>
      <c r="AW133" s="99" t="str">
        <f aca="false">IF(ISBLANK($C133), "",AR133)</f>
        <v/>
      </c>
      <c r="AX133" s="99" t="str">
        <f aca="false">IF(ISBLANK($C133),"",IF($AG133=Constants!$B$7,RANK(AW133,AW$8:AW$507),$AG133))</f>
        <v/>
      </c>
      <c r="AY133" s="99" t="str">
        <f aca="false">IF(ISBLANK($C133), "",AE133)</f>
        <v/>
      </c>
      <c r="AZ133" s="99" t="str">
        <f aca="false">IF(ISBLANK($C133),"",
IF($AG133=Constants!$B$7,
  IF(ISNUMBER(AT133),
    COUNTIFS($AT$8:$AT$507,"&lt;"&amp;$AT133)
    + COUNTIFS($AT$8:$AT$507,$AT133,$AV$8:$AV$507,"&lt;"&amp;$AV133)
    + COUNTIFS($AT$8:$AT$507,$AT133,$AV$8:$AV$507,$AV133,$AX$8:$AX$507,"&lt;"&amp;$AX133)
    + COUNTIFS($AT$8:$AT$507,$AT133,$AV$8:$AV$507,$AV133,$AX$8:$AX$507,$AX133,$AY$8:$AY$507,"&lt;"&amp;$AY133)
    + 1,
  Constants!$B$14),
$AG133))</f>
        <v/>
      </c>
      <c r="BA133" s="99" t="str">
        <f aca="false">IF(ISBLANK(C133),"",IF($AG133=Constants!$B$7, IF(ISNUMBER(AT133),AT133-AZ133,Constants!$B$14),$AG133))</f>
        <v/>
      </c>
      <c r="BB133" s="103"/>
      <c r="BC133" s="104" t="str">
        <f aca="false">IF(ISBLANK($C133),"",TRIM(AK133&amp;" "&amp;AO133))</f>
        <v/>
      </c>
      <c r="BD133" s="105" t="str">
        <f aca="false">IF(ISBLANK($C133),"",IF($AG133&lt;&gt;Constants!$B$7,$AG133,AR133))</f>
        <v/>
      </c>
      <c r="BE133" s="105" t="str">
        <f aca="false">IF(ISBLANK($C133),"",IF($AG133&lt;&gt;Constants!$B$7,$AG133,AM133))</f>
        <v/>
      </c>
      <c r="BF133" s="105" t="str">
        <f aca="false">IF(ISBLANK($C133),"",IF($AG133&lt;&gt;Constants!$B$7,$AG133,AQ133))</f>
        <v/>
      </c>
      <c r="BG133" s="106" t="str">
        <f aca="false">IF(ISBLANK($C133),"",IF($AG133&lt;&gt;Constants!$B$7, $AG133 ,AS133))</f>
        <v/>
      </c>
      <c r="BH133" s="107" t="str">
        <f aca="false">IF(ISBLANK($C133),"",IF($AG133&lt;&gt;Constants!$B$7, $AG133 ,AH133))</f>
        <v/>
      </c>
      <c r="BI133" s="105" t="str">
        <f aca="false">IF(ISBLANK(C133),"",BA133)</f>
        <v/>
      </c>
      <c r="BJ133" s="105" t="str">
        <f aca="false">IF(ISBLANK(C133),"",AZ133)</f>
        <v/>
      </c>
      <c r="BK133" s="108" t="str">
        <f aca="false">IF(ISBLANK(C133),"",IFERROR(_xlfn.SWITCH(BJ133, Constants!$B$4, COUNTA($C$8:$C632)+2, Constants!$B$5, COUNTA($C$8:$C632)+1, Constants!$B$6, COUNTA($C$8:$C632)),BJ133))</f>
        <v/>
      </c>
      <c r="BL133" s="5"/>
      <c r="BM133" s="109" t="n">
        <f aca="false">IF(OR(ISNUMBER(BJ133),BJ133="DQ",BJ133="P",BJ133="NS"),
    1,
    0
)</f>
        <v>0</v>
      </c>
      <c r="BN133" s="109" t="n">
        <v>126</v>
      </c>
      <c r="BO133" s="109" t="str">
        <f aca="false">IF(ISBLANK($C133),"",IF(ISNUMBER(BK133),BK133+ROW($B133)/1000,""))</f>
        <v/>
      </c>
      <c r="BP133" s="109" t="str">
        <f aca="false">IF(ISNUMBER(BO133), RANK(BO133,BO$8:BO$507,1), "")</f>
        <v/>
      </c>
      <c r="BQ133" s="109" t="str">
        <f aca="false">IF(ISBLANK($C133),
    "",
    $B133
)</f>
        <v/>
      </c>
      <c r="BR133" s="109" t="str">
        <f aca="false">IF(ISBLANK($C133),
    "",
    $C133
)</f>
        <v/>
      </c>
      <c r="BS133" s="109" t="str">
        <f aca="false">IF(ISBLANK($C133),
    "",
    $D133
)</f>
        <v/>
      </c>
      <c r="BT133" s="110" t="str">
        <f aca="false">BH133</f>
        <v/>
      </c>
      <c r="BU133" s="111" t="str">
        <f aca="false">BG133</f>
        <v/>
      </c>
      <c r="BV133" s="109" t="str">
        <f aca="false">IF(ISBLANK($C133),
    "",
    BJ133
)</f>
        <v/>
      </c>
      <c r="BW133" s="112" t="str">
        <f aca="false">IF(BN133&gt;BM$7,
    "",
    VLOOKUP(BN133,BP$8:BV632,7,FALSE())
)</f>
        <v/>
      </c>
      <c r="BX133" s="113" t="str">
        <f aca="false">IF(BN133&gt;BM$7,
    "",
    VLOOKUP(BN133,BP$8:BV632,2,FALSE())
)</f>
        <v/>
      </c>
      <c r="BY133" s="113" t="str">
        <f aca="false">IF(BN133&gt;BM$7,
    "",
    VLOOKUP(BN133,BP$8:BV632,3,FALSE())
)</f>
        <v/>
      </c>
      <c r="BZ133" s="113" t="str">
        <f aca="false">IF(BN133&gt;BM$7,
    "",
    VLOOKUP(BN133,BP$8:BV632,4,FALSE())
)</f>
        <v/>
      </c>
      <c r="CA133" s="113" t="str">
        <f aca="false">IF(BN133&gt;BM$7,
    "",
    VLOOKUP(BN133,BP$8:BV632,5,FALSE())
)</f>
        <v/>
      </c>
      <c r="CB133" s="114" t="str">
        <f aca="false">IF(BN133&gt;BM$7,
    "",
    VLOOKUP(BN133,BP$8:BV632,6,FALSE())
)</f>
        <v/>
      </c>
      <c r="CC133" s="53"/>
    </row>
    <row r="134" customFormat="false" ht="15.75" hidden="false" customHeight="false" outlineLevel="0" collapsed="false">
      <c r="A134" s="5"/>
      <c r="B134" s="129"/>
      <c r="C134" s="55"/>
      <c r="D134" s="56"/>
      <c r="E134" s="123"/>
      <c r="F134" s="123"/>
      <c r="G134" s="58"/>
      <c r="H134" s="59"/>
      <c r="I134" s="59"/>
      <c r="J134" s="83"/>
      <c r="K134" s="83"/>
      <c r="L134" s="83"/>
      <c r="M134" s="61"/>
      <c r="N134" s="61"/>
      <c r="O134" s="61"/>
      <c r="P134" s="62"/>
      <c r="Q134" s="63"/>
      <c r="R134" s="83"/>
      <c r="S134" s="65"/>
      <c r="T134" s="66"/>
      <c r="U134" s="66" t="str">
        <f aca="false">IF(ISBLANK($C134),"",IF(G134=Constants!$B$2, TRUE(), IF(G134=Constants!$B$3, FALSE(), TRUE())))</f>
        <v/>
      </c>
      <c r="V134" s="66" t="str">
        <f aca="false">IF(ISBLANK($C134),"",IF(H134=Constants!$B$2, TRUE(), IF(H134=Constants!$B$3, FALSE(), TRUE())))</f>
        <v/>
      </c>
      <c r="W134" s="66" t="str">
        <f aca="false">IF(ISBLANK($C134),"",IF(I134=Constants!$B$2, TRUE(), IF(I134=Constants!$B$3, FALSE(), TRUE())))</f>
        <v/>
      </c>
      <c r="X134" s="66" t="str">
        <f aca="false">IF(ISBLANK($C134),"",IF(AND(ISNUMBER(J134),J134&gt;0),INT(J134),0))</f>
        <v/>
      </c>
      <c r="Y134" s="66" t="str">
        <f aca="false">IF(ISBLANK($C134),"",IF(K134=Constants!$B$2, TRUE(), IF(K134=Constants!$B$3, FALSE(), TRUE())))</f>
        <v/>
      </c>
      <c r="Z134" s="66" t="str">
        <f aca="false">IF(ISBLANK($C134),"",IF(AND(ISNUMBER(L134),L134&gt;0),INT(L134),0))</f>
        <v/>
      </c>
      <c r="AA134" s="68" t="str">
        <f aca="false">IF(ISBLANK($C134),"",IF(ISNUMBER(M134), M134, ""))</f>
        <v/>
      </c>
      <c r="AB134" s="68" t="str">
        <f aca="false">IF(ISBLANK($C134),"",IF(ISNUMBER(N134), N134, ""))</f>
        <v/>
      </c>
      <c r="AC134" s="68" t="str">
        <f aca="false">IF(ISBLANK($C134),"",IF(ISNUMBER(O134), O134, ""))</f>
        <v/>
      </c>
      <c r="AD134" s="69" t="str">
        <f aca="false">IF(ISBLANK($C134),"",IF(ISNUMBER(P134), P134, ""))</f>
        <v/>
      </c>
      <c r="AE134" s="69" t="str">
        <f aca="false">IF(ISBLANK($C134),"",IF(ISNUMBER(Q134), Q134, Constants!$B$13))</f>
        <v/>
      </c>
      <c r="AF134" s="66" t="str">
        <f aca="false">IF(ISBLANK($C134),"",IF(R134=Constants!$B$2, TRUE(), IF(R134=Constants!$B$3, FALSE(), FALSE())))</f>
        <v/>
      </c>
      <c r="AG134" s="66" t="str">
        <f aca="false">IF(ISBLANK(C134), "", IF(AF134, Constants!$B$4,IF(COUNTA(G134:P134)=0, Constants!$B$5, Constants!$B$7)))</f>
        <v/>
      </c>
      <c r="AH134" s="66" t="str">
        <f aca="false">IF(ISBLANK($C134), "",IF($AG134=Constants!$B$7,1,$AG134))</f>
        <v/>
      </c>
      <c r="AI134" s="66" t="str">
        <f aca="false">IF($AG134=Constants!$B$7,POWER(Constants!$B$11,X134)*POWER(Constants!$B$12,Z134),"")</f>
        <v/>
      </c>
      <c r="AJ134" s="66" t="str">
        <f aca="false">IF(AND($AG134=Constants!$B$7, U134, V134) ,IF(OR($AA134="",$AC134=""),"",MAX(0, $AC134-$AA134)),"")</f>
        <v/>
      </c>
      <c r="AK134" s="66" t="str">
        <f aca="false">IF(AND($AG134=Constants!$B$7, U134, V134),IF(OR($AA134="",$AC134=""),$AK$6,""),"")</f>
        <v/>
      </c>
      <c r="AL134" s="66" t="str">
        <f aca="false">IF($AG134=Constants!$B$7,IF(AND(U134,V134,W134,Y134),IF($AJ134="",0,IF($AJ$6=0,Constants!$B$9,Constants!$B$9*AJ134/$AJ$6)), 0),"")</f>
        <v/>
      </c>
      <c r="AM134" s="66" t="str">
        <f aca="false">IF(AL134&lt;&gt;"", AL134*AI134,"")</f>
        <v/>
      </c>
      <c r="AN134" s="66" t="str">
        <f aca="false">IF(AND($AG134=Constants!$B$7, U134, V134) ,IF($AB134="", "", IF(OR($AC134="",$AC134=0),"",MAX(0,1-ABS($AC134-$AB134)/$AC134))),"")</f>
        <v/>
      </c>
      <c r="AO134" s="66" t="str">
        <f aca="false">IF(AND($AG134=Constants!$B$7, U134, V134),IF(AND($AA134&lt;&gt;"",$AB134&lt;&gt;"",$AC134=0),$AO$6,""),"")</f>
        <v/>
      </c>
      <c r="AP134" s="66" t="str">
        <f aca="false">IF($AG134=Constants!$B$7 ,IF(AND(U134,V134,W134,Y134,ISNUMBER(AB134)),IF($AN134="",0,IF($AN$6=0,Constants!$B$10,Constants!$B$10*AN134/$AN$6)), 0),"")</f>
        <v/>
      </c>
      <c r="AQ134" s="66" t="str">
        <f aca="false">IF(AP134&lt;&gt;"", AP134*AI134,"")</f>
        <v/>
      </c>
      <c r="AR134" s="66" t="str">
        <f aca="false">IF($AG134=Constants!$B$7,IF($AD134="",0,IF($AR$6=0,Constants!$B$8,Constants!$B$8*AD134/$AR$6)),"")</f>
        <v/>
      </c>
      <c r="AS134" s="66" t="str">
        <f aca="false">IF($AG134&lt;&gt;Constants!$B$7,$AG134,IF(AK134&amp;AO134&lt;&gt;"",Constants!$B$14,AM134+AQ134+AR134))</f>
        <v/>
      </c>
      <c r="AT134" s="66" t="str">
        <f aca="false">IF(ISBLANK($C134),"",IF($AG134=Constants!$B$7,IF(ISNUMBER(AS134),RANK(AS134,$AS$8:$AS$507),Constants!$B$14),$AG134))</f>
        <v/>
      </c>
      <c r="AU134" s="66" t="str">
        <f aca="false">IF(ISBLANK($C134), "",AM134)</f>
        <v/>
      </c>
      <c r="AV134" s="66" t="str">
        <f aca="false">IF(ISBLANK($C134),"",IF($AG134=Constants!$B$7,RANK(AU134,AU$8:AU$507),$AG134))</f>
        <v/>
      </c>
      <c r="AW134" s="66" t="str">
        <f aca="false">IF(ISBLANK($C134), "",AR134)</f>
        <v/>
      </c>
      <c r="AX134" s="66" t="str">
        <f aca="false">IF(ISBLANK($C134),"",IF($AG134=Constants!$B$7,RANK(AW134,AW$8:AW$507),$AG134))</f>
        <v/>
      </c>
      <c r="AY134" s="66" t="str">
        <f aca="false">IF(ISBLANK($C134), "",AE134)</f>
        <v/>
      </c>
      <c r="AZ134" s="66" t="str">
        <f aca="false">IF(ISBLANK($C134),"",
IF($AG134=Constants!$B$7,
  IF(ISNUMBER(AT134),
    COUNTIFS($AT$8:$AT$507,"&lt;"&amp;$AT134)
    + COUNTIFS($AT$8:$AT$507,$AT134,$AV$8:$AV$507,"&lt;"&amp;$AV134)
    + COUNTIFS($AT$8:$AT$507,$AT134,$AV$8:$AV$507,$AV134,$AX$8:$AX$507,"&lt;"&amp;$AX134)
    + COUNTIFS($AT$8:$AT$507,$AT134,$AV$8:$AV$507,$AV134,$AX$8:$AX$507,$AX134,$AY$8:$AY$507,"&lt;"&amp;$AY134)
    + 1,
  Constants!$B$14),
$AG134))</f>
        <v/>
      </c>
      <c r="BA134" s="66" t="str">
        <f aca="false">IF(ISBLANK(C134),"",IF($AG134=Constants!$B$7, IF(ISNUMBER(AT134),AT134-AZ134,Constants!$B$14),$AG134))</f>
        <v/>
      </c>
      <c r="BB134" s="70"/>
      <c r="BC134" s="84" t="str">
        <f aca="false">IF(ISBLANK($C134),"",TRIM(AK134&amp;" "&amp;AO134))</f>
        <v/>
      </c>
      <c r="BD134" s="72" t="str">
        <f aca="false">IF(ISBLANK($C134),"",IF($AG134&lt;&gt;Constants!$B$7,$AG134,AR134))</f>
        <v/>
      </c>
      <c r="BE134" s="72" t="str">
        <f aca="false">IF(ISBLANK($C134),"",IF($AG134&lt;&gt;Constants!$B$7,$AG134,AM134))</f>
        <v/>
      </c>
      <c r="BF134" s="72" t="str">
        <f aca="false">IF(ISBLANK($C134),"",IF($AG134&lt;&gt;Constants!$B$7,$AG134,AQ134))</f>
        <v/>
      </c>
      <c r="BG134" s="73" t="str">
        <f aca="false">IF(ISBLANK($C134),"",IF($AG134&lt;&gt;Constants!$B$7, $AG134 ,AS134))</f>
        <v/>
      </c>
      <c r="BH134" s="74" t="str">
        <f aca="false">IF(ISBLANK($C134),"",IF($AG134&lt;&gt;Constants!$B$7, $AG134 ,AH134))</f>
        <v/>
      </c>
      <c r="BI134" s="72" t="str">
        <f aca="false">IF(ISBLANK(C134),"",BA134)</f>
        <v/>
      </c>
      <c r="BJ134" s="72" t="str">
        <f aca="false">IF(ISBLANK(C134),"",AZ134)</f>
        <v/>
      </c>
      <c r="BK134" s="75" t="str">
        <f aca="false">IF(ISBLANK(C134),"",IFERROR(_xlfn.SWITCH(BJ134, Constants!$B$4, COUNTA($C$8:$C633)+2, Constants!$B$5, COUNTA($C$8:$C633)+1, Constants!$B$6, COUNTA($C$8:$C633)),BJ134))</f>
        <v/>
      </c>
      <c r="BL134" s="5"/>
      <c r="BM134" s="76" t="n">
        <f aca="false">IF(OR(ISNUMBER(BJ134),BJ134="DQ",BJ134="P",BJ134="NS"),
    1,
    0
)</f>
        <v>0</v>
      </c>
      <c r="BN134" s="76" t="n">
        <v>127</v>
      </c>
      <c r="BO134" s="76" t="str">
        <f aca="false">IF(ISBLANK($C134),"",IF(ISNUMBER(BK134),BK134+ROW($B134)/1000,""))</f>
        <v/>
      </c>
      <c r="BP134" s="76" t="str">
        <f aca="false">IF(ISNUMBER(BO134), RANK(BO134,BO$8:BO$507,1), "")</f>
        <v/>
      </c>
      <c r="BQ134" s="76" t="str">
        <f aca="false">IF(ISBLANK($C134),
    "",
    $B134
)</f>
        <v/>
      </c>
      <c r="BR134" s="76" t="str">
        <f aca="false">IF(ISBLANK($C134),
    "",
    $C134
)</f>
        <v/>
      </c>
      <c r="BS134" s="76" t="str">
        <f aca="false">IF(ISBLANK($C134),
    "",
    $D134
)</f>
        <v/>
      </c>
      <c r="BT134" s="77" t="str">
        <f aca="false">BH134</f>
        <v/>
      </c>
      <c r="BU134" s="78" t="str">
        <f aca="false">BG134</f>
        <v/>
      </c>
      <c r="BV134" s="76" t="str">
        <f aca="false">IF(ISBLANK($C134),
    "",
    BJ134
)</f>
        <v/>
      </c>
      <c r="BW134" s="79" t="str">
        <f aca="false">IF(BN134&gt;BM$7,
    "",
    VLOOKUP(BN134,BP$8:BV633,7,FALSE())
)</f>
        <v/>
      </c>
      <c r="BX134" s="80" t="str">
        <f aca="false">IF(BN134&gt;BM$7,
    "",
    VLOOKUP(BN134,BP$8:BV633,2,FALSE())
)</f>
        <v/>
      </c>
      <c r="BY134" s="80" t="str">
        <f aca="false">IF(BN134&gt;BM$7,
    "",
    VLOOKUP(BN134,BP$8:BV633,3,FALSE())
)</f>
        <v/>
      </c>
      <c r="BZ134" s="80" t="str">
        <f aca="false">IF(BN134&gt;BM$7,
    "",
    VLOOKUP(BN134,BP$8:BV633,4,FALSE())
)</f>
        <v/>
      </c>
      <c r="CA134" s="80" t="str">
        <f aca="false">IF(BN134&gt;BM$7,
    "",
    VLOOKUP(BN134,BP$8:BV633,5,FALSE())
)</f>
        <v/>
      </c>
      <c r="CB134" s="81" t="str">
        <f aca="false">IF(BN134&gt;BM$7,
    "",
    VLOOKUP(BN134,BP$8:BV633,6,FALSE())
)</f>
        <v/>
      </c>
      <c r="CC134" s="53"/>
    </row>
    <row r="135" customFormat="false" ht="15.75" hidden="false" customHeight="false" outlineLevel="0" collapsed="false">
      <c r="A135" s="5"/>
      <c r="B135" s="129"/>
      <c r="C135" s="55"/>
      <c r="D135" s="56"/>
      <c r="E135" s="123"/>
      <c r="F135" s="123"/>
      <c r="G135" s="58"/>
      <c r="H135" s="59"/>
      <c r="I135" s="59"/>
      <c r="J135" s="83"/>
      <c r="K135" s="83"/>
      <c r="L135" s="83"/>
      <c r="M135" s="61"/>
      <c r="N135" s="61"/>
      <c r="O135" s="61"/>
      <c r="P135" s="62"/>
      <c r="Q135" s="63"/>
      <c r="R135" s="83"/>
      <c r="S135" s="65"/>
      <c r="T135" s="66"/>
      <c r="U135" s="66" t="str">
        <f aca="false">IF(ISBLANK($C135),"",IF(G135=Constants!$B$2, TRUE(), IF(G135=Constants!$B$3, FALSE(), TRUE())))</f>
        <v/>
      </c>
      <c r="V135" s="66" t="str">
        <f aca="false">IF(ISBLANK($C135),"",IF(H135=Constants!$B$2, TRUE(), IF(H135=Constants!$B$3, FALSE(), TRUE())))</f>
        <v/>
      </c>
      <c r="W135" s="66" t="str">
        <f aca="false">IF(ISBLANK($C135),"",IF(I135=Constants!$B$2, TRUE(), IF(I135=Constants!$B$3, FALSE(), TRUE())))</f>
        <v/>
      </c>
      <c r="X135" s="66" t="str">
        <f aca="false">IF(ISBLANK($C135),"",IF(AND(ISNUMBER(J135),J135&gt;0),INT(J135),0))</f>
        <v/>
      </c>
      <c r="Y135" s="66" t="str">
        <f aca="false">IF(ISBLANK($C135),"",IF(K135=Constants!$B$2, TRUE(), IF(K135=Constants!$B$3, FALSE(), TRUE())))</f>
        <v/>
      </c>
      <c r="Z135" s="66" t="str">
        <f aca="false">IF(ISBLANK($C135),"",IF(AND(ISNUMBER(L135),L135&gt;0),INT(L135),0))</f>
        <v/>
      </c>
      <c r="AA135" s="68" t="str">
        <f aca="false">IF(ISBLANK($C135),"",IF(ISNUMBER(M135), M135, ""))</f>
        <v/>
      </c>
      <c r="AB135" s="68" t="str">
        <f aca="false">IF(ISBLANK($C135),"",IF(ISNUMBER(N135), N135, ""))</f>
        <v/>
      </c>
      <c r="AC135" s="68" t="str">
        <f aca="false">IF(ISBLANK($C135),"",IF(ISNUMBER(O135), O135, ""))</f>
        <v/>
      </c>
      <c r="AD135" s="69" t="str">
        <f aca="false">IF(ISBLANK($C135),"",IF(ISNUMBER(P135), P135, ""))</f>
        <v/>
      </c>
      <c r="AE135" s="69" t="str">
        <f aca="false">IF(ISBLANK($C135),"",IF(ISNUMBER(Q135), Q135, Constants!$B$13))</f>
        <v/>
      </c>
      <c r="AF135" s="66" t="str">
        <f aca="false">IF(ISBLANK($C135),"",IF(R135=Constants!$B$2, TRUE(), IF(R135=Constants!$B$3, FALSE(), FALSE())))</f>
        <v/>
      </c>
      <c r="AG135" s="66" t="str">
        <f aca="false">IF(ISBLANK(C135), "", IF(AF135, Constants!$B$4,IF(COUNTA(G135:P135)=0, Constants!$B$5, Constants!$B$7)))</f>
        <v/>
      </c>
      <c r="AH135" s="66" t="str">
        <f aca="false">IF(ISBLANK($C135), "",IF($AG135=Constants!$B$7,1,$AG135))</f>
        <v/>
      </c>
      <c r="AI135" s="66" t="str">
        <f aca="false">IF($AG135=Constants!$B$7,POWER(Constants!$B$11,X135)*POWER(Constants!$B$12,Z135),"")</f>
        <v/>
      </c>
      <c r="AJ135" s="66" t="str">
        <f aca="false">IF(AND($AG135=Constants!$B$7, U135, V135) ,IF(OR($AA135="",$AC135=""),"",MAX(0, $AC135-$AA135)),"")</f>
        <v/>
      </c>
      <c r="AK135" s="66" t="str">
        <f aca="false">IF(AND($AG135=Constants!$B$7, U135, V135),IF(OR($AA135="",$AC135=""),$AK$6,""),"")</f>
        <v/>
      </c>
      <c r="AL135" s="66" t="str">
        <f aca="false">IF($AG135=Constants!$B$7,IF(AND(U135,V135,W135,Y135),IF($AJ135="",0,IF($AJ$6=0,Constants!$B$9,Constants!$B$9*AJ135/$AJ$6)), 0),"")</f>
        <v/>
      </c>
      <c r="AM135" s="66" t="str">
        <f aca="false">IF(AL135&lt;&gt;"", AL135*AI135,"")</f>
        <v/>
      </c>
      <c r="AN135" s="66" t="str">
        <f aca="false">IF(AND($AG135=Constants!$B$7, U135, V135) ,IF($AB135="", "", IF(OR($AC135="",$AC135=0),"",MAX(0,1-ABS($AC135-$AB135)/$AC135))),"")</f>
        <v/>
      </c>
      <c r="AO135" s="66" t="str">
        <f aca="false">IF(AND($AG135=Constants!$B$7, U135, V135),IF(AND($AA135&lt;&gt;"",$AB135&lt;&gt;"",$AC135=0),$AO$6,""),"")</f>
        <v/>
      </c>
      <c r="AP135" s="66" t="str">
        <f aca="false">IF($AG135=Constants!$B$7 ,IF(AND(U135,V135,W135,Y135,ISNUMBER(AB135)),IF($AN135="",0,IF($AN$6=0,Constants!$B$10,Constants!$B$10*AN135/$AN$6)), 0),"")</f>
        <v/>
      </c>
      <c r="AQ135" s="66" t="str">
        <f aca="false">IF(AP135&lt;&gt;"", AP135*AI135,"")</f>
        <v/>
      </c>
      <c r="AR135" s="66" t="str">
        <f aca="false">IF($AG135=Constants!$B$7,IF($AD135="",0,IF($AR$6=0,Constants!$B$8,Constants!$B$8*AD135/$AR$6)),"")</f>
        <v/>
      </c>
      <c r="AS135" s="66" t="str">
        <f aca="false">IF($AG135&lt;&gt;Constants!$B$7,$AG135,IF(AK135&amp;AO135&lt;&gt;"",Constants!$B$14,AM135+AQ135+AR135))</f>
        <v/>
      </c>
      <c r="AT135" s="66" t="str">
        <f aca="false">IF(ISBLANK($C135),"",IF($AG135=Constants!$B$7,IF(ISNUMBER(AS135),RANK(AS135,$AS$8:$AS$507),Constants!$B$14),$AG135))</f>
        <v/>
      </c>
      <c r="AU135" s="66" t="str">
        <f aca="false">IF(ISBLANK($C135), "",AM135)</f>
        <v/>
      </c>
      <c r="AV135" s="66" t="str">
        <f aca="false">IF(ISBLANK($C135),"",IF($AG135=Constants!$B$7,RANK(AU135,AU$8:AU$507),$AG135))</f>
        <v/>
      </c>
      <c r="AW135" s="66" t="str">
        <f aca="false">IF(ISBLANK($C135), "",AR135)</f>
        <v/>
      </c>
      <c r="AX135" s="66" t="str">
        <f aca="false">IF(ISBLANK($C135),"",IF($AG135=Constants!$B$7,RANK(AW135,AW$8:AW$507),$AG135))</f>
        <v/>
      </c>
      <c r="AY135" s="66" t="str">
        <f aca="false">IF(ISBLANK($C135), "",AE135)</f>
        <v/>
      </c>
      <c r="AZ135" s="66" t="str">
        <f aca="false">IF(ISBLANK($C135),"",
IF($AG135=Constants!$B$7,
  IF(ISNUMBER(AT135),
    COUNTIFS($AT$8:$AT$507,"&lt;"&amp;$AT135)
    + COUNTIFS($AT$8:$AT$507,$AT135,$AV$8:$AV$507,"&lt;"&amp;$AV135)
    + COUNTIFS($AT$8:$AT$507,$AT135,$AV$8:$AV$507,$AV135,$AX$8:$AX$507,"&lt;"&amp;$AX135)
    + COUNTIFS($AT$8:$AT$507,$AT135,$AV$8:$AV$507,$AV135,$AX$8:$AX$507,$AX135,$AY$8:$AY$507,"&lt;"&amp;$AY135)
    + 1,
  Constants!$B$14),
$AG135))</f>
        <v/>
      </c>
      <c r="BA135" s="66" t="str">
        <f aca="false">IF(ISBLANK(C135),"",IF($AG135=Constants!$B$7, IF(ISNUMBER(AT135),AT135-AZ135,Constants!$B$14),$AG135))</f>
        <v/>
      </c>
      <c r="BB135" s="70"/>
      <c r="BC135" s="84" t="str">
        <f aca="false">IF(ISBLANK($C135),"",TRIM(AK135&amp;" "&amp;AO135))</f>
        <v/>
      </c>
      <c r="BD135" s="72" t="str">
        <f aca="false">IF(ISBLANK($C135),"",IF($AG135&lt;&gt;Constants!$B$7,$AG135,AR135))</f>
        <v/>
      </c>
      <c r="BE135" s="72" t="str">
        <f aca="false">IF(ISBLANK($C135),"",IF($AG135&lt;&gt;Constants!$B$7,$AG135,AM135))</f>
        <v/>
      </c>
      <c r="BF135" s="72" t="str">
        <f aca="false">IF(ISBLANK($C135),"",IF($AG135&lt;&gt;Constants!$B$7,$AG135,AQ135))</f>
        <v/>
      </c>
      <c r="BG135" s="73" t="str">
        <f aca="false">IF(ISBLANK($C135),"",IF($AG135&lt;&gt;Constants!$B$7, $AG135 ,AS135))</f>
        <v/>
      </c>
      <c r="BH135" s="74" t="str">
        <f aca="false">IF(ISBLANK($C135),"",IF($AG135&lt;&gt;Constants!$B$7, $AG135 ,AH135))</f>
        <v/>
      </c>
      <c r="BI135" s="72" t="str">
        <f aca="false">IF(ISBLANK(C135),"",BA135)</f>
        <v/>
      </c>
      <c r="BJ135" s="72" t="str">
        <f aca="false">IF(ISBLANK(C135),"",AZ135)</f>
        <v/>
      </c>
      <c r="BK135" s="75" t="str">
        <f aca="false">IF(ISBLANK(C135),"",IFERROR(_xlfn.SWITCH(BJ135, Constants!$B$4, COUNTA($C$8:$C634)+2, Constants!$B$5, COUNTA($C$8:$C634)+1, Constants!$B$6, COUNTA($C$8:$C634)),BJ135))</f>
        <v/>
      </c>
      <c r="BL135" s="5"/>
      <c r="BM135" s="76" t="n">
        <f aca="false">IF(OR(ISNUMBER(BJ135),BJ135="DQ",BJ135="P",BJ135="NS"),
    1,
    0
)</f>
        <v>0</v>
      </c>
      <c r="BN135" s="76" t="n">
        <v>128</v>
      </c>
      <c r="BO135" s="76" t="str">
        <f aca="false">IF(ISBLANK($C135),"",IF(ISNUMBER(BK135),BK135+ROW($B135)/1000,""))</f>
        <v/>
      </c>
      <c r="BP135" s="76" t="str">
        <f aca="false">IF(ISNUMBER(BO135), RANK(BO135,BO$8:BO$507,1), "")</f>
        <v/>
      </c>
      <c r="BQ135" s="76" t="str">
        <f aca="false">IF(ISBLANK($C135),
    "",
    $B135
)</f>
        <v/>
      </c>
      <c r="BR135" s="76" t="str">
        <f aca="false">IF(ISBLANK($C135),
    "",
    $C135
)</f>
        <v/>
      </c>
      <c r="BS135" s="76" t="str">
        <f aca="false">IF(ISBLANK($C135),
    "",
    $D135
)</f>
        <v/>
      </c>
      <c r="BT135" s="77" t="str">
        <f aca="false">BH135</f>
        <v/>
      </c>
      <c r="BU135" s="78" t="str">
        <f aca="false">BG135</f>
        <v/>
      </c>
      <c r="BV135" s="76" t="str">
        <f aca="false">IF(ISBLANK($C135),
    "",
    BJ135
)</f>
        <v/>
      </c>
      <c r="BW135" s="79" t="str">
        <f aca="false">IF(BN135&gt;BM$7,
    "",
    VLOOKUP(BN135,BP$8:BV634,7,FALSE())
)</f>
        <v/>
      </c>
      <c r="BX135" s="80" t="str">
        <f aca="false">IF(BN135&gt;BM$7,
    "",
    VLOOKUP(BN135,BP$8:BV634,2,FALSE())
)</f>
        <v/>
      </c>
      <c r="BY135" s="80" t="str">
        <f aca="false">IF(BN135&gt;BM$7,
    "",
    VLOOKUP(BN135,BP$8:BV634,3,FALSE())
)</f>
        <v/>
      </c>
      <c r="BZ135" s="80" t="str">
        <f aca="false">IF(BN135&gt;BM$7,
    "",
    VLOOKUP(BN135,BP$8:BV634,4,FALSE())
)</f>
        <v/>
      </c>
      <c r="CA135" s="80" t="str">
        <f aca="false">IF(BN135&gt;BM$7,
    "",
    VLOOKUP(BN135,BP$8:BV634,5,FALSE())
)</f>
        <v/>
      </c>
      <c r="CB135" s="81" t="str">
        <f aca="false">IF(BN135&gt;BM$7,
    "",
    VLOOKUP(BN135,BP$8:BV634,6,FALSE())
)</f>
        <v/>
      </c>
      <c r="CC135" s="53"/>
    </row>
    <row r="136" customFormat="false" ht="15.75" hidden="false" customHeight="false" outlineLevel="0" collapsed="false">
      <c r="A136" s="5"/>
      <c r="B136" s="129"/>
      <c r="C136" s="55"/>
      <c r="D136" s="56"/>
      <c r="E136" s="123"/>
      <c r="F136" s="123"/>
      <c r="G136" s="58"/>
      <c r="H136" s="59"/>
      <c r="I136" s="59"/>
      <c r="J136" s="83"/>
      <c r="K136" s="83"/>
      <c r="L136" s="83"/>
      <c r="M136" s="61"/>
      <c r="N136" s="61"/>
      <c r="O136" s="61"/>
      <c r="P136" s="62"/>
      <c r="Q136" s="63"/>
      <c r="R136" s="83"/>
      <c r="S136" s="65"/>
      <c r="T136" s="66"/>
      <c r="U136" s="66" t="str">
        <f aca="false">IF(ISBLANK($C136),"",IF(G136=Constants!$B$2, TRUE(), IF(G136=Constants!$B$3, FALSE(), TRUE())))</f>
        <v/>
      </c>
      <c r="V136" s="66" t="str">
        <f aca="false">IF(ISBLANK($C136),"",IF(H136=Constants!$B$2, TRUE(), IF(H136=Constants!$B$3, FALSE(), TRUE())))</f>
        <v/>
      </c>
      <c r="W136" s="66" t="str">
        <f aca="false">IF(ISBLANK($C136),"",IF(I136=Constants!$B$2, TRUE(), IF(I136=Constants!$B$3, FALSE(), TRUE())))</f>
        <v/>
      </c>
      <c r="X136" s="66" t="str">
        <f aca="false">IF(ISBLANK($C136),"",IF(AND(ISNUMBER(J136),J136&gt;0),INT(J136),0))</f>
        <v/>
      </c>
      <c r="Y136" s="66" t="str">
        <f aca="false">IF(ISBLANK($C136),"",IF(K136=Constants!$B$2, TRUE(), IF(K136=Constants!$B$3, FALSE(), TRUE())))</f>
        <v/>
      </c>
      <c r="Z136" s="66" t="str">
        <f aca="false">IF(ISBLANK($C136),"",IF(AND(ISNUMBER(L136),L136&gt;0),INT(L136),0))</f>
        <v/>
      </c>
      <c r="AA136" s="68" t="str">
        <f aca="false">IF(ISBLANK($C136),"",IF(ISNUMBER(M136), M136, ""))</f>
        <v/>
      </c>
      <c r="AB136" s="68" t="str">
        <f aca="false">IF(ISBLANK($C136),"",IF(ISNUMBER(N136), N136, ""))</f>
        <v/>
      </c>
      <c r="AC136" s="68" t="str">
        <f aca="false">IF(ISBLANK($C136),"",IF(ISNUMBER(O136), O136, ""))</f>
        <v/>
      </c>
      <c r="AD136" s="69" t="str">
        <f aca="false">IF(ISBLANK($C136),"",IF(ISNUMBER(P136), P136, ""))</f>
        <v/>
      </c>
      <c r="AE136" s="69" t="str">
        <f aca="false">IF(ISBLANK($C136),"",IF(ISNUMBER(Q136), Q136, Constants!$B$13))</f>
        <v/>
      </c>
      <c r="AF136" s="66" t="str">
        <f aca="false">IF(ISBLANK($C136),"",IF(R136=Constants!$B$2, TRUE(), IF(R136=Constants!$B$3, FALSE(), FALSE())))</f>
        <v/>
      </c>
      <c r="AG136" s="66" t="str">
        <f aca="false">IF(ISBLANK(C136), "", IF(AF136, Constants!$B$4,IF(COUNTA(G136:P136)=0, Constants!$B$5, Constants!$B$7)))</f>
        <v/>
      </c>
      <c r="AH136" s="66" t="str">
        <f aca="false">IF(ISBLANK($C136), "",IF($AG136=Constants!$B$7,1,$AG136))</f>
        <v/>
      </c>
      <c r="AI136" s="66" t="str">
        <f aca="false">IF($AG136=Constants!$B$7,POWER(Constants!$B$11,X136)*POWER(Constants!$B$12,Z136),"")</f>
        <v/>
      </c>
      <c r="AJ136" s="66" t="str">
        <f aca="false">IF(AND($AG136=Constants!$B$7, U136, V136) ,IF(OR($AA136="",$AC136=""),"",MAX(0, $AC136-$AA136)),"")</f>
        <v/>
      </c>
      <c r="AK136" s="66" t="str">
        <f aca="false">IF(AND($AG136=Constants!$B$7, U136, V136),IF(OR($AA136="",$AC136=""),$AK$6,""),"")</f>
        <v/>
      </c>
      <c r="AL136" s="66" t="str">
        <f aca="false">IF($AG136=Constants!$B$7,IF(AND(U136,V136,W136,Y136),IF($AJ136="",0,IF($AJ$6=0,Constants!$B$9,Constants!$B$9*AJ136/$AJ$6)), 0),"")</f>
        <v/>
      </c>
      <c r="AM136" s="66" t="str">
        <f aca="false">IF(AL136&lt;&gt;"", AL136*AI136,"")</f>
        <v/>
      </c>
      <c r="AN136" s="66" t="str">
        <f aca="false">IF(AND($AG136=Constants!$B$7, U136, V136) ,IF($AB136="", "", IF(OR($AC136="",$AC136=0),"",MAX(0,1-ABS($AC136-$AB136)/$AC136))),"")</f>
        <v/>
      </c>
      <c r="AO136" s="66" t="str">
        <f aca="false">IF(AND($AG136=Constants!$B$7, U136, V136),IF(AND($AA136&lt;&gt;"",$AB136&lt;&gt;"",$AC136=0),$AO$6,""),"")</f>
        <v/>
      </c>
      <c r="AP136" s="66" t="str">
        <f aca="false">IF($AG136=Constants!$B$7 ,IF(AND(U136,V136,W136,Y136,ISNUMBER(AB136)),IF($AN136="",0,IF($AN$6=0,Constants!$B$10,Constants!$B$10*AN136/$AN$6)), 0),"")</f>
        <v/>
      </c>
      <c r="AQ136" s="66" t="str">
        <f aca="false">IF(AP136&lt;&gt;"", AP136*AI136,"")</f>
        <v/>
      </c>
      <c r="AR136" s="66" t="str">
        <f aca="false">IF($AG136=Constants!$B$7,IF($AD136="",0,IF($AR$6=0,Constants!$B$8,Constants!$B$8*AD136/$AR$6)),"")</f>
        <v/>
      </c>
      <c r="AS136" s="66" t="str">
        <f aca="false">IF($AG136&lt;&gt;Constants!$B$7,$AG136,IF(AK136&amp;AO136&lt;&gt;"",Constants!$B$14,AM136+AQ136+AR136))</f>
        <v/>
      </c>
      <c r="AT136" s="66" t="str">
        <f aca="false">IF(ISBLANK($C136),"",IF($AG136=Constants!$B$7,IF(ISNUMBER(AS136),RANK(AS136,$AS$8:$AS$507),Constants!$B$14),$AG136))</f>
        <v/>
      </c>
      <c r="AU136" s="66" t="str">
        <f aca="false">IF(ISBLANK($C136), "",AM136)</f>
        <v/>
      </c>
      <c r="AV136" s="66" t="str">
        <f aca="false">IF(ISBLANK($C136),"",IF($AG136=Constants!$B$7,RANK(AU136,AU$8:AU$507),$AG136))</f>
        <v/>
      </c>
      <c r="AW136" s="66" t="str">
        <f aca="false">IF(ISBLANK($C136), "",AR136)</f>
        <v/>
      </c>
      <c r="AX136" s="66" t="str">
        <f aca="false">IF(ISBLANK($C136),"",IF($AG136=Constants!$B$7,RANK(AW136,AW$8:AW$507),$AG136))</f>
        <v/>
      </c>
      <c r="AY136" s="66" t="str">
        <f aca="false">IF(ISBLANK($C136), "",AE136)</f>
        <v/>
      </c>
      <c r="AZ136" s="66" t="str">
        <f aca="false">IF(ISBLANK($C136),"",
IF($AG136=Constants!$B$7,
  IF(ISNUMBER(AT136),
    COUNTIFS($AT$8:$AT$507,"&lt;"&amp;$AT136)
    + COUNTIFS($AT$8:$AT$507,$AT136,$AV$8:$AV$507,"&lt;"&amp;$AV136)
    + COUNTIFS($AT$8:$AT$507,$AT136,$AV$8:$AV$507,$AV136,$AX$8:$AX$507,"&lt;"&amp;$AX136)
    + COUNTIFS($AT$8:$AT$507,$AT136,$AV$8:$AV$507,$AV136,$AX$8:$AX$507,$AX136,$AY$8:$AY$507,"&lt;"&amp;$AY136)
    + 1,
  Constants!$B$14),
$AG136))</f>
        <v/>
      </c>
      <c r="BA136" s="66" t="str">
        <f aca="false">IF(ISBLANK(C136),"",IF($AG136=Constants!$B$7, IF(ISNUMBER(AT136),AT136-AZ136,Constants!$B$14),$AG136))</f>
        <v/>
      </c>
      <c r="BB136" s="70"/>
      <c r="BC136" s="84" t="str">
        <f aca="false">IF(ISBLANK($C136),"",TRIM(AK136&amp;" "&amp;AO136))</f>
        <v/>
      </c>
      <c r="BD136" s="72" t="str">
        <f aca="false">IF(ISBLANK($C136),"",IF($AG136&lt;&gt;Constants!$B$7,$AG136,AR136))</f>
        <v/>
      </c>
      <c r="BE136" s="72" t="str">
        <f aca="false">IF(ISBLANK($C136),"",IF($AG136&lt;&gt;Constants!$B$7,$AG136,AM136))</f>
        <v/>
      </c>
      <c r="BF136" s="72" t="str">
        <f aca="false">IF(ISBLANK($C136),"",IF($AG136&lt;&gt;Constants!$B$7,$AG136,AQ136))</f>
        <v/>
      </c>
      <c r="BG136" s="73" t="str">
        <f aca="false">IF(ISBLANK($C136),"",IF($AG136&lt;&gt;Constants!$B$7, $AG136 ,AS136))</f>
        <v/>
      </c>
      <c r="BH136" s="74" t="str">
        <f aca="false">IF(ISBLANK($C136),"",IF($AG136&lt;&gt;Constants!$B$7, $AG136 ,AH136))</f>
        <v/>
      </c>
      <c r="BI136" s="72" t="str">
        <f aca="false">IF(ISBLANK(C136),"",BA136)</f>
        <v/>
      </c>
      <c r="BJ136" s="72" t="str">
        <f aca="false">IF(ISBLANK(C136),"",AZ136)</f>
        <v/>
      </c>
      <c r="BK136" s="75" t="str">
        <f aca="false">IF(ISBLANK(C136),"",IFERROR(_xlfn.SWITCH(BJ136, Constants!$B$4, COUNTA($C$8:$C635)+2, Constants!$B$5, COUNTA($C$8:$C635)+1, Constants!$B$6, COUNTA($C$8:$C635)),BJ136))</f>
        <v/>
      </c>
      <c r="BL136" s="5"/>
      <c r="BM136" s="76" t="n">
        <f aca="false">IF(OR(ISNUMBER(BJ136),BJ136="DQ",BJ136="P",BJ136="NS"),
    1,
    0
)</f>
        <v>0</v>
      </c>
      <c r="BN136" s="76" t="n">
        <v>129</v>
      </c>
      <c r="BO136" s="76" t="str">
        <f aca="false">IF(ISBLANK($C136),"",IF(ISNUMBER(BK136),BK136+ROW($B136)/1000,""))</f>
        <v/>
      </c>
      <c r="BP136" s="76" t="str">
        <f aca="false">IF(ISNUMBER(BO136), RANK(BO136,BO$8:BO$507,1), "")</f>
        <v/>
      </c>
      <c r="BQ136" s="76" t="str">
        <f aca="false">IF(ISBLANK($C136),
    "",
    $B136
)</f>
        <v/>
      </c>
      <c r="BR136" s="76" t="str">
        <f aca="false">IF(ISBLANK($C136),
    "",
    $C136
)</f>
        <v/>
      </c>
      <c r="BS136" s="76" t="str">
        <f aca="false">IF(ISBLANK($C136),
    "",
    $D136
)</f>
        <v/>
      </c>
      <c r="BT136" s="77" t="str">
        <f aca="false">BH136</f>
        <v/>
      </c>
      <c r="BU136" s="78" t="str">
        <f aca="false">BG136</f>
        <v/>
      </c>
      <c r="BV136" s="76" t="str">
        <f aca="false">IF(ISBLANK($C136),
    "",
    BJ136
)</f>
        <v/>
      </c>
      <c r="BW136" s="79" t="str">
        <f aca="false">IF(BN136&gt;BM$7,
    "",
    VLOOKUP(BN136,BP$8:BV635,7,FALSE())
)</f>
        <v/>
      </c>
      <c r="BX136" s="80" t="str">
        <f aca="false">IF(BN136&gt;BM$7,
    "",
    VLOOKUP(BN136,BP$8:BV635,2,FALSE())
)</f>
        <v/>
      </c>
      <c r="BY136" s="80" t="str">
        <f aca="false">IF(BN136&gt;BM$7,
    "",
    VLOOKUP(BN136,BP$8:BV635,3,FALSE())
)</f>
        <v/>
      </c>
      <c r="BZ136" s="80" t="str">
        <f aca="false">IF(BN136&gt;BM$7,
    "",
    VLOOKUP(BN136,BP$8:BV635,4,FALSE())
)</f>
        <v/>
      </c>
      <c r="CA136" s="80" t="str">
        <f aca="false">IF(BN136&gt;BM$7,
    "",
    VLOOKUP(BN136,BP$8:BV635,5,FALSE())
)</f>
        <v/>
      </c>
      <c r="CB136" s="81" t="str">
        <f aca="false">IF(BN136&gt;BM$7,
    "",
    VLOOKUP(BN136,BP$8:BV635,6,FALSE())
)</f>
        <v/>
      </c>
      <c r="CC136" s="53"/>
    </row>
    <row r="137" customFormat="false" ht="15.75" hidden="false" customHeight="false" outlineLevel="0" collapsed="false">
      <c r="A137" s="5"/>
      <c r="B137" s="125"/>
      <c r="C137" s="126"/>
      <c r="D137" s="115"/>
      <c r="E137" s="119"/>
      <c r="F137" s="119"/>
      <c r="G137" s="91"/>
      <c r="H137" s="92"/>
      <c r="I137" s="92"/>
      <c r="J137" s="128"/>
      <c r="K137" s="128"/>
      <c r="L137" s="128"/>
      <c r="M137" s="94"/>
      <c r="N137" s="94"/>
      <c r="O137" s="94"/>
      <c r="P137" s="95"/>
      <c r="Q137" s="96"/>
      <c r="R137" s="128"/>
      <c r="S137" s="98"/>
      <c r="T137" s="99"/>
      <c r="U137" s="99" t="str">
        <f aca="false">IF(ISBLANK($C137),"",IF(G137=Constants!$B$2, TRUE(), IF(G137=Constants!$B$3, FALSE(), TRUE())))</f>
        <v/>
      </c>
      <c r="V137" s="99" t="str">
        <f aca="false">IF(ISBLANK($C137),"",IF(H137=Constants!$B$2, TRUE(), IF(H137=Constants!$B$3, FALSE(), TRUE())))</f>
        <v/>
      </c>
      <c r="W137" s="99" t="str">
        <f aca="false">IF(ISBLANK($C137),"",IF(I137=Constants!$B$2, TRUE(), IF(I137=Constants!$B$3, FALSE(), TRUE())))</f>
        <v/>
      </c>
      <c r="X137" s="99" t="str">
        <f aca="false">IF(ISBLANK($C137),"",IF(AND(ISNUMBER(J137),J137&gt;0),INT(J137),0))</f>
        <v/>
      </c>
      <c r="Y137" s="99" t="str">
        <f aca="false">IF(ISBLANK($C137),"",IF(K137=Constants!$B$2, TRUE(), IF(K137=Constants!$B$3, FALSE(), TRUE())))</f>
        <v/>
      </c>
      <c r="Z137" s="100" t="str">
        <f aca="false">IF(ISBLANK($C137),"",IF(AND(ISNUMBER(L137),L137&gt;0),INT(L137),0))</f>
        <v/>
      </c>
      <c r="AA137" s="101" t="str">
        <f aca="false">IF(ISBLANK($C137),"",IF(ISNUMBER(M137), M137, ""))</f>
        <v/>
      </c>
      <c r="AB137" s="101" t="str">
        <f aca="false">IF(ISBLANK($C137),"",IF(ISNUMBER(N137), N137, ""))</f>
        <v/>
      </c>
      <c r="AC137" s="101" t="str">
        <f aca="false">IF(ISBLANK($C137),"",IF(ISNUMBER(O137), O137, ""))</f>
        <v/>
      </c>
      <c r="AD137" s="102" t="str">
        <f aca="false">IF(ISBLANK($C137),"",IF(ISNUMBER(P137), P137, ""))</f>
        <v/>
      </c>
      <c r="AE137" s="102" t="str">
        <f aca="false">IF(ISBLANK($C137),"",IF(ISNUMBER(Q137), Q137, Constants!$B$13))</f>
        <v/>
      </c>
      <c r="AF137" s="99" t="str">
        <f aca="false">IF(ISBLANK($C137),"",IF(R137=Constants!$B$2, TRUE(), IF(R137=Constants!$B$3, FALSE(), FALSE())))</f>
        <v/>
      </c>
      <c r="AG137" s="99" t="str">
        <f aca="false">IF(ISBLANK(C137), "", IF(AF137, Constants!$B$4,IF(COUNTA(G137:P137)=0, Constants!$B$5, Constants!$B$7)))</f>
        <v/>
      </c>
      <c r="AH137" s="99" t="str">
        <f aca="false">IF(ISBLANK($C137), "",IF($AG137=Constants!$B$7,1,$AG137))</f>
        <v/>
      </c>
      <c r="AI137" s="99" t="str">
        <f aca="false">IF($AG137=Constants!$B$7,POWER(Constants!$B$11,X137)*POWER(Constants!$B$12,Z137),"")</f>
        <v/>
      </c>
      <c r="AJ137" s="99" t="str">
        <f aca="false">IF(AND($AG137=Constants!$B$7, U137, V137) ,IF(OR($AA137="",$AC137=""),"",MAX(0, $AC137-$AA137)),"")</f>
        <v/>
      </c>
      <c r="AK137" s="99" t="str">
        <f aca="false">IF(AND($AG137=Constants!$B$7, U137, V137),IF(OR($AA137="",$AC137=""),$AK$6,""),"")</f>
        <v/>
      </c>
      <c r="AL137" s="99" t="str">
        <f aca="false">IF($AG137=Constants!$B$7,IF(AND(U137,V137,W137,Y137),IF($AJ137="",0,IF($AJ$6=0,Constants!$B$9,Constants!$B$9*AJ137/$AJ$6)), 0),"")</f>
        <v/>
      </c>
      <c r="AM137" s="99" t="str">
        <f aca="false">IF(AL137&lt;&gt;"", AL137*AI137,"")</f>
        <v/>
      </c>
      <c r="AN137" s="99" t="str">
        <f aca="false">IF(AND($AG137=Constants!$B$7, U137, V137) ,IF($AB137="", "", IF(OR($AC137="",$AC137=0),"",MAX(0,1-ABS($AC137-$AB137)/$AC137))),"")</f>
        <v/>
      </c>
      <c r="AO137" s="99" t="str">
        <f aca="false">IF(AND($AG137=Constants!$B$7, U137, V137),IF(AND($AA137&lt;&gt;"",$AB137&lt;&gt;"",$AC137=0),$AO$6,""),"")</f>
        <v/>
      </c>
      <c r="AP137" s="99" t="str">
        <f aca="false">IF($AG137=Constants!$B$7 ,IF(AND(U137,V137,W137,Y137,ISNUMBER(AB137)),IF($AN137="",0,IF($AN$6=0,Constants!$B$10,Constants!$B$10*AN137/$AN$6)), 0),"")</f>
        <v/>
      </c>
      <c r="AQ137" s="99" t="str">
        <f aca="false">IF(AP137&lt;&gt;"", AP137*AI137,"")</f>
        <v/>
      </c>
      <c r="AR137" s="99" t="str">
        <f aca="false">IF($AG137=Constants!$B$7,IF($AD137="",0,IF($AR$6=0,Constants!$B$8,Constants!$B$8*AD137/$AR$6)),"")</f>
        <v/>
      </c>
      <c r="AS137" s="99" t="str">
        <f aca="false">IF($AG137&lt;&gt;Constants!$B$7,$AG137,IF(AK137&amp;AO137&lt;&gt;"",Constants!$B$14,AM137+AQ137+AR137))</f>
        <v/>
      </c>
      <c r="AT137" s="99" t="str">
        <f aca="false">IF(ISBLANK($C137),"",IF($AG137=Constants!$B$7,IF(ISNUMBER(AS137),RANK(AS137,$AS$8:$AS$507),Constants!$B$14),$AG137))</f>
        <v/>
      </c>
      <c r="AU137" s="99" t="str">
        <f aca="false">IF(ISBLANK($C137), "",AM137)</f>
        <v/>
      </c>
      <c r="AV137" s="99" t="str">
        <f aca="false">IF(ISBLANK($C137),"",IF($AG137=Constants!$B$7,RANK(AU137,AU$8:AU$507),$AG137))</f>
        <v/>
      </c>
      <c r="AW137" s="99" t="str">
        <f aca="false">IF(ISBLANK($C137), "",AR137)</f>
        <v/>
      </c>
      <c r="AX137" s="99" t="str">
        <f aca="false">IF(ISBLANK($C137),"",IF($AG137=Constants!$B$7,RANK(AW137,AW$8:AW$507),$AG137))</f>
        <v/>
      </c>
      <c r="AY137" s="99" t="str">
        <f aca="false">IF(ISBLANK($C137), "",AE137)</f>
        <v/>
      </c>
      <c r="AZ137" s="99" t="str">
        <f aca="false">IF(ISBLANK($C137),"",
IF($AG137=Constants!$B$7,
  IF(ISNUMBER(AT137),
    COUNTIFS($AT$8:$AT$507,"&lt;"&amp;$AT137)
    + COUNTIFS($AT$8:$AT$507,$AT137,$AV$8:$AV$507,"&lt;"&amp;$AV137)
    + COUNTIFS($AT$8:$AT$507,$AT137,$AV$8:$AV$507,$AV137,$AX$8:$AX$507,"&lt;"&amp;$AX137)
    + COUNTIFS($AT$8:$AT$507,$AT137,$AV$8:$AV$507,$AV137,$AX$8:$AX$507,$AX137,$AY$8:$AY$507,"&lt;"&amp;$AY137)
    + 1,
  Constants!$B$14),
$AG137))</f>
        <v/>
      </c>
      <c r="BA137" s="99" t="str">
        <f aca="false">IF(ISBLANK(C137),"",IF($AG137=Constants!$B$7, IF(ISNUMBER(AT137),AT137-AZ137,Constants!$B$14),$AG137))</f>
        <v/>
      </c>
      <c r="BB137" s="103"/>
      <c r="BC137" s="104" t="str">
        <f aca="false">IF(ISBLANK($C137),"",TRIM(AK137&amp;" "&amp;AO137))</f>
        <v/>
      </c>
      <c r="BD137" s="105" t="str">
        <f aca="false">IF(ISBLANK($C137),"",IF($AG137&lt;&gt;Constants!$B$7,$AG137,AR137))</f>
        <v/>
      </c>
      <c r="BE137" s="105" t="str">
        <f aca="false">IF(ISBLANK($C137),"",IF($AG137&lt;&gt;Constants!$B$7,$AG137,AM137))</f>
        <v/>
      </c>
      <c r="BF137" s="105" t="str">
        <f aca="false">IF(ISBLANK($C137),"",IF($AG137&lt;&gt;Constants!$B$7,$AG137,AQ137))</f>
        <v/>
      </c>
      <c r="BG137" s="106" t="str">
        <f aca="false">IF(ISBLANK($C137),"",IF($AG137&lt;&gt;Constants!$B$7, $AG137 ,AS137))</f>
        <v/>
      </c>
      <c r="BH137" s="107" t="str">
        <f aca="false">IF(ISBLANK($C137),"",IF($AG137&lt;&gt;Constants!$B$7, $AG137 ,AH137))</f>
        <v/>
      </c>
      <c r="BI137" s="105" t="str">
        <f aca="false">IF(ISBLANK(C137),"",BA137)</f>
        <v/>
      </c>
      <c r="BJ137" s="105" t="str">
        <f aca="false">IF(ISBLANK(C137),"",AZ137)</f>
        <v/>
      </c>
      <c r="BK137" s="108" t="str">
        <f aca="false">IF(ISBLANK(C137),"",IFERROR(_xlfn.SWITCH(BJ137, Constants!$B$4, COUNTA($C$8:$C636)+2, Constants!$B$5, COUNTA($C$8:$C636)+1, Constants!$B$6, COUNTA($C$8:$C636)),BJ137))</f>
        <v/>
      </c>
      <c r="BL137" s="5"/>
      <c r="BM137" s="109" t="n">
        <f aca="false">IF(OR(ISNUMBER(BJ137),BJ137="DQ",BJ137="P",BJ137="NS"),
    1,
    0
)</f>
        <v>0</v>
      </c>
      <c r="BN137" s="109" t="n">
        <v>130</v>
      </c>
      <c r="BO137" s="109" t="str">
        <f aca="false">IF(ISBLANK($C137),"",IF(ISNUMBER(BK137),BK137+ROW($B137)/1000,""))</f>
        <v/>
      </c>
      <c r="BP137" s="109" t="str">
        <f aca="false">IF(ISNUMBER(BO137), RANK(BO137,BO$8:BO$507,1), "")</f>
        <v/>
      </c>
      <c r="BQ137" s="109" t="str">
        <f aca="false">IF(ISBLANK($C137),
    "",
    $B137
)</f>
        <v/>
      </c>
      <c r="BR137" s="109" t="str">
        <f aca="false">IF(ISBLANK($C137),
    "",
    $C137
)</f>
        <v/>
      </c>
      <c r="BS137" s="109" t="str">
        <f aca="false">IF(ISBLANK($C137),
    "",
    $D137
)</f>
        <v/>
      </c>
      <c r="BT137" s="110" t="str">
        <f aca="false">BH137</f>
        <v/>
      </c>
      <c r="BU137" s="111" t="str">
        <f aca="false">BG137</f>
        <v/>
      </c>
      <c r="BV137" s="109" t="str">
        <f aca="false">IF(ISBLANK($C137),
    "",
    BJ137
)</f>
        <v/>
      </c>
      <c r="BW137" s="112" t="str">
        <f aca="false">IF(BN137&gt;BM$7,
    "",
    VLOOKUP(BN137,BP$8:BV636,7,FALSE())
)</f>
        <v/>
      </c>
      <c r="BX137" s="113" t="str">
        <f aca="false">IF(BN137&gt;BM$7,
    "",
    VLOOKUP(BN137,BP$8:BV636,2,FALSE())
)</f>
        <v/>
      </c>
      <c r="BY137" s="113" t="str">
        <f aca="false">IF(BN137&gt;BM$7,
    "",
    VLOOKUP(BN137,BP$8:BV636,3,FALSE())
)</f>
        <v/>
      </c>
      <c r="BZ137" s="113" t="str">
        <f aca="false">IF(BN137&gt;BM$7,
    "",
    VLOOKUP(BN137,BP$8:BV636,4,FALSE())
)</f>
        <v/>
      </c>
      <c r="CA137" s="113" t="str">
        <f aca="false">IF(BN137&gt;BM$7,
    "",
    VLOOKUP(BN137,BP$8:BV636,5,FALSE())
)</f>
        <v/>
      </c>
      <c r="CB137" s="114" t="str">
        <f aca="false">IF(BN137&gt;BM$7,
    "",
    VLOOKUP(BN137,BP$8:BV636,6,FALSE())
)</f>
        <v/>
      </c>
      <c r="CC137" s="53"/>
    </row>
    <row r="138" customFormat="false" ht="15.75" hidden="false" customHeight="false" outlineLevel="0" collapsed="false">
      <c r="A138" s="5"/>
      <c r="B138" s="125"/>
      <c r="C138" s="126"/>
      <c r="D138" s="115"/>
      <c r="E138" s="119"/>
      <c r="F138" s="119"/>
      <c r="G138" s="91"/>
      <c r="H138" s="92"/>
      <c r="I138" s="92"/>
      <c r="J138" s="128"/>
      <c r="K138" s="128"/>
      <c r="L138" s="128"/>
      <c r="M138" s="94"/>
      <c r="N138" s="94"/>
      <c r="O138" s="94"/>
      <c r="P138" s="95"/>
      <c r="Q138" s="96"/>
      <c r="R138" s="128"/>
      <c r="S138" s="98"/>
      <c r="T138" s="99"/>
      <c r="U138" s="99" t="str">
        <f aca="false">IF(ISBLANK($C138),"",IF(G138=Constants!$B$2, TRUE(), IF(G138=Constants!$B$3, FALSE(), TRUE())))</f>
        <v/>
      </c>
      <c r="V138" s="99" t="str">
        <f aca="false">IF(ISBLANK($C138),"",IF(H138=Constants!$B$2, TRUE(), IF(H138=Constants!$B$3, FALSE(), TRUE())))</f>
        <v/>
      </c>
      <c r="W138" s="99" t="str">
        <f aca="false">IF(ISBLANK($C138),"",IF(I138=Constants!$B$2, TRUE(), IF(I138=Constants!$B$3, FALSE(), TRUE())))</f>
        <v/>
      </c>
      <c r="X138" s="99" t="str">
        <f aca="false">IF(ISBLANK($C138),"",IF(AND(ISNUMBER(J138),J138&gt;0),INT(J138),0))</f>
        <v/>
      </c>
      <c r="Y138" s="99" t="str">
        <f aca="false">IF(ISBLANK($C138),"",IF(K138=Constants!$B$2, TRUE(), IF(K138=Constants!$B$3, FALSE(), TRUE())))</f>
        <v/>
      </c>
      <c r="Z138" s="100" t="str">
        <f aca="false">IF(ISBLANK($C138),"",IF(AND(ISNUMBER(L138),L138&gt;0),INT(L138),0))</f>
        <v/>
      </c>
      <c r="AA138" s="101" t="str">
        <f aca="false">IF(ISBLANK($C138),"",IF(ISNUMBER(M138), M138, ""))</f>
        <v/>
      </c>
      <c r="AB138" s="101" t="str">
        <f aca="false">IF(ISBLANK($C138),"",IF(ISNUMBER(N138), N138, ""))</f>
        <v/>
      </c>
      <c r="AC138" s="101" t="str">
        <f aca="false">IF(ISBLANK($C138),"",IF(ISNUMBER(O138), O138, ""))</f>
        <v/>
      </c>
      <c r="AD138" s="102" t="str">
        <f aca="false">IF(ISBLANK($C138),"",IF(ISNUMBER(P138), P138, ""))</f>
        <v/>
      </c>
      <c r="AE138" s="102" t="str">
        <f aca="false">IF(ISBLANK($C138),"",IF(ISNUMBER(Q138), Q138, Constants!$B$13))</f>
        <v/>
      </c>
      <c r="AF138" s="99" t="str">
        <f aca="false">IF(ISBLANK($C138),"",IF(R138=Constants!$B$2, TRUE(), IF(R138=Constants!$B$3, FALSE(), FALSE())))</f>
        <v/>
      </c>
      <c r="AG138" s="99" t="str">
        <f aca="false">IF(ISBLANK(C138), "", IF(AF138, Constants!$B$4,IF(COUNTA(G138:P138)=0, Constants!$B$5, Constants!$B$7)))</f>
        <v/>
      </c>
      <c r="AH138" s="99" t="str">
        <f aca="false">IF(ISBLANK($C138), "",IF($AG138=Constants!$B$7,1,$AG138))</f>
        <v/>
      </c>
      <c r="AI138" s="99" t="str">
        <f aca="false">IF($AG138=Constants!$B$7,POWER(Constants!$B$11,X138)*POWER(Constants!$B$12,Z138),"")</f>
        <v/>
      </c>
      <c r="AJ138" s="99" t="str">
        <f aca="false">IF(AND($AG138=Constants!$B$7, U138, V138) ,IF(OR($AA138="",$AC138=""),"",MAX(0, $AC138-$AA138)),"")</f>
        <v/>
      </c>
      <c r="AK138" s="99" t="str">
        <f aca="false">IF(AND($AG138=Constants!$B$7, U138, V138),IF(OR($AA138="",$AC138=""),$AK$6,""),"")</f>
        <v/>
      </c>
      <c r="AL138" s="99" t="str">
        <f aca="false">IF($AG138=Constants!$B$7,IF(AND(U138,V138,W138,Y138),IF($AJ138="",0,IF($AJ$6=0,Constants!$B$9,Constants!$B$9*AJ138/$AJ$6)), 0),"")</f>
        <v/>
      </c>
      <c r="AM138" s="99" t="str">
        <f aca="false">IF(AL138&lt;&gt;"", AL138*AI138,"")</f>
        <v/>
      </c>
      <c r="AN138" s="99" t="str">
        <f aca="false">IF(AND($AG138=Constants!$B$7, U138, V138) ,IF($AB138="", "", IF(OR($AC138="",$AC138=0),"",MAX(0,1-ABS($AC138-$AB138)/$AC138))),"")</f>
        <v/>
      </c>
      <c r="AO138" s="99" t="str">
        <f aca="false">IF(AND($AG138=Constants!$B$7, U138, V138),IF(AND($AA138&lt;&gt;"",$AB138&lt;&gt;"",$AC138=0),$AO$6,""),"")</f>
        <v/>
      </c>
      <c r="AP138" s="99" t="str">
        <f aca="false">IF($AG138=Constants!$B$7 ,IF(AND(U138,V138,W138,Y138,ISNUMBER(AB138)),IF($AN138="",0,IF($AN$6=0,Constants!$B$10,Constants!$B$10*AN138/$AN$6)), 0),"")</f>
        <v/>
      </c>
      <c r="AQ138" s="99" t="str">
        <f aca="false">IF(AP138&lt;&gt;"", AP138*AI138,"")</f>
        <v/>
      </c>
      <c r="AR138" s="99" t="str">
        <f aca="false">IF($AG138=Constants!$B$7,IF($AD138="",0,IF($AR$6=0,Constants!$B$8,Constants!$B$8*AD138/$AR$6)),"")</f>
        <v/>
      </c>
      <c r="AS138" s="99" t="str">
        <f aca="false">IF($AG138&lt;&gt;Constants!$B$7,$AG138,IF(AK138&amp;AO138&lt;&gt;"",Constants!$B$14,AM138+AQ138+AR138))</f>
        <v/>
      </c>
      <c r="AT138" s="99" t="str">
        <f aca="false">IF(ISBLANK($C138),"",IF($AG138=Constants!$B$7,IF(ISNUMBER(AS138),RANK(AS138,$AS$8:$AS$507),Constants!$B$14),$AG138))</f>
        <v/>
      </c>
      <c r="AU138" s="99" t="str">
        <f aca="false">IF(ISBLANK($C138), "",AM138)</f>
        <v/>
      </c>
      <c r="AV138" s="99" t="str">
        <f aca="false">IF(ISBLANK($C138),"",IF($AG138=Constants!$B$7,RANK(AU138,AU$8:AU$507),$AG138))</f>
        <v/>
      </c>
      <c r="AW138" s="99" t="str">
        <f aca="false">IF(ISBLANK($C138), "",AR138)</f>
        <v/>
      </c>
      <c r="AX138" s="99" t="str">
        <f aca="false">IF(ISBLANK($C138),"",IF($AG138=Constants!$B$7,RANK(AW138,AW$8:AW$507),$AG138))</f>
        <v/>
      </c>
      <c r="AY138" s="99" t="str">
        <f aca="false">IF(ISBLANK($C138), "",AE138)</f>
        <v/>
      </c>
      <c r="AZ138" s="99" t="str">
        <f aca="false">IF(ISBLANK($C138),"",
IF($AG138=Constants!$B$7,
  IF(ISNUMBER(AT138),
    COUNTIFS($AT$8:$AT$507,"&lt;"&amp;$AT138)
    + COUNTIFS($AT$8:$AT$507,$AT138,$AV$8:$AV$507,"&lt;"&amp;$AV138)
    + COUNTIFS($AT$8:$AT$507,$AT138,$AV$8:$AV$507,$AV138,$AX$8:$AX$507,"&lt;"&amp;$AX138)
    + COUNTIFS($AT$8:$AT$507,$AT138,$AV$8:$AV$507,$AV138,$AX$8:$AX$507,$AX138,$AY$8:$AY$507,"&lt;"&amp;$AY138)
    + 1,
  Constants!$B$14),
$AG138))</f>
        <v/>
      </c>
      <c r="BA138" s="99" t="str">
        <f aca="false">IF(ISBLANK(C138),"",IF($AG138=Constants!$B$7, IF(ISNUMBER(AT138),AT138-AZ138,Constants!$B$14),$AG138))</f>
        <v/>
      </c>
      <c r="BB138" s="103"/>
      <c r="BC138" s="104" t="str">
        <f aca="false">IF(ISBLANK($C138),"",TRIM(AK138&amp;" "&amp;AO138))</f>
        <v/>
      </c>
      <c r="BD138" s="105" t="str">
        <f aca="false">IF(ISBLANK($C138),"",IF($AG138&lt;&gt;Constants!$B$7,$AG138,AR138))</f>
        <v/>
      </c>
      <c r="BE138" s="105" t="str">
        <f aca="false">IF(ISBLANK($C138),"",IF($AG138&lt;&gt;Constants!$B$7,$AG138,AM138))</f>
        <v/>
      </c>
      <c r="BF138" s="105" t="str">
        <f aca="false">IF(ISBLANK($C138),"",IF($AG138&lt;&gt;Constants!$B$7,$AG138,AQ138))</f>
        <v/>
      </c>
      <c r="BG138" s="106" t="str">
        <f aca="false">IF(ISBLANK($C138),"",IF($AG138&lt;&gt;Constants!$B$7, $AG138 ,AS138))</f>
        <v/>
      </c>
      <c r="BH138" s="107" t="str">
        <f aca="false">IF(ISBLANK($C138),"",IF($AG138&lt;&gt;Constants!$B$7, $AG138 ,AH138))</f>
        <v/>
      </c>
      <c r="BI138" s="105" t="str">
        <f aca="false">IF(ISBLANK(C138),"",BA138)</f>
        <v/>
      </c>
      <c r="BJ138" s="105" t="str">
        <f aca="false">IF(ISBLANK(C138),"",AZ138)</f>
        <v/>
      </c>
      <c r="BK138" s="108" t="str">
        <f aca="false">IF(ISBLANK(C138),"",IFERROR(_xlfn.SWITCH(BJ138, Constants!$B$4, COUNTA($C$8:$C637)+2, Constants!$B$5, COUNTA($C$8:$C637)+1, Constants!$B$6, COUNTA($C$8:$C637)),BJ138))</f>
        <v/>
      </c>
      <c r="BL138" s="5"/>
      <c r="BM138" s="109" t="n">
        <f aca="false">IF(OR(ISNUMBER(BJ138),BJ138="DQ",BJ138="P",BJ138="NS"),
    1,
    0
)</f>
        <v>0</v>
      </c>
      <c r="BN138" s="109" t="n">
        <v>131</v>
      </c>
      <c r="BO138" s="109" t="str">
        <f aca="false">IF(ISBLANK($C138),"",IF(ISNUMBER(BK138),BK138+ROW($B138)/1000,""))</f>
        <v/>
      </c>
      <c r="BP138" s="109" t="str">
        <f aca="false">IF(ISNUMBER(BO138), RANK(BO138,BO$8:BO$507,1), "")</f>
        <v/>
      </c>
      <c r="BQ138" s="109" t="str">
        <f aca="false">IF(ISBLANK($C138),
    "",
    $B138
)</f>
        <v/>
      </c>
      <c r="BR138" s="109" t="str">
        <f aca="false">IF(ISBLANK($C138),
    "",
    $C138
)</f>
        <v/>
      </c>
      <c r="BS138" s="109" t="str">
        <f aca="false">IF(ISBLANK($C138),
    "",
    $D138
)</f>
        <v/>
      </c>
      <c r="BT138" s="110" t="str">
        <f aca="false">BH138</f>
        <v/>
      </c>
      <c r="BU138" s="111" t="str">
        <f aca="false">BG138</f>
        <v/>
      </c>
      <c r="BV138" s="109" t="str">
        <f aca="false">IF(ISBLANK($C138),
    "",
    BJ138
)</f>
        <v/>
      </c>
      <c r="BW138" s="112" t="str">
        <f aca="false">IF(BN138&gt;BM$7,
    "",
    VLOOKUP(BN138,BP$8:BV637,7,FALSE())
)</f>
        <v/>
      </c>
      <c r="BX138" s="113" t="str">
        <f aca="false">IF(BN138&gt;BM$7,
    "",
    VLOOKUP(BN138,BP$8:BV637,2,FALSE())
)</f>
        <v/>
      </c>
      <c r="BY138" s="113" t="str">
        <f aca="false">IF(BN138&gt;BM$7,
    "",
    VLOOKUP(BN138,BP$8:BV637,3,FALSE())
)</f>
        <v/>
      </c>
      <c r="BZ138" s="113" t="str">
        <f aca="false">IF(BN138&gt;BM$7,
    "",
    VLOOKUP(BN138,BP$8:BV637,4,FALSE())
)</f>
        <v/>
      </c>
      <c r="CA138" s="113" t="str">
        <f aca="false">IF(BN138&gt;BM$7,
    "",
    VLOOKUP(BN138,BP$8:BV637,5,FALSE())
)</f>
        <v/>
      </c>
      <c r="CB138" s="114" t="str">
        <f aca="false">IF(BN138&gt;BM$7,
    "",
    VLOOKUP(BN138,BP$8:BV637,6,FALSE())
)</f>
        <v/>
      </c>
      <c r="CC138" s="53"/>
    </row>
    <row r="139" customFormat="false" ht="15.75" hidden="false" customHeight="false" outlineLevel="0" collapsed="false">
      <c r="A139" s="5"/>
      <c r="B139" s="125"/>
      <c r="C139" s="126"/>
      <c r="D139" s="115"/>
      <c r="E139" s="119"/>
      <c r="F139" s="119"/>
      <c r="G139" s="91"/>
      <c r="H139" s="92"/>
      <c r="I139" s="92"/>
      <c r="J139" s="128"/>
      <c r="K139" s="128"/>
      <c r="L139" s="128"/>
      <c r="M139" s="94"/>
      <c r="N139" s="94"/>
      <c r="O139" s="94"/>
      <c r="P139" s="95"/>
      <c r="Q139" s="96"/>
      <c r="R139" s="128"/>
      <c r="S139" s="98"/>
      <c r="T139" s="99"/>
      <c r="U139" s="99" t="str">
        <f aca="false">IF(ISBLANK($C139),"",IF(G139=Constants!$B$2, TRUE(), IF(G139=Constants!$B$3, FALSE(), TRUE())))</f>
        <v/>
      </c>
      <c r="V139" s="99" t="str">
        <f aca="false">IF(ISBLANK($C139),"",IF(H139=Constants!$B$2, TRUE(), IF(H139=Constants!$B$3, FALSE(), TRUE())))</f>
        <v/>
      </c>
      <c r="W139" s="99" t="str">
        <f aca="false">IF(ISBLANK($C139),"",IF(I139=Constants!$B$2, TRUE(), IF(I139=Constants!$B$3, FALSE(), TRUE())))</f>
        <v/>
      </c>
      <c r="X139" s="99" t="str">
        <f aca="false">IF(ISBLANK($C139),"",IF(AND(ISNUMBER(J139),J139&gt;0),INT(J139),0))</f>
        <v/>
      </c>
      <c r="Y139" s="99" t="str">
        <f aca="false">IF(ISBLANK($C139),"",IF(K139=Constants!$B$2, TRUE(), IF(K139=Constants!$B$3, FALSE(), TRUE())))</f>
        <v/>
      </c>
      <c r="Z139" s="100" t="str">
        <f aca="false">IF(ISBLANK($C139),"",IF(AND(ISNUMBER(L139),L139&gt;0),INT(L139),0))</f>
        <v/>
      </c>
      <c r="AA139" s="101" t="str">
        <f aca="false">IF(ISBLANK($C139),"",IF(ISNUMBER(M139), M139, ""))</f>
        <v/>
      </c>
      <c r="AB139" s="101" t="str">
        <f aca="false">IF(ISBLANK($C139),"",IF(ISNUMBER(N139), N139, ""))</f>
        <v/>
      </c>
      <c r="AC139" s="101" t="str">
        <f aca="false">IF(ISBLANK($C139),"",IF(ISNUMBER(O139), O139, ""))</f>
        <v/>
      </c>
      <c r="AD139" s="102" t="str">
        <f aca="false">IF(ISBLANK($C139),"",IF(ISNUMBER(P139), P139, ""))</f>
        <v/>
      </c>
      <c r="AE139" s="102" t="str">
        <f aca="false">IF(ISBLANK($C139),"",IF(ISNUMBER(Q139), Q139, Constants!$B$13))</f>
        <v/>
      </c>
      <c r="AF139" s="99" t="str">
        <f aca="false">IF(ISBLANK($C139),"",IF(R139=Constants!$B$2, TRUE(), IF(R139=Constants!$B$3, FALSE(), FALSE())))</f>
        <v/>
      </c>
      <c r="AG139" s="99" t="str">
        <f aca="false">IF(ISBLANK(C139), "", IF(AF139, Constants!$B$4,IF(COUNTA(G139:P139)=0, Constants!$B$5, Constants!$B$7)))</f>
        <v/>
      </c>
      <c r="AH139" s="99" t="str">
        <f aca="false">IF(ISBLANK($C139), "",IF($AG139=Constants!$B$7,1,$AG139))</f>
        <v/>
      </c>
      <c r="AI139" s="99" t="str">
        <f aca="false">IF($AG139=Constants!$B$7,POWER(Constants!$B$11,X139)*POWER(Constants!$B$12,Z139),"")</f>
        <v/>
      </c>
      <c r="AJ139" s="99" t="str">
        <f aca="false">IF(AND($AG139=Constants!$B$7, U139, V139) ,IF(OR($AA139="",$AC139=""),"",MAX(0, $AC139-$AA139)),"")</f>
        <v/>
      </c>
      <c r="AK139" s="99" t="str">
        <f aca="false">IF(AND($AG139=Constants!$B$7, U139, V139),IF(OR($AA139="",$AC139=""),$AK$6,""),"")</f>
        <v/>
      </c>
      <c r="AL139" s="99" t="str">
        <f aca="false">IF($AG139=Constants!$B$7,IF(AND(U139,V139,W139,Y139),IF($AJ139="",0,IF($AJ$6=0,Constants!$B$9,Constants!$B$9*AJ139/$AJ$6)), 0),"")</f>
        <v/>
      </c>
      <c r="AM139" s="99" t="str">
        <f aca="false">IF(AL139&lt;&gt;"", AL139*AI139,"")</f>
        <v/>
      </c>
      <c r="AN139" s="99" t="str">
        <f aca="false">IF(AND($AG139=Constants!$B$7, U139, V139) ,IF($AB139="", "", IF(OR($AC139="",$AC139=0),"",MAX(0,1-ABS($AC139-$AB139)/$AC139))),"")</f>
        <v/>
      </c>
      <c r="AO139" s="99" t="str">
        <f aca="false">IF(AND($AG139=Constants!$B$7, U139, V139),IF(AND($AA139&lt;&gt;"",$AB139&lt;&gt;"",$AC139=0),$AO$6,""),"")</f>
        <v/>
      </c>
      <c r="AP139" s="99" t="str">
        <f aca="false">IF($AG139=Constants!$B$7 ,IF(AND(U139,V139,W139,Y139,ISNUMBER(AB139)),IF($AN139="",0,IF($AN$6=0,Constants!$B$10,Constants!$B$10*AN139/$AN$6)), 0),"")</f>
        <v/>
      </c>
      <c r="AQ139" s="99" t="str">
        <f aca="false">IF(AP139&lt;&gt;"", AP139*AI139,"")</f>
        <v/>
      </c>
      <c r="AR139" s="99" t="str">
        <f aca="false">IF($AG139=Constants!$B$7,IF($AD139="",0,IF($AR$6=0,Constants!$B$8,Constants!$B$8*AD139/$AR$6)),"")</f>
        <v/>
      </c>
      <c r="AS139" s="99" t="str">
        <f aca="false">IF($AG139&lt;&gt;Constants!$B$7,$AG139,IF(AK139&amp;AO139&lt;&gt;"",Constants!$B$14,AM139+AQ139+AR139))</f>
        <v/>
      </c>
      <c r="AT139" s="99" t="str">
        <f aca="false">IF(ISBLANK($C139),"",IF($AG139=Constants!$B$7,IF(ISNUMBER(AS139),RANK(AS139,$AS$8:$AS$507),Constants!$B$14),$AG139))</f>
        <v/>
      </c>
      <c r="AU139" s="99" t="str">
        <f aca="false">IF(ISBLANK($C139), "",AM139)</f>
        <v/>
      </c>
      <c r="AV139" s="99" t="str">
        <f aca="false">IF(ISBLANK($C139),"",IF($AG139=Constants!$B$7,RANK(AU139,AU$8:AU$507),$AG139))</f>
        <v/>
      </c>
      <c r="AW139" s="99" t="str">
        <f aca="false">IF(ISBLANK($C139), "",AR139)</f>
        <v/>
      </c>
      <c r="AX139" s="99" t="str">
        <f aca="false">IF(ISBLANK($C139),"",IF($AG139=Constants!$B$7,RANK(AW139,AW$8:AW$507),$AG139))</f>
        <v/>
      </c>
      <c r="AY139" s="99" t="str">
        <f aca="false">IF(ISBLANK($C139), "",AE139)</f>
        <v/>
      </c>
      <c r="AZ139" s="99" t="str">
        <f aca="false">IF(ISBLANK($C139),"",
IF($AG139=Constants!$B$7,
  IF(ISNUMBER(AT139),
    COUNTIFS($AT$8:$AT$507,"&lt;"&amp;$AT139)
    + COUNTIFS($AT$8:$AT$507,$AT139,$AV$8:$AV$507,"&lt;"&amp;$AV139)
    + COUNTIFS($AT$8:$AT$507,$AT139,$AV$8:$AV$507,$AV139,$AX$8:$AX$507,"&lt;"&amp;$AX139)
    + COUNTIFS($AT$8:$AT$507,$AT139,$AV$8:$AV$507,$AV139,$AX$8:$AX$507,$AX139,$AY$8:$AY$507,"&lt;"&amp;$AY139)
    + 1,
  Constants!$B$14),
$AG139))</f>
        <v/>
      </c>
      <c r="BA139" s="99" t="str">
        <f aca="false">IF(ISBLANK(C139),"",IF($AG139=Constants!$B$7, IF(ISNUMBER(AT139),AT139-AZ139,Constants!$B$14),$AG139))</f>
        <v/>
      </c>
      <c r="BB139" s="103"/>
      <c r="BC139" s="104" t="str">
        <f aca="false">IF(ISBLANK($C139),"",TRIM(AK139&amp;" "&amp;AO139))</f>
        <v/>
      </c>
      <c r="BD139" s="105" t="str">
        <f aca="false">IF(ISBLANK($C139),"",IF($AG139&lt;&gt;Constants!$B$7,$AG139,AR139))</f>
        <v/>
      </c>
      <c r="BE139" s="105" t="str">
        <f aca="false">IF(ISBLANK($C139),"",IF($AG139&lt;&gt;Constants!$B$7,$AG139,AM139))</f>
        <v/>
      </c>
      <c r="BF139" s="105" t="str">
        <f aca="false">IF(ISBLANK($C139),"",IF($AG139&lt;&gt;Constants!$B$7,$AG139,AQ139))</f>
        <v/>
      </c>
      <c r="BG139" s="106" t="str">
        <f aca="false">IF(ISBLANK($C139),"",IF($AG139&lt;&gt;Constants!$B$7, $AG139 ,AS139))</f>
        <v/>
      </c>
      <c r="BH139" s="107" t="str">
        <f aca="false">IF(ISBLANK($C139),"",IF($AG139&lt;&gt;Constants!$B$7, $AG139 ,AH139))</f>
        <v/>
      </c>
      <c r="BI139" s="105" t="str">
        <f aca="false">IF(ISBLANK(C139),"",BA139)</f>
        <v/>
      </c>
      <c r="BJ139" s="105" t="str">
        <f aca="false">IF(ISBLANK(C139),"",AZ139)</f>
        <v/>
      </c>
      <c r="BK139" s="108" t="str">
        <f aca="false">IF(ISBLANK(C139),"",IFERROR(_xlfn.SWITCH(BJ139, Constants!$B$4, COUNTA($C$8:$C638)+2, Constants!$B$5, COUNTA($C$8:$C638)+1, Constants!$B$6, COUNTA($C$8:$C638)),BJ139))</f>
        <v/>
      </c>
      <c r="BL139" s="5"/>
      <c r="BM139" s="109" t="n">
        <f aca="false">IF(OR(ISNUMBER(BJ139),BJ139="DQ",BJ139="P",BJ139="NS"),
    1,
    0
)</f>
        <v>0</v>
      </c>
      <c r="BN139" s="109" t="n">
        <v>132</v>
      </c>
      <c r="BO139" s="109" t="str">
        <f aca="false">IF(ISBLANK($C139),"",IF(ISNUMBER(BK139),BK139+ROW($B139)/1000,""))</f>
        <v/>
      </c>
      <c r="BP139" s="109" t="str">
        <f aca="false">IF(ISNUMBER(BO139), RANK(BO139,BO$8:BO$507,1), "")</f>
        <v/>
      </c>
      <c r="BQ139" s="109" t="str">
        <f aca="false">IF(ISBLANK($C139),
    "",
    $B139
)</f>
        <v/>
      </c>
      <c r="BR139" s="109" t="str">
        <f aca="false">IF(ISBLANK($C139),
    "",
    $C139
)</f>
        <v/>
      </c>
      <c r="BS139" s="109" t="str">
        <f aca="false">IF(ISBLANK($C139),
    "",
    $D139
)</f>
        <v/>
      </c>
      <c r="BT139" s="110" t="str">
        <f aca="false">BH139</f>
        <v/>
      </c>
      <c r="BU139" s="111" t="str">
        <f aca="false">BG139</f>
        <v/>
      </c>
      <c r="BV139" s="109" t="str">
        <f aca="false">IF(ISBLANK($C139),
    "",
    BJ139
)</f>
        <v/>
      </c>
      <c r="BW139" s="112" t="str">
        <f aca="false">IF(BN139&gt;BM$7,
    "",
    VLOOKUP(BN139,BP$8:BV638,7,FALSE())
)</f>
        <v/>
      </c>
      <c r="BX139" s="113" t="str">
        <f aca="false">IF(BN139&gt;BM$7,
    "",
    VLOOKUP(BN139,BP$8:BV638,2,FALSE())
)</f>
        <v/>
      </c>
      <c r="BY139" s="113" t="str">
        <f aca="false">IF(BN139&gt;BM$7,
    "",
    VLOOKUP(BN139,BP$8:BV638,3,FALSE())
)</f>
        <v/>
      </c>
      <c r="BZ139" s="113" t="str">
        <f aca="false">IF(BN139&gt;BM$7,
    "",
    VLOOKUP(BN139,BP$8:BV638,4,FALSE())
)</f>
        <v/>
      </c>
      <c r="CA139" s="113" t="str">
        <f aca="false">IF(BN139&gt;BM$7,
    "",
    VLOOKUP(BN139,BP$8:BV638,5,FALSE())
)</f>
        <v/>
      </c>
      <c r="CB139" s="114" t="str">
        <f aca="false">IF(BN139&gt;BM$7,
    "",
    VLOOKUP(BN139,BP$8:BV638,6,FALSE())
)</f>
        <v/>
      </c>
      <c r="CC139" s="53"/>
    </row>
    <row r="140" customFormat="false" ht="15.75" hidden="false" customHeight="false" outlineLevel="0" collapsed="false">
      <c r="A140" s="5"/>
      <c r="B140" s="129"/>
      <c r="C140" s="55"/>
      <c r="D140" s="56"/>
      <c r="E140" s="123"/>
      <c r="F140" s="123"/>
      <c r="G140" s="58"/>
      <c r="H140" s="59"/>
      <c r="I140" s="59"/>
      <c r="J140" s="83"/>
      <c r="K140" s="83"/>
      <c r="L140" s="83"/>
      <c r="M140" s="61"/>
      <c r="N140" s="61"/>
      <c r="O140" s="61"/>
      <c r="P140" s="62"/>
      <c r="Q140" s="63"/>
      <c r="R140" s="83"/>
      <c r="S140" s="65"/>
      <c r="T140" s="66"/>
      <c r="U140" s="66" t="str">
        <f aca="false">IF(ISBLANK($C140),"",IF(G140=Constants!$B$2, TRUE(), IF(G140=Constants!$B$3, FALSE(), TRUE())))</f>
        <v/>
      </c>
      <c r="V140" s="66" t="str">
        <f aca="false">IF(ISBLANK($C140),"",IF(H140=Constants!$B$2, TRUE(), IF(H140=Constants!$B$3, FALSE(), TRUE())))</f>
        <v/>
      </c>
      <c r="W140" s="66" t="str">
        <f aca="false">IF(ISBLANK($C140),"",IF(I140=Constants!$B$2, TRUE(), IF(I140=Constants!$B$3, FALSE(), TRUE())))</f>
        <v/>
      </c>
      <c r="X140" s="66" t="str">
        <f aca="false">IF(ISBLANK($C140),"",IF(AND(ISNUMBER(J140),J140&gt;0),INT(J140),0))</f>
        <v/>
      </c>
      <c r="Y140" s="66" t="str">
        <f aca="false">IF(ISBLANK($C140),"",IF(K140=Constants!$B$2, TRUE(), IF(K140=Constants!$B$3, FALSE(), TRUE())))</f>
        <v/>
      </c>
      <c r="Z140" s="66" t="str">
        <f aca="false">IF(ISBLANK($C140),"",IF(AND(ISNUMBER(L140),L140&gt;0),INT(L140),0))</f>
        <v/>
      </c>
      <c r="AA140" s="68" t="str">
        <f aca="false">IF(ISBLANK($C140),"",IF(ISNUMBER(M140), M140, ""))</f>
        <v/>
      </c>
      <c r="AB140" s="68" t="str">
        <f aca="false">IF(ISBLANK($C140),"",IF(ISNUMBER(N140), N140, ""))</f>
        <v/>
      </c>
      <c r="AC140" s="68" t="str">
        <f aca="false">IF(ISBLANK($C140),"",IF(ISNUMBER(O140), O140, ""))</f>
        <v/>
      </c>
      <c r="AD140" s="69" t="str">
        <f aca="false">IF(ISBLANK($C140),"",IF(ISNUMBER(P140), P140, ""))</f>
        <v/>
      </c>
      <c r="AE140" s="69" t="str">
        <f aca="false">IF(ISBLANK($C140),"",IF(ISNUMBER(Q140), Q140, Constants!$B$13))</f>
        <v/>
      </c>
      <c r="AF140" s="66" t="str">
        <f aca="false">IF(ISBLANK($C140),"",IF(R140=Constants!$B$2, TRUE(), IF(R140=Constants!$B$3, FALSE(), FALSE())))</f>
        <v/>
      </c>
      <c r="AG140" s="66" t="str">
        <f aca="false">IF(ISBLANK(C140), "", IF(AF140, Constants!$B$4,IF(COUNTA(G140:P140)=0, Constants!$B$5, Constants!$B$7)))</f>
        <v/>
      </c>
      <c r="AH140" s="66" t="str">
        <f aca="false">IF(ISBLANK($C140), "",IF($AG140=Constants!$B$7,1,$AG140))</f>
        <v/>
      </c>
      <c r="AI140" s="66" t="str">
        <f aca="false">IF($AG140=Constants!$B$7,POWER(Constants!$B$11,X140)*POWER(Constants!$B$12,Z140),"")</f>
        <v/>
      </c>
      <c r="AJ140" s="66" t="str">
        <f aca="false">IF(AND($AG140=Constants!$B$7, U140, V140) ,IF(OR($AA140="",$AC140=""),"",MAX(0, $AC140-$AA140)),"")</f>
        <v/>
      </c>
      <c r="AK140" s="66" t="str">
        <f aca="false">IF(AND($AG140=Constants!$B$7, U140, V140),IF(OR($AA140="",$AC140=""),$AK$6,""),"")</f>
        <v/>
      </c>
      <c r="AL140" s="66" t="str">
        <f aca="false">IF($AG140=Constants!$B$7,IF(AND(U140,V140,W140,Y140),IF($AJ140="",0,IF($AJ$6=0,Constants!$B$9,Constants!$B$9*AJ140/$AJ$6)), 0),"")</f>
        <v/>
      </c>
      <c r="AM140" s="66" t="str">
        <f aca="false">IF(AL140&lt;&gt;"", AL140*AI140,"")</f>
        <v/>
      </c>
      <c r="AN140" s="66" t="str">
        <f aca="false">IF(AND($AG140=Constants!$B$7, U140, V140) ,IF($AB140="", "", IF(OR($AC140="",$AC140=0),"",MAX(0,1-ABS($AC140-$AB140)/$AC140))),"")</f>
        <v/>
      </c>
      <c r="AO140" s="66" t="str">
        <f aca="false">IF(AND($AG140=Constants!$B$7, U140, V140),IF(AND($AA140&lt;&gt;"",$AB140&lt;&gt;"",$AC140=0),$AO$6,""),"")</f>
        <v/>
      </c>
      <c r="AP140" s="66" t="str">
        <f aca="false">IF($AG140=Constants!$B$7 ,IF(AND(U140,V140,W140,Y140,ISNUMBER(AB140)),IF($AN140="",0,IF($AN$6=0,Constants!$B$10,Constants!$B$10*AN140/$AN$6)), 0),"")</f>
        <v/>
      </c>
      <c r="AQ140" s="66" t="str">
        <f aca="false">IF(AP140&lt;&gt;"", AP140*AI140,"")</f>
        <v/>
      </c>
      <c r="AR140" s="66" t="str">
        <f aca="false">IF($AG140=Constants!$B$7,IF($AD140="",0,IF($AR$6=0,Constants!$B$8,Constants!$B$8*AD140/$AR$6)),"")</f>
        <v/>
      </c>
      <c r="AS140" s="66" t="str">
        <f aca="false">IF($AG140&lt;&gt;Constants!$B$7,$AG140,IF(AK140&amp;AO140&lt;&gt;"",Constants!$B$14,AM140+AQ140+AR140))</f>
        <v/>
      </c>
      <c r="AT140" s="66" t="str">
        <f aca="false">IF(ISBLANK($C140),"",IF($AG140=Constants!$B$7,IF(ISNUMBER(AS140),RANK(AS140,$AS$8:$AS$507),Constants!$B$14),$AG140))</f>
        <v/>
      </c>
      <c r="AU140" s="66" t="str">
        <f aca="false">IF(ISBLANK($C140), "",AM140)</f>
        <v/>
      </c>
      <c r="AV140" s="66" t="str">
        <f aca="false">IF(ISBLANK($C140),"",IF($AG140=Constants!$B$7,RANK(AU140,AU$8:AU$507),$AG140))</f>
        <v/>
      </c>
      <c r="AW140" s="66" t="str">
        <f aca="false">IF(ISBLANK($C140), "",AR140)</f>
        <v/>
      </c>
      <c r="AX140" s="66" t="str">
        <f aca="false">IF(ISBLANK($C140),"",IF($AG140=Constants!$B$7,RANK(AW140,AW$8:AW$507),$AG140))</f>
        <v/>
      </c>
      <c r="AY140" s="66" t="str">
        <f aca="false">IF(ISBLANK($C140), "",AE140)</f>
        <v/>
      </c>
      <c r="AZ140" s="66" t="str">
        <f aca="false">IF(ISBLANK($C140),"",
IF($AG140=Constants!$B$7,
  IF(ISNUMBER(AT140),
    COUNTIFS($AT$8:$AT$507,"&lt;"&amp;$AT140)
    + COUNTIFS($AT$8:$AT$507,$AT140,$AV$8:$AV$507,"&lt;"&amp;$AV140)
    + COUNTIFS($AT$8:$AT$507,$AT140,$AV$8:$AV$507,$AV140,$AX$8:$AX$507,"&lt;"&amp;$AX140)
    + COUNTIFS($AT$8:$AT$507,$AT140,$AV$8:$AV$507,$AV140,$AX$8:$AX$507,$AX140,$AY$8:$AY$507,"&lt;"&amp;$AY140)
    + 1,
  Constants!$B$14),
$AG140))</f>
        <v/>
      </c>
      <c r="BA140" s="66" t="str">
        <f aca="false">IF(ISBLANK(C140),"",IF($AG140=Constants!$B$7, IF(ISNUMBER(AT140),AT140-AZ140,Constants!$B$14),$AG140))</f>
        <v/>
      </c>
      <c r="BB140" s="70"/>
      <c r="BC140" s="84" t="str">
        <f aca="false">IF(ISBLANK($C140),"",TRIM(AK140&amp;" "&amp;AO140))</f>
        <v/>
      </c>
      <c r="BD140" s="72" t="str">
        <f aca="false">IF(ISBLANK($C140),"",IF($AG140&lt;&gt;Constants!$B$7,$AG140,AR140))</f>
        <v/>
      </c>
      <c r="BE140" s="72" t="str">
        <f aca="false">IF(ISBLANK($C140),"",IF($AG140&lt;&gt;Constants!$B$7,$AG140,AM140))</f>
        <v/>
      </c>
      <c r="BF140" s="72" t="str">
        <f aca="false">IF(ISBLANK($C140),"",IF($AG140&lt;&gt;Constants!$B$7,$AG140,AQ140))</f>
        <v/>
      </c>
      <c r="BG140" s="73" t="str">
        <f aca="false">IF(ISBLANK($C140),"",IF($AG140&lt;&gt;Constants!$B$7, $AG140 ,AS140))</f>
        <v/>
      </c>
      <c r="BH140" s="74" t="str">
        <f aca="false">IF(ISBLANK($C140),"",IF($AG140&lt;&gt;Constants!$B$7, $AG140 ,AH140))</f>
        <v/>
      </c>
      <c r="BI140" s="72" t="str">
        <f aca="false">IF(ISBLANK(C140),"",BA140)</f>
        <v/>
      </c>
      <c r="BJ140" s="72" t="str">
        <f aca="false">IF(ISBLANK(C140),"",AZ140)</f>
        <v/>
      </c>
      <c r="BK140" s="75" t="str">
        <f aca="false">IF(ISBLANK(C140),"",IFERROR(_xlfn.SWITCH(BJ140, Constants!$B$4, COUNTA($C$8:$C639)+2, Constants!$B$5, COUNTA($C$8:$C639)+1, Constants!$B$6, COUNTA($C$8:$C639)),BJ140))</f>
        <v/>
      </c>
      <c r="BL140" s="5"/>
      <c r="BM140" s="76" t="n">
        <f aca="false">IF(OR(ISNUMBER(BJ140),BJ140="DQ",BJ140="P",BJ140="NS"),
    1,
    0
)</f>
        <v>0</v>
      </c>
      <c r="BN140" s="76" t="n">
        <v>133</v>
      </c>
      <c r="BO140" s="76" t="str">
        <f aca="false">IF(ISBLANK($C140),"",IF(ISNUMBER(BK140),BK140+ROW($B140)/1000,""))</f>
        <v/>
      </c>
      <c r="BP140" s="76" t="str">
        <f aca="false">IF(ISNUMBER(BO140), RANK(BO140,BO$8:BO$507,1), "")</f>
        <v/>
      </c>
      <c r="BQ140" s="76" t="str">
        <f aca="false">IF(ISBLANK($C140),
    "",
    $B140
)</f>
        <v/>
      </c>
      <c r="BR140" s="76" t="str">
        <f aca="false">IF(ISBLANK($C140),
    "",
    $C140
)</f>
        <v/>
      </c>
      <c r="BS140" s="76" t="str">
        <f aca="false">IF(ISBLANK($C140),
    "",
    $D140
)</f>
        <v/>
      </c>
      <c r="BT140" s="77" t="str">
        <f aca="false">BH140</f>
        <v/>
      </c>
      <c r="BU140" s="78" t="str">
        <f aca="false">BG140</f>
        <v/>
      </c>
      <c r="BV140" s="76" t="str">
        <f aca="false">IF(ISBLANK($C140),
    "",
    BJ140
)</f>
        <v/>
      </c>
      <c r="BW140" s="79" t="str">
        <f aca="false">IF(BN140&gt;BM$7,
    "",
    VLOOKUP(BN140,BP$8:BV639,7,FALSE())
)</f>
        <v/>
      </c>
      <c r="BX140" s="80" t="str">
        <f aca="false">IF(BN140&gt;BM$7,
    "",
    VLOOKUP(BN140,BP$8:BV639,2,FALSE())
)</f>
        <v/>
      </c>
      <c r="BY140" s="80" t="str">
        <f aca="false">IF(BN140&gt;BM$7,
    "",
    VLOOKUP(BN140,BP$8:BV639,3,FALSE())
)</f>
        <v/>
      </c>
      <c r="BZ140" s="80" t="str">
        <f aca="false">IF(BN140&gt;BM$7,
    "",
    VLOOKUP(BN140,BP$8:BV639,4,FALSE())
)</f>
        <v/>
      </c>
      <c r="CA140" s="80" t="str">
        <f aca="false">IF(BN140&gt;BM$7,
    "",
    VLOOKUP(BN140,BP$8:BV639,5,FALSE())
)</f>
        <v/>
      </c>
      <c r="CB140" s="81" t="str">
        <f aca="false">IF(BN140&gt;BM$7,
    "",
    VLOOKUP(BN140,BP$8:BV639,6,FALSE())
)</f>
        <v/>
      </c>
      <c r="CC140" s="53"/>
    </row>
    <row r="141" customFormat="false" ht="15.75" hidden="false" customHeight="false" outlineLevel="0" collapsed="false">
      <c r="A141" s="5"/>
      <c r="B141" s="129"/>
      <c r="C141" s="55"/>
      <c r="D141" s="56"/>
      <c r="E141" s="123"/>
      <c r="F141" s="123"/>
      <c r="G141" s="58"/>
      <c r="H141" s="59"/>
      <c r="I141" s="59"/>
      <c r="J141" s="83"/>
      <c r="K141" s="83"/>
      <c r="L141" s="83"/>
      <c r="M141" s="61"/>
      <c r="N141" s="61"/>
      <c r="O141" s="61"/>
      <c r="P141" s="62"/>
      <c r="Q141" s="63"/>
      <c r="R141" s="83"/>
      <c r="S141" s="65"/>
      <c r="T141" s="66"/>
      <c r="U141" s="66" t="str">
        <f aca="false">IF(ISBLANK($C141),"",IF(G141=Constants!$B$2, TRUE(), IF(G141=Constants!$B$3, FALSE(), TRUE())))</f>
        <v/>
      </c>
      <c r="V141" s="66" t="str">
        <f aca="false">IF(ISBLANK($C141),"",IF(H141=Constants!$B$2, TRUE(), IF(H141=Constants!$B$3, FALSE(), TRUE())))</f>
        <v/>
      </c>
      <c r="W141" s="66" t="str">
        <f aca="false">IF(ISBLANK($C141),"",IF(I141=Constants!$B$2, TRUE(), IF(I141=Constants!$B$3, FALSE(), TRUE())))</f>
        <v/>
      </c>
      <c r="X141" s="66" t="str">
        <f aca="false">IF(ISBLANK($C141),"",IF(AND(ISNUMBER(J141),J141&gt;0),INT(J141),0))</f>
        <v/>
      </c>
      <c r="Y141" s="66" t="str">
        <f aca="false">IF(ISBLANK($C141),"",IF(K141=Constants!$B$2, TRUE(), IF(K141=Constants!$B$3, FALSE(), TRUE())))</f>
        <v/>
      </c>
      <c r="Z141" s="66" t="str">
        <f aca="false">IF(ISBLANK($C141),"",IF(AND(ISNUMBER(L141),L141&gt;0),INT(L141),0))</f>
        <v/>
      </c>
      <c r="AA141" s="68" t="str">
        <f aca="false">IF(ISBLANK($C141),"",IF(ISNUMBER(M141), M141, ""))</f>
        <v/>
      </c>
      <c r="AB141" s="68" t="str">
        <f aca="false">IF(ISBLANK($C141),"",IF(ISNUMBER(N141), N141, ""))</f>
        <v/>
      </c>
      <c r="AC141" s="68" t="str">
        <f aca="false">IF(ISBLANK($C141),"",IF(ISNUMBER(O141), O141, ""))</f>
        <v/>
      </c>
      <c r="AD141" s="69" t="str">
        <f aca="false">IF(ISBLANK($C141),"",IF(ISNUMBER(P141), P141, ""))</f>
        <v/>
      </c>
      <c r="AE141" s="69" t="str">
        <f aca="false">IF(ISBLANK($C141),"",IF(ISNUMBER(Q141), Q141, Constants!$B$13))</f>
        <v/>
      </c>
      <c r="AF141" s="66" t="str">
        <f aca="false">IF(ISBLANK($C141),"",IF(R141=Constants!$B$2, TRUE(), IF(R141=Constants!$B$3, FALSE(), FALSE())))</f>
        <v/>
      </c>
      <c r="AG141" s="66" t="str">
        <f aca="false">IF(ISBLANK(C141), "", IF(AF141, Constants!$B$4,IF(COUNTA(G141:P141)=0, Constants!$B$5, Constants!$B$7)))</f>
        <v/>
      </c>
      <c r="AH141" s="66" t="str">
        <f aca="false">IF(ISBLANK($C141), "",IF($AG141=Constants!$B$7,1,$AG141))</f>
        <v/>
      </c>
      <c r="AI141" s="66" t="str">
        <f aca="false">IF($AG141=Constants!$B$7,POWER(Constants!$B$11,X141)*POWER(Constants!$B$12,Z141),"")</f>
        <v/>
      </c>
      <c r="AJ141" s="66" t="str">
        <f aca="false">IF(AND($AG141=Constants!$B$7, U141, V141) ,IF(OR($AA141="",$AC141=""),"",MAX(0, $AC141-$AA141)),"")</f>
        <v/>
      </c>
      <c r="AK141" s="66" t="str">
        <f aca="false">IF(AND($AG141=Constants!$B$7, U141, V141),IF(OR($AA141="",$AC141=""),$AK$6,""),"")</f>
        <v/>
      </c>
      <c r="AL141" s="66" t="str">
        <f aca="false">IF($AG141=Constants!$B$7,IF(AND(U141,V141,W141,Y141),IF($AJ141="",0,IF($AJ$6=0,Constants!$B$9,Constants!$B$9*AJ141/$AJ$6)), 0),"")</f>
        <v/>
      </c>
      <c r="AM141" s="66" t="str">
        <f aca="false">IF(AL141&lt;&gt;"", AL141*AI141,"")</f>
        <v/>
      </c>
      <c r="AN141" s="66" t="str">
        <f aca="false">IF(AND($AG141=Constants!$B$7, U141, V141) ,IF($AB141="", "", IF(OR($AC141="",$AC141=0),"",MAX(0,1-ABS($AC141-$AB141)/$AC141))),"")</f>
        <v/>
      </c>
      <c r="AO141" s="66" t="str">
        <f aca="false">IF(AND($AG141=Constants!$B$7, U141, V141),IF(AND($AA141&lt;&gt;"",$AB141&lt;&gt;"",$AC141=0),$AO$6,""),"")</f>
        <v/>
      </c>
      <c r="AP141" s="66" t="str">
        <f aca="false">IF($AG141=Constants!$B$7 ,IF(AND(U141,V141,W141,Y141,ISNUMBER(AB141)),IF($AN141="",0,IF($AN$6=0,Constants!$B$10,Constants!$B$10*AN141/$AN$6)), 0),"")</f>
        <v/>
      </c>
      <c r="AQ141" s="66" t="str">
        <f aca="false">IF(AP141&lt;&gt;"", AP141*AI141,"")</f>
        <v/>
      </c>
      <c r="AR141" s="66" t="str">
        <f aca="false">IF($AG141=Constants!$B$7,IF($AD141="",0,IF($AR$6=0,Constants!$B$8,Constants!$B$8*AD141/$AR$6)),"")</f>
        <v/>
      </c>
      <c r="AS141" s="66" t="str">
        <f aca="false">IF($AG141&lt;&gt;Constants!$B$7,$AG141,IF(AK141&amp;AO141&lt;&gt;"",Constants!$B$14,AM141+AQ141+AR141))</f>
        <v/>
      </c>
      <c r="AT141" s="66" t="str">
        <f aca="false">IF(ISBLANK($C141),"",IF($AG141=Constants!$B$7,IF(ISNUMBER(AS141),RANK(AS141,$AS$8:$AS$507),Constants!$B$14),$AG141))</f>
        <v/>
      </c>
      <c r="AU141" s="66" t="str">
        <f aca="false">IF(ISBLANK($C141), "",AM141)</f>
        <v/>
      </c>
      <c r="AV141" s="66" t="str">
        <f aca="false">IF(ISBLANK($C141),"",IF($AG141=Constants!$B$7,RANK(AU141,AU$8:AU$507),$AG141))</f>
        <v/>
      </c>
      <c r="AW141" s="66" t="str">
        <f aca="false">IF(ISBLANK($C141), "",AR141)</f>
        <v/>
      </c>
      <c r="AX141" s="66" t="str">
        <f aca="false">IF(ISBLANK($C141),"",IF($AG141=Constants!$B$7,RANK(AW141,AW$8:AW$507),$AG141))</f>
        <v/>
      </c>
      <c r="AY141" s="66" t="str">
        <f aca="false">IF(ISBLANK($C141), "",AE141)</f>
        <v/>
      </c>
      <c r="AZ141" s="66" t="str">
        <f aca="false">IF(ISBLANK($C141),"",
IF($AG141=Constants!$B$7,
  IF(ISNUMBER(AT141),
    COUNTIFS($AT$8:$AT$507,"&lt;"&amp;$AT141)
    + COUNTIFS($AT$8:$AT$507,$AT141,$AV$8:$AV$507,"&lt;"&amp;$AV141)
    + COUNTIFS($AT$8:$AT$507,$AT141,$AV$8:$AV$507,$AV141,$AX$8:$AX$507,"&lt;"&amp;$AX141)
    + COUNTIFS($AT$8:$AT$507,$AT141,$AV$8:$AV$507,$AV141,$AX$8:$AX$507,$AX141,$AY$8:$AY$507,"&lt;"&amp;$AY141)
    + 1,
  Constants!$B$14),
$AG141))</f>
        <v/>
      </c>
      <c r="BA141" s="66" t="str">
        <f aca="false">IF(ISBLANK(C141),"",IF($AG141=Constants!$B$7, IF(ISNUMBER(AT141),AT141-AZ141,Constants!$B$14),$AG141))</f>
        <v/>
      </c>
      <c r="BB141" s="70"/>
      <c r="BC141" s="84" t="str">
        <f aca="false">IF(ISBLANK($C141),"",TRIM(AK141&amp;" "&amp;AO141))</f>
        <v/>
      </c>
      <c r="BD141" s="72" t="str">
        <f aca="false">IF(ISBLANK($C141),"",IF($AG141&lt;&gt;Constants!$B$7,$AG141,AR141))</f>
        <v/>
      </c>
      <c r="BE141" s="72" t="str">
        <f aca="false">IF(ISBLANK($C141),"",IF($AG141&lt;&gt;Constants!$B$7,$AG141,AM141))</f>
        <v/>
      </c>
      <c r="BF141" s="72" t="str">
        <f aca="false">IF(ISBLANK($C141),"",IF($AG141&lt;&gt;Constants!$B$7,$AG141,AQ141))</f>
        <v/>
      </c>
      <c r="BG141" s="73" t="str">
        <f aca="false">IF(ISBLANK($C141),"",IF($AG141&lt;&gt;Constants!$B$7, $AG141 ,AS141))</f>
        <v/>
      </c>
      <c r="BH141" s="74" t="str">
        <f aca="false">IF(ISBLANK($C141),"",IF($AG141&lt;&gt;Constants!$B$7, $AG141 ,AH141))</f>
        <v/>
      </c>
      <c r="BI141" s="72" t="str">
        <f aca="false">IF(ISBLANK(C141),"",BA141)</f>
        <v/>
      </c>
      <c r="BJ141" s="72" t="str">
        <f aca="false">IF(ISBLANK(C141),"",AZ141)</f>
        <v/>
      </c>
      <c r="BK141" s="75" t="str">
        <f aca="false">IF(ISBLANK(C141),"",IFERROR(_xlfn.SWITCH(BJ141, Constants!$B$4, COUNTA($C$8:$C640)+2, Constants!$B$5, COUNTA($C$8:$C640)+1, Constants!$B$6, COUNTA($C$8:$C640)),BJ141))</f>
        <v/>
      </c>
      <c r="BL141" s="5"/>
      <c r="BM141" s="76" t="n">
        <f aca="false">IF(OR(ISNUMBER(BJ141),BJ141="DQ",BJ141="P",BJ141="NS"),
    1,
    0
)</f>
        <v>0</v>
      </c>
      <c r="BN141" s="76" t="n">
        <v>134</v>
      </c>
      <c r="BO141" s="76" t="str">
        <f aca="false">IF(ISBLANK($C141),"",IF(ISNUMBER(BK141),BK141+ROW($B141)/1000,""))</f>
        <v/>
      </c>
      <c r="BP141" s="76" t="str">
        <f aca="false">IF(ISNUMBER(BO141), RANK(BO141,BO$8:BO$507,1), "")</f>
        <v/>
      </c>
      <c r="BQ141" s="76" t="str">
        <f aca="false">IF(ISBLANK($C141),
    "",
    $B141
)</f>
        <v/>
      </c>
      <c r="BR141" s="76" t="str">
        <f aca="false">IF(ISBLANK($C141),
    "",
    $C141
)</f>
        <v/>
      </c>
      <c r="BS141" s="76" t="str">
        <f aca="false">IF(ISBLANK($C141),
    "",
    $D141
)</f>
        <v/>
      </c>
      <c r="BT141" s="77" t="str">
        <f aca="false">BH141</f>
        <v/>
      </c>
      <c r="BU141" s="78" t="str">
        <f aca="false">BG141</f>
        <v/>
      </c>
      <c r="BV141" s="76" t="str">
        <f aca="false">IF(ISBLANK($C141),
    "",
    BJ141
)</f>
        <v/>
      </c>
      <c r="BW141" s="79" t="str">
        <f aca="false">IF(BN141&gt;BM$7,
    "",
    VLOOKUP(BN141,BP$8:BV640,7,FALSE())
)</f>
        <v/>
      </c>
      <c r="BX141" s="80" t="str">
        <f aca="false">IF(BN141&gt;BM$7,
    "",
    VLOOKUP(BN141,BP$8:BV640,2,FALSE())
)</f>
        <v/>
      </c>
      <c r="BY141" s="80" t="str">
        <f aca="false">IF(BN141&gt;BM$7,
    "",
    VLOOKUP(BN141,BP$8:BV640,3,FALSE())
)</f>
        <v/>
      </c>
      <c r="BZ141" s="80" t="str">
        <f aca="false">IF(BN141&gt;BM$7,
    "",
    VLOOKUP(BN141,BP$8:BV640,4,FALSE())
)</f>
        <v/>
      </c>
      <c r="CA141" s="80" t="str">
        <f aca="false">IF(BN141&gt;BM$7,
    "",
    VLOOKUP(BN141,BP$8:BV640,5,FALSE())
)</f>
        <v/>
      </c>
      <c r="CB141" s="81" t="str">
        <f aca="false">IF(BN141&gt;BM$7,
    "",
    VLOOKUP(BN141,BP$8:BV640,6,FALSE())
)</f>
        <v/>
      </c>
      <c r="CC141" s="53"/>
    </row>
    <row r="142" customFormat="false" ht="15.75" hidden="false" customHeight="false" outlineLevel="0" collapsed="false">
      <c r="A142" s="5"/>
      <c r="B142" s="129"/>
      <c r="C142" s="55"/>
      <c r="D142" s="56"/>
      <c r="E142" s="123"/>
      <c r="F142" s="123"/>
      <c r="G142" s="58"/>
      <c r="H142" s="59"/>
      <c r="I142" s="59"/>
      <c r="J142" s="83"/>
      <c r="K142" s="83"/>
      <c r="L142" s="83"/>
      <c r="M142" s="61"/>
      <c r="N142" s="61"/>
      <c r="O142" s="61"/>
      <c r="P142" s="62"/>
      <c r="Q142" s="63"/>
      <c r="R142" s="83"/>
      <c r="S142" s="65"/>
      <c r="T142" s="66"/>
      <c r="U142" s="66" t="str">
        <f aca="false">IF(ISBLANK($C142),"",IF(G142=Constants!$B$2, TRUE(), IF(G142=Constants!$B$3, FALSE(), TRUE())))</f>
        <v/>
      </c>
      <c r="V142" s="66" t="str">
        <f aca="false">IF(ISBLANK($C142),"",IF(H142=Constants!$B$2, TRUE(), IF(H142=Constants!$B$3, FALSE(), TRUE())))</f>
        <v/>
      </c>
      <c r="W142" s="66" t="str">
        <f aca="false">IF(ISBLANK($C142),"",IF(I142=Constants!$B$2, TRUE(), IF(I142=Constants!$B$3, FALSE(), TRUE())))</f>
        <v/>
      </c>
      <c r="X142" s="66" t="str">
        <f aca="false">IF(ISBLANK($C142),"",IF(AND(ISNUMBER(J142),J142&gt;0),INT(J142),0))</f>
        <v/>
      </c>
      <c r="Y142" s="66" t="str">
        <f aca="false">IF(ISBLANK($C142),"",IF(K142=Constants!$B$2, TRUE(), IF(K142=Constants!$B$3, FALSE(), TRUE())))</f>
        <v/>
      </c>
      <c r="Z142" s="66" t="str">
        <f aca="false">IF(ISBLANK($C142),"",IF(AND(ISNUMBER(L142),L142&gt;0),INT(L142),0))</f>
        <v/>
      </c>
      <c r="AA142" s="68" t="str">
        <f aca="false">IF(ISBLANK($C142),"",IF(ISNUMBER(M142), M142, ""))</f>
        <v/>
      </c>
      <c r="AB142" s="68" t="str">
        <f aca="false">IF(ISBLANK($C142),"",IF(ISNUMBER(N142), N142, ""))</f>
        <v/>
      </c>
      <c r="AC142" s="68" t="str">
        <f aca="false">IF(ISBLANK($C142),"",IF(ISNUMBER(O142), O142, ""))</f>
        <v/>
      </c>
      <c r="AD142" s="69" t="str">
        <f aca="false">IF(ISBLANK($C142),"",IF(ISNUMBER(P142), P142, ""))</f>
        <v/>
      </c>
      <c r="AE142" s="69" t="str">
        <f aca="false">IF(ISBLANK($C142),"",IF(ISNUMBER(Q142), Q142, Constants!$B$13))</f>
        <v/>
      </c>
      <c r="AF142" s="66" t="str">
        <f aca="false">IF(ISBLANK($C142),"",IF(R142=Constants!$B$2, TRUE(), IF(R142=Constants!$B$3, FALSE(), FALSE())))</f>
        <v/>
      </c>
      <c r="AG142" s="66" t="str">
        <f aca="false">IF(ISBLANK(C142), "", IF(AF142, Constants!$B$4,IF(COUNTA(G142:P142)=0, Constants!$B$5, Constants!$B$7)))</f>
        <v/>
      </c>
      <c r="AH142" s="66" t="str">
        <f aca="false">IF(ISBLANK($C142), "",IF($AG142=Constants!$B$7,1,$AG142))</f>
        <v/>
      </c>
      <c r="AI142" s="66" t="str">
        <f aca="false">IF($AG142=Constants!$B$7,POWER(Constants!$B$11,X142)*POWER(Constants!$B$12,Z142),"")</f>
        <v/>
      </c>
      <c r="AJ142" s="66" t="str">
        <f aca="false">IF(AND($AG142=Constants!$B$7, U142, V142) ,IF(OR($AA142="",$AC142=""),"",MAX(0, $AC142-$AA142)),"")</f>
        <v/>
      </c>
      <c r="AK142" s="66" t="str">
        <f aca="false">IF(AND($AG142=Constants!$B$7, U142, V142),IF(OR($AA142="",$AC142=""),$AK$6,""),"")</f>
        <v/>
      </c>
      <c r="AL142" s="66" t="str">
        <f aca="false">IF($AG142=Constants!$B$7,IF(AND(U142,V142,W142,Y142),IF($AJ142="",0,IF($AJ$6=0,Constants!$B$9,Constants!$B$9*AJ142/$AJ$6)), 0),"")</f>
        <v/>
      </c>
      <c r="AM142" s="66" t="str">
        <f aca="false">IF(AL142&lt;&gt;"", AL142*AI142,"")</f>
        <v/>
      </c>
      <c r="AN142" s="66" t="str">
        <f aca="false">IF(AND($AG142=Constants!$B$7, U142, V142) ,IF($AB142="", "", IF(OR($AC142="",$AC142=0),"",MAX(0,1-ABS($AC142-$AB142)/$AC142))),"")</f>
        <v/>
      </c>
      <c r="AO142" s="66" t="str">
        <f aca="false">IF(AND($AG142=Constants!$B$7, U142, V142),IF(AND($AA142&lt;&gt;"",$AB142&lt;&gt;"",$AC142=0),$AO$6,""),"")</f>
        <v/>
      </c>
      <c r="AP142" s="66" t="str">
        <f aca="false">IF($AG142=Constants!$B$7 ,IF(AND(U142,V142,W142,Y142,ISNUMBER(AB142)),IF($AN142="",0,IF($AN$6=0,Constants!$B$10,Constants!$B$10*AN142/$AN$6)), 0),"")</f>
        <v/>
      </c>
      <c r="AQ142" s="66" t="str">
        <f aca="false">IF(AP142&lt;&gt;"", AP142*AI142,"")</f>
        <v/>
      </c>
      <c r="AR142" s="66" t="str">
        <f aca="false">IF($AG142=Constants!$B$7,IF($AD142="",0,IF($AR$6=0,Constants!$B$8,Constants!$B$8*AD142/$AR$6)),"")</f>
        <v/>
      </c>
      <c r="AS142" s="66" t="str">
        <f aca="false">IF($AG142&lt;&gt;Constants!$B$7,$AG142,IF(AK142&amp;AO142&lt;&gt;"",Constants!$B$14,AM142+AQ142+AR142))</f>
        <v/>
      </c>
      <c r="AT142" s="66" t="str">
        <f aca="false">IF(ISBLANK($C142),"",IF($AG142=Constants!$B$7,IF(ISNUMBER(AS142),RANK(AS142,$AS$8:$AS$507),Constants!$B$14),$AG142))</f>
        <v/>
      </c>
      <c r="AU142" s="66" t="str">
        <f aca="false">IF(ISBLANK($C142), "",AM142)</f>
        <v/>
      </c>
      <c r="AV142" s="66" t="str">
        <f aca="false">IF(ISBLANK($C142),"",IF($AG142=Constants!$B$7,RANK(AU142,AU$8:AU$507),$AG142))</f>
        <v/>
      </c>
      <c r="AW142" s="66" t="str">
        <f aca="false">IF(ISBLANK($C142), "",AR142)</f>
        <v/>
      </c>
      <c r="AX142" s="66" t="str">
        <f aca="false">IF(ISBLANK($C142),"",IF($AG142=Constants!$B$7,RANK(AW142,AW$8:AW$507),$AG142))</f>
        <v/>
      </c>
      <c r="AY142" s="66" t="str">
        <f aca="false">IF(ISBLANK($C142), "",AE142)</f>
        <v/>
      </c>
      <c r="AZ142" s="66" t="str">
        <f aca="false">IF(ISBLANK($C142),"",
IF($AG142=Constants!$B$7,
  IF(ISNUMBER(AT142),
    COUNTIFS($AT$8:$AT$507,"&lt;"&amp;$AT142)
    + COUNTIFS($AT$8:$AT$507,$AT142,$AV$8:$AV$507,"&lt;"&amp;$AV142)
    + COUNTIFS($AT$8:$AT$507,$AT142,$AV$8:$AV$507,$AV142,$AX$8:$AX$507,"&lt;"&amp;$AX142)
    + COUNTIFS($AT$8:$AT$507,$AT142,$AV$8:$AV$507,$AV142,$AX$8:$AX$507,$AX142,$AY$8:$AY$507,"&lt;"&amp;$AY142)
    + 1,
  Constants!$B$14),
$AG142))</f>
        <v/>
      </c>
      <c r="BA142" s="66" t="str">
        <f aca="false">IF(ISBLANK(C142),"",IF($AG142=Constants!$B$7, IF(ISNUMBER(AT142),AT142-AZ142,Constants!$B$14),$AG142))</f>
        <v/>
      </c>
      <c r="BB142" s="70"/>
      <c r="BC142" s="84" t="str">
        <f aca="false">IF(ISBLANK($C142),"",TRIM(AK142&amp;" "&amp;AO142))</f>
        <v/>
      </c>
      <c r="BD142" s="72" t="str">
        <f aca="false">IF(ISBLANK($C142),"",IF($AG142&lt;&gt;Constants!$B$7,$AG142,AR142))</f>
        <v/>
      </c>
      <c r="BE142" s="72" t="str">
        <f aca="false">IF(ISBLANK($C142),"",IF($AG142&lt;&gt;Constants!$B$7,$AG142,AM142))</f>
        <v/>
      </c>
      <c r="BF142" s="72" t="str">
        <f aca="false">IF(ISBLANK($C142),"",IF($AG142&lt;&gt;Constants!$B$7,$AG142,AQ142))</f>
        <v/>
      </c>
      <c r="BG142" s="73" t="str">
        <f aca="false">IF(ISBLANK($C142),"",IF($AG142&lt;&gt;Constants!$B$7, $AG142 ,AS142))</f>
        <v/>
      </c>
      <c r="BH142" s="74" t="str">
        <f aca="false">IF(ISBLANK($C142),"",IF($AG142&lt;&gt;Constants!$B$7, $AG142 ,AH142))</f>
        <v/>
      </c>
      <c r="BI142" s="72" t="str">
        <f aca="false">IF(ISBLANK(C142),"",BA142)</f>
        <v/>
      </c>
      <c r="BJ142" s="72" t="str">
        <f aca="false">IF(ISBLANK(C142),"",AZ142)</f>
        <v/>
      </c>
      <c r="BK142" s="75" t="str">
        <f aca="false">IF(ISBLANK(C142),"",IFERROR(_xlfn.SWITCH(BJ142, Constants!$B$4, COUNTA($C$8:$C641)+2, Constants!$B$5, COUNTA($C$8:$C641)+1, Constants!$B$6, COUNTA($C$8:$C641)),BJ142))</f>
        <v/>
      </c>
      <c r="BL142" s="5"/>
      <c r="BM142" s="76" t="n">
        <f aca="false">IF(OR(ISNUMBER(BJ142),BJ142="DQ",BJ142="P",BJ142="NS"),
    1,
    0
)</f>
        <v>0</v>
      </c>
      <c r="BN142" s="76" t="n">
        <v>135</v>
      </c>
      <c r="BO142" s="76" t="str">
        <f aca="false">IF(ISBLANK($C142),"",IF(ISNUMBER(BK142),BK142+ROW($B142)/1000,""))</f>
        <v/>
      </c>
      <c r="BP142" s="76" t="str">
        <f aca="false">IF(ISNUMBER(BO142), RANK(BO142,BO$8:BO$507,1), "")</f>
        <v/>
      </c>
      <c r="BQ142" s="76" t="str">
        <f aca="false">IF(ISBLANK($C142),
    "",
    $B142
)</f>
        <v/>
      </c>
      <c r="BR142" s="76" t="str">
        <f aca="false">IF(ISBLANK($C142),
    "",
    $C142
)</f>
        <v/>
      </c>
      <c r="BS142" s="76" t="str">
        <f aca="false">IF(ISBLANK($C142),
    "",
    $D142
)</f>
        <v/>
      </c>
      <c r="BT142" s="77" t="str">
        <f aca="false">BH142</f>
        <v/>
      </c>
      <c r="BU142" s="78" t="str">
        <f aca="false">BG142</f>
        <v/>
      </c>
      <c r="BV142" s="76" t="str">
        <f aca="false">IF(ISBLANK($C142),
    "",
    BJ142
)</f>
        <v/>
      </c>
      <c r="BW142" s="79" t="str">
        <f aca="false">IF(BN142&gt;BM$7,
    "",
    VLOOKUP(BN142,BP$8:BV641,7,FALSE())
)</f>
        <v/>
      </c>
      <c r="BX142" s="80" t="str">
        <f aca="false">IF(BN142&gt;BM$7,
    "",
    VLOOKUP(BN142,BP$8:BV641,2,FALSE())
)</f>
        <v/>
      </c>
      <c r="BY142" s="80" t="str">
        <f aca="false">IF(BN142&gt;BM$7,
    "",
    VLOOKUP(BN142,BP$8:BV641,3,FALSE())
)</f>
        <v/>
      </c>
      <c r="BZ142" s="80" t="str">
        <f aca="false">IF(BN142&gt;BM$7,
    "",
    VLOOKUP(BN142,BP$8:BV641,4,FALSE())
)</f>
        <v/>
      </c>
      <c r="CA142" s="80" t="str">
        <f aca="false">IF(BN142&gt;BM$7,
    "",
    VLOOKUP(BN142,BP$8:BV641,5,FALSE())
)</f>
        <v/>
      </c>
      <c r="CB142" s="81" t="str">
        <f aca="false">IF(BN142&gt;BM$7,
    "",
    VLOOKUP(BN142,BP$8:BV641,6,FALSE())
)</f>
        <v/>
      </c>
      <c r="CC142" s="53"/>
    </row>
    <row r="143" customFormat="false" ht="15.75" hidden="false" customHeight="false" outlineLevel="0" collapsed="false">
      <c r="A143" s="5"/>
      <c r="B143" s="125"/>
      <c r="C143" s="126"/>
      <c r="D143" s="115"/>
      <c r="E143" s="119"/>
      <c r="F143" s="119"/>
      <c r="G143" s="91"/>
      <c r="H143" s="92"/>
      <c r="I143" s="92"/>
      <c r="J143" s="128"/>
      <c r="K143" s="128"/>
      <c r="L143" s="128"/>
      <c r="M143" s="94"/>
      <c r="N143" s="94"/>
      <c r="O143" s="94"/>
      <c r="P143" s="95"/>
      <c r="Q143" s="96"/>
      <c r="R143" s="128"/>
      <c r="S143" s="98"/>
      <c r="T143" s="99"/>
      <c r="U143" s="99" t="str">
        <f aca="false">IF(ISBLANK($C143),"",IF(G143=Constants!$B$2, TRUE(), IF(G143=Constants!$B$3, FALSE(), TRUE())))</f>
        <v/>
      </c>
      <c r="V143" s="99" t="str">
        <f aca="false">IF(ISBLANK($C143),"",IF(H143=Constants!$B$2, TRUE(), IF(H143=Constants!$B$3, FALSE(), TRUE())))</f>
        <v/>
      </c>
      <c r="W143" s="99" t="str">
        <f aca="false">IF(ISBLANK($C143),"",IF(I143=Constants!$B$2, TRUE(), IF(I143=Constants!$B$3, FALSE(), TRUE())))</f>
        <v/>
      </c>
      <c r="X143" s="99" t="str">
        <f aca="false">IF(ISBLANK($C143),"",IF(AND(ISNUMBER(J143),J143&gt;0),INT(J143),0))</f>
        <v/>
      </c>
      <c r="Y143" s="99" t="str">
        <f aca="false">IF(ISBLANK($C143),"",IF(K143=Constants!$B$2, TRUE(), IF(K143=Constants!$B$3, FALSE(), TRUE())))</f>
        <v/>
      </c>
      <c r="Z143" s="100" t="str">
        <f aca="false">IF(ISBLANK($C143),"",IF(AND(ISNUMBER(L143),L143&gt;0),INT(L143),0))</f>
        <v/>
      </c>
      <c r="AA143" s="101" t="str">
        <f aca="false">IF(ISBLANK($C143),"",IF(ISNUMBER(M143), M143, ""))</f>
        <v/>
      </c>
      <c r="AB143" s="101" t="str">
        <f aca="false">IF(ISBLANK($C143),"",IF(ISNUMBER(N143), N143, ""))</f>
        <v/>
      </c>
      <c r="AC143" s="101" t="str">
        <f aca="false">IF(ISBLANK($C143),"",IF(ISNUMBER(O143), O143, ""))</f>
        <v/>
      </c>
      <c r="AD143" s="102" t="str">
        <f aca="false">IF(ISBLANK($C143),"",IF(ISNUMBER(P143), P143, ""))</f>
        <v/>
      </c>
      <c r="AE143" s="102" t="str">
        <f aca="false">IF(ISBLANK($C143),"",IF(ISNUMBER(Q143), Q143, Constants!$B$13))</f>
        <v/>
      </c>
      <c r="AF143" s="99" t="str">
        <f aca="false">IF(ISBLANK($C143),"",IF(R143=Constants!$B$2, TRUE(), IF(R143=Constants!$B$3, FALSE(), FALSE())))</f>
        <v/>
      </c>
      <c r="AG143" s="99" t="str">
        <f aca="false">IF(ISBLANK(C143), "", IF(AF143, Constants!$B$4,IF(COUNTA(G143:P143)=0, Constants!$B$5, Constants!$B$7)))</f>
        <v/>
      </c>
      <c r="AH143" s="99" t="str">
        <f aca="false">IF(ISBLANK($C143), "",IF($AG143=Constants!$B$7,1,$AG143))</f>
        <v/>
      </c>
      <c r="AI143" s="99" t="str">
        <f aca="false">IF($AG143=Constants!$B$7,POWER(Constants!$B$11,X143)*POWER(Constants!$B$12,Z143),"")</f>
        <v/>
      </c>
      <c r="AJ143" s="99" t="str">
        <f aca="false">IF(AND($AG143=Constants!$B$7, U143, V143) ,IF(OR($AA143="",$AC143=""),"",MAX(0, $AC143-$AA143)),"")</f>
        <v/>
      </c>
      <c r="AK143" s="99" t="str">
        <f aca="false">IF(AND($AG143=Constants!$B$7, U143, V143),IF(OR($AA143="",$AC143=""),$AK$6,""),"")</f>
        <v/>
      </c>
      <c r="AL143" s="99" t="str">
        <f aca="false">IF($AG143=Constants!$B$7,IF(AND(U143,V143,W143,Y143),IF($AJ143="",0,IF($AJ$6=0,Constants!$B$9,Constants!$B$9*AJ143/$AJ$6)), 0),"")</f>
        <v/>
      </c>
      <c r="AM143" s="99" t="str">
        <f aca="false">IF(AL143&lt;&gt;"", AL143*AI143,"")</f>
        <v/>
      </c>
      <c r="AN143" s="99" t="str">
        <f aca="false">IF(AND($AG143=Constants!$B$7, U143, V143) ,IF($AB143="", "", IF(OR($AC143="",$AC143=0),"",MAX(0,1-ABS($AC143-$AB143)/$AC143))),"")</f>
        <v/>
      </c>
      <c r="AO143" s="99" t="str">
        <f aca="false">IF(AND($AG143=Constants!$B$7, U143, V143),IF(AND($AA143&lt;&gt;"",$AB143&lt;&gt;"",$AC143=0),$AO$6,""),"")</f>
        <v/>
      </c>
      <c r="AP143" s="99" t="str">
        <f aca="false">IF($AG143=Constants!$B$7 ,IF(AND(U143,V143,W143,Y143,ISNUMBER(AB143)),IF($AN143="",0,IF($AN$6=0,Constants!$B$10,Constants!$B$10*AN143/$AN$6)), 0),"")</f>
        <v/>
      </c>
      <c r="AQ143" s="99" t="str">
        <f aca="false">IF(AP143&lt;&gt;"", AP143*AI143,"")</f>
        <v/>
      </c>
      <c r="AR143" s="99" t="str">
        <f aca="false">IF($AG143=Constants!$B$7,IF($AD143="",0,IF($AR$6=0,Constants!$B$8,Constants!$B$8*AD143/$AR$6)),"")</f>
        <v/>
      </c>
      <c r="AS143" s="99" t="str">
        <f aca="false">IF($AG143&lt;&gt;Constants!$B$7,$AG143,IF(AK143&amp;AO143&lt;&gt;"",Constants!$B$14,AM143+AQ143+AR143))</f>
        <v/>
      </c>
      <c r="AT143" s="99" t="str">
        <f aca="false">IF(ISBLANK($C143),"",IF($AG143=Constants!$B$7,IF(ISNUMBER(AS143),RANK(AS143,$AS$8:$AS$507),Constants!$B$14),$AG143))</f>
        <v/>
      </c>
      <c r="AU143" s="99" t="str">
        <f aca="false">IF(ISBLANK($C143), "",AM143)</f>
        <v/>
      </c>
      <c r="AV143" s="99" t="str">
        <f aca="false">IF(ISBLANK($C143),"",IF($AG143=Constants!$B$7,RANK(AU143,AU$8:AU$507),$AG143))</f>
        <v/>
      </c>
      <c r="AW143" s="99" t="str">
        <f aca="false">IF(ISBLANK($C143), "",AR143)</f>
        <v/>
      </c>
      <c r="AX143" s="99" t="str">
        <f aca="false">IF(ISBLANK($C143),"",IF($AG143=Constants!$B$7,RANK(AW143,AW$8:AW$507),$AG143))</f>
        <v/>
      </c>
      <c r="AY143" s="99" t="str">
        <f aca="false">IF(ISBLANK($C143), "",AE143)</f>
        <v/>
      </c>
      <c r="AZ143" s="99" t="str">
        <f aca="false">IF(ISBLANK($C143),"",
IF($AG143=Constants!$B$7,
  IF(ISNUMBER(AT143),
    COUNTIFS($AT$8:$AT$507,"&lt;"&amp;$AT143)
    + COUNTIFS($AT$8:$AT$507,$AT143,$AV$8:$AV$507,"&lt;"&amp;$AV143)
    + COUNTIFS($AT$8:$AT$507,$AT143,$AV$8:$AV$507,$AV143,$AX$8:$AX$507,"&lt;"&amp;$AX143)
    + COUNTIFS($AT$8:$AT$507,$AT143,$AV$8:$AV$507,$AV143,$AX$8:$AX$507,$AX143,$AY$8:$AY$507,"&lt;"&amp;$AY143)
    + 1,
  Constants!$B$14),
$AG143))</f>
        <v/>
      </c>
      <c r="BA143" s="99" t="str">
        <f aca="false">IF(ISBLANK(C143),"",IF($AG143=Constants!$B$7, IF(ISNUMBER(AT143),AT143-AZ143,Constants!$B$14),$AG143))</f>
        <v/>
      </c>
      <c r="BB143" s="103"/>
      <c r="BC143" s="104" t="str">
        <f aca="false">IF(ISBLANK($C143),"",TRIM(AK143&amp;" "&amp;AO143))</f>
        <v/>
      </c>
      <c r="BD143" s="105" t="str">
        <f aca="false">IF(ISBLANK($C143),"",IF($AG143&lt;&gt;Constants!$B$7,$AG143,AR143))</f>
        <v/>
      </c>
      <c r="BE143" s="105" t="str">
        <f aca="false">IF(ISBLANK($C143),"",IF($AG143&lt;&gt;Constants!$B$7,$AG143,AM143))</f>
        <v/>
      </c>
      <c r="BF143" s="105" t="str">
        <f aca="false">IF(ISBLANK($C143),"",IF($AG143&lt;&gt;Constants!$B$7,$AG143,AQ143))</f>
        <v/>
      </c>
      <c r="BG143" s="106" t="str">
        <f aca="false">IF(ISBLANK($C143),"",IF($AG143&lt;&gt;Constants!$B$7, $AG143 ,AS143))</f>
        <v/>
      </c>
      <c r="BH143" s="107" t="str">
        <f aca="false">IF(ISBLANK($C143),"",IF($AG143&lt;&gt;Constants!$B$7, $AG143 ,AH143))</f>
        <v/>
      </c>
      <c r="BI143" s="105" t="str">
        <f aca="false">IF(ISBLANK(C143),"",BA143)</f>
        <v/>
      </c>
      <c r="BJ143" s="105" t="str">
        <f aca="false">IF(ISBLANK(C143),"",AZ143)</f>
        <v/>
      </c>
      <c r="BK143" s="108" t="str">
        <f aca="false">IF(ISBLANK(C143),"",IFERROR(_xlfn.SWITCH(BJ143, Constants!$B$4, COUNTA($C$8:$C642)+2, Constants!$B$5, COUNTA($C$8:$C642)+1, Constants!$B$6, COUNTA($C$8:$C642)),BJ143))</f>
        <v/>
      </c>
      <c r="BL143" s="5"/>
      <c r="BM143" s="109" t="n">
        <f aca="false">IF(OR(ISNUMBER(BJ143),BJ143="DQ",BJ143="P",BJ143="NS"),
    1,
    0
)</f>
        <v>0</v>
      </c>
      <c r="BN143" s="109" t="n">
        <v>136</v>
      </c>
      <c r="BO143" s="109" t="str">
        <f aca="false">IF(ISBLANK($C143),"",IF(ISNUMBER(BK143),BK143+ROW($B143)/1000,""))</f>
        <v/>
      </c>
      <c r="BP143" s="109" t="str">
        <f aca="false">IF(ISNUMBER(BO143), RANK(BO143,BO$8:BO$507,1), "")</f>
        <v/>
      </c>
      <c r="BQ143" s="109" t="str">
        <f aca="false">IF(ISBLANK($C143),
    "",
    $B143
)</f>
        <v/>
      </c>
      <c r="BR143" s="109" t="str">
        <f aca="false">IF(ISBLANK($C143),
    "",
    $C143
)</f>
        <v/>
      </c>
      <c r="BS143" s="109" t="str">
        <f aca="false">IF(ISBLANK($C143),
    "",
    $D143
)</f>
        <v/>
      </c>
      <c r="BT143" s="110" t="str">
        <f aca="false">BH143</f>
        <v/>
      </c>
      <c r="BU143" s="111" t="str">
        <f aca="false">BG143</f>
        <v/>
      </c>
      <c r="BV143" s="109" t="str">
        <f aca="false">IF(ISBLANK($C143),
    "",
    BJ143
)</f>
        <v/>
      </c>
      <c r="BW143" s="112" t="str">
        <f aca="false">IF(BN143&gt;BM$7,
    "",
    VLOOKUP(BN143,BP$8:BV642,7,FALSE())
)</f>
        <v/>
      </c>
      <c r="BX143" s="113" t="str">
        <f aca="false">IF(BN143&gt;BM$7,
    "",
    VLOOKUP(BN143,BP$8:BV642,2,FALSE())
)</f>
        <v/>
      </c>
      <c r="BY143" s="113" t="str">
        <f aca="false">IF(BN143&gt;BM$7,
    "",
    VLOOKUP(BN143,BP$8:BV642,3,FALSE())
)</f>
        <v/>
      </c>
      <c r="BZ143" s="113" t="str">
        <f aca="false">IF(BN143&gt;BM$7,
    "",
    VLOOKUP(BN143,BP$8:BV642,4,FALSE())
)</f>
        <v/>
      </c>
      <c r="CA143" s="113" t="str">
        <f aca="false">IF(BN143&gt;BM$7,
    "",
    VLOOKUP(BN143,BP$8:BV642,5,FALSE())
)</f>
        <v/>
      </c>
      <c r="CB143" s="114" t="str">
        <f aca="false">IF(BN143&gt;BM$7,
    "",
    VLOOKUP(BN143,BP$8:BV642,6,FALSE())
)</f>
        <v/>
      </c>
      <c r="CC143" s="53"/>
    </row>
    <row r="144" customFormat="false" ht="15.75" hidden="false" customHeight="false" outlineLevel="0" collapsed="false">
      <c r="A144" s="5"/>
      <c r="B144" s="125"/>
      <c r="C144" s="126"/>
      <c r="D144" s="115"/>
      <c r="E144" s="119"/>
      <c r="F144" s="119"/>
      <c r="G144" s="91"/>
      <c r="H144" s="92"/>
      <c r="I144" s="92"/>
      <c r="J144" s="128"/>
      <c r="K144" s="128"/>
      <c r="L144" s="128"/>
      <c r="M144" s="94"/>
      <c r="N144" s="94"/>
      <c r="O144" s="94"/>
      <c r="P144" s="95"/>
      <c r="Q144" s="96"/>
      <c r="R144" s="128"/>
      <c r="S144" s="98"/>
      <c r="T144" s="99"/>
      <c r="U144" s="99" t="str">
        <f aca="false">IF(ISBLANK($C144),"",IF(G144=Constants!$B$2, TRUE(), IF(G144=Constants!$B$3, FALSE(), TRUE())))</f>
        <v/>
      </c>
      <c r="V144" s="99" t="str">
        <f aca="false">IF(ISBLANK($C144),"",IF(H144=Constants!$B$2, TRUE(), IF(H144=Constants!$B$3, FALSE(), TRUE())))</f>
        <v/>
      </c>
      <c r="W144" s="99" t="str">
        <f aca="false">IF(ISBLANK($C144),"",IF(I144=Constants!$B$2, TRUE(), IF(I144=Constants!$B$3, FALSE(), TRUE())))</f>
        <v/>
      </c>
      <c r="X144" s="99" t="str">
        <f aca="false">IF(ISBLANK($C144),"",IF(AND(ISNUMBER(J144),J144&gt;0),INT(J144),0))</f>
        <v/>
      </c>
      <c r="Y144" s="99" t="str">
        <f aca="false">IF(ISBLANK($C144),"",IF(K144=Constants!$B$2, TRUE(), IF(K144=Constants!$B$3, FALSE(), TRUE())))</f>
        <v/>
      </c>
      <c r="Z144" s="100" t="str">
        <f aca="false">IF(ISBLANK($C144),"",IF(AND(ISNUMBER(L144),L144&gt;0),INT(L144),0))</f>
        <v/>
      </c>
      <c r="AA144" s="101" t="str">
        <f aca="false">IF(ISBLANK($C144),"",IF(ISNUMBER(M144), M144, ""))</f>
        <v/>
      </c>
      <c r="AB144" s="101" t="str">
        <f aca="false">IF(ISBLANK($C144),"",IF(ISNUMBER(N144), N144, ""))</f>
        <v/>
      </c>
      <c r="AC144" s="101" t="str">
        <f aca="false">IF(ISBLANK($C144),"",IF(ISNUMBER(O144), O144, ""))</f>
        <v/>
      </c>
      <c r="AD144" s="102" t="str">
        <f aca="false">IF(ISBLANK($C144),"",IF(ISNUMBER(P144), P144, ""))</f>
        <v/>
      </c>
      <c r="AE144" s="102" t="str">
        <f aca="false">IF(ISBLANK($C144),"",IF(ISNUMBER(Q144), Q144, Constants!$B$13))</f>
        <v/>
      </c>
      <c r="AF144" s="99" t="str">
        <f aca="false">IF(ISBLANK($C144),"",IF(R144=Constants!$B$2, TRUE(), IF(R144=Constants!$B$3, FALSE(), FALSE())))</f>
        <v/>
      </c>
      <c r="AG144" s="99" t="str">
        <f aca="false">IF(ISBLANK(C144), "", IF(AF144, Constants!$B$4,IF(COUNTA(G144:P144)=0, Constants!$B$5, Constants!$B$7)))</f>
        <v/>
      </c>
      <c r="AH144" s="99" t="str">
        <f aca="false">IF(ISBLANK($C144), "",IF($AG144=Constants!$B$7,1,$AG144))</f>
        <v/>
      </c>
      <c r="AI144" s="99" t="str">
        <f aca="false">IF($AG144=Constants!$B$7,POWER(Constants!$B$11,X144)*POWER(Constants!$B$12,Z144),"")</f>
        <v/>
      </c>
      <c r="AJ144" s="99" t="str">
        <f aca="false">IF(AND($AG144=Constants!$B$7, U144, V144) ,IF(OR($AA144="",$AC144=""),"",MAX(0, $AC144-$AA144)),"")</f>
        <v/>
      </c>
      <c r="AK144" s="99" t="str">
        <f aca="false">IF(AND($AG144=Constants!$B$7, U144, V144),IF(OR($AA144="",$AC144=""),$AK$6,""),"")</f>
        <v/>
      </c>
      <c r="AL144" s="99" t="str">
        <f aca="false">IF($AG144=Constants!$B$7,IF(AND(U144,V144,W144,Y144),IF($AJ144="",0,IF($AJ$6=0,Constants!$B$9,Constants!$B$9*AJ144/$AJ$6)), 0),"")</f>
        <v/>
      </c>
      <c r="AM144" s="99" t="str">
        <f aca="false">IF(AL144&lt;&gt;"", AL144*AI144,"")</f>
        <v/>
      </c>
      <c r="AN144" s="99" t="str">
        <f aca="false">IF(AND($AG144=Constants!$B$7, U144, V144) ,IF($AB144="", "", IF(OR($AC144="",$AC144=0),"",MAX(0,1-ABS($AC144-$AB144)/$AC144))),"")</f>
        <v/>
      </c>
      <c r="AO144" s="99" t="str">
        <f aca="false">IF(AND($AG144=Constants!$B$7, U144, V144),IF(AND($AA144&lt;&gt;"",$AB144&lt;&gt;"",$AC144=0),$AO$6,""),"")</f>
        <v/>
      </c>
      <c r="AP144" s="99" t="str">
        <f aca="false">IF($AG144=Constants!$B$7 ,IF(AND(U144,V144,W144,Y144,ISNUMBER(AB144)),IF($AN144="",0,IF($AN$6=0,Constants!$B$10,Constants!$B$10*AN144/$AN$6)), 0),"")</f>
        <v/>
      </c>
      <c r="AQ144" s="99" t="str">
        <f aca="false">IF(AP144&lt;&gt;"", AP144*AI144,"")</f>
        <v/>
      </c>
      <c r="AR144" s="99" t="str">
        <f aca="false">IF($AG144=Constants!$B$7,IF($AD144="",0,IF($AR$6=0,Constants!$B$8,Constants!$B$8*AD144/$AR$6)),"")</f>
        <v/>
      </c>
      <c r="AS144" s="99" t="str">
        <f aca="false">IF($AG144&lt;&gt;Constants!$B$7,$AG144,IF(AK144&amp;AO144&lt;&gt;"",Constants!$B$14,AM144+AQ144+AR144))</f>
        <v/>
      </c>
      <c r="AT144" s="99" t="str">
        <f aca="false">IF(ISBLANK($C144),"",IF($AG144=Constants!$B$7,IF(ISNUMBER(AS144),RANK(AS144,$AS$8:$AS$507),Constants!$B$14),$AG144))</f>
        <v/>
      </c>
      <c r="AU144" s="99" t="str">
        <f aca="false">IF(ISBLANK($C144), "",AM144)</f>
        <v/>
      </c>
      <c r="AV144" s="99" t="str">
        <f aca="false">IF(ISBLANK($C144),"",IF($AG144=Constants!$B$7,RANK(AU144,AU$8:AU$507),$AG144))</f>
        <v/>
      </c>
      <c r="AW144" s="99" t="str">
        <f aca="false">IF(ISBLANK($C144), "",AR144)</f>
        <v/>
      </c>
      <c r="AX144" s="99" t="str">
        <f aca="false">IF(ISBLANK($C144),"",IF($AG144=Constants!$B$7,RANK(AW144,AW$8:AW$507),$AG144))</f>
        <v/>
      </c>
      <c r="AY144" s="99" t="str">
        <f aca="false">IF(ISBLANK($C144), "",AE144)</f>
        <v/>
      </c>
      <c r="AZ144" s="99" t="str">
        <f aca="false">IF(ISBLANK($C144),"",
IF($AG144=Constants!$B$7,
  IF(ISNUMBER(AT144),
    COUNTIFS($AT$8:$AT$507,"&lt;"&amp;$AT144)
    + COUNTIFS($AT$8:$AT$507,$AT144,$AV$8:$AV$507,"&lt;"&amp;$AV144)
    + COUNTIFS($AT$8:$AT$507,$AT144,$AV$8:$AV$507,$AV144,$AX$8:$AX$507,"&lt;"&amp;$AX144)
    + COUNTIFS($AT$8:$AT$507,$AT144,$AV$8:$AV$507,$AV144,$AX$8:$AX$507,$AX144,$AY$8:$AY$507,"&lt;"&amp;$AY144)
    + 1,
  Constants!$B$14),
$AG144))</f>
        <v/>
      </c>
      <c r="BA144" s="99" t="str">
        <f aca="false">IF(ISBLANK(C144),"",IF($AG144=Constants!$B$7, IF(ISNUMBER(AT144),AT144-AZ144,Constants!$B$14),$AG144))</f>
        <v/>
      </c>
      <c r="BB144" s="103"/>
      <c r="BC144" s="104" t="str">
        <f aca="false">IF(ISBLANK($C144),"",TRIM(AK144&amp;" "&amp;AO144))</f>
        <v/>
      </c>
      <c r="BD144" s="105" t="str">
        <f aca="false">IF(ISBLANK($C144),"",IF($AG144&lt;&gt;Constants!$B$7,$AG144,AR144))</f>
        <v/>
      </c>
      <c r="BE144" s="105" t="str">
        <f aca="false">IF(ISBLANK($C144),"",IF($AG144&lt;&gt;Constants!$B$7,$AG144,AM144))</f>
        <v/>
      </c>
      <c r="BF144" s="105" t="str">
        <f aca="false">IF(ISBLANK($C144),"",IF($AG144&lt;&gt;Constants!$B$7,$AG144,AQ144))</f>
        <v/>
      </c>
      <c r="BG144" s="106" t="str">
        <f aca="false">IF(ISBLANK($C144),"",IF($AG144&lt;&gt;Constants!$B$7, $AG144 ,AS144))</f>
        <v/>
      </c>
      <c r="BH144" s="107" t="str">
        <f aca="false">IF(ISBLANK($C144),"",IF($AG144&lt;&gt;Constants!$B$7, $AG144 ,AH144))</f>
        <v/>
      </c>
      <c r="BI144" s="105" t="str">
        <f aca="false">IF(ISBLANK(C144),"",BA144)</f>
        <v/>
      </c>
      <c r="BJ144" s="105" t="str">
        <f aca="false">IF(ISBLANK(C144),"",AZ144)</f>
        <v/>
      </c>
      <c r="BK144" s="108" t="str">
        <f aca="false">IF(ISBLANK(C144),"",IFERROR(_xlfn.SWITCH(BJ144, Constants!$B$4, COUNTA($C$8:$C643)+2, Constants!$B$5, COUNTA($C$8:$C643)+1, Constants!$B$6, COUNTA($C$8:$C643)),BJ144))</f>
        <v/>
      </c>
      <c r="BL144" s="5"/>
      <c r="BM144" s="109" t="n">
        <f aca="false">IF(OR(ISNUMBER(BJ144),BJ144="DQ",BJ144="P",BJ144="NS"),
    1,
    0
)</f>
        <v>0</v>
      </c>
      <c r="BN144" s="109" t="n">
        <v>137</v>
      </c>
      <c r="BO144" s="109" t="str">
        <f aca="false">IF(ISBLANK($C144),"",IF(ISNUMBER(BK144),BK144+ROW($B144)/1000,""))</f>
        <v/>
      </c>
      <c r="BP144" s="109" t="str">
        <f aca="false">IF(ISNUMBER(BO144), RANK(BO144,BO$8:BO$507,1), "")</f>
        <v/>
      </c>
      <c r="BQ144" s="109" t="str">
        <f aca="false">IF(ISBLANK($C144),
    "",
    $B144
)</f>
        <v/>
      </c>
      <c r="BR144" s="109" t="str">
        <f aca="false">IF(ISBLANK($C144),
    "",
    $C144
)</f>
        <v/>
      </c>
      <c r="BS144" s="109" t="str">
        <f aca="false">IF(ISBLANK($C144),
    "",
    $D144
)</f>
        <v/>
      </c>
      <c r="BT144" s="110" t="str">
        <f aca="false">BH144</f>
        <v/>
      </c>
      <c r="BU144" s="111" t="str">
        <f aca="false">BG144</f>
        <v/>
      </c>
      <c r="BV144" s="109" t="str">
        <f aca="false">IF(ISBLANK($C144),
    "",
    BJ144
)</f>
        <v/>
      </c>
      <c r="BW144" s="112" t="str">
        <f aca="false">IF(BN144&gt;BM$7,
    "",
    VLOOKUP(BN144,BP$8:BV643,7,FALSE())
)</f>
        <v/>
      </c>
      <c r="BX144" s="113" t="str">
        <f aca="false">IF(BN144&gt;BM$7,
    "",
    VLOOKUP(BN144,BP$8:BV643,2,FALSE())
)</f>
        <v/>
      </c>
      <c r="BY144" s="113" t="str">
        <f aca="false">IF(BN144&gt;BM$7,
    "",
    VLOOKUP(BN144,BP$8:BV643,3,FALSE())
)</f>
        <v/>
      </c>
      <c r="BZ144" s="113" t="str">
        <f aca="false">IF(BN144&gt;BM$7,
    "",
    VLOOKUP(BN144,BP$8:BV643,4,FALSE())
)</f>
        <v/>
      </c>
      <c r="CA144" s="113" t="str">
        <f aca="false">IF(BN144&gt;BM$7,
    "",
    VLOOKUP(BN144,BP$8:BV643,5,FALSE())
)</f>
        <v/>
      </c>
      <c r="CB144" s="114" t="str">
        <f aca="false">IF(BN144&gt;BM$7,
    "",
    VLOOKUP(BN144,BP$8:BV643,6,FALSE())
)</f>
        <v/>
      </c>
      <c r="CC144" s="53"/>
    </row>
    <row r="145" customFormat="false" ht="15.75" hidden="false" customHeight="false" outlineLevel="0" collapsed="false">
      <c r="A145" s="5"/>
      <c r="B145" s="125"/>
      <c r="C145" s="126"/>
      <c r="D145" s="115"/>
      <c r="E145" s="119"/>
      <c r="F145" s="119"/>
      <c r="G145" s="91"/>
      <c r="H145" s="92"/>
      <c r="I145" s="92"/>
      <c r="J145" s="128"/>
      <c r="K145" s="128"/>
      <c r="L145" s="128"/>
      <c r="M145" s="94"/>
      <c r="N145" s="94"/>
      <c r="O145" s="94"/>
      <c r="P145" s="95"/>
      <c r="Q145" s="96"/>
      <c r="R145" s="128"/>
      <c r="S145" s="98"/>
      <c r="T145" s="99"/>
      <c r="U145" s="99" t="str">
        <f aca="false">IF(ISBLANK($C145),"",IF(G145=Constants!$B$2, TRUE(), IF(G145=Constants!$B$3, FALSE(), TRUE())))</f>
        <v/>
      </c>
      <c r="V145" s="99" t="str">
        <f aca="false">IF(ISBLANK($C145),"",IF(H145=Constants!$B$2, TRUE(), IF(H145=Constants!$B$3, FALSE(), TRUE())))</f>
        <v/>
      </c>
      <c r="W145" s="99" t="str">
        <f aca="false">IF(ISBLANK($C145),"",IF(I145=Constants!$B$2, TRUE(), IF(I145=Constants!$B$3, FALSE(), TRUE())))</f>
        <v/>
      </c>
      <c r="X145" s="99" t="str">
        <f aca="false">IF(ISBLANK($C145),"",IF(AND(ISNUMBER(J145),J145&gt;0),INT(J145),0))</f>
        <v/>
      </c>
      <c r="Y145" s="99" t="str">
        <f aca="false">IF(ISBLANK($C145),"",IF(K145=Constants!$B$2, TRUE(), IF(K145=Constants!$B$3, FALSE(), TRUE())))</f>
        <v/>
      </c>
      <c r="Z145" s="100" t="str">
        <f aca="false">IF(ISBLANK($C145),"",IF(AND(ISNUMBER(L145),L145&gt;0),INT(L145),0))</f>
        <v/>
      </c>
      <c r="AA145" s="101" t="str">
        <f aca="false">IF(ISBLANK($C145),"",IF(ISNUMBER(M145), M145, ""))</f>
        <v/>
      </c>
      <c r="AB145" s="101" t="str">
        <f aca="false">IF(ISBLANK($C145),"",IF(ISNUMBER(N145), N145, ""))</f>
        <v/>
      </c>
      <c r="AC145" s="101" t="str">
        <f aca="false">IF(ISBLANK($C145),"",IF(ISNUMBER(O145), O145, ""))</f>
        <v/>
      </c>
      <c r="AD145" s="102" t="str">
        <f aca="false">IF(ISBLANK($C145),"",IF(ISNUMBER(P145), P145, ""))</f>
        <v/>
      </c>
      <c r="AE145" s="102" t="str">
        <f aca="false">IF(ISBLANK($C145),"",IF(ISNUMBER(Q145), Q145, Constants!$B$13))</f>
        <v/>
      </c>
      <c r="AF145" s="99" t="str">
        <f aca="false">IF(ISBLANK($C145),"",IF(R145=Constants!$B$2, TRUE(), IF(R145=Constants!$B$3, FALSE(), FALSE())))</f>
        <v/>
      </c>
      <c r="AG145" s="99" t="str">
        <f aca="false">IF(ISBLANK(C145), "", IF(AF145, Constants!$B$4,IF(COUNTA(G145:P145)=0, Constants!$B$5, Constants!$B$7)))</f>
        <v/>
      </c>
      <c r="AH145" s="99" t="str">
        <f aca="false">IF(ISBLANK($C145), "",IF($AG145=Constants!$B$7,1,$AG145))</f>
        <v/>
      </c>
      <c r="AI145" s="99" t="str">
        <f aca="false">IF($AG145=Constants!$B$7,POWER(Constants!$B$11,X145)*POWER(Constants!$B$12,Z145),"")</f>
        <v/>
      </c>
      <c r="AJ145" s="99" t="str">
        <f aca="false">IF(AND($AG145=Constants!$B$7, U145, V145) ,IF(OR($AA145="",$AC145=""),"",MAX(0, $AC145-$AA145)),"")</f>
        <v/>
      </c>
      <c r="AK145" s="99" t="str">
        <f aca="false">IF(AND($AG145=Constants!$B$7, U145, V145),IF(OR($AA145="",$AC145=""),$AK$6,""),"")</f>
        <v/>
      </c>
      <c r="AL145" s="99" t="str">
        <f aca="false">IF($AG145=Constants!$B$7,IF(AND(U145,V145,W145,Y145),IF($AJ145="",0,IF($AJ$6=0,Constants!$B$9,Constants!$B$9*AJ145/$AJ$6)), 0),"")</f>
        <v/>
      </c>
      <c r="AM145" s="99" t="str">
        <f aca="false">IF(AL145&lt;&gt;"", AL145*AI145,"")</f>
        <v/>
      </c>
      <c r="AN145" s="99" t="str">
        <f aca="false">IF(AND($AG145=Constants!$B$7, U145, V145) ,IF($AB145="", "", IF(OR($AC145="",$AC145=0),"",MAX(0,1-ABS($AC145-$AB145)/$AC145))),"")</f>
        <v/>
      </c>
      <c r="AO145" s="99" t="str">
        <f aca="false">IF(AND($AG145=Constants!$B$7, U145, V145),IF(AND($AA145&lt;&gt;"",$AB145&lt;&gt;"",$AC145=0),$AO$6,""),"")</f>
        <v/>
      </c>
      <c r="AP145" s="99" t="str">
        <f aca="false">IF($AG145=Constants!$B$7 ,IF(AND(U145,V145,W145,Y145,ISNUMBER(AB145)),IF($AN145="",0,IF($AN$6=0,Constants!$B$10,Constants!$B$10*AN145/$AN$6)), 0),"")</f>
        <v/>
      </c>
      <c r="AQ145" s="99" t="str">
        <f aca="false">IF(AP145&lt;&gt;"", AP145*AI145,"")</f>
        <v/>
      </c>
      <c r="AR145" s="99" t="str">
        <f aca="false">IF($AG145=Constants!$B$7,IF($AD145="",0,IF($AR$6=0,Constants!$B$8,Constants!$B$8*AD145/$AR$6)),"")</f>
        <v/>
      </c>
      <c r="AS145" s="99" t="str">
        <f aca="false">IF($AG145&lt;&gt;Constants!$B$7,$AG145,IF(AK145&amp;AO145&lt;&gt;"",Constants!$B$14,AM145+AQ145+AR145))</f>
        <v/>
      </c>
      <c r="AT145" s="99" t="str">
        <f aca="false">IF(ISBLANK($C145),"",IF($AG145=Constants!$B$7,IF(ISNUMBER(AS145),RANK(AS145,$AS$8:$AS$507),Constants!$B$14),$AG145))</f>
        <v/>
      </c>
      <c r="AU145" s="99" t="str">
        <f aca="false">IF(ISBLANK($C145), "",AM145)</f>
        <v/>
      </c>
      <c r="AV145" s="99" t="str">
        <f aca="false">IF(ISBLANK($C145),"",IF($AG145=Constants!$B$7,RANK(AU145,AU$8:AU$507),$AG145))</f>
        <v/>
      </c>
      <c r="AW145" s="99" t="str">
        <f aca="false">IF(ISBLANK($C145), "",AR145)</f>
        <v/>
      </c>
      <c r="AX145" s="99" t="str">
        <f aca="false">IF(ISBLANK($C145),"",IF($AG145=Constants!$B$7,RANK(AW145,AW$8:AW$507),$AG145))</f>
        <v/>
      </c>
      <c r="AY145" s="99" t="str">
        <f aca="false">IF(ISBLANK($C145), "",AE145)</f>
        <v/>
      </c>
      <c r="AZ145" s="99" t="str">
        <f aca="false">IF(ISBLANK($C145),"",
IF($AG145=Constants!$B$7,
  IF(ISNUMBER(AT145),
    COUNTIFS($AT$8:$AT$507,"&lt;"&amp;$AT145)
    + COUNTIFS($AT$8:$AT$507,$AT145,$AV$8:$AV$507,"&lt;"&amp;$AV145)
    + COUNTIFS($AT$8:$AT$507,$AT145,$AV$8:$AV$507,$AV145,$AX$8:$AX$507,"&lt;"&amp;$AX145)
    + COUNTIFS($AT$8:$AT$507,$AT145,$AV$8:$AV$507,$AV145,$AX$8:$AX$507,$AX145,$AY$8:$AY$507,"&lt;"&amp;$AY145)
    + 1,
  Constants!$B$14),
$AG145))</f>
        <v/>
      </c>
      <c r="BA145" s="99" t="str">
        <f aca="false">IF(ISBLANK(C145),"",IF($AG145=Constants!$B$7, IF(ISNUMBER(AT145),AT145-AZ145,Constants!$B$14),$AG145))</f>
        <v/>
      </c>
      <c r="BB145" s="103"/>
      <c r="BC145" s="104" t="str">
        <f aca="false">IF(ISBLANK($C145),"",TRIM(AK145&amp;" "&amp;AO145))</f>
        <v/>
      </c>
      <c r="BD145" s="105" t="str">
        <f aca="false">IF(ISBLANK($C145),"",IF($AG145&lt;&gt;Constants!$B$7,$AG145,AR145))</f>
        <v/>
      </c>
      <c r="BE145" s="105" t="str">
        <f aca="false">IF(ISBLANK($C145),"",IF($AG145&lt;&gt;Constants!$B$7,$AG145,AM145))</f>
        <v/>
      </c>
      <c r="BF145" s="105" t="str">
        <f aca="false">IF(ISBLANK($C145),"",IF($AG145&lt;&gt;Constants!$B$7,$AG145,AQ145))</f>
        <v/>
      </c>
      <c r="BG145" s="106" t="str">
        <f aca="false">IF(ISBLANK($C145),"",IF($AG145&lt;&gt;Constants!$B$7, $AG145 ,AS145))</f>
        <v/>
      </c>
      <c r="BH145" s="107" t="str">
        <f aca="false">IF(ISBLANK($C145),"",IF($AG145&lt;&gt;Constants!$B$7, $AG145 ,AH145))</f>
        <v/>
      </c>
      <c r="BI145" s="105" t="str">
        <f aca="false">IF(ISBLANK(C145),"",BA145)</f>
        <v/>
      </c>
      <c r="BJ145" s="105" t="str">
        <f aca="false">IF(ISBLANK(C145),"",AZ145)</f>
        <v/>
      </c>
      <c r="BK145" s="108" t="str">
        <f aca="false">IF(ISBLANK(C145),"",IFERROR(_xlfn.SWITCH(BJ145, Constants!$B$4, COUNTA($C$8:$C644)+2, Constants!$B$5, COUNTA($C$8:$C644)+1, Constants!$B$6, COUNTA($C$8:$C644)),BJ145))</f>
        <v/>
      </c>
      <c r="BL145" s="5"/>
      <c r="BM145" s="109" t="n">
        <f aca="false">IF(OR(ISNUMBER(BJ145),BJ145="DQ",BJ145="P",BJ145="NS"),
    1,
    0
)</f>
        <v>0</v>
      </c>
      <c r="BN145" s="109" t="n">
        <v>138</v>
      </c>
      <c r="BO145" s="109" t="str">
        <f aca="false">IF(ISBLANK($C145),"",IF(ISNUMBER(BK145),BK145+ROW($B145)/1000,""))</f>
        <v/>
      </c>
      <c r="BP145" s="109" t="str">
        <f aca="false">IF(ISNUMBER(BO145), RANK(BO145,BO$8:BO$507,1), "")</f>
        <v/>
      </c>
      <c r="BQ145" s="109" t="str">
        <f aca="false">IF(ISBLANK($C145),
    "",
    $B145
)</f>
        <v/>
      </c>
      <c r="BR145" s="109" t="str">
        <f aca="false">IF(ISBLANK($C145),
    "",
    $C145
)</f>
        <v/>
      </c>
      <c r="BS145" s="109" t="str">
        <f aca="false">IF(ISBLANK($C145),
    "",
    $D145
)</f>
        <v/>
      </c>
      <c r="BT145" s="110" t="str">
        <f aca="false">BH145</f>
        <v/>
      </c>
      <c r="BU145" s="111" t="str">
        <f aca="false">BG145</f>
        <v/>
      </c>
      <c r="BV145" s="109" t="str">
        <f aca="false">IF(ISBLANK($C145),
    "",
    BJ145
)</f>
        <v/>
      </c>
      <c r="BW145" s="112" t="str">
        <f aca="false">IF(BN145&gt;BM$7,
    "",
    VLOOKUP(BN145,BP$8:BV644,7,FALSE())
)</f>
        <v/>
      </c>
      <c r="BX145" s="113" t="str">
        <f aca="false">IF(BN145&gt;BM$7,
    "",
    VLOOKUP(BN145,BP$8:BV644,2,FALSE())
)</f>
        <v/>
      </c>
      <c r="BY145" s="113" t="str">
        <f aca="false">IF(BN145&gt;BM$7,
    "",
    VLOOKUP(BN145,BP$8:BV644,3,FALSE())
)</f>
        <v/>
      </c>
      <c r="BZ145" s="113" t="str">
        <f aca="false">IF(BN145&gt;BM$7,
    "",
    VLOOKUP(BN145,BP$8:BV644,4,FALSE())
)</f>
        <v/>
      </c>
      <c r="CA145" s="113" t="str">
        <f aca="false">IF(BN145&gt;BM$7,
    "",
    VLOOKUP(BN145,BP$8:BV644,5,FALSE())
)</f>
        <v/>
      </c>
      <c r="CB145" s="114" t="str">
        <f aca="false">IF(BN145&gt;BM$7,
    "",
    VLOOKUP(BN145,BP$8:BV644,6,FALSE())
)</f>
        <v/>
      </c>
      <c r="CC145" s="53"/>
    </row>
    <row r="146" customFormat="false" ht="15.75" hidden="false" customHeight="false" outlineLevel="0" collapsed="false">
      <c r="A146" s="5"/>
      <c r="B146" s="129"/>
      <c r="C146" s="55"/>
      <c r="D146" s="56"/>
      <c r="E146" s="123"/>
      <c r="F146" s="123"/>
      <c r="G146" s="58"/>
      <c r="H146" s="59"/>
      <c r="I146" s="59"/>
      <c r="J146" s="83"/>
      <c r="K146" s="83"/>
      <c r="L146" s="83"/>
      <c r="M146" s="61"/>
      <c r="N146" s="61"/>
      <c r="O146" s="61"/>
      <c r="P146" s="62"/>
      <c r="Q146" s="63"/>
      <c r="R146" s="83"/>
      <c r="S146" s="65"/>
      <c r="T146" s="66"/>
      <c r="U146" s="66" t="str">
        <f aca="false">IF(ISBLANK($C146),"",IF(G146=Constants!$B$2, TRUE(), IF(G146=Constants!$B$3, FALSE(), TRUE())))</f>
        <v/>
      </c>
      <c r="V146" s="66" t="str">
        <f aca="false">IF(ISBLANK($C146),"",IF(H146=Constants!$B$2, TRUE(), IF(H146=Constants!$B$3, FALSE(), TRUE())))</f>
        <v/>
      </c>
      <c r="W146" s="66" t="str">
        <f aca="false">IF(ISBLANK($C146),"",IF(I146=Constants!$B$2, TRUE(), IF(I146=Constants!$B$3, FALSE(), TRUE())))</f>
        <v/>
      </c>
      <c r="X146" s="66" t="str">
        <f aca="false">IF(ISBLANK($C146),"",IF(AND(ISNUMBER(J146),J146&gt;0),INT(J146),0))</f>
        <v/>
      </c>
      <c r="Y146" s="66" t="str">
        <f aca="false">IF(ISBLANK($C146),"",IF(K146=Constants!$B$2, TRUE(), IF(K146=Constants!$B$3, FALSE(), TRUE())))</f>
        <v/>
      </c>
      <c r="Z146" s="66" t="str">
        <f aca="false">IF(ISBLANK($C146),"",IF(AND(ISNUMBER(L146),L146&gt;0),INT(L146),0))</f>
        <v/>
      </c>
      <c r="AA146" s="68" t="str">
        <f aca="false">IF(ISBLANK($C146),"",IF(ISNUMBER(M146), M146, ""))</f>
        <v/>
      </c>
      <c r="AB146" s="68" t="str">
        <f aca="false">IF(ISBLANK($C146),"",IF(ISNUMBER(N146), N146, ""))</f>
        <v/>
      </c>
      <c r="AC146" s="68" t="str">
        <f aca="false">IF(ISBLANK($C146),"",IF(ISNUMBER(O146), O146, ""))</f>
        <v/>
      </c>
      <c r="AD146" s="69" t="str">
        <f aca="false">IF(ISBLANK($C146),"",IF(ISNUMBER(P146), P146, ""))</f>
        <v/>
      </c>
      <c r="AE146" s="69" t="str">
        <f aca="false">IF(ISBLANK($C146),"",IF(ISNUMBER(Q146), Q146, Constants!$B$13))</f>
        <v/>
      </c>
      <c r="AF146" s="66" t="str">
        <f aca="false">IF(ISBLANK($C146),"",IF(R146=Constants!$B$2, TRUE(), IF(R146=Constants!$B$3, FALSE(), FALSE())))</f>
        <v/>
      </c>
      <c r="AG146" s="66" t="str">
        <f aca="false">IF(ISBLANK(C146), "", IF(AF146, Constants!$B$4,IF(COUNTA(G146:P146)=0, Constants!$B$5, Constants!$B$7)))</f>
        <v/>
      </c>
      <c r="AH146" s="66" t="str">
        <f aca="false">IF(ISBLANK($C146), "",IF($AG146=Constants!$B$7,1,$AG146))</f>
        <v/>
      </c>
      <c r="AI146" s="66" t="str">
        <f aca="false">IF($AG146=Constants!$B$7,POWER(Constants!$B$11,X146)*POWER(Constants!$B$12,Z146),"")</f>
        <v/>
      </c>
      <c r="AJ146" s="66" t="str">
        <f aca="false">IF(AND($AG146=Constants!$B$7, U146, V146) ,IF(OR($AA146="",$AC146=""),"",MAX(0, $AC146-$AA146)),"")</f>
        <v/>
      </c>
      <c r="AK146" s="66" t="str">
        <f aca="false">IF(AND($AG146=Constants!$B$7, U146, V146),IF(OR($AA146="",$AC146=""),$AK$6,""),"")</f>
        <v/>
      </c>
      <c r="AL146" s="66" t="str">
        <f aca="false">IF($AG146=Constants!$B$7,IF(AND(U146,V146,W146,Y146),IF($AJ146="",0,IF($AJ$6=0,Constants!$B$9,Constants!$B$9*AJ146/$AJ$6)), 0),"")</f>
        <v/>
      </c>
      <c r="AM146" s="66" t="str">
        <f aca="false">IF(AL146&lt;&gt;"", AL146*AI146,"")</f>
        <v/>
      </c>
      <c r="AN146" s="66" t="str">
        <f aca="false">IF(AND($AG146=Constants!$B$7, U146, V146) ,IF($AB146="", "", IF(OR($AC146="",$AC146=0),"",MAX(0,1-ABS($AC146-$AB146)/$AC146))),"")</f>
        <v/>
      </c>
      <c r="AO146" s="66" t="str">
        <f aca="false">IF(AND($AG146=Constants!$B$7, U146, V146),IF(AND($AA146&lt;&gt;"",$AB146&lt;&gt;"",$AC146=0),$AO$6,""),"")</f>
        <v/>
      </c>
      <c r="AP146" s="66" t="str">
        <f aca="false">IF($AG146=Constants!$B$7 ,IF(AND(U146,V146,W146,Y146,ISNUMBER(AB146)),IF($AN146="",0,IF($AN$6=0,Constants!$B$10,Constants!$B$10*AN146/$AN$6)), 0),"")</f>
        <v/>
      </c>
      <c r="AQ146" s="66" t="str">
        <f aca="false">IF(AP146&lt;&gt;"", AP146*AI146,"")</f>
        <v/>
      </c>
      <c r="AR146" s="66" t="str">
        <f aca="false">IF($AG146=Constants!$B$7,IF($AD146="",0,IF($AR$6=0,Constants!$B$8,Constants!$B$8*AD146/$AR$6)),"")</f>
        <v/>
      </c>
      <c r="AS146" s="66" t="str">
        <f aca="false">IF($AG146&lt;&gt;Constants!$B$7,$AG146,IF(AK146&amp;AO146&lt;&gt;"",Constants!$B$14,AM146+AQ146+AR146))</f>
        <v/>
      </c>
      <c r="AT146" s="66" t="str">
        <f aca="false">IF(ISBLANK($C146),"",IF($AG146=Constants!$B$7,IF(ISNUMBER(AS146),RANK(AS146,$AS$8:$AS$507),Constants!$B$14),$AG146))</f>
        <v/>
      </c>
      <c r="AU146" s="66" t="str">
        <f aca="false">IF(ISBLANK($C146), "",AM146)</f>
        <v/>
      </c>
      <c r="AV146" s="66" t="str">
        <f aca="false">IF(ISBLANK($C146),"",IF($AG146=Constants!$B$7,RANK(AU146,AU$8:AU$507),$AG146))</f>
        <v/>
      </c>
      <c r="AW146" s="66" t="str">
        <f aca="false">IF(ISBLANK($C146), "",AR146)</f>
        <v/>
      </c>
      <c r="AX146" s="66" t="str">
        <f aca="false">IF(ISBLANK($C146),"",IF($AG146=Constants!$B$7,RANK(AW146,AW$8:AW$507),$AG146))</f>
        <v/>
      </c>
      <c r="AY146" s="66" t="str">
        <f aca="false">IF(ISBLANK($C146), "",AE146)</f>
        <v/>
      </c>
      <c r="AZ146" s="66" t="str">
        <f aca="false">IF(ISBLANK($C146),"",
IF($AG146=Constants!$B$7,
  IF(ISNUMBER(AT146),
    COUNTIFS($AT$8:$AT$507,"&lt;"&amp;$AT146)
    + COUNTIFS($AT$8:$AT$507,$AT146,$AV$8:$AV$507,"&lt;"&amp;$AV146)
    + COUNTIFS($AT$8:$AT$507,$AT146,$AV$8:$AV$507,$AV146,$AX$8:$AX$507,"&lt;"&amp;$AX146)
    + COUNTIFS($AT$8:$AT$507,$AT146,$AV$8:$AV$507,$AV146,$AX$8:$AX$507,$AX146,$AY$8:$AY$507,"&lt;"&amp;$AY146)
    + 1,
  Constants!$B$14),
$AG146))</f>
        <v/>
      </c>
      <c r="BA146" s="66" t="str">
        <f aca="false">IF(ISBLANK(C146),"",IF($AG146=Constants!$B$7, IF(ISNUMBER(AT146),AT146-AZ146,Constants!$B$14),$AG146))</f>
        <v/>
      </c>
      <c r="BB146" s="70"/>
      <c r="BC146" s="84" t="str">
        <f aca="false">IF(ISBLANK($C146),"",TRIM(AK146&amp;" "&amp;AO146))</f>
        <v/>
      </c>
      <c r="BD146" s="72" t="str">
        <f aca="false">IF(ISBLANK($C146),"",IF($AG146&lt;&gt;Constants!$B$7,$AG146,AR146))</f>
        <v/>
      </c>
      <c r="BE146" s="72" t="str">
        <f aca="false">IF(ISBLANK($C146),"",IF($AG146&lt;&gt;Constants!$B$7,$AG146,AM146))</f>
        <v/>
      </c>
      <c r="BF146" s="72" t="str">
        <f aca="false">IF(ISBLANK($C146),"",IF($AG146&lt;&gt;Constants!$B$7,$AG146,AQ146))</f>
        <v/>
      </c>
      <c r="BG146" s="73" t="str">
        <f aca="false">IF(ISBLANK($C146),"",IF($AG146&lt;&gt;Constants!$B$7, $AG146 ,AS146))</f>
        <v/>
      </c>
      <c r="BH146" s="74" t="str">
        <f aca="false">IF(ISBLANK($C146),"",IF($AG146&lt;&gt;Constants!$B$7, $AG146 ,AH146))</f>
        <v/>
      </c>
      <c r="BI146" s="72" t="str">
        <f aca="false">IF(ISBLANK(C146),"",BA146)</f>
        <v/>
      </c>
      <c r="BJ146" s="72" t="str">
        <f aca="false">IF(ISBLANK(C146),"",AZ146)</f>
        <v/>
      </c>
      <c r="BK146" s="75" t="str">
        <f aca="false">IF(ISBLANK(C146),"",IFERROR(_xlfn.SWITCH(BJ146, Constants!$B$4, COUNTA($C$8:$C645)+2, Constants!$B$5, COUNTA($C$8:$C645)+1, Constants!$B$6, COUNTA($C$8:$C645)),BJ146))</f>
        <v/>
      </c>
      <c r="BL146" s="5"/>
      <c r="BM146" s="76" t="n">
        <f aca="false">IF(OR(ISNUMBER(BJ146),BJ146="DQ",BJ146="P",BJ146="NS"),
    1,
    0
)</f>
        <v>0</v>
      </c>
      <c r="BN146" s="76" t="n">
        <v>139</v>
      </c>
      <c r="BO146" s="76" t="str">
        <f aca="false">IF(ISBLANK($C146),"",IF(ISNUMBER(BK146),BK146+ROW($B146)/1000,""))</f>
        <v/>
      </c>
      <c r="BP146" s="76" t="str">
        <f aca="false">IF(ISNUMBER(BO146), RANK(BO146,BO$8:BO$507,1), "")</f>
        <v/>
      </c>
      <c r="BQ146" s="76" t="str">
        <f aca="false">IF(ISBLANK($C146),
    "",
    $B146
)</f>
        <v/>
      </c>
      <c r="BR146" s="76" t="str">
        <f aca="false">IF(ISBLANK($C146),
    "",
    $C146
)</f>
        <v/>
      </c>
      <c r="BS146" s="76" t="str">
        <f aca="false">IF(ISBLANK($C146),
    "",
    $D146
)</f>
        <v/>
      </c>
      <c r="BT146" s="77" t="str">
        <f aca="false">BH146</f>
        <v/>
      </c>
      <c r="BU146" s="78" t="str">
        <f aca="false">BG146</f>
        <v/>
      </c>
      <c r="BV146" s="76" t="str">
        <f aca="false">IF(ISBLANK($C146),
    "",
    BJ146
)</f>
        <v/>
      </c>
      <c r="BW146" s="79" t="str">
        <f aca="false">IF(BN146&gt;BM$7,
    "",
    VLOOKUP(BN146,BP$8:BV645,7,FALSE())
)</f>
        <v/>
      </c>
      <c r="BX146" s="80" t="str">
        <f aca="false">IF(BN146&gt;BM$7,
    "",
    VLOOKUP(BN146,BP$8:BV645,2,FALSE())
)</f>
        <v/>
      </c>
      <c r="BY146" s="80" t="str">
        <f aca="false">IF(BN146&gt;BM$7,
    "",
    VLOOKUP(BN146,BP$8:BV645,3,FALSE())
)</f>
        <v/>
      </c>
      <c r="BZ146" s="80" t="str">
        <f aca="false">IF(BN146&gt;BM$7,
    "",
    VLOOKUP(BN146,BP$8:BV645,4,FALSE())
)</f>
        <v/>
      </c>
      <c r="CA146" s="80" t="str">
        <f aca="false">IF(BN146&gt;BM$7,
    "",
    VLOOKUP(BN146,BP$8:BV645,5,FALSE())
)</f>
        <v/>
      </c>
      <c r="CB146" s="81" t="str">
        <f aca="false">IF(BN146&gt;BM$7,
    "",
    VLOOKUP(BN146,BP$8:BV645,6,FALSE())
)</f>
        <v/>
      </c>
      <c r="CC146" s="53"/>
    </row>
    <row r="147" customFormat="false" ht="15.75" hidden="false" customHeight="false" outlineLevel="0" collapsed="false">
      <c r="A147" s="5"/>
      <c r="B147" s="129"/>
      <c r="C147" s="55"/>
      <c r="D147" s="56"/>
      <c r="E147" s="123"/>
      <c r="F147" s="123"/>
      <c r="G147" s="58"/>
      <c r="H147" s="59"/>
      <c r="I147" s="59"/>
      <c r="J147" s="83"/>
      <c r="K147" s="83"/>
      <c r="L147" s="83"/>
      <c r="M147" s="61"/>
      <c r="N147" s="61"/>
      <c r="O147" s="61"/>
      <c r="P147" s="62"/>
      <c r="Q147" s="63"/>
      <c r="R147" s="83"/>
      <c r="S147" s="65"/>
      <c r="T147" s="66"/>
      <c r="U147" s="66" t="str">
        <f aca="false">IF(ISBLANK($C147),"",IF(G147=Constants!$B$2, TRUE(), IF(G147=Constants!$B$3, FALSE(), TRUE())))</f>
        <v/>
      </c>
      <c r="V147" s="66" t="str">
        <f aca="false">IF(ISBLANK($C147),"",IF(H147=Constants!$B$2, TRUE(), IF(H147=Constants!$B$3, FALSE(), TRUE())))</f>
        <v/>
      </c>
      <c r="W147" s="66" t="str">
        <f aca="false">IF(ISBLANK($C147),"",IF(I147=Constants!$B$2, TRUE(), IF(I147=Constants!$B$3, FALSE(), TRUE())))</f>
        <v/>
      </c>
      <c r="X147" s="66" t="str">
        <f aca="false">IF(ISBLANK($C147),"",IF(AND(ISNUMBER(J147),J147&gt;0),INT(J147),0))</f>
        <v/>
      </c>
      <c r="Y147" s="66" t="str">
        <f aca="false">IF(ISBLANK($C147),"",IF(K147=Constants!$B$2, TRUE(), IF(K147=Constants!$B$3, FALSE(), TRUE())))</f>
        <v/>
      </c>
      <c r="Z147" s="66" t="str">
        <f aca="false">IF(ISBLANK($C147),"",IF(AND(ISNUMBER(L147),L147&gt;0),INT(L147),0))</f>
        <v/>
      </c>
      <c r="AA147" s="68" t="str">
        <f aca="false">IF(ISBLANK($C147),"",IF(ISNUMBER(M147), M147, ""))</f>
        <v/>
      </c>
      <c r="AB147" s="68" t="str">
        <f aca="false">IF(ISBLANK($C147),"",IF(ISNUMBER(N147), N147, ""))</f>
        <v/>
      </c>
      <c r="AC147" s="68" t="str">
        <f aca="false">IF(ISBLANK($C147),"",IF(ISNUMBER(O147), O147, ""))</f>
        <v/>
      </c>
      <c r="AD147" s="69" t="str">
        <f aca="false">IF(ISBLANK($C147),"",IF(ISNUMBER(P147), P147, ""))</f>
        <v/>
      </c>
      <c r="AE147" s="69" t="str">
        <f aca="false">IF(ISBLANK($C147),"",IF(ISNUMBER(Q147), Q147, Constants!$B$13))</f>
        <v/>
      </c>
      <c r="AF147" s="66" t="str">
        <f aca="false">IF(ISBLANK($C147),"",IF(R147=Constants!$B$2, TRUE(), IF(R147=Constants!$B$3, FALSE(), FALSE())))</f>
        <v/>
      </c>
      <c r="AG147" s="66" t="str">
        <f aca="false">IF(ISBLANK(C147), "", IF(AF147, Constants!$B$4,IF(COUNTA(G147:P147)=0, Constants!$B$5, Constants!$B$7)))</f>
        <v/>
      </c>
      <c r="AH147" s="66" t="str">
        <f aca="false">IF(ISBLANK($C147), "",IF($AG147=Constants!$B$7,1,$AG147))</f>
        <v/>
      </c>
      <c r="AI147" s="66" t="str">
        <f aca="false">IF($AG147=Constants!$B$7,POWER(Constants!$B$11,X147)*POWER(Constants!$B$12,Z147),"")</f>
        <v/>
      </c>
      <c r="AJ147" s="66" t="str">
        <f aca="false">IF(AND($AG147=Constants!$B$7, U147, V147) ,IF(OR($AA147="",$AC147=""),"",MAX(0, $AC147-$AA147)),"")</f>
        <v/>
      </c>
      <c r="AK147" s="66" t="str">
        <f aca="false">IF(AND($AG147=Constants!$B$7, U147, V147),IF(OR($AA147="",$AC147=""),$AK$6,""),"")</f>
        <v/>
      </c>
      <c r="AL147" s="66" t="str">
        <f aca="false">IF($AG147=Constants!$B$7,IF(AND(U147,V147,W147,Y147),IF($AJ147="",0,IF($AJ$6=0,Constants!$B$9,Constants!$B$9*AJ147/$AJ$6)), 0),"")</f>
        <v/>
      </c>
      <c r="AM147" s="66" t="str">
        <f aca="false">IF(AL147&lt;&gt;"", AL147*AI147,"")</f>
        <v/>
      </c>
      <c r="AN147" s="66" t="str">
        <f aca="false">IF(AND($AG147=Constants!$B$7, U147, V147) ,IF($AB147="", "", IF(OR($AC147="",$AC147=0),"",MAX(0,1-ABS($AC147-$AB147)/$AC147))),"")</f>
        <v/>
      </c>
      <c r="AO147" s="66" t="str">
        <f aca="false">IF(AND($AG147=Constants!$B$7, U147, V147),IF(AND($AA147&lt;&gt;"",$AB147&lt;&gt;"",$AC147=0),$AO$6,""),"")</f>
        <v/>
      </c>
      <c r="AP147" s="66" t="str">
        <f aca="false">IF($AG147=Constants!$B$7 ,IF(AND(U147,V147,W147,Y147,ISNUMBER(AB147)),IF($AN147="",0,IF($AN$6=0,Constants!$B$10,Constants!$B$10*AN147/$AN$6)), 0),"")</f>
        <v/>
      </c>
      <c r="AQ147" s="66" t="str">
        <f aca="false">IF(AP147&lt;&gt;"", AP147*AI147,"")</f>
        <v/>
      </c>
      <c r="AR147" s="66" t="str">
        <f aca="false">IF($AG147=Constants!$B$7,IF($AD147="",0,IF($AR$6=0,Constants!$B$8,Constants!$B$8*AD147/$AR$6)),"")</f>
        <v/>
      </c>
      <c r="AS147" s="66" t="str">
        <f aca="false">IF($AG147&lt;&gt;Constants!$B$7,$AG147,IF(AK147&amp;AO147&lt;&gt;"",Constants!$B$14,AM147+AQ147+AR147))</f>
        <v/>
      </c>
      <c r="AT147" s="66" t="str">
        <f aca="false">IF(ISBLANK($C147),"",IF($AG147=Constants!$B$7,IF(ISNUMBER(AS147),RANK(AS147,$AS$8:$AS$507),Constants!$B$14),$AG147))</f>
        <v/>
      </c>
      <c r="AU147" s="66" t="str">
        <f aca="false">IF(ISBLANK($C147), "",AM147)</f>
        <v/>
      </c>
      <c r="AV147" s="66" t="str">
        <f aca="false">IF(ISBLANK($C147),"",IF($AG147=Constants!$B$7,RANK(AU147,AU$8:AU$507),$AG147))</f>
        <v/>
      </c>
      <c r="AW147" s="66" t="str">
        <f aca="false">IF(ISBLANK($C147), "",AR147)</f>
        <v/>
      </c>
      <c r="AX147" s="66" t="str">
        <f aca="false">IF(ISBLANK($C147),"",IF($AG147=Constants!$B$7,RANK(AW147,AW$8:AW$507),$AG147))</f>
        <v/>
      </c>
      <c r="AY147" s="66" t="str">
        <f aca="false">IF(ISBLANK($C147), "",AE147)</f>
        <v/>
      </c>
      <c r="AZ147" s="66" t="str">
        <f aca="false">IF(ISBLANK($C147),"",
IF($AG147=Constants!$B$7,
  IF(ISNUMBER(AT147),
    COUNTIFS($AT$8:$AT$507,"&lt;"&amp;$AT147)
    + COUNTIFS($AT$8:$AT$507,$AT147,$AV$8:$AV$507,"&lt;"&amp;$AV147)
    + COUNTIFS($AT$8:$AT$507,$AT147,$AV$8:$AV$507,$AV147,$AX$8:$AX$507,"&lt;"&amp;$AX147)
    + COUNTIFS($AT$8:$AT$507,$AT147,$AV$8:$AV$507,$AV147,$AX$8:$AX$507,$AX147,$AY$8:$AY$507,"&lt;"&amp;$AY147)
    + 1,
  Constants!$B$14),
$AG147))</f>
        <v/>
      </c>
      <c r="BA147" s="66" t="str">
        <f aca="false">IF(ISBLANK(C147),"",IF($AG147=Constants!$B$7, IF(ISNUMBER(AT147),AT147-AZ147,Constants!$B$14),$AG147))</f>
        <v/>
      </c>
      <c r="BB147" s="70"/>
      <c r="BC147" s="84" t="str">
        <f aca="false">IF(ISBLANK($C147),"",TRIM(AK147&amp;" "&amp;AO147))</f>
        <v/>
      </c>
      <c r="BD147" s="72" t="str">
        <f aca="false">IF(ISBLANK($C147),"",IF($AG147&lt;&gt;Constants!$B$7,$AG147,AR147))</f>
        <v/>
      </c>
      <c r="BE147" s="72" t="str">
        <f aca="false">IF(ISBLANK($C147),"",IF($AG147&lt;&gt;Constants!$B$7,$AG147,AM147))</f>
        <v/>
      </c>
      <c r="BF147" s="72" t="str">
        <f aca="false">IF(ISBLANK($C147),"",IF($AG147&lt;&gt;Constants!$B$7,$AG147,AQ147))</f>
        <v/>
      </c>
      <c r="BG147" s="73" t="str">
        <f aca="false">IF(ISBLANK($C147),"",IF($AG147&lt;&gt;Constants!$B$7, $AG147 ,AS147))</f>
        <v/>
      </c>
      <c r="BH147" s="74" t="str">
        <f aca="false">IF(ISBLANK($C147),"",IF($AG147&lt;&gt;Constants!$B$7, $AG147 ,AH147))</f>
        <v/>
      </c>
      <c r="BI147" s="72" t="str">
        <f aca="false">IF(ISBLANK(C147),"",BA147)</f>
        <v/>
      </c>
      <c r="BJ147" s="72" t="str">
        <f aca="false">IF(ISBLANK(C147),"",AZ147)</f>
        <v/>
      </c>
      <c r="BK147" s="75" t="str">
        <f aca="false">IF(ISBLANK(C147),"",IFERROR(_xlfn.SWITCH(BJ147, Constants!$B$4, COUNTA($C$8:$C646)+2, Constants!$B$5, COUNTA($C$8:$C646)+1, Constants!$B$6, COUNTA($C$8:$C646)),BJ147))</f>
        <v/>
      </c>
      <c r="BL147" s="5"/>
      <c r="BM147" s="76" t="n">
        <f aca="false">IF(OR(ISNUMBER(BJ147),BJ147="DQ",BJ147="P",BJ147="NS"),
    1,
    0
)</f>
        <v>0</v>
      </c>
      <c r="BN147" s="76" t="n">
        <v>140</v>
      </c>
      <c r="BO147" s="76" t="str">
        <f aca="false">IF(ISBLANK($C147),"",IF(ISNUMBER(BK147),BK147+ROW($B147)/1000,""))</f>
        <v/>
      </c>
      <c r="BP147" s="76" t="str">
        <f aca="false">IF(ISNUMBER(BO147), RANK(BO147,BO$8:BO$507,1), "")</f>
        <v/>
      </c>
      <c r="BQ147" s="76" t="str">
        <f aca="false">IF(ISBLANK($C147),
    "",
    $B147
)</f>
        <v/>
      </c>
      <c r="BR147" s="76" t="str">
        <f aca="false">IF(ISBLANK($C147),
    "",
    $C147
)</f>
        <v/>
      </c>
      <c r="BS147" s="76" t="str">
        <f aca="false">IF(ISBLANK($C147),
    "",
    $D147
)</f>
        <v/>
      </c>
      <c r="BT147" s="77" t="str">
        <f aca="false">BH147</f>
        <v/>
      </c>
      <c r="BU147" s="78" t="str">
        <f aca="false">BG147</f>
        <v/>
      </c>
      <c r="BV147" s="76" t="str">
        <f aca="false">IF(ISBLANK($C147),
    "",
    BJ147
)</f>
        <v/>
      </c>
      <c r="BW147" s="79" t="str">
        <f aca="false">IF(BN147&gt;BM$7,
    "",
    VLOOKUP(BN147,BP$8:BV646,7,FALSE())
)</f>
        <v/>
      </c>
      <c r="BX147" s="80" t="str">
        <f aca="false">IF(BN147&gt;BM$7,
    "",
    VLOOKUP(BN147,BP$8:BV646,2,FALSE())
)</f>
        <v/>
      </c>
      <c r="BY147" s="80" t="str">
        <f aca="false">IF(BN147&gt;BM$7,
    "",
    VLOOKUP(BN147,BP$8:BV646,3,FALSE())
)</f>
        <v/>
      </c>
      <c r="BZ147" s="80" t="str">
        <f aca="false">IF(BN147&gt;BM$7,
    "",
    VLOOKUP(BN147,BP$8:BV646,4,FALSE())
)</f>
        <v/>
      </c>
      <c r="CA147" s="80" t="str">
        <f aca="false">IF(BN147&gt;BM$7,
    "",
    VLOOKUP(BN147,BP$8:BV646,5,FALSE())
)</f>
        <v/>
      </c>
      <c r="CB147" s="81" t="str">
        <f aca="false">IF(BN147&gt;BM$7,
    "",
    VLOOKUP(BN147,BP$8:BV646,6,FALSE())
)</f>
        <v/>
      </c>
      <c r="CC147" s="53"/>
    </row>
    <row r="148" customFormat="false" ht="15.75" hidden="false" customHeight="false" outlineLevel="0" collapsed="false">
      <c r="A148" s="5"/>
      <c r="B148" s="129"/>
      <c r="C148" s="55"/>
      <c r="D148" s="56"/>
      <c r="E148" s="123"/>
      <c r="F148" s="123"/>
      <c r="G148" s="58"/>
      <c r="H148" s="59"/>
      <c r="I148" s="59"/>
      <c r="J148" s="83"/>
      <c r="K148" s="83"/>
      <c r="L148" s="83"/>
      <c r="M148" s="61"/>
      <c r="N148" s="61"/>
      <c r="O148" s="61"/>
      <c r="P148" s="62"/>
      <c r="Q148" s="63"/>
      <c r="R148" s="83"/>
      <c r="S148" s="65"/>
      <c r="T148" s="66"/>
      <c r="U148" s="66" t="str">
        <f aca="false">IF(ISBLANK($C148),"",IF(G148=Constants!$B$2, TRUE(), IF(G148=Constants!$B$3, FALSE(), TRUE())))</f>
        <v/>
      </c>
      <c r="V148" s="66" t="str">
        <f aca="false">IF(ISBLANK($C148),"",IF(H148=Constants!$B$2, TRUE(), IF(H148=Constants!$B$3, FALSE(), TRUE())))</f>
        <v/>
      </c>
      <c r="W148" s="66" t="str">
        <f aca="false">IF(ISBLANK($C148),"",IF(I148=Constants!$B$2, TRUE(), IF(I148=Constants!$B$3, FALSE(), TRUE())))</f>
        <v/>
      </c>
      <c r="X148" s="66" t="str">
        <f aca="false">IF(ISBLANK($C148),"",IF(AND(ISNUMBER(J148),J148&gt;0),INT(J148),0))</f>
        <v/>
      </c>
      <c r="Y148" s="66" t="str">
        <f aca="false">IF(ISBLANK($C148),"",IF(K148=Constants!$B$2, TRUE(), IF(K148=Constants!$B$3, FALSE(), TRUE())))</f>
        <v/>
      </c>
      <c r="Z148" s="66" t="str">
        <f aca="false">IF(ISBLANK($C148),"",IF(AND(ISNUMBER(L148),L148&gt;0),INT(L148),0))</f>
        <v/>
      </c>
      <c r="AA148" s="68" t="str">
        <f aca="false">IF(ISBLANK($C148),"",IF(ISNUMBER(M148), M148, ""))</f>
        <v/>
      </c>
      <c r="AB148" s="68" t="str">
        <f aca="false">IF(ISBLANK($C148),"",IF(ISNUMBER(N148), N148, ""))</f>
        <v/>
      </c>
      <c r="AC148" s="68" t="str">
        <f aca="false">IF(ISBLANK($C148),"",IF(ISNUMBER(O148), O148, ""))</f>
        <v/>
      </c>
      <c r="AD148" s="69" t="str">
        <f aca="false">IF(ISBLANK($C148),"",IF(ISNUMBER(P148), P148, ""))</f>
        <v/>
      </c>
      <c r="AE148" s="69" t="str">
        <f aca="false">IF(ISBLANK($C148),"",IF(ISNUMBER(Q148), Q148, Constants!$B$13))</f>
        <v/>
      </c>
      <c r="AF148" s="66" t="str">
        <f aca="false">IF(ISBLANK($C148),"",IF(R148=Constants!$B$2, TRUE(), IF(R148=Constants!$B$3, FALSE(), FALSE())))</f>
        <v/>
      </c>
      <c r="AG148" s="66" t="str">
        <f aca="false">IF(ISBLANK(C148), "", IF(AF148, Constants!$B$4,IF(COUNTA(G148:P148)=0, Constants!$B$5, Constants!$B$7)))</f>
        <v/>
      </c>
      <c r="AH148" s="66" t="str">
        <f aca="false">IF(ISBLANK($C148), "",IF($AG148=Constants!$B$7,1,$AG148))</f>
        <v/>
      </c>
      <c r="AI148" s="66" t="str">
        <f aca="false">IF($AG148=Constants!$B$7,POWER(Constants!$B$11,X148)*POWER(Constants!$B$12,Z148),"")</f>
        <v/>
      </c>
      <c r="AJ148" s="66" t="str">
        <f aca="false">IF(AND($AG148=Constants!$B$7, U148, V148) ,IF(OR($AA148="",$AC148=""),"",MAX(0, $AC148-$AA148)),"")</f>
        <v/>
      </c>
      <c r="AK148" s="66" t="str">
        <f aca="false">IF(AND($AG148=Constants!$B$7, U148, V148),IF(OR($AA148="",$AC148=""),$AK$6,""),"")</f>
        <v/>
      </c>
      <c r="AL148" s="66" t="str">
        <f aca="false">IF($AG148=Constants!$B$7,IF(AND(U148,V148,W148,Y148),IF($AJ148="",0,IF($AJ$6=0,Constants!$B$9,Constants!$B$9*AJ148/$AJ$6)), 0),"")</f>
        <v/>
      </c>
      <c r="AM148" s="66" t="str">
        <f aca="false">IF(AL148&lt;&gt;"", AL148*AI148,"")</f>
        <v/>
      </c>
      <c r="AN148" s="66" t="str">
        <f aca="false">IF(AND($AG148=Constants!$B$7, U148, V148) ,IF($AB148="", "", IF(OR($AC148="",$AC148=0),"",MAX(0,1-ABS($AC148-$AB148)/$AC148))),"")</f>
        <v/>
      </c>
      <c r="AO148" s="66" t="str">
        <f aca="false">IF(AND($AG148=Constants!$B$7, U148, V148),IF(AND($AA148&lt;&gt;"",$AB148&lt;&gt;"",$AC148=0),$AO$6,""),"")</f>
        <v/>
      </c>
      <c r="AP148" s="66" t="str">
        <f aca="false">IF($AG148=Constants!$B$7 ,IF(AND(U148,V148,W148,Y148,ISNUMBER(AB148)),IF($AN148="",0,IF($AN$6=0,Constants!$B$10,Constants!$B$10*AN148/$AN$6)), 0),"")</f>
        <v/>
      </c>
      <c r="AQ148" s="66" t="str">
        <f aca="false">IF(AP148&lt;&gt;"", AP148*AI148,"")</f>
        <v/>
      </c>
      <c r="AR148" s="66" t="str">
        <f aca="false">IF($AG148=Constants!$B$7,IF($AD148="",0,IF($AR$6=0,Constants!$B$8,Constants!$B$8*AD148/$AR$6)),"")</f>
        <v/>
      </c>
      <c r="AS148" s="66" t="str">
        <f aca="false">IF($AG148&lt;&gt;Constants!$B$7,$AG148,IF(AK148&amp;AO148&lt;&gt;"",Constants!$B$14,AM148+AQ148+AR148))</f>
        <v/>
      </c>
      <c r="AT148" s="66" t="str">
        <f aca="false">IF(ISBLANK($C148),"",IF($AG148=Constants!$B$7,IF(ISNUMBER(AS148),RANK(AS148,$AS$8:$AS$507),Constants!$B$14),$AG148))</f>
        <v/>
      </c>
      <c r="AU148" s="66" t="str">
        <f aca="false">IF(ISBLANK($C148), "",AM148)</f>
        <v/>
      </c>
      <c r="AV148" s="66" t="str">
        <f aca="false">IF(ISBLANK($C148),"",IF($AG148=Constants!$B$7,RANK(AU148,AU$8:AU$507),$AG148))</f>
        <v/>
      </c>
      <c r="AW148" s="66" t="str">
        <f aca="false">IF(ISBLANK($C148), "",AR148)</f>
        <v/>
      </c>
      <c r="AX148" s="66" t="str">
        <f aca="false">IF(ISBLANK($C148),"",IF($AG148=Constants!$B$7,RANK(AW148,AW$8:AW$507),$AG148))</f>
        <v/>
      </c>
      <c r="AY148" s="66" t="str">
        <f aca="false">IF(ISBLANK($C148), "",AE148)</f>
        <v/>
      </c>
      <c r="AZ148" s="66" t="str">
        <f aca="false">IF(ISBLANK($C148),"",
IF($AG148=Constants!$B$7,
  IF(ISNUMBER(AT148),
    COUNTIFS($AT$8:$AT$507,"&lt;"&amp;$AT148)
    + COUNTIFS($AT$8:$AT$507,$AT148,$AV$8:$AV$507,"&lt;"&amp;$AV148)
    + COUNTIFS($AT$8:$AT$507,$AT148,$AV$8:$AV$507,$AV148,$AX$8:$AX$507,"&lt;"&amp;$AX148)
    + COUNTIFS($AT$8:$AT$507,$AT148,$AV$8:$AV$507,$AV148,$AX$8:$AX$507,$AX148,$AY$8:$AY$507,"&lt;"&amp;$AY148)
    + 1,
  Constants!$B$14),
$AG148))</f>
        <v/>
      </c>
      <c r="BA148" s="66" t="str">
        <f aca="false">IF(ISBLANK(C148),"",IF($AG148=Constants!$B$7, IF(ISNUMBER(AT148),AT148-AZ148,Constants!$B$14),$AG148))</f>
        <v/>
      </c>
      <c r="BB148" s="70"/>
      <c r="BC148" s="84" t="str">
        <f aca="false">IF(ISBLANK($C148),"",TRIM(AK148&amp;" "&amp;AO148))</f>
        <v/>
      </c>
      <c r="BD148" s="72" t="str">
        <f aca="false">IF(ISBLANK($C148),"",IF($AG148&lt;&gt;Constants!$B$7,$AG148,AR148))</f>
        <v/>
      </c>
      <c r="BE148" s="72" t="str">
        <f aca="false">IF(ISBLANK($C148),"",IF($AG148&lt;&gt;Constants!$B$7,$AG148,AM148))</f>
        <v/>
      </c>
      <c r="BF148" s="72" t="str">
        <f aca="false">IF(ISBLANK($C148),"",IF($AG148&lt;&gt;Constants!$B$7,$AG148,AQ148))</f>
        <v/>
      </c>
      <c r="BG148" s="73" t="str">
        <f aca="false">IF(ISBLANK($C148),"",IF($AG148&lt;&gt;Constants!$B$7, $AG148 ,AS148))</f>
        <v/>
      </c>
      <c r="BH148" s="74" t="str">
        <f aca="false">IF(ISBLANK($C148),"",IF($AG148&lt;&gt;Constants!$B$7, $AG148 ,AH148))</f>
        <v/>
      </c>
      <c r="BI148" s="72" t="str">
        <f aca="false">IF(ISBLANK(C148),"",BA148)</f>
        <v/>
      </c>
      <c r="BJ148" s="72" t="str">
        <f aca="false">IF(ISBLANK(C148),"",AZ148)</f>
        <v/>
      </c>
      <c r="BK148" s="75" t="str">
        <f aca="false">IF(ISBLANK(C148),"",IFERROR(_xlfn.SWITCH(BJ148, Constants!$B$4, COUNTA($C$8:$C647)+2, Constants!$B$5, COUNTA($C$8:$C647)+1, Constants!$B$6, COUNTA($C$8:$C647)),BJ148))</f>
        <v/>
      </c>
      <c r="BL148" s="5"/>
      <c r="BM148" s="76" t="n">
        <f aca="false">IF(OR(ISNUMBER(BJ148),BJ148="DQ",BJ148="P",BJ148="NS"),
    1,
    0
)</f>
        <v>0</v>
      </c>
      <c r="BN148" s="76" t="n">
        <v>141</v>
      </c>
      <c r="BO148" s="76" t="str">
        <f aca="false">IF(ISBLANK($C148),"",IF(ISNUMBER(BK148),BK148+ROW($B148)/1000,""))</f>
        <v/>
      </c>
      <c r="BP148" s="76" t="str">
        <f aca="false">IF(ISNUMBER(BO148), RANK(BO148,BO$8:BO$507,1), "")</f>
        <v/>
      </c>
      <c r="BQ148" s="76" t="str">
        <f aca="false">IF(ISBLANK($C148),
    "",
    $B148
)</f>
        <v/>
      </c>
      <c r="BR148" s="76" t="str">
        <f aca="false">IF(ISBLANK($C148),
    "",
    $C148
)</f>
        <v/>
      </c>
      <c r="BS148" s="76" t="str">
        <f aca="false">IF(ISBLANK($C148),
    "",
    $D148
)</f>
        <v/>
      </c>
      <c r="BT148" s="77" t="str">
        <f aca="false">BH148</f>
        <v/>
      </c>
      <c r="BU148" s="78" t="str">
        <f aca="false">BG148</f>
        <v/>
      </c>
      <c r="BV148" s="76" t="str">
        <f aca="false">IF(ISBLANK($C148),
    "",
    BJ148
)</f>
        <v/>
      </c>
      <c r="BW148" s="79" t="str">
        <f aca="false">IF(BN148&gt;BM$7,
    "",
    VLOOKUP(BN148,BP$8:BV647,7,FALSE())
)</f>
        <v/>
      </c>
      <c r="BX148" s="80" t="str">
        <f aca="false">IF(BN148&gt;BM$7,
    "",
    VLOOKUP(BN148,BP$8:BV647,2,FALSE())
)</f>
        <v/>
      </c>
      <c r="BY148" s="80" t="str">
        <f aca="false">IF(BN148&gt;BM$7,
    "",
    VLOOKUP(BN148,BP$8:BV647,3,FALSE())
)</f>
        <v/>
      </c>
      <c r="BZ148" s="80" t="str">
        <f aca="false">IF(BN148&gt;BM$7,
    "",
    VLOOKUP(BN148,BP$8:BV647,4,FALSE())
)</f>
        <v/>
      </c>
      <c r="CA148" s="80" t="str">
        <f aca="false">IF(BN148&gt;BM$7,
    "",
    VLOOKUP(BN148,BP$8:BV647,5,FALSE())
)</f>
        <v/>
      </c>
      <c r="CB148" s="81" t="str">
        <f aca="false">IF(BN148&gt;BM$7,
    "",
    VLOOKUP(BN148,BP$8:BV647,6,FALSE())
)</f>
        <v/>
      </c>
      <c r="CC148" s="53"/>
    </row>
    <row r="149" customFormat="false" ht="15.75" hidden="false" customHeight="false" outlineLevel="0" collapsed="false">
      <c r="A149" s="5"/>
      <c r="B149" s="125"/>
      <c r="C149" s="126"/>
      <c r="D149" s="115"/>
      <c r="E149" s="119"/>
      <c r="F149" s="119"/>
      <c r="G149" s="91"/>
      <c r="H149" s="92"/>
      <c r="I149" s="92"/>
      <c r="J149" s="128"/>
      <c r="K149" s="128"/>
      <c r="L149" s="128"/>
      <c r="M149" s="94"/>
      <c r="N149" s="94"/>
      <c r="O149" s="94"/>
      <c r="P149" s="95"/>
      <c r="Q149" s="96"/>
      <c r="R149" s="128"/>
      <c r="S149" s="98"/>
      <c r="T149" s="99"/>
      <c r="U149" s="99" t="str">
        <f aca="false">IF(ISBLANK($C149),"",IF(G149=Constants!$B$2, TRUE(), IF(G149=Constants!$B$3, FALSE(), TRUE())))</f>
        <v/>
      </c>
      <c r="V149" s="99" t="str">
        <f aca="false">IF(ISBLANK($C149),"",IF(H149=Constants!$B$2, TRUE(), IF(H149=Constants!$B$3, FALSE(), TRUE())))</f>
        <v/>
      </c>
      <c r="W149" s="99" t="str">
        <f aca="false">IF(ISBLANK($C149),"",IF(I149=Constants!$B$2, TRUE(), IF(I149=Constants!$B$3, FALSE(), TRUE())))</f>
        <v/>
      </c>
      <c r="X149" s="99" t="str">
        <f aca="false">IF(ISBLANK($C149),"",IF(AND(ISNUMBER(J149),J149&gt;0),INT(J149),0))</f>
        <v/>
      </c>
      <c r="Y149" s="99" t="str">
        <f aca="false">IF(ISBLANK($C149),"",IF(K149=Constants!$B$2, TRUE(), IF(K149=Constants!$B$3, FALSE(), TRUE())))</f>
        <v/>
      </c>
      <c r="Z149" s="100" t="str">
        <f aca="false">IF(ISBLANK($C149),"",IF(AND(ISNUMBER(L149),L149&gt;0),INT(L149),0))</f>
        <v/>
      </c>
      <c r="AA149" s="101" t="str">
        <f aca="false">IF(ISBLANK($C149),"",IF(ISNUMBER(M149), M149, ""))</f>
        <v/>
      </c>
      <c r="AB149" s="101" t="str">
        <f aca="false">IF(ISBLANK($C149),"",IF(ISNUMBER(N149), N149, ""))</f>
        <v/>
      </c>
      <c r="AC149" s="101" t="str">
        <f aca="false">IF(ISBLANK($C149),"",IF(ISNUMBER(O149), O149, ""))</f>
        <v/>
      </c>
      <c r="AD149" s="102" t="str">
        <f aca="false">IF(ISBLANK($C149),"",IF(ISNUMBER(P149), P149, ""))</f>
        <v/>
      </c>
      <c r="AE149" s="102" t="str">
        <f aca="false">IF(ISBLANK($C149),"",IF(ISNUMBER(Q149), Q149, Constants!$B$13))</f>
        <v/>
      </c>
      <c r="AF149" s="99" t="str">
        <f aca="false">IF(ISBLANK($C149),"",IF(R149=Constants!$B$2, TRUE(), IF(R149=Constants!$B$3, FALSE(), FALSE())))</f>
        <v/>
      </c>
      <c r="AG149" s="99" t="str">
        <f aca="false">IF(ISBLANK(C149), "", IF(AF149, Constants!$B$4,IF(COUNTA(G149:P149)=0, Constants!$B$5, Constants!$B$7)))</f>
        <v/>
      </c>
      <c r="AH149" s="99" t="str">
        <f aca="false">IF(ISBLANK($C149), "",IF($AG149=Constants!$B$7,1,$AG149))</f>
        <v/>
      </c>
      <c r="AI149" s="99" t="str">
        <f aca="false">IF($AG149=Constants!$B$7,POWER(Constants!$B$11,X149)*POWER(Constants!$B$12,Z149),"")</f>
        <v/>
      </c>
      <c r="AJ149" s="99" t="str">
        <f aca="false">IF(AND($AG149=Constants!$B$7, U149, V149) ,IF(OR($AA149="",$AC149=""),"",MAX(0, $AC149-$AA149)),"")</f>
        <v/>
      </c>
      <c r="AK149" s="99" t="str">
        <f aca="false">IF(AND($AG149=Constants!$B$7, U149, V149),IF(OR($AA149="",$AC149=""),$AK$6,""),"")</f>
        <v/>
      </c>
      <c r="AL149" s="99" t="str">
        <f aca="false">IF($AG149=Constants!$B$7,IF(AND(U149,V149,W149,Y149),IF($AJ149="",0,IF($AJ$6=0,Constants!$B$9,Constants!$B$9*AJ149/$AJ$6)), 0),"")</f>
        <v/>
      </c>
      <c r="AM149" s="99" t="str">
        <f aca="false">IF(AL149&lt;&gt;"", AL149*AI149,"")</f>
        <v/>
      </c>
      <c r="AN149" s="99" t="str">
        <f aca="false">IF(AND($AG149=Constants!$B$7, U149, V149) ,IF($AB149="", "", IF(OR($AC149="",$AC149=0),"",MAX(0,1-ABS($AC149-$AB149)/$AC149))),"")</f>
        <v/>
      </c>
      <c r="AO149" s="99" t="str">
        <f aca="false">IF(AND($AG149=Constants!$B$7, U149, V149),IF(AND($AA149&lt;&gt;"",$AB149&lt;&gt;"",$AC149=0),$AO$6,""),"")</f>
        <v/>
      </c>
      <c r="AP149" s="99" t="str">
        <f aca="false">IF($AG149=Constants!$B$7 ,IF(AND(U149,V149,W149,Y149,ISNUMBER(AB149)),IF($AN149="",0,IF($AN$6=0,Constants!$B$10,Constants!$B$10*AN149/$AN$6)), 0),"")</f>
        <v/>
      </c>
      <c r="AQ149" s="99" t="str">
        <f aca="false">IF(AP149&lt;&gt;"", AP149*AI149,"")</f>
        <v/>
      </c>
      <c r="AR149" s="99" t="str">
        <f aca="false">IF($AG149=Constants!$B$7,IF($AD149="",0,IF($AR$6=0,Constants!$B$8,Constants!$B$8*AD149/$AR$6)),"")</f>
        <v/>
      </c>
      <c r="AS149" s="99" t="str">
        <f aca="false">IF($AG149&lt;&gt;Constants!$B$7,$AG149,IF(AK149&amp;AO149&lt;&gt;"",Constants!$B$14,AM149+AQ149+AR149))</f>
        <v/>
      </c>
      <c r="AT149" s="99" t="str">
        <f aca="false">IF(ISBLANK($C149),"",IF($AG149=Constants!$B$7,IF(ISNUMBER(AS149),RANK(AS149,$AS$8:$AS$507),Constants!$B$14),$AG149))</f>
        <v/>
      </c>
      <c r="AU149" s="99" t="str">
        <f aca="false">IF(ISBLANK($C149), "",AM149)</f>
        <v/>
      </c>
      <c r="AV149" s="99" t="str">
        <f aca="false">IF(ISBLANK($C149),"",IF($AG149=Constants!$B$7,RANK(AU149,AU$8:AU$507),$AG149))</f>
        <v/>
      </c>
      <c r="AW149" s="99" t="str">
        <f aca="false">IF(ISBLANK($C149), "",AR149)</f>
        <v/>
      </c>
      <c r="AX149" s="99" t="str">
        <f aca="false">IF(ISBLANK($C149),"",IF($AG149=Constants!$B$7,RANK(AW149,AW$8:AW$507),$AG149))</f>
        <v/>
      </c>
      <c r="AY149" s="99" t="str">
        <f aca="false">IF(ISBLANK($C149), "",AE149)</f>
        <v/>
      </c>
      <c r="AZ149" s="99" t="str">
        <f aca="false">IF(ISBLANK($C149),"",
IF($AG149=Constants!$B$7,
  IF(ISNUMBER(AT149),
    COUNTIFS($AT$8:$AT$507,"&lt;"&amp;$AT149)
    + COUNTIFS($AT$8:$AT$507,$AT149,$AV$8:$AV$507,"&lt;"&amp;$AV149)
    + COUNTIFS($AT$8:$AT$507,$AT149,$AV$8:$AV$507,$AV149,$AX$8:$AX$507,"&lt;"&amp;$AX149)
    + COUNTIFS($AT$8:$AT$507,$AT149,$AV$8:$AV$507,$AV149,$AX$8:$AX$507,$AX149,$AY$8:$AY$507,"&lt;"&amp;$AY149)
    + 1,
  Constants!$B$14),
$AG149))</f>
        <v/>
      </c>
      <c r="BA149" s="99" t="str">
        <f aca="false">IF(ISBLANK(C149),"",IF($AG149=Constants!$B$7, IF(ISNUMBER(AT149),AT149-AZ149,Constants!$B$14),$AG149))</f>
        <v/>
      </c>
      <c r="BB149" s="103"/>
      <c r="BC149" s="104" t="str">
        <f aca="false">IF(ISBLANK($C149),"",TRIM(AK149&amp;" "&amp;AO149))</f>
        <v/>
      </c>
      <c r="BD149" s="105" t="str">
        <f aca="false">IF(ISBLANK($C149),"",IF($AG149&lt;&gt;Constants!$B$7,$AG149,AR149))</f>
        <v/>
      </c>
      <c r="BE149" s="105" t="str">
        <f aca="false">IF(ISBLANK($C149),"",IF($AG149&lt;&gt;Constants!$B$7,$AG149,AM149))</f>
        <v/>
      </c>
      <c r="BF149" s="105" t="str">
        <f aca="false">IF(ISBLANK($C149),"",IF($AG149&lt;&gt;Constants!$B$7,$AG149,AQ149))</f>
        <v/>
      </c>
      <c r="BG149" s="106" t="str">
        <f aca="false">IF(ISBLANK($C149),"",IF($AG149&lt;&gt;Constants!$B$7, $AG149 ,AS149))</f>
        <v/>
      </c>
      <c r="BH149" s="107" t="str">
        <f aca="false">IF(ISBLANK($C149),"",IF($AG149&lt;&gt;Constants!$B$7, $AG149 ,AH149))</f>
        <v/>
      </c>
      <c r="BI149" s="105" t="str">
        <f aca="false">IF(ISBLANK(C149),"",BA149)</f>
        <v/>
      </c>
      <c r="BJ149" s="105" t="str">
        <f aca="false">IF(ISBLANK(C149),"",AZ149)</f>
        <v/>
      </c>
      <c r="BK149" s="108" t="str">
        <f aca="false">IF(ISBLANK(C149),"",IFERROR(_xlfn.SWITCH(BJ149, Constants!$B$4, COUNTA($C$8:$C648)+2, Constants!$B$5, COUNTA($C$8:$C648)+1, Constants!$B$6, COUNTA($C$8:$C648)),BJ149))</f>
        <v/>
      </c>
      <c r="BL149" s="5"/>
      <c r="BM149" s="109" t="n">
        <f aca="false">IF(OR(ISNUMBER(BJ149),BJ149="DQ",BJ149="P",BJ149="NS"),
    1,
    0
)</f>
        <v>0</v>
      </c>
      <c r="BN149" s="109" t="n">
        <v>142</v>
      </c>
      <c r="BO149" s="109" t="str">
        <f aca="false">IF(ISBLANK($C149),"",IF(ISNUMBER(BK149),BK149+ROW($B149)/1000,""))</f>
        <v/>
      </c>
      <c r="BP149" s="109" t="str">
        <f aca="false">IF(ISNUMBER(BO149), RANK(BO149,BO$8:BO$507,1), "")</f>
        <v/>
      </c>
      <c r="BQ149" s="109" t="str">
        <f aca="false">IF(ISBLANK($C149),
    "",
    $B149
)</f>
        <v/>
      </c>
      <c r="BR149" s="109" t="str">
        <f aca="false">IF(ISBLANK($C149),
    "",
    $C149
)</f>
        <v/>
      </c>
      <c r="BS149" s="109" t="str">
        <f aca="false">IF(ISBLANK($C149),
    "",
    $D149
)</f>
        <v/>
      </c>
      <c r="BT149" s="110" t="str">
        <f aca="false">BH149</f>
        <v/>
      </c>
      <c r="BU149" s="111" t="str">
        <f aca="false">BG149</f>
        <v/>
      </c>
      <c r="BV149" s="109" t="str">
        <f aca="false">IF(ISBLANK($C149),
    "",
    BJ149
)</f>
        <v/>
      </c>
      <c r="BW149" s="112" t="str">
        <f aca="false">IF(BN149&gt;BM$7,
    "",
    VLOOKUP(BN149,BP$8:BV648,7,FALSE())
)</f>
        <v/>
      </c>
      <c r="BX149" s="113" t="str">
        <f aca="false">IF(BN149&gt;BM$7,
    "",
    VLOOKUP(BN149,BP$8:BV648,2,FALSE())
)</f>
        <v/>
      </c>
      <c r="BY149" s="113" t="str">
        <f aca="false">IF(BN149&gt;BM$7,
    "",
    VLOOKUP(BN149,BP$8:BV648,3,FALSE())
)</f>
        <v/>
      </c>
      <c r="BZ149" s="113" t="str">
        <f aca="false">IF(BN149&gt;BM$7,
    "",
    VLOOKUP(BN149,BP$8:BV648,4,FALSE())
)</f>
        <v/>
      </c>
      <c r="CA149" s="113" t="str">
        <f aca="false">IF(BN149&gt;BM$7,
    "",
    VLOOKUP(BN149,BP$8:BV648,5,FALSE())
)</f>
        <v/>
      </c>
      <c r="CB149" s="114" t="str">
        <f aca="false">IF(BN149&gt;BM$7,
    "",
    VLOOKUP(BN149,BP$8:BV648,6,FALSE())
)</f>
        <v/>
      </c>
      <c r="CC149" s="53"/>
    </row>
    <row r="150" customFormat="false" ht="15.75" hidden="false" customHeight="false" outlineLevel="0" collapsed="false">
      <c r="A150" s="5"/>
      <c r="B150" s="125"/>
      <c r="C150" s="126"/>
      <c r="D150" s="115"/>
      <c r="E150" s="119"/>
      <c r="F150" s="119"/>
      <c r="G150" s="91"/>
      <c r="H150" s="92"/>
      <c r="I150" s="92"/>
      <c r="J150" s="128"/>
      <c r="K150" s="128"/>
      <c r="L150" s="128"/>
      <c r="M150" s="94"/>
      <c r="N150" s="94"/>
      <c r="O150" s="94"/>
      <c r="P150" s="95"/>
      <c r="Q150" s="96"/>
      <c r="R150" s="128"/>
      <c r="S150" s="98"/>
      <c r="T150" s="99"/>
      <c r="U150" s="99" t="str">
        <f aca="false">IF(ISBLANK($C150),"",IF(G150=Constants!$B$2, TRUE(), IF(G150=Constants!$B$3, FALSE(), TRUE())))</f>
        <v/>
      </c>
      <c r="V150" s="99" t="str">
        <f aca="false">IF(ISBLANK($C150),"",IF(H150=Constants!$B$2, TRUE(), IF(H150=Constants!$B$3, FALSE(), TRUE())))</f>
        <v/>
      </c>
      <c r="W150" s="99" t="str">
        <f aca="false">IF(ISBLANK($C150),"",IF(I150=Constants!$B$2, TRUE(), IF(I150=Constants!$B$3, FALSE(), TRUE())))</f>
        <v/>
      </c>
      <c r="X150" s="99" t="str">
        <f aca="false">IF(ISBLANK($C150),"",IF(AND(ISNUMBER(J150),J150&gt;0),INT(J150),0))</f>
        <v/>
      </c>
      <c r="Y150" s="99" t="str">
        <f aca="false">IF(ISBLANK($C150),"",IF(K150=Constants!$B$2, TRUE(), IF(K150=Constants!$B$3, FALSE(), TRUE())))</f>
        <v/>
      </c>
      <c r="Z150" s="100" t="str">
        <f aca="false">IF(ISBLANK($C150),"",IF(AND(ISNUMBER(L150),L150&gt;0),INT(L150),0))</f>
        <v/>
      </c>
      <c r="AA150" s="101" t="str">
        <f aca="false">IF(ISBLANK($C150),"",IF(ISNUMBER(M150), M150, ""))</f>
        <v/>
      </c>
      <c r="AB150" s="101" t="str">
        <f aca="false">IF(ISBLANK($C150),"",IF(ISNUMBER(N150), N150, ""))</f>
        <v/>
      </c>
      <c r="AC150" s="101" t="str">
        <f aca="false">IF(ISBLANK($C150),"",IF(ISNUMBER(O150), O150, ""))</f>
        <v/>
      </c>
      <c r="AD150" s="102" t="str">
        <f aca="false">IF(ISBLANK($C150),"",IF(ISNUMBER(P150), P150, ""))</f>
        <v/>
      </c>
      <c r="AE150" s="102" t="str">
        <f aca="false">IF(ISBLANK($C150),"",IF(ISNUMBER(Q150), Q150, Constants!$B$13))</f>
        <v/>
      </c>
      <c r="AF150" s="99" t="str">
        <f aca="false">IF(ISBLANK($C150),"",IF(R150=Constants!$B$2, TRUE(), IF(R150=Constants!$B$3, FALSE(), FALSE())))</f>
        <v/>
      </c>
      <c r="AG150" s="99" t="str">
        <f aca="false">IF(ISBLANK(C150), "", IF(AF150, Constants!$B$4,IF(COUNTA(G150:P150)=0, Constants!$B$5, Constants!$B$7)))</f>
        <v/>
      </c>
      <c r="AH150" s="99" t="str">
        <f aca="false">IF(ISBLANK($C150), "",IF($AG150=Constants!$B$7,1,$AG150))</f>
        <v/>
      </c>
      <c r="AI150" s="99" t="str">
        <f aca="false">IF($AG150=Constants!$B$7,POWER(Constants!$B$11,X150)*POWER(Constants!$B$12,Z150),"")</f>
        <v/>
      </c>
      <c r="AJ150" s="99" t="str">
        <f aca="false">IF(AND($AG150=Constants!$B$7, U150, V150) ,IF(OR($AA150="",$AC150=""),"",MAX(0, $AC150-$AA150)),"")</f>
        <v/>
      </c>
      <c r="AK150" s="99" t="str">
        <f aca="false">IF(AND($AG150=Constants!$B$7, U150, V150),IF(OR($AA150="",$AC150=""),$AK$6,""),"")</f>
        <v/>
      </c>
      <c r="AL150" s="99" t="str">
        <f aca="false">IF($AG150=Constants!$B$7,IF(AND(U150,V150,W150,Y150),IF($AJ150="",0,IF($AJ$6=0,Constants!$B$9,Constants!$B$9*AJ150/$AJ$6)), 0),"")</f>
        <v/>
      </c>
      <c r="AM150" s="99" t="str">
        <f aca="false">IF(AL150&lt;&gt;"", AL150*AI150,"")</f>
        <v/>
      </c>
      <c r="AN150" s="99" t="str">
        <f aca="false">IF(AND($AG150=Constants!$B$7, U150, V150) ,IF($AB150="", "", IF(OR($AC150="",$AC150=0),"",MAX(0,1-ABS($AC150-$AB150)/$AC150))),"")</f>
        <v/>
      </c>
      <c r="AO150" s="99" t="str">
        <f aca="false">IF(AND($AG150=Constants!$B$7, U150, V150),IF(AND($AA150&lt;&gt;"",$AB150&lt;&gt;"",$AC150=0),$AO$6,""),"")</f>
        <v/>
      </c>
      <c r="AP150" s="99" t="str">
        <f aca="false">IF($AG150=Constants!$B$7 ,IF(AND(U150,V150,W150,Y150,ISNUMBER(AB150)),IF($AN150="",0,IF($AN$6=0,Constants!$B$10,Constants!$B$10*AN150/$AN$6)), 0),"")</f>
        <v/>
      </c>
      <c r="AQ150" s="99" t="str">
        <f aca="false">IF(AP150&lt;&gt;"", AP150*AI150,"")</f>
        <v/>
      </c>
      <c r="AR150" s="99" t="str">
        <f aca="false">IF($AG150=Constants!$B$7,IF($AD150="",0,IF($AR$6=0,Constants!$B$8,Constants!$B$8*AD150/$AR$6)),"")</f>
        <v/>
      </c>
      <c r="AS150" s="99" t="str">
        <f aca="false">IF($AG150&lt;&gt;Constants!$B$7,$AG150,IF(AK150&amp;AO150&lt;&gt;"",Constants!$B$14,AM150+AQ150+AR150))</f>
        <v/>
      </c>
      <c r="AT150" s="99" t="str">
        <f aca="false">IF(ISBLANK($C150),"",IF($AG150=Constants!$B$7,IF(ISNUMBER(AS150),RANK(AS150,$AS$8:$AS$507),Constants!$B$14),$AG150))</f>
        <v/>
      </c>
      <c r="AU150" s="99" t="str">
        <f aca="false">IF(ISBLANK($C150), "",AM150)</f>
        <v/>
      </c>
      <c r="AV150" s="99" t="str">
        <f aca="false">IF(ISBLANK($C150),"",IF($AG150=Constants!$B$7,RANK(AU150,AU$8:AU$507),$AG150))</f>
        <v/>
      </c>
      <c r="AW150" s="99" t="str">
        <f aca="false">IF(ISBLANK($C150), "",AR150)</f>
        <v/>
      </c>
      <c r="AX150" s="99" t="str">
        <f aca="false">IF(ISBLANK($C150),"",IF($AG150=Constants!$B$7,RANK(AW150,AW$8:AW$507),$AG150))</f>
        <v/>
      </c>
      <c r="AY150" s="99" t="str">
        <f aca="false">IF(ISBLANK($C150), "",AE150)</f>
        <v/>
      </c>
      <c r="AZ150" s="99" t="str">
        <f aca="false">IF(ISBLANK($C150),"",
IF($AG150=Constants!$B$7,
  IF(ISNUMBER(AT150),
    COUNTIFS($AT$8:$AT$507,"&lt;"&amp;$AT150)
    + COUNTIFS($AT$8:$AT$507,$AT150,$AV$8:$AV$507,"&lt;"&amp;$AV150)
    + COUNTIFS($AT$8:$AT$507,$AT150,$AV$8:$AV$507,$AV150,$AX$8:$AX$507,"&lt;"&amp;$AX150)
    + COUNTIFS($AT$8:$AT$507,$AT150,$AV$8:$AV$507,$AV150,$AX$8:$AX$507,$AX150,$AY$8:$AY$507,"&lt;"&amp;$AY150)
    + 1,
  Constants!$B$14),
$AG150))</f>
        <v/>
      </c>
      <c r="BA150" s="99" t="str">
        <f aca="false">IF(ISBLANK(C150),"",IF($AG150=Constants!$B$7, IF(ISNUMBER(AT150),AT150-AZ150,Constants!$B$14),$AG150))</f>
        <v/>
      </c>
      <c r="BB150" s="103"/>
      <c r="BC150" s="104" t="str">
        <f aca="false">IF(ISBLANK($C150),"",TRIM(AK150&amp;" "&amp;AO150))</f>
        <v/>
      </c>
      <c r="BD150" s="105" t="str">
        <f aca="false">IF(ISBLANK($C150),"",IF($AG150&lt;&gt;Constants!$B$7,$AG150,AR150))</f>
        <v/>
      </c>
      <c r="BE150" s="105" t="str">
        <f aca="false">IF(ISBLANK($C150),"",IF($AG150&lt;&gt;Constants!$B$7,$AG150,AM150))</f>
        <v/>
      </c>
      <c r="BF150" s="105" t="str">
        <f aca="false">IF(ISBLANK($C150),"",IF($AG150&lt;&gt;Constants!$B$7,$AG150,AQ150))</f>
        <v/>
      </c>
      <c r="BG150" s="106" t="str">
        <f aca="false">IF(ISBLANK($C150),"",IF($AG150&lt;&gt;Constants!$B$7, $AG150 ,AS150))</f>
        <v/>
      </c>
      <c r="BH150" s="107" t="str">
        <f aca="false">IF(ISBLANK($C150),"",IF($AG150&lt;&gt;Constants!$B$7, $AG150 ,AH150))</f>
        <v/>
      </c>
      <c r="BI150" s="105" t="str">
        <f aca="false">IF(ISBLANK(C150),"",BA150)</f>
        <v/>
      </c>
      <c r="BJ150" s="105" t="str">
        <f aca="false">IF(ISBLANK(C150),"",AZ150)</f>
        <v/>
      </c>
      <c r="BK150" s="108" t="str">
        <f aca="false">IF(ISBLANK(C150),"",IFERROR(_xlfn.SWITCH(BJ150, Constants!$B$4, COUNTA($C$8:$C649)+2, Constants!$B$5, COUNTA($C$8:$C649)+1, Constants!$B$6, COUNTA($C$8:$C649)),BJ150))</f>
        <v/>
      </c>
      <c r="BL150" s="5"/>
      <c r="BM150" s="109" t="n">
        <f aca="false">IF(OR(ISNUMBER(BJ150),BJ150="DQ",BJ150="P",BJ150="NS"),
    1,
    0
)</f>
        <v>0</v>
      </c>
      <c r="BN150" s="109" t="n">
        <v>143</v>
      </c>
      <c r="BO150" s="109" t="str">
        <f aca="false">IF(ISBLANK($C150),"",IF(ISNUMBER(BK150),BK150+ROW($B150)/1000,""))</f>
        <v/>
      </c>
      <c r="BP150" s="109" t="str">
        <f aca="false">IF(ISNUMBER(BO150), RANK(BO150,BO$8:BO$507,1), "")</f>
        <v/>
      </c>
      <c r="BQ150" s="109" t="str">
        <f aca="false">IF(ISBLANK($C150),
    "",
    $B150
)</f>
        <v/>
      </c>
      <c r="BR150" s="109" t="str">
        <f aca="false">IF(ISBLANK($C150),
    "",
    $C150
)</f>
        <v/>
      </c>
      <c r="BS150" s="109" t="str">
        <f aca="false">IF(ISBLANK($C150),
    "",
    $D150
)</f>
        <v/>
      </c>
      <c r="BT150" s="110" t="str">
        <f aca="false">BH150</f>
        <v/>
      </c>
      <c r="BU150" s="111" t="str">
        <f aca="false">BG150</f>
        <v/>
      </c>
      <c r="BV150" s="109" t="str">
        <f aca="false">IF(ISBLANK($C150),
    "",
    BJ150
)</f>
        <v/>
      </c>
      <c r="BW150" s="112" t="str">
        <f aca="false">IF(BN150&gt;BM$7,
    "",
    VLOOKUP(BN150,BP$8:BV649,7,FALSE())
)</f>
        <v/>
      </c>
      <c r="BX150" s="113" t="str">
        <f aca="false">IF(BN150&gt;BM$7,
    "",
    VLOOKUP(BN150,BP$8:BV649,2,FALSE())
)</f>
        <v/>
      </c>
      <c r="BY150" s="113" t="str">
        <f aca="false">IF(BN150&gt;BM$7,
    "",
    VLOOKUP(BN150,BP$8:BV649,3,FALSE())
)</f>
        <v/>
      </c>
      <c r="BZ150" s="113" t="str">
        <f aca="false">IF(BN150&gt;BM$7,
    "",
    VLOOKUP(BN150,BP$8:BV649,4,FALSE())
)</f>
        <v/>
      </c>
      <c r="CA150" s="113" t="str">
        <f aca="false">IF(BN150&gt;BM$7,
    "",
    VLOOKUP(BN150,BP$8:BV649,5,FALSE())
)</f>
        <v/>
      </c>
      <c r="CB150" s="114" t="str">
        <f aca="false">IF(BN150&gt;BM$7,
    "",
    VLOOKUP(BN150,BP$8:BV649,6,FALSE())
)</f>
        <v/>
      </c>
      <c r="CC150" s="53"/>
    </row>
    <row r="151" customFormat="false" ht="15.75" hidden="false" customHeight="false" outlineLevel="0" collapsed="false">
      <c r="A151" s="5"/>
      <c r="B151" s="125"/>
      <c r="C151" s="126"/>
      <c r="D151" s="115"/>
      <c r="E151" s="119"/>
      <c r="F151" s="119"/>
      <c r="G151" s="91"/>
      <c r="H151" s="92"/>
      <c r="I151" s="92"/>
      <c r="J151" s="128"/>
      <c r="K151" s="128"/>
      <c r="L151" s="128"/>
      <c r="M151" s="94"/>
      <c r="N151" s="94"/>
      <c r="O151" s="94"/>
      <c r="P151" s="95"/>
      <c r="Q151" s="96"/>
      <c r="R151" s="128"/>
      <c r="S151" s="98"/>
      <c r="T151" s="99"/>
      <c r="U151" s="99" t="str">
        <f aca="false">IF(ISBLANK($C151),"",IF(G151=Constants!$B$2, TRUE(), IF(G151=Constants!$B$3, FALSE(), TRUE())))</f>
        <v/>
      </c>
      <c r="V151" s="99" t="str">
        <f aca="false">IF(ISBLANK($C151),"",IF(H151=Constants!$B$2, TRUE(), IF(H151=Constants!$B$3, FALSE(), TRUE())))</f>
        <v/>
      </c>
      <c r="W151" s="99" t="str">
        <f aca="false">IF(ISBLANK($C151),"",IF(I151=Constants!$B$2, TRUE(), IF(I151=Constants!$B$3, FALSE(), TRUE())))</f>
        <v/>
      </c>
      <c r="X151" s="99" t="str">
        <f aca="false">IF(ISBLANK($C151),"",IF(AND(ISNUMBER(J151),J151&gt;0),INT(J151),0))</f>
        <v/>
      </c>
      <c r="Y151" s="99" t="str">
        <f aca="false">IF(ISBLANK($C151),"",IF(K151=Constants!$B$2, TRUE(), IF(K151=Constants!$B$3, FALSE(), TRUE())))</f>
        <v/>
      </c>
      <c r="Z151" s="100" t="str">
        <f aca="false">IF(ISBLANK($C151),"",IF(AND(ISNUMBER(L151),L151&gt;0),INT(L151),0))</f>
        <v/>
      </c>
      <c r="AA151" s="101" t="str">
        <f aca="false">IF(ISBLANK($C151),"",IF(ISNUMBER(M151), M151, ""))</f>
        <v/>
      </c>
      <c r="AB151" s="101" t="str">
        <f aca="false">IF(ISBLANK($C151),"",IF(ISNUMBER(N151), N151, ""))</f>
        <v/>
      </c>
      <c r="AC151" s="101" t="str">
        <f aca="false">IF(ISBLANK($C151),"",IF(ISNUMBER(O151), O151, ""))</f>
        <v/>
      </c>
      <c r="AD151" s="102" t="str">
        <f aca="false">IF(ISBLANK($C151),"",IF(ISNUMBER(P151), P151, ""))</f>
        <v/>
      </c>
      <c r="AE151" s="102" t="str">
        <f aca="false">IF(ISBLANK($C151),"",IF(ISNUMBER(Q151), Q151, Constants!$B$13))</f>
        <v/>
      </c>
      <c r="AF151" s="99" t="str">
        <f aca="false">IF(ISBLANK($C151),"",IF(R151=Constants!$B$2, TRUE(), IF(R151=Constants!$B$3, FALSE(), FALSE())))</f>
        <v/>
      </c>
      <c r="AG151" s="99" t="str">
        <f aca="false">IF(ISBLANK(C151), "", IF(AF151, Constants!$B$4,IF(COUNTA(G151:P151)=0, Constants!$B$5, Constants!$B$7)))</f>
        <v/>
      </c>
      <c r="AH151" s="99" t="str">
        <f aca="false">IF(ISBLANK($C151), "",IF($AG151=Constants!$B$7,1,$AG151))</f>
        <v/>
      </c>
      <c r="AI151" s="99" t="str">
        <f aca="false">IF($AG151=Constants!$B$7,POWER(Constants!$B$11,X151)*POWER(Constants!$B$12,Z151),"")</f>
        <v/>
      </c>
      <c r="AJ151" s="99" t="str">
        <f aca="false">IF(AND($AG151=Constants!$B$7, U151, V151) ,IF(OR($AA151="",$AC151=""),"",MAX(0, $AC151-$AA151)),"")</f>
        <v/>
      </c>
      <c r="AK151" s="99" t="str">
        <f aca="false">IF(AND($AG151=Constants!$B$7, U151, V151),IF(OR($AA151="",$AC151=""),$AK$6,""),"")</f>
        <v/>
      </c>
      <c r="AL151" s="99" t="str">
        <f aca="false">IF($AG151=Constants!$B$7,IF(AND(U151,V151,W151,Y151),IF($AJ151="",0,IF($AJ$6=0,Constants!$B$9,Constants!$B$9*AJ151/$AJ$6)), 0),"")</f>
        <v/>
      </c>
      <c r="AM151" s="99" t="str">
        <f aca="false">IF(AL151&lt;&gt;"", AL151*AI151,"")</f>
        <v/>
      </c>
      <c r="AN151" s="99" t="str">
        <f aca="false">IF(AND($AG151=Constants!$B$7, U151, V151) ,IF($AB151="", "", IF(OR($AC151="",$AC151=0),"",MAX(0,1-ABS($AC151-$AB151)/$AC151))),"")</f>
        <v/>
      </c>
      <c r="AO151" s="99" t="str">
        <f aca="false">IF(AND($AG151=Constants!$B$7, U151, V151),IF(AND($AA151&lt;&gt;"",$AB151&lt;&gt;"",$AC151=0),$AO$6,""),"")</f>
        <v/>
      </c>
      <c r="AP151" s="99" t="str">
        <f aca="false">IF($AG151=Constants!$B$7 ,IF(AND(U151,V151,W151,Y151,ISNUMBER(AB151)),IF($AN151="",0,IF($AN$6=0,Constants!$B$10,Constants!$B$10*AN151/$AN$6)), 0),"")</f>
        <v/>
      </c>
      <c r="AQ151" s="99" t="str">
        <f aca="false">IF(AP151&lt;&gt;"", AP151*AI151,"")</f>
        <v/>
      </c>
      <c r="AR151" s="99" t="str">
        <f aca="false">IF($AG151=Constants!$B$7,IF($AD151="",0,IF($AR$6=0,Constants!$B$8,Constants!$B$8*AD151/$AR$6)),"")</f>
        <v/>
      </c>
      <c r="AS151" s="99" t="str">
        <f aca="false">IF($AG151&lt;&gt;Constants!$B$7,$AG151,IF(AK151&amp;AO151&lt;&gt;"",Constants!$B$14,AM151+AQ151+AR151))</f>
        <v/>
      </c>
      <c r="AT151" s="99" t="str">
        <f aca="false">IF(ISBLANK($C151),"",IF($AG151=Constants!$B$7,IF(ISNUMBER(AS151),RANK(AS151,$AS$8:$AS$507),Constants!$B$14),$AG151))</f>
        <v/>
      </c>
      <c r="AU151" s="99" t="str">
        <f aca="false">IF(ISBLANK($C151), "",AM151)</f>
        <v/>
      </c>
      <c r="AV151" s="99" t="str">
        <f aca="false">IF(ISBLANK($C151),"",IF($AG151=Constants!$B$7,RANK(AU151,AU$8:AU$507),$AG151))</f>
        <v/>
      </c>
      <c r="AW151" s="99" t="str">
        <f aca="false">IF(ISBLANK($C151), "",AR151)</f>
        <v/>
      </c>
      <c r="AX151" s="99" t="str">
        <f aca="false">IF(ISBLANK($C151),"",IF($AG151=Constants!$B$7,RANK(AW151,AW$8:AW$507),$AG151))</f>
        <v/>
      </c>
      <c r="AY151" s="99" t="str">
        <f aca="false">IF(ISBLANK($C151), "",AE151)</f>
        <v/>
      </c>
      <c r="AZ151" s="99" t="str">
        <f aca="false">IF(ISBLANK($C151),"",
IF($AG151=Constants!$B$7,
  IF(ISNUMBER(AT151),
    COUNTIFS($AT$8:$AT$507,"&lt;"&amp;$AT151)
    + COUNTIFS($AT$8:$AT$507,$AT151,$AV$8:$AV$507,"&lt;"&amp;$AV151)
    + COUNTIFS($AT$8:$AT$507,$AT151,$AV$8:$AV$507,$AV151,$AX$8:$AX$507,"&lt;"&amp;$AX151)
    + COUNTIFS($AT$8:$AT$507,$AT151,$AV$8:$AV$507,$AV151,$AX$8:$AX$507,$AX151,$AY$8:$AY$507,"&lt;"&amp;$AY151)
    + 1,
  Constants!$B$14),
$AG151))</f>
        <v/>
      </c>
      <c r="BA151" s="99" t="str">
        <f aca="false">IF(ISBLANK(C151),"",IF($AG151=Constants!$B$7, IF(ISNUMBER(AT151),AT151-AZ151,Constants!$B$14),$AG151))</f>
        <v/>
      </c>
      <c r="BB151" s="103"/>
      <c r="BC151" s="104" t="str">
        <f aca="false">IF(ISBLANK($C151),"",TRIM(AK151&amp;" "&amp;AO151))</f>
        <v/>
      </c>
      <c r="BD151" s="105" t="str">
        <f aca="false">IF(ISBLANK($C151),"",IF($AG151&lt;&gt;Constants!$B$7,$AG151,AR151))</f>
        <v/>
      </c>
      <c r="BE151" s="105" t="str">
        <f aca="false">IF(ISBLANK($C151),"",IF($AG151&lt;&gt;Constants!$B$7,$AG151,AM151))</f>
        <v/>
      </c>
      <c r="BF151" s="105" t="str">
        <f aca="false">IF(ISBLANK($C151),"",IF($AG151&lt;&gt;Constants!$B$7,$AG151,AQ151))</f>
        <v/>
      </c>
      <c r="BG151" s="106" t="str">
        <f aca="false">IF(ISBLANK($C151),"",IF($AG151&lt;&gt;Constants!$B$7, $AG151 ,AS151))</f>
        <v/>
      </c>
      <c r="BH151" s="107" t="str">
        <f aca="false">IF(ISBLANK($C151),"",IF($AG151&lt;&gt;Constants!$B$7, $AG151 ,AH151))</f>
        <v/>
      </c>
      <c r="BI151" s="105" t="str">
        <f aca="false">IF(ISBLANK(C151),"",BA151)</f>
        <v/>
      </c>
      <c r="BJ151" s="105" t="str">
        <f aca="false">IF(ISBLANK(C151),"",AZ151)</f>
        <v/>
      </c>
      <c r="BK151" s="108" t="str">
        <f aca="false">IF(ISBLANK(C151),"",IFERROR(_xlfn.SWITCH(BJ151, Constants!$B$4, COUNTA($C$8:$C650)+2, Constants!$B$5, COUNTA($C$8:$C650)+1, Constants!$B$6, COUNTA($C$8:$C650)),BJ151))</f>
        <v/>
      </c>
      <c r="BL151" s="5"/>
      <c r="BM151" s="109" t="n">
        <f aca="false">IF(OR(ISNUMBER(BJ151),BJ151="DQ",BJ151="P",BJ151="NS"),
    1,
    0
)</f>
        <v>0</v>
      </c>
      <c r="BN151" s="109" t="n">
        <v>144</v>
      </c>
      <c r="BO151" s="109" t="str">
        <f aca="false">IF(ISBLANK($C151),"",IF(ISNUMBER(BK151),BK151+ROW($B151)/1000,""))</f>
        <v/>
      </c>
      <c r="BP151" s="109" t="str">
        <f aca="false">IF(ISNUMBER(BO151), RANK(BO151,BO$8:BO$507,1), "")</f>
        <v/>
      </c>
      <c r="BQ151" s="109" t="str">
        <f aca="false">IF(ISBLANK($C151),
    "",
    $B151
)</f>
        <v/>
      </c>
      <c r="BR151" s="109" t="str">
        <f aca="false">IF(ISBLANK($C151),
    "",
    $C151
)</f>
        <v/>
      </c>
      <c r="BS151" s="109" t="str">
        <f aca="false">IF(ISBLANK($C151),
    "",
    $D151
)</f>
        <v/>
      </c>
      <c r="BT151" s="110" t="str">
        <f aca="false">BH151</f>
        <v/>
      </c>
      <c r="BU151" s="111" t="str">
        <f aca="false">BG151</f>
        <v/>
      </c>
      <c r="BV151" s="109" t="str">
        <f aca="false">IF(ISBLANK($C151),
    "",
    BJ151
)</f>
        <v/>
      </c>
      <c r="BW151" s="112" t="str">
        <f aca="false">IF(BN151&gt;BM$7,
    "",
    VLOOKUP(BN151,BP$8:BV650,7,FALSE())
)</f>
        <v/>
      </c>
      <c r="BX151" s="113" t="str">
        <f aca="false">IF(BN151&gt;BM$7,
    "",
    VLOOKUP(BN151,BP$8:BV650,2,FALSE())
)</f>
        <v/>
      </c>
      <c r="BY151" s="113" t="str">
        <f aca="false">IF(BN151&gt;BM$7,
    "",
    VLOOKUP(BN151,BP$8:BV650,3,FALSE())
)</f>
        <v/>
      </c>
      <c r="BZ151" s="113" t="str">
        <f aca="false">IF(BN151&gt;BM$7,
    "",
    VLOOKUP(BN151,BP$8:BV650,4,FALSE())
)</f>
        <v/>
      </c>
      <c r="CA151" s="113" t="str">
        <f aca="false">IF(BN151&gt;BM$7,
    "",
    VLOOKUP(BN151,BP$8:BV650,5,FALSE())
)</f>
        <v/>
      </c>
      <c r="CB151" s="114" t="str">
        <f aca="false">IF(BN151&gt;BM$7,
    "",
    VLOOKUP(BN151,BP$8:BV650,6,FALSE())
)</f>
        <v/>
      </c>
      <c r="CC151" s="53"/>
    </row>
    <row r="152" customFormat="false" ht="15.75" hidden="false" customHeight="false" outlineLevel="0" collapsed="false">
      <c r="A152" s="5"/>
      <c r="B152" s="129"/>
      <c r="C152" s="55"/>
      <c r="D152" s="56"/>
      <c r="E152" s="123"/>
      <c r="F152" s="123"/>
      <c r="G152" s="58"/>
      <c r="H152" s="59"/>
      <c r="I152" s="59"/>
      <c r="J152" s="83"/>
      <c r="K152" s="83"/>
      <c r="L152" s="83"/>
      <c r="M152" s="61"/>
      <c r="N152" s="61"/>
      <c r="O152" s="61"/>
      <c r="P152" s="62"/>
      <c r="Q152" s="63"/>
      <c r="R152" s="83"/>
      <c r="S152" s="65"/>
      <c r="T152" s="66"/>
      <c r="U152" s="66" t="str">
        <f aca="false">IF(ISBLANK($C152),"",IF(G152=Constants!$B$2, TRUE(), IF(G152=Constants!$B$3, FALSE(), TRUE())))</f>
        <v/>
      </c>
      <c r="V152" s="66" t="str">
        <f aca="false">IF(ISBLANK($C152),"",IF(H152=Constants!$B$2, TRUE(), IF(H152=Constants!$B$3, FALSE(), TRUE())))</f>
        <v/>
      </c>
      <c r="W152" s="66" t="str">
        <f aca="false">IF(ISBLANK($C152),"",IF(I152=Constants!$B$2, TRUE(), IF(I152=Constants!$B$3, FALSE(), TRUE())))</f>
        <v/>
      </c>
      <c r="X152" s="66" t="str">
        <f aca="false">IF(ISBLANK($C152),"",IF(AND(ISNUMBER(J152),J152&gt;0),INT(J152),0))</f>
        <v/>
      </c>
      <c r="Y152" s="66" t="str">
        <f aca="false">IF(ISBLANK($C152),"",IF(K152=Constants!$B$2, TRUE(), IF(K152=Constants!$B$3, FALSE(), TRUE())))</f>
        <v/>
      </c>
      <c r="Z152" s="66" t="str">
        <f aca="false">IF(ISBLANK($C152),"",IF(AND(ISNUMBER(L152),L152&gt;0),INT(L152),0))</f>
        <v/>
      </c>
      <c r="AA152" s="68" t="str">
        <f aca="false">IF(ISBLANK($C152),"",IF(ISNUMBER(M152), M152, ""))</f>
        <v/>
      </c>
      <c r="AB152" s="68" t="str">
        <f aca="false">IF(ISBLANK($C152),"",IF(ISNUMBER(N152), N152, ""))</f>
        <v/>
      </c>
      <c r="AC152" s="68" t="str">
        <f aca="false">IF(ISBLANK($C152),"",IF(ISNUMBER(O152), O152, ""))</f>
        <v/>
      </c>
      <c r="AD152" s="69" t="str">
        <f aca="false">IF(ISBLANK($C152),"",IF(ISNUMBER(P152), P152, ""))</f>
        <v/>
      </c>
      <c r="AE152" s="69" t="str">
        <f aca="false">IF(ISBLANK($C152),"",IF(ISNUMBER(Q152), Q152, Constants!$B$13))</f>
        <v/>
      </c>
      <c r="AF152" s="66" t="str">
        <f aca="false">IF(ISBLANK($C152),"",IF(R152=Constants!$B$2, TRUE(), IF(R152=Constants!$B$3, FALSE(), FALSE())))</f>
        <v/>
      </c>
      <c r="AG152" s="66" t="str">
        <f aca="false">IF(ISBLANK(C152), "", IF(AF152, Constants!$B$4,IF(COUNTA(G152:P152)=0, Constants!$B$5, Constants!$B$7)))</f>
        <v/>
      </c>
      <c r="AH152" s="66" t="str">
        <f aca="false">IF(ISBLANK($C152), "",IF($AG152=Constants!$B$7,1,$AG152))</f>
        <v/>
      </c>
      <c r="AI152" s="66" t="str">
        <f aca="false">IF($AG152=Constants!$B$7,POWER(Constants!$B$11,X152)*POWER(Constants!$B$12,Z152),"")</f>
        <v/>
      </c>
      <c r="AJ152" s="66" t="str">
        <f aca="false">IF(AND($AG152=Constants!$B$7, U152, V152) ,IF(OR($AA152="",$AC152=""),"",MAX(0, $AC152-$AA152)),"")</f>
        <v/>
      </c>
      <c r="AK152" s="66" t="str">
        <f aca="false">IF(AND($AG152=Constants!$B$7, U152, V152),IF(OR($AA152="",$AC152=""),$AK$6,""),"")</f>
        <v/>
      </c>
      <c r="AL152" s="66" t="str">
        <f aca="false">IF($AG152=Constants!$B$7,IF(AND(U152,V152,W152,Y152),IF($AJ152="",0,IF($AJ$6=0,Constants!$B$9,Constants!$B$9*AJ152/$AJ$6)), 0),"")</f>
        <v/>
      </c>
      <c r="AM152" s="66" t="str">
        <f aca="false">IF(AL152&lt;&gt;"", AL152*AI152,"")</f>
        <v/>
      </c>
      <c r="AN152" s="66" t="str">
        <f aca="false">IF(AND($AG152=Constants!$B$7, U152, V152) ,IF($AB152="", "", IF(OR($AC152="",$AC152=0),"",MAX(0,1-ABS($AC152-$AB152)/$AC152))),"")</f>
        <v/>
      </c>
      <c r="AO152" s="66" t="str">
        <f aca="false">IF(AND($AG152=Constants!$B$7, U152, V152),IF(AND($AA152&lt;&gt;"",$AB152&lt;&gt;"",$AC152=0),$AO$6,""),"")</f>
        <v/>
      </c>
      <c r="AP152" s="66" t="str">
        <f aca="false">IF($AG152=Constants!$B$7 ,IF(AND(U152,V152,W152,Y152,ISNUMBER(AB152)),IF($AN152="",0,IF($AN$6=0,Constants!$B$10,Constants!$B$10*AN152/$AN$6)), 0),"")</f>
        <v/>
      </c>
      <c r="AQ152" s="66" t="str">
        <f aca="false">IF(AP152&lt;&gt;"", AP152*AI152,"")</f>
        <v/>
      </c>
      <c r="AR152" s="66" t="str">
        <f aca="false">IF($AG152=Constants!$B$7,IF($AD152="",0,IF($AR$6=0,Constants!$B$8,Constants!$B$8*AD152/$AR$6)),"")</f>
        <v/>
      </c>
      <c r="AS152" s="66" t="str">
        <f aca="false">IF($AG152&lt;&gt;Constants!$B$7,$AG152,IF(AK152&amp;AO152&lt;&gt;"",Constants!$B$14,AM152+AQ152+AR152))</f>
        <v/>
      </c>
      <c r="AT152" s="66" t="str">
        <f aca="false">IF(ISBLANK($C152),"",IF($AG152=Constants!$B$7,IF(ISNUMBER(AS152),RANK(AS152,$AS$8:$AS$507),Constants!$B$14),$AG152))</f>
        <v/>
      </c>
      <c r="AU152" s="66" t="str">
        <f aca="false">IF(ISBLANK($C152), "",AM152)</f>
        <v/>
      </c>
      <c r="AV152" s="66" t="str">
        <f aca="false">IF(ISBLANK($C152),"",IF($AG152=Constants!$B$7,RANK(AU152,AU$8:AU$507),$AG152))</f>
        <v/>
      </c>
      <c r="AW152" s="66" t="str">
        <f aca="false">IF(ISBLANK($C152), "",AR152)</f>
        <v/>
      </c>
      <c r="AX152" s="66" t="str">
        <f aca="false">IF(ISBLANK($C152),"",IF($AG152=Constants!$B$7,RANK(AW152,AW$8:AW$507),$AG152))</f>
        <v/>
      </c>
      <c r="AY152" s="66" t="str">
        <f aca="false">IF(ISBLANK($C152), "",AE152)</f>
        <v/>
      </c>
      <c r="AZ152" s="66" t="str">
        <f aca="false">IF(ISBLANK($C152),"",
IF($AG152=Constants!$B$7,
  IF(ISNUMBER(AT152),
    COUNTIFS($AT$8:$AT$507,"&lt;"&amp;$AT152)
    + COUNTIFS($AT$8:$AT$507,$AT152,$AV$8:$AV$507,"&lt;"&amp;$AV152)
    + COUNTIFS($AT$8:$AT$507,$AT152,$AV$8:$AV$507,$AV152,$AX$8:$AX$507,"&lt;"&amp;$AX152)
    + COUNTIFS($AT$8:$AT$507,$AT152,$AV$8:$AV$507,$AV152,$AX$8:$AX$507,$AX152,$AY$8:$AY$507,"&lt;"&amp;$AY152)
    + 1,
  Constants!$B$14),
$AG152))</f>
        <v/>
      </c>
      <c r="BA152" s="66" t="str">
        <f aca="false">IF(ISBLANK(C152),"",IF($AG152=Constants!$B$7, IF(ISNUMBER(AT152),AT152-AZ152,Constants!$B$14),$AG152))</f>
        <v/>
      </c>
      <c r="BB152" s="70"/>
      <c r="BC152" s="84" t="str">
        <f aca="false">IF(ISBLANK($C152),"",TRIM(AK152&amp;" "&amp;AO152))</f>
        <v/>
      </c>
      <c r="BD152" s="72" t="str">
        <f aca="false">IF(ISBLANK($C152),"",IF($AG152&lt;&gt;Constants!$B$7,$AG152,AR152))</f>
        <v/>
      </c>
      <c r="BE152" s="72" t="str">
        <f aca="false">IF(ISBLANK($C152),"",IF($AG152&lt;&gt;Constants!$B$7,$AG152,AM152))</f>
        <v/>
      </c>
      <c r="BF152" s="72" t="str">
        <f aca="false">IF(ISBLANK($C152),"",IF($AG152&lt;&gt;Constants!$B$7,$AG152,AQ152))</f>
        <v/>
      </c>
      <c r="BG152" s="73" t="str">
        <f aca="false">IF(ISBLANK($C152),"",IF($AG152&lt;&gt;Constants!$B$7, $AG152 ,AS152))</f>
        <v/>
      </c>
      <c r="BH152" s="74" t="str">
        <f aca="false">IF(ISBLANK($C152),"",IF($AG152&lt;&gt;Constants!$B$7, $AG152 ,AH152))</f>
        <v/>
      </c>
      <c r="BI152" s="72" t="str">
        <f aca="false">IF(ISBLANK(C152),"",BA152)</f>
        <v/>
      </c>
      <c r="BJ152" s="72" t="str">
        <f aca="false">IF(ISBLANK(C152),"",AZ152)</f>
        <v/>
      </c>
      <c r="BK152" s="75" t="str">
        <f aca="false">IF(ISBLANK(C152),"",IFERROR(_xlfn.SWITCH(BJ152, Constants!$B$4, COUNTA($C$8:$C651)+2, Constants!$B$5, COUNTA($C$8:$C651)+1, Constants!$B$6, COUNTA($C$8:$C651)),BJ152))</f>
        <v/>
      </c>
      <c r="BL152" s="5"/>
      <c r="BM152" s="76" t="n">
        <f aca="false">IF(OR(ISNUMBER(BJ152),BJ152="DQ",BJ152="P",BJ152="NS"),
    1,
    0
)</f>
        <v>0</v>
      </c>
      <c r="BN152" s="76" t="n">
        <v>145</v>
      </c>
      <c r="BO152" s="76" t="str">
        <f aca="false">IF(ISBLANK($C152),"",IF(ISNUMBER(BK152),BK152+ROW($B152)/1000,""))</f>
        <v/>
      </c>
      <c r="BP152" s="76" t="str">
        <f aca="false">IF(ISNUMBER(BO152), RANK(BO152,BO$8:BO$507,1), "")</f>
        <v/>
      </c>
      <c r="BQ152" s="76" t="str">
        <f aca="false">IF(ISBLANK($C152),
    "",
    $B152
)</f>
        <v/>
      </c>
      <c r="BR152" s="76" t="str">
        <f aca="false">IF(ISBLANK($C152),
    "",
    $C152
)</f>
        <v/>
      </c>
      <c r="BS152" s="76" t="str">
        <f aca="false">IF(ISBLANK($C152),
    "",
    $D152
)</f>
        <v/>
      </c>
      <c r="BT152" s="77" t="str">
        <f aca="false">BH152</f>
        <v/>
      </c>
      <c r="BU152" s="78" t="str">
        <f aca="false">BG152</f>
        <v/>
      </c>
      <c r="BV152" s="76" t="str">
        <f aca="false">IF(ISBLANK($C152),
    "",
    BJ152
)</f>
        <v/>
      </c>
      <c r="BW152" s="79" t="str">
        <f aca="false">IF(BN152&gt;BM$7,
    "",
    VLOOKUP(BN152,BP$8:BV651,7,FALSE())
)</f>
        <v/>
      </c>
      <c r="BX152" s="80" t="str">
        <f aca="false">IF(BN152&gt;BM$7,
    "",
    VLOOKUP(BN152,BP$8:BV651,2,FALSE())
)</f>
        <v/>
      </c>
      <c r="BY152" s="80" t="str">
        <f aca="false">IF(BN152&gt;BM$7,
    "",
    VLOOKUP(BN152,BP$8:BV651,3,FALSE())
)</f>
        <v/>
      </c>
      <c r="BZ152" s="80" t="str">
        <f aca="false">IF(BN152&gt;BM$7,
    "",
    VLOOKUP(BN152,BP$8:BV651,4,FALSE())
)</f>
        <v/>
      </c>
      <c r="CA152" s="80" t="str">
        <f aca="false">IF(BN152&gt;BM$7,
    "",
    VLOOKUP(BN152,BP$8:BV651,5,FALSE())
)</f>
        <v/>
      </c>
      <c r="CB152" s="81" t="str">
        <f aca="false">IF(BN152&gt;BM$7,
    "",
    VLOOKUP(BN152,BP$8:BV651,6,FALSE())
)</f>
        <v/>
      </c>
      <c r="CC152" s="53"/>
    </row>
    <row r="153" customFormat="false" ht="15.75" hidden="false" customHeight="false" outlineLevel="0" collapsed="false">
      <c r="A153" s="5"/>
      <c r="B153" s="129"/>
      <c r="C153" s="55"/>
      <c r="D153" s="56"/>
      <c r="E153" s="123"/>
      <c r="F153" s="123"/>
      <c r="G153" s="58"/>
      <c r="H153" s="59"/>
      <c r="I153" s="59"/>
      <c r="J153" s="83"/>
      <c r="K153" s="83"/>
      <c r="L153" s="83"/>
      <c r="M153" s="61"/>
      <c r="N153" s="61"/>
      <c r="O153" s="61"/>
      <c r="P153" s="62"/>
      <c r="Q153" s="63"/>
      <c r="R153" s="83"/>
      <c r="S153" s="65"/>
      <c r="T153" s="66"/>
      <c r="U153" s="66" t="str">
        <f aca="false">IF(ISBLANK($C153),"",IF(G153=Constants!$B$2, TRUE(), IF(G153=Constants!$B$3, FALSE(), TRUE())))</f>
        <v/>
      </c>
      <c r="V153" s="66" t="str">
        <f aca="false">IF(ISBLANK($C153),"",IF(H153=Constants!$B$2, TRUE(), IF(H153=Constants!$B$3, FALSE(), TRUE())))</f>
        <v/>
      </c>
      <c r="W153" s="66" t="str">
        <f aca="false">IF(ISBLANK($C153),"",IF(I153=Constants!$B$2, TRUE(), IF(I153=Constants!$B$3, FALSE(), TRUE())))</f>
        <v/>
      </c>
      <c r="X153" s="66" t="str">
        <f aca="false">IF(ISBLANK($C153),"",IF(AND(ISNUMBER(J153),J153&gt;0),INT(J153),0))</f>
        <v/>
      </c>
      <c r="Y153" s="66" t="str">
        <f aca="false">IF(ISBLANK($C153),"",IF(K153=Constants!$B$2, TRUE(), IF(K153=Constants!$B$3, FALSE(), TRUE())))</f>
        <v/>
      </c>
      <c r="Z153" s="66" t="str">
        <f aca="false">IF(ISBLANK($C153),"",IF(AND(ISNUMBER(L153),L153&gt;0),INT(L153),0))</f>
        <v/>
      </c>
      <c r="AA153" s="68" t="str">
        <f aca="false">IF(ISBLANK($C153),"",IF(ISNUMBER(M153), M153, ""))</f>
        <v/>
      </c>
      <c r="AB153" s="68" t="str">
        <f aca="false">IF(ISBLANK($C153),"",IF(ISNUMBER(N153), N153, ""))</f>
        <v/>
      </c>
      <c r="AC153" s="68" t="str">
        <f aca="false">IF(ISBLANK($C153),"",IF(ISNUMBER(O153), O153, ""))</f>
        <v/>
      </c>
      <c r="AD153" s="69" t="str">
        <f aca="false">IF(ISBLANK($C153),"",IF(ISNUMBER(P153), P153, ""))</f>
        <v/>
      </c>
      <c r="AE153" s="69" t="str">
        <f aca="false">IF(ISBLANK($C153),"",IF(ISNUMBER(Q153), Q153, Constants!$B$13))</f>
        <v/>
      </c>
      <c r="AF153" s="66" t="str">
        <f aca="false">IF(ISBLANK($C153),"",IF(R153=Constants!$B$2, TRUE(), IF(R153=Constants!$B$3, FALSE(), FALSE())))</f>
        <v/>
      </c>
      <c r="AG153" s="66" t="str">
        <f aca="false">IF(ISBLANK(C153), "", IF(AF153, Constants!$B$4,IF(COUNTA(G153:P153)=0, Constants!$B$5, Constants!$B$7)))</f>
        <v/>
      </c>
      <c r="AH153" s="66" t="str">
        <f aca="false">IF(ISBLANK($C153), "",IF($AG153=Constants!$B$7,1,$AG153))</f>
        <v/>
      </c>
      <c r="AI153" s="66" t="str">
        <f aca="false">IF($AG153=Constants!$B$7,POWER(Constants!$B$11,X153)*POWER(Constants!$B$12,Z153),"")</f>
        <v/>
      </c>
      <c r="AJ153" s="66" t="str">
        <f aca="false">IF(AND($AG153=Constants!$B$7, U153, V153) ,IF(OR($AA153="",$AC153=""),"",MAX(0, $AC153-$AA153)),"")</f>
        <v/>
      </c>
      <c r="AK153" s="66" t="str">
        <f aca="false">IF(AND($AG153=Constants!$B$7, U153, V153),IF(OR($AA153="",$AC153=""),$AK$6,""),"")</f>
        <v/>
      </c>
      <c r="AL153" s="66" t="str">
        <f aca="false">IF($AG153=Constants!$B$7,IF(AND(U153,V153,W153,Y153),IF($AJ153="",0,IF($AJ$6=0,Constants!$B$9,Constants!$B$9*AJ153/$AJ$6)), 0),"")</f>
        <v/>
      </c>
      <c r="AM153" s="66" t="str">
        <f aca="false">IF(AL153&lt;&gt;"", AL153*AI153,"")</f>
        <v/>
      </c>
      <c r="AN153" s="66" t="str">
        <f aca="false">IF(AND($AG153=Constants!$B$7, U153, V153) ,IF($AB153="", "", IF(OR($AC153="",$AC153=0),"",MAX(0,1-ABS($AC153-$AB153)/$AC153))),"")</f>
        <v/>
      </c>
      <c r="AO153" s="66" t="str">
        <f aca="false">IF(AND($AG153=Constants!$B$7, U153, V153),IF(AND($AA153&lt;&gt;"",$AB153&lt;&gt;"",$AC153=0),$AO$6,""),"")</f>
        <v/>
      </c>
      <c r="AP153" s="66" t="str">
        <f aca="false">IF($AG153=Constants!$B$7 ,IF(AND(U153,V153,W153,Y153,ISNUMBER(AB153)),IF($AN153="",0,IF($AN$6=0,Constants!$B$10,Constants!$B$10*AN153/$AN$6)), 0),"")</f>
        <v/>
      </c>
      <c r="AQ153" s="66" t="str">
        <f aca="false">IF(AP153&lt;&gt;"", AP153*AI153,"")</f>
        <v/>
      </c>
      <c r="AR153" s="66" t="str">
        <f aca="false">IF($AG153=Constants!$B$7,IF($AD153="",0,IF($AR$6=0,Constants!$B$8,Constants!$B$8*AD153/$AR$6)),"")</f>
        <v/>
      </c>
      <c r="AS153" s="66" t="str">
        <f aca="false">IF($AG153&lt;&gt;Constants!$B$7,$AG153,IF(AK153&amp;AO153&lt;&gt;"",Constants!$B$14,AM153+AQ153+AR153))</f>
        <v/>
      </c>
      <c r="AT153" s="66" t="str">
        <f aca="false">IF(ISBLANK($C153),"",IF($AG153=Constants!$B$7,IF(ISNUMBER(AS153),RANK(AS153,$AS$8:$AS$507),Constants!$B$14),$AG153))</f>
        <v/>
      </c>
      <c r="AU153" s="66" t="str">
        <f aca="false">IF(ISBLANK($C153), "",AM153)</f>
        <v/>
      </c>
      <c r="AV153" s="66" t="str">
        <f aca="false">IF(ISBLANK($C153),"",IF($AG153=Constants!$B$7,RANK(AU153,AU$8:AU$507),$AG153))</f>
        <v/>
      </c>
      <c r="AW153" s="66" t="str">
        <f aca="false">IF(ISBLANK($C153), "",AR153)</f>
        <v/>
      </c>
      <c r="AX153" s="66" t="str">
        <f aca="false">IF(ISBLANK($C153),"",IF($AG153=Constants!$B$7,RANK(AW153,AW$8:AW$507),$AG153))</f>
        <v/>
      </c>
      <c r="AY153" s="66" t="str">
        <f aca="false">IF(ISBLANK($C153), "",AE153)</f>
        <v/>
      </c>
      <c r="AZ153" s="66" t="str">
        <f aca="false">IF(ISBLANK($C153),"",
IF($AG153=Constants!$B$7,
  IF(ISNUMBER(AT153),
    COUNTIFS($AT$8:$AT$507,"&lt;"&amp;$AT153)
    + COUNTIFS($AT$8:$AT$507,$AT153,$AV$8:$AV$507,"&lt;"&amp;$AV153)
    + COUNTIFS($AT$8:$AT$507,$AT153,$AV$8:$AV$507,$AV153,$AX$8:$AX$507,"&lt;"&amp;$AX153)
    + COUNTIFS($AT$8:$AT$507,$AT153,$AV$8:$AV$507,$AV153,$AX$8:$AX$507,$AX153,$AY$8:$AY$507,"&lt;"&amp;$AY153)
    + 1,
  Constants!$B$14),
$AG153))</f>
        <v/>
      </c>
      <c r="BA153" s="66" t="str">
        <f aca="false">IF(ISBLANK(C153),"",IF($AG153=Constants!$B$7, IF(ISNUMBER(AT153),AT153-AZ153,Constants!$B$14),$AG153))</f>
        <v/>
      </c>
      <c r="BB153" s="70"/>
      <c r="BC153" s="84" t="str">
        <f aca="false">IF(ISBLANK($C153),"",TRIM(AK153&amp;" "&amp;AO153))</f>
        <v/>
      </c>
      <c r="BD153" s="72" t="str">
        <f aca="false">IF(ISBLANK($C153),"",IF($AG153&lt;&gt;Constants!$B$7,$AG153,AR153))</f>
        <v/>
      </c>
      <c r="BE153" s="72" t="str">
        <f aca="false">IF(ISBLANK($C153),"",IF($AG153&lt;&gt;Constants!$B$7,$AG153,AM153))</f>
        <v/>
      </c>
      <c r="BF153" s="72" t="str">
        <f aca="false">IF(ISBLANK($C153),"",IF($AG153&lt;&gt;Constants!$B$7,$AG153,AQ153))</f>
        <v/>
      </c>
      <c r="BG153" s="73" t="str">
        <f aca="false">IF(ISBLANK($C153),"",IF($AG153&lt;&gt;Constants!$B$7, $AG153 ,AS153))</f>
        <v/>
      </c>
      <c r="BH153" s="74" t="str">
        <f aca="false">IF(ISBLANK($C153),"",IF($AG153&lt;&gt;Constants!$B$7, $AG153 ,AH153))</f>
        <v/>
      </c>
      <c r="BI153" s="72" t="str">
        <f aca="false">IF(ISBLANK(C153),"",BA153)</f>
        <v/>
      </c>
      <c r="BJ153" s="72" t="str">
        <f aca="false">IF(ISBLANK(C153),"",AZ153)</f>
        <v/>
      </c>
      <c r="BK153" s="75" t="str">
        <f aca="false">IF(ISBLANK(C153),"",IFERROR(_xlfn.SWITCH(BJ153, Constants!$B$4, COUNTA($C$8:$C652)+2, Constants!$B$5, COUNTA($C$8:$C652)+1, Constants!$B$6, COUNTA($C$8:$C652)),BJ153))</f>
        <v/>
      </c>
      <c r="BL153" s="5"/>
      <c r="BM153" s="76" t="n">
        <f aca="false">IF(OR(ISNUMBER(BJ153),BJ153="DQ",BJ153="P",BJ153="NS"),
    1,
    0
)</f>
        <v>0</v>
      </c>
      <c r="BN153" s="76" t="n">
        <v>146</v>
      </c>
      <c r="BO153" s="76" t="str">
        <f aca="false">IF(ISBLANK($C153),"",IF(ISNUMBER(BK153),BK153+ROW($B153)/1000,""))</f>
        <v/>
      </c>
      <c r="BP153" s="76" t="str">
        <f aca="false">IF(ISNUMBER(BO153), RANK(BO153,BO$8:BO$507,1), "")</f>
        <v/>
      </c>
      <c r="BQ153" s="76" t="str">
        <f aca="false">IF(ISBLANK($C153),
    "",
    $B153
)</f>
        <v/>
      </c>
      <c r="BR153" s="76" t="str">
        <f aca="false">IF(ISBLANK($C153),
    "",
    $C153
)</f>
        <v/>
      </c>
      <c r="BS153" s="76" t="str">
        <f aca="false">IF(ISBLANK($C153),
    "",
    $D153
)</f>
        <v/>
      </c>
      <c r="BT153" s="77" t="str">
        <f aca="false">BH153</f>
        <v/>
      </c>
      <c r="BU153" s="78" t="str">
        <f aca="false">BG153</f>
        <v/>
      </c>
      <c r="BV153" s="76" t="str">
        <f aca="false">IF(ISBLANK($C153),
    "",
    BJ153
)</f>
        <v/>
      </c>
      <c r="BW153" s="79" t="str">
        <f aca="false">IF(BN153&gt;BM$7,
    "",
    VLOOKUP(BN153,BP$8:BV652,7,FALSE())
)</f>
        <v/>
      </c>
      <c r="BX153" s="80" t="str">
        <f aca="false">IF(BN153&gt;BM$7,
    "",
    VLOOKUP(BN153,BP$8:BV652,2,FALSE())
)</f>
        <v/>
      </c>
      <c r="BY153" s="80" t="str">
        <f aca="false">IF(BN153&gt;BM$7,
    "",
    VLOOKUP(BN153,BP$8:BV652,3,FALSE())
)</f>
        <v/>
      </c>
      <c r="BZ153" s="80" t="str">
        <f aca="false">IF(BN153&gt;BM$7,
    "",
    VLOOKUP(BN153,BP$8:BV652,4,FALSE())
)</f>
        <v/>
      </c>
      <c r="CA153" s="80" t="str">
        <f aca="false">IF(BN153&gt;BM$7,
    "",
    VLOOKUP(BN153,BP$8:BV652,5,FALSE())
)</f>
        <v/>
      </c>
      <c r="CB153" s="81" t="str">
        <f aca="false">IF(BN153&gt;BM$7,
    "",
    VLOOKUP(BN153,BP$8:BV652,6,FALSE())
)</f>
        <v/>
      </c>
      <c r="CC153" s="53"/>
    </row>
    <row r="154" customFormat="false" ht="15.75" hidden="false" customHeight="false" outlineLevel="0" collapsed="false">
      <c r="A154" s="5"/>
      <c r="B154" s="129"/>
      <c r="C154" s="55"/>
      <c r="D154" s="56"/>
      <c r="E154" s="123"/>
      <c r="F154" s="123"/>
      <c r="G154" s="58"/>
      <c r="H154" s="59"/>
      <c r="I154" s="59"/>
      <c r="J154" s="83"/>
      <c r="K154" s="83"/>
      <c r="L154" s="83"/>
      <c r="M154" s="61"/>
      <c r="N154" s="61"/>
      <c r="O154" s="61"/>
      <c r="P154" s="62"/>
      <c r="Q154" s="63"/>
      <c r="R154" s="83"/>
      <c r="S154" s="65"/>
      <c r="T154" s="66"/>
      <c r="U154" s="66" t="str">
        <f aca="false">IF(ISBLANK($C154),"",IF(G154=Constants!$B$2, TRUE(), IF(G154=Constants!$B$3, FALSE(), TRUE())))</f>
        <v/>
      </c>
      <c r="V154" s="66" t="str">
        <f aca="false">IF(ISBLANK($C154),"",IF(H154=Constants!$B$2, TRUE(), IF(H154=Constants!$B$3, FALSE(), TRUE())))</f>
        <v/>
      </c>
      <c r="W154" s="66" t="str">
        <f aca="false">IF(ISBLANK($C154),"",IF(I154=Constants!$B$2, TRUE(), IF(I154=Constants!$B$3, FALSE(), TRUE())))</f>
        <v/>
      </c>
      <c r="X154" s="66" t="str">
        <f aca="false">IF(ISBLANK($C154),"",IF(AND(ISNUMBER(J154),J154&gt;0),INT(J154),0))</f>
        <v/>
      </c>
      <c r="Y154" s="66" t="str">
        <f aca="false">IF(ISBLANK($C154),"",IF(K154=Constants!$B$2, TRUE(), IF(K154=Constants!$B$3, FALSE(), TRUE())))</f>
        <v/>
      </c>
      <c r="Z154" s="66" t="str">
        <f aca="false">IF(ISBLANK($C154),"",IF(AND(ISNUMBER(L154),L154&gt;0),INT(L154),0))</f>
        <v/>
      </c>
      <c r="AA154" s="68" t="str">
        <f aca="false">IF(ISBLANK($C154),"",IF(ISNUMBER(M154), M154, ""))</f>
        <v/>
      </c>
      <c r="AB154" s="68" t="str">
        <f aca="false">IF(ISBLANK($C154),"",IF(ISNUMBER(N154), N154, ""))</f>
        <v/>
      </c>
      <c r="AC154" s="68" t="str">
        <f aca="false">IF(ISBLANK($C154),"",IF(ISNUMBER(O154), O154, ""))</f>
        <v/>
      </c>
      <c r="AD154" s="69" t="str">
        <f aca="false">IF(ISBLANK($C154),"",IF(ISNUMBER(P154), P154, ""))</f>
        <v/>
      </c>
      <c r="AE154" s="69" t="str">
        <f aca="false">IF(ISBLANK($C154),"",IF(ISNUMBER(Q154), Q154, Constants!$B$13))</f>
        <v/>
      </c>
      <c r="AF154" s="66" t="str">
        <f aca="false">IF(ISBLANK($C154),"",IF(R154=Constants!$B$2, TRUE(), IF(R154=Constants!$B$3, FALSE(), FALSE())))</f>
        <v/>
      </c>
      <c r="AG154" s="66" t="str">
        <f aca="false">IF(ISBLANK(C154), "", IF(AF154, Constants!$B$4,IF(COUNTA(G154:P154)=0, Constants!$B$5, Constants!$B$7)))</f>
        <v/>
      </c>
      <c r="AH154" s="66" t="str">
        <f aca="false">IF(ISBLANK($C154), "",IF($AG154=Constants!$B$7,1,$AG154))</f>
        <v/>
      </c>
      <c r="AI154" s="66" t="str">
        <f aca="false">IF($AG154=Constants!$B$7,POWER(Constants!$B$11,X154)*POWER(Constants!$B$12,Z154),"")</f>
        <v/>
      </c>
      <c r="AJ154" s="66" t="str">
        <f aca="false">IF(AND($AG154=Constants!$B$7, U154, V154) ,IF(OR($AA154="",$AC154=""),"",MAX(0, $AC154-$AA154)),"")</f>
        <v/>
      </c>
      <c r="AK154" s="66" t="str">
        <f aca="false">IF(AND($AG154=Constants!$B$7, U154, V154),IF(OR($AA154="",$AC154=""),$AK$6,""),"")</f>
        <v/>
      </c>
      <c r="AL154" s="66" t="str">
        <f aca="false">IF($AG154=Constants!$B$7,IF(AND(U154,V154,W154,Y154),IF($AJ154="",0,IF($AJ$6=0,Constants!$B$9,Constants!$B$9*AJ154/$AJ$6)), 0),"")</f>
        <v/>
      </c>
      <c r="AM154" s="66" t="str">
        <f aca="false">IF(AL154&lt;&gt;"", AL154*AI154,"")</f>
        <v/>
      </c>
      <c r="AN154" s="66" t="str">
        <f aca="false">IF(AND($AG154=Constants!$B$7, U154, V154) ,IF($AB154="", "", IF(OR($AC154="",$AC154=0),"",MAX(0,1-ABS($AC154-$AB154)/$AC154))),"")</f>
        <v/>
      </c>
      <c r="AO154" s="66" t="str">
        <f aca="false">IF(AND($AG154=Constants!$B$7, U154, V154),IF(AND($AA154&lt;&gt;"",$AB154&lt;&gt;"",$AC154=0),$AO$6,""),"")</f>
        <v/>
      </c>
      <c r="AP154" s="66" t="str">
        <f aca="false">IF($AG154=Constants!$B$7 ,IF(AND(U154,V154,W154,Y154,ISNUMBER(AB154)),IF($AN154="",0,IF($AN$6=0,Constants!$B$10,Constants!$B$10*AN154/$AN$6)), 0),"")</f>
        <v/>
      </c>
      <c r="AQ154" s="66" t="str">
        <f aca="false">IF(AP154&lt;&gt;"", AP154*AI154,"")</f>
        <v/>
      </c>
      <c r="AR154" s="66" t="str">
        <f aca="false">IF($AG154=Constants!$B$7,IF($AD154="",0,IF($AR$6=0,Constants!$B$8,Constants!$B$8*AD154/$AR$6)),"")</f>
        <v/>
      </c>
      <c r="AS154" s="66" t="str">
        <f aca="false">IF($AG154&lt;&gt;Constants!$B$7,$AG154,IF(AK154&amp;AO154&lt;&gt;"",Constants!$B$14,AM154+AQ154+AR154))</f>
        <v/>
      </c>
      <c r="AT154" s="66" t="str">
        <f aca="false">IF(ISBLANK($C154),"",IF($AG154=Constants!$B$7,IF(ISNUMBER(AS154),RANK(AS154,$AS$8:$AS$507),Constants!$B$14),$AG154))</f>
        <v/>
      </c>
      <c r="AU154" s="66" t="str">
        <f aca="false">IF(ISBLANK($C154), "",AM154)</f>
        <v/>
      </c>
      <c r="AV154" s="66" t="str">
        <f aca="false">IF(ISBLANK($C154),"",IF($AG154=Constants!$B$7,RANK(AU154,AU$8:AU$507),$AG154))</f>
        <v/>
      </c>
      <c r="AW154" s="66" t="str">
        <f aca="false">IF(ISBLANK($C154), "",AR154)</f>
        <v/>
      </c>
      <c r="AX154" s="66" t="str">
        <f aca="false">IF(ISBLANK($C154),"",IF($AG154=Constants!$B$7,RANK(AW154,AW$8:AW$507),$AG154))</f>
        <v/>
      </c>
      <c r="AY154" s="66" t="str">
        <f aca="false">IF(ISBLANK($C154), "",AE154)</f>
        <v/>
      </c>
      <c r="AZ154" s="66" t="str">
        <f aca="false">IF(ISBLANK($C154),"",
IF($AG154=Constants!$B$7,
  IF(ISNUMBER(AT154),
    COUNTIFS($AT$8:$AT$507,"&lt;"&amp;$AT154)
    + COUNTIFS($AT$8:$AT$507,$AT154,$AV$8:$AV$507,"&lt;"&amp;$AV154)
    + COUNTIFS($AT$8:$AT$507,$AT154,$AV$8:$AV$507,$AV154,$AX$8:$AX$507,"&lt;"&amp;$AX154)
    + COUNTIFS($AT$8:$AT$507,$AT154,$AV$8:$AV$507,$AV154,$AX$8:$AX$507,$AX154,$AY$8:$AY$507,"&lt;"&amp;$AY154)
    + 1,
  Constants!$B$14),
$AG154))</f>
        <v/>
      </c>
      <c r="BA154" s="66" t="str">
        <f aca="false">IF(ISBLANK(C154),"",IF($AG154=Constants!$B$7, IF(ISNUMBER(AT154),AT154-AZ154,Constants!$B$14),$AG154))</f>
        <v/>
      </c>
      <c r="BB154" s="70"/>
      <c r="BC154" s="84" t="str">
        <f aca="false">IF(ISBLANK($C154),"",TRIM(AK154&amp;" "&amp;AO154))</f>
        <v/>
      </c>
      <c r="BD154" s="72" t="str">
        <f aca="false">IF(ISBLANK($C154),"",IF($AG154&lt;&gt;Constants!$B$7,$AG154,AR154))</f>
        <v/>
      </c>
      <c r="BE154" s="72" t="str">
        <f aca="false">IF(ISBLANK($C154),"",IF($AG154&lt;&gt;Constants!$B$7,$AG154,AM154))</f>
        <v/>
      </c>
      <c r="BF154" s="72" t="str">
        <f aca="false">IF(ISBLANK($C154),"",IF($AG154&lt;&gt;Constants!$B$7,$AG154,AQ154))</f>
        <v/>
      </c>
      <c r="BG154" s="73" t="str">
        <f aca="false">IF(ISBLANK($C154),"",IF($AG154&lt;&gt;Constants!$B$7, $AG154 ,AS154))</f>
        <v/>
      </c>
      <c r="BH154" s="74" t="str">
        <f aca="false">IF(ISBLANK($C154),"",IF($AG154&lt;&gt;Constants!$B$7, $AG154 ,AH154))</f>
        <v/>
      </c>
      <c r="BI154" s="72" t="str">
        <f aca="false">IF(ISBLANK(C154),"",BA154)</f>
        <v/>
      </c>
      <c r="BJ154" s="72" t="str">
        <f aca="false">IF(ISBLANK(C154),"",AZ154)</f>
        <v/>
      </c>
      <c r="BK154" s="75" t="str">
        <f aca="false">IF(ISBLANK(C154),"",IFERROR(_xlfn.SWITCH(BJ154, Constants!$B$4, COUNTA($C$8:$C653)+2, Constants!$B$5, COUNTA($C$8:$C653)+1, Constants!$B$6, COUNTA($C$8:$C653)),BJ154))</f>
        <v/>
      </c>
      <c r="BL154" s="5"/>
      <c r="BM154" s="76" t="n">
        <f aca="false">IF(OR(ISNUMBER(BJ154),BJ154="DQ",BJ154="P",BJ154="NS"),
    1,
    0
)</f>
        <v>0</v>
      </c>
      <c r="BN154" s="76" t="n">
        <v>147</v>
      </c>
      <c r="BO154" s="76" t="str">
        <f aca="false">IF(ISBLANK($C154),"",IF(ISNUMBER(BK154),BK154+ROW($B154)/1000,""))</f>
        <v/>
      </c>
      <c r="BP154" s="76" t="str">
        <f aca="false">IF(ISNUMBER(BO154), RANK(BO154,BO$8:BO$507,1), "")</f>
        <v/>
      </c>
      <c r="BQ154" s="76" t="str">
        <f aca="false">IF(ISBLANK($C154),
    "",
    $B154
)</f>
        <v/>
      </c>
      <c r="BR154" s="76" t="str">
        <f aca="false">IF(ISBLANK($C154),
    "",
    $C154
)</f>
        <v/>
      </c>
      <c r="BS154" s="76" t="str">
        <f aca="false">IF(ISBLANK($C154),
    "",
    $D154
)</f>
        <v/>
      </c>
      <c r="BT154" s="77" t="str">
        <f aca="false">BH154</f>
        <v/>
      </c>
      <c r="BU154" s="78" t="str">
        <f aca="false">BG154</f>
        <v/>
      </c>
      <c r="BV154" s="76" t="str">
        <f aca="false">IF(ISBLANK($C154),
    "",
    BJ154
)</f>
        <v/>
      </c>
      <c r="BW154" s="79" t="str">
        <f aca="false">IF(BN154&gt;BM$7,
    "",
    VLOOKUP(BN154,BP$8:BV653,7,FALSE())
)</f>
        <v/>
      </c>
      <c r="BX154" s="80" t="str">
        <f aca="false">IF(BN154&gt;BM$7,
    "",
    VLOOKUP(BN154,BP$8:BV653,2,FALSE())
)</f>
        <v/>
      </c>
      <c r="BY154" s="80" t="str">
        <f aca="false">IF(BN154&gt;BM$7,
    "",
    VLOOKUP(BN154,BP$8:BV653,3,FALSE())
)</f>
        <v/>
      </c>
      <c r="BZ154" s="80" t="str">
        <f aca="false">IF(BN154&gt;BM$7,
    "",
    VLOOKUP(BN154,BP$8:BV653,4,FALSE())
)</f>
        <v/>
      </c>
      <c r="CA154" s="80" t="str">
        <f aca="false">IF(BN154&gt;BM$7,
    "",
    VLOOKUP(BN154,BP$8:BV653,5,FALSE())
)</f>
        <v/>
      </c>
      <c r="CB154" s="81" t="str">
        <f aca="false">IF(BN154&gt;BM$7,
    "",
    VLOOKUP(BN154,BP$8:BV653,6,FALSE())
)</f>
        <v/>
      </c>
      <c r="CC154" s="53"/>
    </row>
    <row r="155" customFormat="false" ht="15.75" hidden="false" customHeight="false" outlineLevel="0" collapsed="false">
      <c r="A155" s="5"/>
      <c r="B155" s="125"/>
      <c r="C155" s="126"/>
      <c r="D155" s="115"/>
      <c r="E155" s="119"/>
      <c r="F155" s="119"/>
      <c r="G155" s="91"/>
      <c r="H155" s="92"/>
      <c r="I155" s="92"/>
      <c r="J155" s="128"/>
      <c r="K155" s="128"/>
      <c r="L155" s="128"/>
      <c r="M155" s="94"/>
      <c r="N155" s="94"/>
      <c r="O155" s="94"/>
      <c r="P155" s="95"/>
      <c r="Q155" s="96"/>
      <c r="R155" s="128"/>
      <c r="S155" s="98"/>
      <c r="T155" s="99"/>
      <c r="U155" s="99" t="str">
        <f aca="false">IF(ISBLANK($C155),"",IF(G155=Constants!$B$2, TRUE(), IF(G155=Constants!$B$3, FALSE(), TRUE())))</f>
        <v/>
      </c>
      <c r="V155" s="99" t="str">
        <f aca="false">IF(ISBLANK($C155),"",IF(H155=Constants!$B$2, TRUE(), IF(H155=Constants!$B$3, FALSE(), TRUE())))</f>
        <v/>
      </c>
      <c r="W155" s="99" t="str">
        <f aca="false">IF(ISBLANK($C155),"",IF(I155=Constants!$B$2, TRUE(), IF(I155=Constants!$B$3, FALSE(), TRUE())))</f>
        <v/>
      </c>
      <c r="X155" s="99" t="str">
        <f aca="false">IF(ISBLANK($C155),"",IF(AND(ISNUMBER(J155),J155&gt;0),INT(J155),0))</f>
        <v/>
      </c>
      <c r="Y155" s="99" t="str">
        <f aca="false">IF(ISBLANK($C155),"",IF(K155=Constants!$B$2, TRUE(), IF(K155=Constants!$B$3, FALSE(), TRUE())))</f>
        <v/>
      </c>
      <c r="Z155" s="100" t="str">
        <f aca="false">IF(ISBLANK($C155),"",IF(AND(ISNUMBER(L155),L155&gt;0),INT(L155),0))</f>
        <v/>
      </c>
      <c r="AA155" s="101" t="str">
        <f aca="false">IF(ISBLANK($C155),"",IF(ISNUMBER(M155), M155, ""))</f>
        <v/>
      </c>
      <c r="AB155" s="101" t="str">
        <f aca="false">IF(ISBLANK($C155),"",IF(ISNUMBER(N155), N155, ""))</f>
        <v/>
      </c>
      <c r="AC155" s="101" t="str">
        <f aca="false">IF(ISBLANK($C155),"",IF(ISNUMBER(O155), O155, ""))</f>
        <v/>
      </c>
      <c r="AD155" s="102" t="str">
        <f aca="false">IF(ISBLANK($C155),"",IF(ISNUMBER(P155), P155, ""))</f>
        <v/>
      </c>
      <c r="AE155" s="102" t="str">
        <f aca="false">IF(ISBLANK($C155),"",IF(ISNUMBER(Q155), Q155, Constants!$B$13))</f>
        <v/>
      </c>
      <c r="AF155" s="99" t="str">
        <f aca="false">IF(ISBLANK($C155),"",IF(R155=Constants!$B$2, TRUE(), IF(R155=Constants!$B$3, FALSE(), FALSE())))</f>
        <v/>
      </c>
      <c r="AG155" s="99" t="str">
        <f aca="false">IF(ISBLANK(C155), "", IF(AF155, Constants!$B$4,IF(COUNTA(G155:P155)=0, Constants!$B$5, Constants!$B$7)))</f>
        <v/>
      </c>
      <c r="AH155" s="99" t="str">
        <f aca="false">IF(ISBLANK($C155), "",IF($AG155=Constants!$B$7,1,$AG155))</f>
        <v/>
      </c>
      <c r="AI155" s="99" t="str">
        <f aca="false">IF($AG155=Constants!$B$7,POWER(Constants!$B$11,X155)*POWER(Constants!$B$12,Z155),"")</f>
        <v/>
      </c>
      <c r="AJ155" s="99" t="str">
        <f aca="false">IF(AND($AG155=Constants!$B$7, U155, V155) ,IF(OR($AA155="",$AC155=""),"",MAX(0, $AC155-$AA155)),"")</f>
        <v/>
      </c>
      <c r="AK155" s="99" t="str">
        <f aca="false">IF(AND($AG155=Constants!$B$7, U155, V155),IF(OR($AA155="",$AC155=""),$AK$6,""),"")</f>
        <v/>
      </c>
      <c r="AL155" s="99" t="str">
        <f aca="false">IF($AG155=Constants!$B$7,IF(AND(U155,V155,W155,Y155),IF($AJ155="",0,IF($AJ$6=0,Constants!$B$9,Constants!$B$9*AJ155/$AJ$6)), 0),"")</f>
        <v/>
      </c>
      <c r="AM155" s="99" t="str">
        <f aca="false">IF(AL155&lt;&gt;"", AL155*AI155,"")</f>
        <v/>
      </c>
      <c r="AN155" s="99" t="str">
        <f aca="false">IF(AND($AG155=Constants!$B$7, U155, V155) ,IF($AB155="", "", IF(OR($AC155="",$AC155=0),"",MAX(0,1-ABS($AC155-$AB155)/$AC155))),"")</f>
        <v/>
      </c>
      <c r="AO155" s="99" t="str">
        <f aca="false">IF(AND($AG155=Constants!$B$7, U155, V155),IF(AND($AA155&lt;&gt;"",$AB155&lt;&gt;"",$AC155=0),$AO$6,""),"")</f>
        <v/>
      </c>
      <c r="AP155" s="99" t="str">
        <f aca="false">IF($AG155=Constants!$B$7 ,IF(AND(U155,V155,W155,Y155,ISNUMBER(AB155)),IF($AN155="",0,IF($AN$6=0,Constants!$B$10,Constants!$B$10*AN155/$AN$6)), 0),"")</f>
        <v/>
      </c>
      <c r="AQ155" s="99" t="str">
        <f aca="false">IF(AP155&lt;&gt;"", AP155*AI155,"")</f>
        <v/>
      </c>
      <c r="AR155" s="99" t="str">
        <f aca="false">IF($AG155=Constants!$B$7,IF($AD155="",0,IF($AR$6=0,Constants!$B$8,Constants!$B$8*AD155/$AR$6)),"")</f>
        <v/>
      </c>
      <c r="AS155" s="99" t="str">
        <f aca="false">IF($AG155&lt;&gt;Constants!$B$7,$AG155,IF(AK155&amp;AO155&lt;&gt;"",Constants!$B$14,AM155+AQ155+AR155))</f>
        <v/>
      </c>
      <c r="AT155" s="99" t="str">
        <f aca="false">IF(ISBLANK($C155),"",IF($AG155=Constants!$B$7,IF(ISNUMBER(AS155),RANK(AS155,$AS$8:$AS$507),Constants!$B$14),$AG155))</f>
        <v/>
      </c>
      <c r="AU155" s="99" t="str">
        <f aca="false">IF(ISBLANK($C155), "",AM155)</f>
        <v/>
      </c>
      <c r="AV155" s="99" t="str">
        <f aca="false">IF(ISBLANK($C155),"",IF($AG155=Constants!$B$7,RANK(AU155,AU$8:AU$507),$AG155))</f>
        <v/>
      </c>
      <c r="AW155" s="99" t="str">
        <f aca="false">IF(ISBLANK($C155), "",AR155)</f>
        <v/>
      </c>
      <c r="AX155" s="99" t="str">
        <f aca="false">IF(ISBLANK($C155),"",IF($AG155=Constants!$B$7,RANK(AW155,AW$8:AW$507),$AG155))</f>
        <v/>
      </c>
      <c r="AY155" s="99" t="str">
        <f aca="false">IF(ISBLANK($C155), "",AE155)</f>
        <v/>
      </c>
      <c r="AZ155" s="99" t="str">
        <f aca="false">IF(ISBLANK($C155),"",
IF($AG155=Constants!$B$7,
  IF(ISNUMBER(AT155),
    COUNTIFS($AT$8:$AT$507,"&lt;"&amp;$AT155)
    + COUNTIFS($AT$8:$AT$507,$AT155,$AV$8:$AV$507,"&lt;"&amp;$AV155)
    + COUNTIFS($AT$8:$AT$507,$AT155,$AV$8:$AV$507,$AV155,$AX$8:$AX$507,"&lt;"&amp;$AX155)
    + COUNTIFS($AT$8:$AT$507,$AT155,$AV$8:$AV$507,$AV155,$AX$8:$AX$507,$AX155,$AY$8:$AY$507,"&lt;"&amp;$AY155)
    + 1,
  Constants!$B$14),
$AG155))</f>
        <v/>
      </c>
      <c r="BA155" s="99" t="str">
        <f aca="false">IF(ISBLANK(C155),"",IF($AG155=Constants!$B$7, IF(ISNUMBER(AT155),AT155-AZ155,Constants!$B$14),$AG155))</f>
        <v/>
      </c>
      <c r="BB155" s="103"/>
      <c r="BC155" s="104" t="str">
        <f aca="false">IF(ISBLANK($C155),"",TRIM(AK155&amp;" "&amp;AO155))</f>
        <v/>
      </c>
      <c r="BD155" s="105" t="str">
        <f aca="false">IF(ISBLANK($C155),"",IF($AG155&lt;&gt;Constants!$B$7,$AG155,AR155))</f>
        <v/>
      </c>
      <c r="BE155" s="105" t="str">
        <f aca="false">IF(ISBLANK($C155),"",IF($AG155&lt;&gt;Constants!$B$7,$AG155,AM155))</f>
        <v/>
      </c>
      <c r="BF155" s="105" t="str">
        <f aca="false">IF(ISBLANK($C155),"",IF($AG155&lt;&gt;Constants!$B$7,$AG155,AQ155))</f>
        <v/>
      </c>
      <c r="BG155" s="106" t="str">
        <f aca="false">IF(ISBLANK($C155),"",IF($AG155&lt;&gt;Constants!$B$7, $AG155 ,AS155))</f>
        <v/>
      </c>
      <c r="BH155" s="107" t="str">
        <f aca="false">IF(ISBLANK($C155),"",IF($AG155&lt;&gt;Constants!$B$7, $AG155 ,AH155))</f>
        <v/>
      </c>
      <c r="BI155" s="105" t="str">
        <f aca="false">IF(ISBLANK(C155),"",BA155)</f>
        <v/>
      </c>
      <c r="BJ155" s="105" t="str">
        <f aca="false">IF(ISBLANK(C155),"",AZ155)</f>
        <v/>
      </c>
      <c r="BK155" s="108" t="str">
        <f aca="false">IF(ISBLANK(C155),"",IFERROR(_xlfn.SWITCH(BJ155, Constants!$B$4, COUNTA($C$8:$C654)+2, Constants!$B$5, COUNTA($C$8:$C654)+1, Constants!$B$6, COUNTA($C$8:$C654)),BJ155))</f>
        <v/>
      </c>
      <c r="BL155" s="5"/>
      <c r="BM155" s="109" t="n">
        <f aca="false">IF(OR(ISNUMBER(BJ155),BJ155="DQ",BJ155="P",BJ155="NS"),
    1,
    0
)</f>
        <v>0</v>
      </c>
      <c r="BN155" s="109" t="n">
        <v>148</v>
      </c>
      <c r="BO155" s="109" t="str">
        <f aca="false">IF(ISBLANK($C155),"",IF(ISNUMBER(BK155),BK155+ROW($B155)/1000,""))</f>
        <v/>
      </c>
      <c r="BP155" s="109" t="str">
        <f aca="false">IF(ISNUMBER(BO155), RANK(BO155,BO$8:BO$507,1), "")</f>
        <v/>
      </c>
      <c r="BQ155" s="109" t="str">
        <f aca="false">IF(ISBLANK($C155),
    "",
    $B155
)</f>
        <v/>
      </c>
      <c r="BR155" s="109" t="str">
        <f aca="false">IF(ISBLANK($C155),
    "",
    $C155
)</f>
        <v/>
      </c>
      <c r="BS155" s="109" t="str">
        <f aca="false">IF(ISBLANK($C155),
    "",
    $D155
)</f>
        <v/>
      </c>
      <c r="BT155" s="110" t="str">
        <f aca="false">BH155</f>
        <v/>
      </c>
      <c r="BU155" s="111" t="str">
        <f aca="false">BG155</f>
        <v/>
      </c>
      <c r="BV155" s="109" t="str">
        <f aca="false">IF(ISBLANK($C155),
    "",
    BJ155
)</f>
        <v/>
      </c>
      <c r="BW155" s="112" t="str">
        <f aca="false">IF(BN155&gt;BM$7,
    "",
    VLOOKUP(BN155,BP$8:BV654,7,FALSE())
)</f>
        <v/>
      </c>
      <c r="BX155" s="113" t="str">
        <f aca="false">IF(BN155&gt;BM$7,
    "",
    VLOOKUP(BN155,BP$8:BV654,2,FALSE())
)</f>
        <v/>
      </c>
      <c r="BY155" s="113" t="str">
        <f aca="false">IF(BN155&gt;BM$7,
    "",
    VLOOKUP(BN155,BP$8:BV654,3,FALSE())
)</f>
        <v/>
      </c>
      <c r="BZ155" s="113" t="str">
        <f aca="false">IF(BN155&gt;BM$7,
    "",
    VLOOKUP(BN155,BP$8:BV654,4,FALSE())
)</f>
        <v/>
      </c>
      <c r="CA155" s="113" t="str">
        <f aca="false">IF(BN155&gt;BM$7,
    "",
    VLOOKUP(BN155,BP$8:BV654,5,FALSE())
)</f>
        <v/>
      </c>
      <c r="CB155" s="114" t="str">
        <f aca="false">IF(BN155&gt;BM$7,
    "",
    VLOOKUP(BN155,BP$8:BV654,6,FALSE())
)</f>
        <v/>
      </c>
      <c r="CC155" s="53"/>
    </row>
    <row r="156" customFormat="false" ht="15.75" hidden="false" customHeight="false" outlineLevel="0" collapsed="false">
      <c r="A156" s="5"/>
      <c r="B156" s="125"/>
      <c r="C156" s="126"/>
      <c r="D156" s="115"/>
      <c r="E156" s="119"/>
      <c r="F156" s="119"/>
      <c r="G156" s="91"/>
      <c r="H156" s="92"/>
      <c r="I156" s="92"/>
      <c r="J156" s="128"/>
      <c r="K156" s="128"/>
      <c r="L156" s="128"/>
      <c r="M156" s="94"/>
      <c r="N156" s="94"/>
      <c r="O156" s="94"/>
      <c r="P156" s="95"/>
      <c r="Q156" s="96"/>
      <c r="R156" s="128"/>
      <c r="S156" s="98"/>
      <c r="T156" s="99"/>
      <c r="U156" s="99" t="str">
        <f aca="false">IF(ISBLANK($C156),"",IF(G156=Constants!$B$2, TRUE(), IF(G156=Constants!$B$3, FALSE(), TRUE())))</f>
        <v/>
      </c>
      <c r="V156" s="99" t="str">
        <f aca="false">IF(ISBLANK($C156),"",IF(H156=Constants!$B$2, TRUE(), IF(H156=Constants!$B$3, FALSE(), TRUE())))</f>
        <v/>
      </c>
      <c r="W156" s="99" t="str">
        <f aca="false">IF(ISBLANK($C156),"",IF(I156=Constants!$B$2, TRUE(), IF(I156=Constants!$B$3, FALSE(), TRUE())))</f>
        <v/>
      </c>
      <c r="X156" s="99" t="str">
        <f aca="false">IF(ISBLANK($C156),"",IF(AND(ISNUMBER(J156),J156&gt;0),INT(J156),0))</f>
        <v/>
      </c>
      <c r="Y156" s="99" t="str">
        <f aca="false">IF(ISBLANK($C156),"",IF(K156=Constants!$B$2, TRUE(), IF(K156=Constants!$B$3, FALSE(), TRUE())))</f>
        <v/>
      </c>
      <c r="Z156" s="100" t="str">
        <f aca="false">IF(ISBLANK($C156),"",IF(AND(ISNUMBER(L156),L156&gt;0),INT(L156),0))</f>
        <v/>
      </c>
      <c r="AA156" s="101" t="str">
        <f aca="false">IF(ISBLANK($C156),"",IF(ISNUMBER(M156), M156, ""))</f>
        <v/>
      </c>
      <c r="AB156" s="101" t="str">
        <f aca="false">IF(ISBLANK($C156),"",IF(ISNUMBER(N156), N156, ""))</f>
        <v/>
      </c>
      <c r="AC156" s="101" t="str">
        <f aca="false">IF(ISBLANK($C156),"",IF(ISNUMBER(O156), O156, ""))</f>
        <v/>
      </c>
      <c r="AD156" s="102" t="str">
        <f aca="false">IF(ISBLANK($C156),"",IF(ISNUMBER(P156), P156, ""))</f>
        <v/>
      </c>
      <c r="AE156" s="102" t="str">
        <f aca="false">IF(ISBLANK($C156),"",IF(ISNUMBER(Q156), Q156, Constants!$B$13))</f>
        <v/>
      </c>
      <c r="AF156" s="99" t="str">
        <f aca="false">IF(ISBLANK($C156),"",IF(R156=Constants!$B$2, TRUE(), IF(R156=Constants!$B$3, FALSE(), FALSE())))</f>
        <v/>
      </c>
      <c r="AG156" s="99" t="str">
        <f aca="false">IF(ISBLANK(C156), "", IF(AF156, Constants!$B$4,IF(COUNTA(G156:P156)=0, Constants!$B$5, Constants!$B$7)))</f>
        <v/>
      </c>
      <c r="AH156" s="99" t="str">
        <f aca="false">IF(ISBLANK($C156), "",IF($AG156=Constants!$B$7,1,$AG156))</f>
        <v/>
      </c>
      <c r="AI156" s="99" t="str">
        <f aca="false">IF($AG156=Constants!$B$7,POWER(Constants!$B$11,X156)*POWER(Constants!$B$12,Z156),"")</f>
        <v/>
      </c>
      <c r="AJ156" s="99" t="str">
        <f aca="false">IF(AND($AG156=Constants!$B$7, U156, V156) ,IF(OR($AA156="",$AC156=""),"",MAX(0, $AC156-$AA156)),"")</f>
        <v/>
      </c>
      <c r="AK156" s="99" t="str">
        <f aca="false">IF(AND($AG156=Constants!$B$7, U156, V156),IF(OR($AA156="",$AC156=""),$AK$6,""),"")</f>
        <v/>
      </c>
      <c r="AL156" s="99" t="str">
        <f aca="false">IF($AG156=Constants!$B$7,IF(AND(U156,V156,W156,Y156),IF($AJ156="",0,IF($AJ$6=0,Constants!$B$9,Constants!$B$9*AJ156/$AJ$6)), 0),"")</f>
        <v/>
      </c>
      <c r="AM156" s="99" t="str">
        <f aca="false">IF(AL156&lt;&gt;"", AL156*AI156,"")</f>
        <v/>
      </c>
      <c r="AN156" s="99" t="str">
        <f aca="false">IF(AND($AG156=Constants!$B$7, U156, V156) ,IF($AB156="", "", IF(OR($AC156="",$AC156=0),"",MAX(0,1-ABS($AC156-$AB156)/$AC156))),"")</f>
        <v/>
      </c>
      <c r="AO156" s="99" t="str">
        <f aca="false">IF(AND($AG156=Constants!$B$7, U156, V156),IF(AND($AA156&lt;&gt;"",$AB156&lt;&gt;"",$AC156=0),$AO$6,""),"")</f>
        <v/>
      </c>
      <c r="AP156" s="99" t="str">
        <f aca="false">IF($AG156=Constants!$B$7 ,IF(AND(U156,V156,W156,Y156,ISNUMBER(AB156)),IF($AN156="",0,IF($AN$6=0,Constants!$B$10,Constants!$B$10*AN156/$AN$6)), 0),"")</f>
        <v/>
      </c>
      <c r="AQ156" s="99" t="str">
        <f aca="false">IF(AP156&lt;&gt;"", AP156*AI156,"")</f>
        <v/>
      </c>
      <c r="AR156" s="99" t="str">
        <f aca="false">IF($AG156=Constants!$B$7,IF($AD156="",0,IF($AR$6=0,Constants!$B$8,Constants!$B$8*AD156/$AR$6)),"")</f>
        <v/>
      </c>
      <c r="AS156" s="99" t="str">
        <f aca="false">IF($AG156&lt;&gt;Constants!$B$7,$AG156,IF(AK156&amp;AO156&lt;&gt;"",Constants!$B$14,AM156+AQ156+AR156))</f>
        <v/>
      </c>
      <c r="AT156" s="99" t="str">
        <f aca="false">IF(ISBLANK($C156),"",IF($AG156=Constants!$B$7,IF(ISNUMBER(AS156),RANK(AS156,$AS$8:$AS$507),Constants!$B$14),$AG156))</f>
        <v/>
      </c>
      <c r="AU156" s="99" t="str">
        <f aca="false">IF(ISBLANK($C156), "",AM156)</f>
        <v/>
      </c>
      <c r="AV156" s="99" t="str">
        <f aca="false">IF(ISBLANK($C156),"",IF($AG156=Constants!$B$7,RANK(AU156,AU$8:AU$507),$AG156))</f>
        <v/>
      </c>
      <c r="AW156" s="99" t="str">
        <f aca="false">IF(ISBLANK($C156), "",AR156)</f>
        <v/>
      </c>
      <c r="AX156" s="99" t="str">
        <f aca="false">IF(ISBLANK($C156),"",IF($AG156=Constants!$B$7,RANK(AW156,AW$8:AW$507),$AG156))</f>
        <v/>
      </c>
      <c r="AY156" s="99" t="str">
        <f aca="false">IF(ISBLANK($C156), "",AE156)</f>
        <v/>
      </c>
      <c r="AZ156" s="99" t="str">
        <f aca="false">IF(ISBLANK($C156),"",
IF($AG156=Constants!$B$7,
  IF(ISNUMBER(AT156),
    COUNTIFS($AT$8:$AT$507,"&lt;"&amp;$AT156)
    + COUNTIFS($AT$8:$AT$507,$AT156,$AV$8:$AV$507,"&lt;"&amp;$AV156)
    + COUNTIFS($AT$8:$AT$507,$AT156,$AV$8:$AV$507,$AV156,$AX$8:$AX$507,"&lt;"&amp;$AX156)
    + COUNTIFS($AT$8:$AT$507,$AT156,$AV$8:$AV$507,$AV156,$AX$8:$AX$507,$AX156,$AY$8:$AY$507,"&lt;"&amp;$AY156)
    + 1,
  Constants!$B$14),
$AG156))</f>
        <v/>
      </c>
      <c r="BA156" s="99" t="str">
        <f aca="false">IF(ISBLANK(C156),"",IF($AG156=Constants!$B$7, IF(ISNUMBER(AT156),AT156-AZ156,Constants!$B$14),$AG156))</f>
        <v/>
      </c>
      <c r="BB156" s="103"/>
      <c r="BC156" s="104" t="str">
        <f aca="false">IF(ISBLANK($C156),"",TRIM(AK156&amp;" "&amp;AO156))</f>
        <v/>
      </c>
      <c r="BD156" s="105" t="str">
        <f aca="false">IF(ISBLANK($C156),"",IF($AG156&lt;&gt;Constants!$B$7,$AG156,AR156))</f>
        <v/>
      </c>
      <c r="BE156" s="105" t="str">
        <f aca="false">IF(ISBLANK($C156),"",IF($AG156&lt;&gt;Constants!$B$7,$AG156,AM156))</f>
        <v/>
      </c>
      <c r="BF156" s="105" t="str">
        <f aca="false">IF(ISBLANK($C156),"",IF($AG156&lt;&gt;Constants!$B$7,$AG156,AQ156))</f>
        <v/>
      </c>
      <c r="BG156" s="106" t="str">
        <f aca="false">IF(ISBLANK($C156),"",IF($AG156&lt;&gt;Constants!$B$7, $AG156 ,AS156))</f>
        <v/>
      </c>
      <c r="BH156" s="107" t="str">
        <f aca="false">IF(ISBLANK($C156),"",IF($AG156&lt;&gt;Constants!$B$7, $AG156 ,AH156))</f>
        <v/>
      </c>
      <c r="BI156" s="105" t="str">
        <f aca="false">IF(ISBLANK(C156),"",BA156)</f>
        <v/>
      </c>
      <c r="BJ156" s="105" t="str">
        <f aca="false">IF(ISBLANK(C156),"",AZ156)</f>
        <v/>
      </c>
      <c r="BK156" s="108" t="str">
        <f aca="false">IF(ISBLANK(C156),"",IFERROR(_xlfn.SWITCH(BJ156, Constants!$B$4, COUNTA($C$8:$C655)+2, Constants!$B$5, COUNTA($C$8:$C655)+1, Constants!$B$6, COUNTA($C$8:$C655)),BJ156))</f>
        <v/>
      </c>
      <c r="BL156" s="5"/>
      <c r="BM156" s="109" t="n">
        <f aca="false">IF(OR(ISNUMBER(BJ156),BJ156="DQ",BJ156="P",BJ156="NS"),
    1,
    0
)</f>
        <v>0</v>
      </c>
      <c r="BN156" s="109" t="n">
        <v>149</v>
      </c>
      <c r="BO156" s="109" t="str">
        <f aca="false">IF(ISBLANK($C156),"",IF(ISNUMBER(BK156),BK156+ROW($B156)/1000,""))</f>
        <v/>
      </c>
      <c r="BP156" s="109" t="str">
        <f aca="false">IF(ISNUMBER(BO156), RANK(BO156,BO$8:BO$507,1), "")</f>
        <v/>
      </c>
      <c r="BQ156" s="109" t="str">
        <f aca="false">IF(ISBLANK($C156),
    "",
    $B156
)</f>
        <v/>
      </c>
      <c r="BR156" s="109" t="str">
        <f aca="false">IF(ISBLANK($C156),
    "",
    $C156
)</f>
        <v/>
      </c>
      <c r="BS156" s="109" t="str">
        <f aca="false">IF(ISBLANK($C156),
    "",
    $D156
)</f>
        <v/>
      </c>
      <c r="BT156" s="110" t="str">
        <f aca="false">BH156</f>
        <v/>
      </c>
      <c r="BU156" s="111" t="str">
        <f aca="false">BG156</f>
        <v/>
      </c>
      <c r="BV156" s="109" t="str">
        <f aca="false">IF(ISBLANK($C156),
    "",
    BJ156
)</f>
        <v/>
      </c>
      <c r="BW156" s="112" t="str">
        <f aca="false">IF(BN156&gt;BM$7,
    "",
    VLOOKUP(BN156,BP$8:BV655,7,FALSE())
)</f>
        <v/>
      </c>
      <c r="BX156" s="113" t="str">
        <f aca="false">IF(BN156&gt;BM$7,
    "",
    VLOOKUP(BN156,BP$8:BV655,2,FALSE())
)</f>
        <v/>
      </c>
      <c r="BY156" s="113" t="str">
        <f aca="false">IF(BN156&gt;BM$7,
    "",
    VLOOKUP(BN156,BP$8:BV655,3,FALSE())
)</f>
        <v/>
      </c>
      <c r="BZ156" s="113" t="str">
        <f aca="false">IF(BN156&gt;BM$7,
    "",
    VLOOKUP(BN156,BP$8:BV655,4,FALSE())
)</f>
        <v/>
      </c>
      <c r="CA156" s="113" t="str">
        <f aca="false">IF(BN156&gt;BM$7,
    "",
    VLOOKUP(BN156,BP$8:BV655,5,FALSE())
)</f>
        <v/>
      </c>
      <c r="CB156" s="114" t="str">
        <f aca="false">IF(BN156&gt;BM$7,
    "",
    VLOOKUP(BN156,BP$8:BV655,6,FALSE())
)</f>
        <v/>
      </c>
      <c r="CC156" s="53"/>
    </row>
    <row r="157" customFormat="false" ht="15.75" hidden="false" customHeight="false" outlineLevel="0" collapsed="false">
      <c r="A157" s="5"/>
      <c r="B157" s="125"/>
      <c r="C157" s="126"/>
      <c r="D157" s="115"/>
      <c r="E157" s="119"/>
      <c r="F157" s="119"/>
      <c r="G157" s="91"/>
      <c r="H157" s="92"/>
      <c r="I157" s="92"/>
      <c r="J157" s="128"/>
      <c r="K157" s="128"/>
      <c r="L157" s="128"/>
      <c r="M157" s="94"/>
      <c r="N157" s="94"/>
      <c r="O157" s="94"/>
      <c r="P157" s="95"/>
      <c r="Q157" s="96"/>
      <c r="R157" s="128"/>
      <c r="S157" s="98"/>
      <c r="T157" s="99"/>
      <c r="U157" s="99" t="str">
        <f aca="false">IF(ISBLANK($C157),"",IF(G157=Constants!$B$2, TRUE(), IF(G157=Constants!$B$3, FALSE(), TRUE())))</f>
        <v/>
      </c>
      <c r="V157" s="99" t="str">
        <f aca="false">IF(ISBLANK($C157),"",IF(H157=Constants!$B$2, TRUE(), IF(H157=Constants!$B$3, FALSE(), TRUE())))</f>
        <v/>
      </c>
      <c r="W157" s="99" t="str">
        <f aca="false">IF(ISBLANK($C157),"",IF(I157=Constants!$B$2, TRUE(), IF(I157=Constants!$B$3, FALSE(), TRUE())))</f>
        <v/>
      </c>
      <c r="X157" s="99" t="str">
        <f aca="false">IF(ISBLANK($C157),"",IF(AND(ISNUMBER(J157),J157&gt;0),INT(J157),0))</f>
        <v/>
      </c>
      <c r="Y157" s="99" t="str">
        <f aca="false">IF(ISBLANK($C157),"",IF(K157=Constants!$B$2, TRUE(), IF(K157=Constants!$B$3, FALSE(), TRUE())))</f>
        <v/>
      </c>
      <c r="Z157" s="100" t="str">
        <f aca="false">IF(ISBLANK($C157),"",IF(AND(ISNUMBER(L157),L157&gt;0),INT(L157),0))</f>
        <v/>
      </c>
      <c r="AA157" s="101" t="str">
        <f aca="false">IF(ISBLANK($C157),"",IF(ISNUMBER(M157), M157, ""))</f>
        <v/>
      </c>
      <c r="AB157" s="101" t="str">
        <f aca="false">IF(ISBLANK($C157),"",IF(ISNUMBER(N157), N157, ""))</f>
        <v/>
      </c>
      <c r="AC157" s="101" t="str">
        <f aca="false">IF(ISBLANK($C157),"",IF(ISNUMBER(O157), O157, ""))</f>
        <v/>
      </c>
      <c r="AD157" s="102" t="str">
        <f aca="false">IF(ISBLANK($C157),"",IF(ISNUMBER(P157), P157, ""))</f>
        <v/>
      </c>
      <c r="AE157" s="102" t="str">
        <f aca="false">IF(ISBLANK($C157),"",IF(ISNUMBER(Q157), Q157, Constants!$B$13))</f>
        <v/>
      </c>
      <c r="AF157" s="99" t="str">
        <f aca="false">IF(ISBLANK($C157),"",IF(R157=Constants!$B$2, TRUE(), IF(R157=Constants!$B$3, FALSE(), FALSE())))</f>
        <v/>
      </c>
      <c r="AG157" s="99" t="str">
        <f aca="false">IF(ISBLANK(C157), "", IF(AF157, Constants!$B$4,IF(COUNTA(G157:P157)=0, Constants!$B$5, Constants!$B$7)))</f>
        <v/>
      </c>
      <c r="AH157" s="99" t="str">
        <f aca="false">IF(ISBLANK($C157), "",IF($AG157=Constants!$B$7,1,$AG157))</f>
        <v/>
      </c>
      <c r="AI157" s="99" t="str">
        <f aca="false">IF($AG157=Constants!$B$7,POWER(Constants!$B$11,X157)*POWER(Constants!$B$12,Z157),"")</f>
        <v/>
      </c>
      <c r="AJ157" s="99" t="str">
        <f aca="false">IF(AND($AG157=Constants!$B$7, U157, V157) ,IF(OR($AA157="",$AC157=""),"",MAX(0, $AC157-$AA157)),"")</f>
        <v/>
      </c>
      <c r="AK157" s="99" t="str">
        <f aca="false">IF(AND($AG157=Constants!$B$7, U157, V157),IF(OR($AA157="",$AC157=""),$AK$6,""),"")</f>
        <v/>
      </c>
      <c r="AL157" s="99" t="str">
        <f aca="false">IF($AG157=Constants!$B$7,IF(AND(U157,V157,W157,Y157),IF($AJ157="",0,IF($AJ$6=0,Constants!$B$9,Constants!$B$9*AJ157/$AJ$6)), 0),"")</f>
        <v/>
      </c>
      <c r="AM157" s="99" t="str">
        <f aca="false">IF(AL157&lt;&gt;"", AL157*AI157,"")</f>
        <v/>
      </c>
      <c r="AN157" s="99" t="str">
        <f aca="false">IF(AND($AG157=Constants!$B$7, U157, V157) ,IF($AB157="", "", IF(OR($AC157="",$AC157=0),"",MAX(0,1-ABS($AC157-$AB157)/$AC157))),"")</f>
        <v/>
      </c>
      <c r="AO157" s="99" t="str">
        <f aca="false">IF(AND($AG157=Constants!$B$7, U157, V157),IF(AND($AA157&lt;&gt;"",$AB157&lt;&gt;"",$AC157=0),$AO$6,""),"")</f>
        <v/>
      </c>
      <c r="AP157" s="99" t="str">
        <f aca="false">IF($AG157=Constants!$B$7 ,IF(AND(U157,V157,W157,Y157,ISNUMBER(AB157)),IF($AN157="",0,IF($AN$6=0,Constants!$B$10,Constants!$B$10*AN157/$AN$6)), 0),"")</f>
        <v/>
      </c>
      <c r="AQ157" s="99" t="str">
        <f aca="false">IF(AP157&lt;&gt;"", AP157*AI157,"")</f>
        <v/>
      </c>
      <c r="AR157" s="99" t="str">
        <f aca="false">IF($AG157=Constants!$B$7,IF($AD157="",0,IF($AR$6=0,Constants!$B$8,Constants!$B$8*AD157/$AR$6)),"")</f>
        <v/>
      </c>
      <c r="AS157" s="99" t="str">
        <f aca="false">IF($AG157&lt;&gt;Constants!$B$7,$AG157,IF(AK157&amp;AO157&lt;&gt;"",Constants!$B$14,AM157+AQ157+AR157))</f>
        <v/>
      </c>
      <c r="AT157" s="99" t="str">
        <f aca="false">IF(ISBLANK($C157),"",IF($AG157=Constants!$B$7,IF(ISNUMBER(AS157),RANK(AS157,$AS$8:$AS$507),Constants!$B$14),$AG157))</f>
        <v/>
      </c>
      <c r="AU157" s="99" t="str">
        <f aca="false">IF(ISBLANK($C157), "",AM157)</f>
        <v/>
      </c>
      <c r="AV157" s="99" t="str">
        <f aca="false">IF(ISBLANK($C157),"",IF($AG157=Constants!$B$7,RANK(AU157,AU$8:AU$507),$AG157))</f>
        <v/>
      </c>
      <c r="AW157" s="99" t="str">
        <f aca="false">IF(ISBLANK($C157), "",AR157)</f>
        <v/>
      </c>
      <c r="AX157" s="99" t="str">
        <f aca="false">IF(ISBLANK($C157),"",IF($AG157=Constants!$B$7,RANK(AW157,AW$8:AW$507),$AG157))</f>
        <v/>
      </c>
      <c r="AY157" s="99" t="str">
        <f aca="false">IF(ISBLANK($C157), "",AE157)</f>
        <v/>
      </c>
      <c r="AZ157" s="99" t="str">
        <f aca="false">IF(ISBLANK($C157),"",
IF($AG157=Constants!$B$7,
  IF(ISNUMBER(AT157),
    COUNTIFS($AT$8:$AT$507,"&lt;"&amp;$AT157)
    + COUNTIFS($AT$8:$AT$507,$AT157,$AV$8:$AV$507,"&lt;"&amp;$AV157)
    + COUNTIFS($AT$8:$AT$507,$AT157,$AV$8:$AV$507,$AV157,$AX$8:$AX$507,"&lt;"&amp;$AX157)
    + COUNTIFS($AT$8:$AT$507,$AT157,$AV$8:$AV$507,$AV157,$AX$8:$AX$507,$AX157,$AY$8:$AY$507,"&lt;"&amp;$AY157)
    + 1,
  Constants!$B$14),
$AG157))</f>
        <v/>
      </c>
      <c r="BA157" s="99" t="str">
        <f aca="false">IF(ISBLANK(C157),"",IF($AG157=Constants!$B$7, IF(ISNUMBER(AT157),AT157-AZ157,Constants!$B$14),$AG157))</f>
        <v/>
      </c>
      <c r="BB157" s="103"/>
      <c r="BC157" s="104" t="str">
        <f aca="false">IF(ISBLANK($C157),"",TRIM(AK157&amp;" "&amp;AO157))</f>
        <v/>
      </c>
      <c r="BD157" s="105" t="str">
        <f aca="false">IF(ISBLANK($C157),"",IF($AG157&lt;&gt;Constants!$B$7,$AG157,AR157))</f>
        <v/>
      </c>
      <c r="BE157" s="105" t="str">
        <f aca="false">IF(ISBLANK($C157),"",IF($AG157&lt;&gt;Constants!$B$7,$AG157,AM157))</f>
        <v/>
      </c>
      <c r="BF157" s="105" t="str">
        <f aca="false">IF(ISBLANK($C157),"",IF($AG157&lt;&gt;Constants!$B$7,$AG157,AQ157))</f>
        <v/>
      </c>
      <c r="BG157" s="106" t="str">
        <f aca="false">IF(ISBLANK($C157),"",IF($AG157&lt;&gt;Constants!$B$7, $AG157 ,AS157))</f>
        <v/>
      </c>
      <c r="BH157" s="107" t="str">
        <f aca="false">IF(ISBLANK($C157),"",IF($AG157&lt;&gt;Constants!$B$7, $AG157 ,AH157))</f>
        <v/>
      </c>
      <c r="BI157" s="105" t="str">
        <f aca="false">IF(ISBLANK(C157),"",BA157)</f>
        <v/>
      </c>
      <c r="BJ157" s="105" t="str">
        <f aca="false">IF(ISBLANK(C157),"",AZ157)</f>
        <v/>
      </c>
      <c r="BK157" s="108" t="str">
        <f aca="false">IF(ISBLANK(C157),"",IFERROR(_xlfn.SWITCH(BJ157, Constants!$B$4, COUNTA($C$8:$C656)+2, Constants!$B$5, COUNTA($C$8:$C656)+1, Constants!$B$6, COUNTA($C$8:$C656)),BJ157))</f>
        <v/>
      </c>
      <c r="BL157" s="5"/>
      <c r="BM157" s="109" t="n">
        <f aca="false">IF(OR(ISNUMBER(BJ157),BJ157="DQ",BJ157="P",BJ157="NS"),
    1,
    0
)</f>
        <v>0</v>
      </c>
      <c r="BN157" s="109" t="n">
        <v>150</v>
      </c>
      <c r="BO157" s="109" t="str">
        <f aca="false">IF(ISBLANK($C157),"",IF(ISNUMBER(BK157),BK157+ROW($B157)/1000,""))</f>
        <v/>
      </c>
      <c r="BP157" s="109" t="str">
        <f aca="false">IF(ISNUMBER(BO157), RANK(BO157,BO$8:BO$507,1), "")</f>
        <v/>
      </c>
      <c r="BQ157" s="109" t="str">
        <f aca="false">IF(ISBLANK($C157),
    "",
    $B157
)</f>
        <v/>
      </c>
      <c r="BR157" s="109" t="str">
        <f aca="false">IF(ISBLANK($C157),
    "",
    $C157
)</f>
        <v/>
      </c>
      <c r="BS157" s="109" t="str">
        <f aca="false">IF(ISBLANK($C157),
    "",
    $D157
)</f>
        <v/>
      </c>
      <c r="BT157" s="110" t="str">
        <f aca="false">BH157</f>
        <v/>
      </c>
      <c r="BU157" s="111" t="str">
        <f aca="false">BG157</f>
        <v/>
      </c>
      <c r="BV157" s="109" t="str">
        <f aca="false">IF(ISBLANK($C157),
    "",
    BJ157
)</f>
        <v/>
      </c>
      <c r="BW157" s="112" t="str">
        <f aca="false">IF(BN157&gt;BM$7,
    "",
    VLOOKUP(BN157,BP$8:BV656,7,FALSE())
)</f>
        <v/>
      </c>
      <c r="BX157" s="113" t="str">
        <f aca="false">IF(BN157&gt;BM$7,
    "",
    VLOOKUP(BN157,BP$8:BV656,2,FALSE())
)</f>
        <v/>
      </c>
      <c r="BY157" s="113" t="str">
        <f aca="false">IF(BN157&gt;BM$7,
    "",
    VLOOKUP(BN157,BP$8:BV656,3,FALSE())
)</f>
        <v/>
      </c>
      <c r="BZ157" s="113" t="str">
        <f aca="false">IF(BN157&gt;BM$7,
    "",
    VLOOKUP(BN157,BP$8:BV656,4,FALSE())
)</f>
        <v/>
      </c>
      <c r="CA157" s="113" t="str">
        <f aca="false">IF(BN157&gt;BM$7,
    "",
    VLOOKUP(BN157,BP$8:BV656,5,FALSE())
)</f>
        <v/>
      </c>
      <c r="CB157" s="114" t="str">
        <f aca="false">IF(BN157&gt;BM$7,
    "",
    VLOOKUP(BN157,BP$8:BV656,6,FALSE())
)</f>
        <v/>
      </c>
      <c r="CC157" s="53"/>
    </row>
    <row r="158" customFormat="false" ht="15.75" hidden="false" customHeight="false" outlineLevel="0" collapsed="false">
      <c r="A158" s="5"/>
      <c r="B158" s="129"/>
      <c r="C158" s="55"/>
      <c r="D158" s="56"/>
      <c r="E158" s="123"/>
      <c r="F158" s="123"/>
      <c r="G158" s="58"/>
      <c r="H158" s="59"/>
      <c r="I158" s="59"/>
      <c r="J158" s="83"/>
      <c r="K158" s="83"/>
      <c r="L158" s="83"/>
      <c r="M158" s="61"/>
      <c r="N158" s="61"/>
      <c r="O158" s="61"/>
      <c r="P158" s="62"/>
      <c r="Q158" s="63"/>
      <c r="R158" s="83"/>
      <c r="S158" s="65"/>
      <c r="T158" s="66"/>
      <c r="U158" s="66" t="str">
        <f aca="false">IF(ISBLANK($C158),"",IF(G158=Constants!$B$2, TRUE(), IF(G158=Constants!$B$3, FALSE(), TRUE())))</f>
        <v/>
      </c>
      <c r="V158" s="66" t="str">
        <f aca="false">IF(ISBLANK($C158),"",IF(H158=Constants!$B$2, TRUE(), IF(H158=Constants!$B$3, FALSE(), TRUE())))</f>
        <v/>
      </c>
      <c r="W158" s="66" t="str">
        <f aca="false">IF(ISBLANK($C158),"",IF(I158=Constants!$B$2, TRUE(), IF(I158=Constants!$B$3, FALSE(), TRUE())))</f>
        <v/>
      </c>
      <c r="X158" s="66" t="str">
        <f aca="false">IF(ISBLANK($C158),"",IF(AND(ISNUMBER(J158),J158&gt;0),INT(J158),0))</f>
        <v/>
      </c>
      <c r="Y158" s="66" t="str">
        <f aca="false">IF(ISBLANK($C158),"",IF(K158=Constants!$B$2, TRUE(), IF(K158=Constants!$B$3, FALSE(), TRUE())))</f>
        <v/>
      </c>
      <c r="Z158" s="66" t="str">
        <f aca="false">IF(ISBLANK($C158),"",IF(AND(ISNUMBER(L158),L158&gt;0),INT(L158),0))</f>
        <v/>
      </c>
      <c r="AA158" s="68" t="str">
        <f aca="false">IF(ISBLANK($C158),"",IF(ISNUMBER(M158), M158, ""))</f>
        <v/>
      </c>
      <c r="AB158" s="68" t="str">
        <f aca="false">IF(ISBLANK($C158),"",IF(ISNUMBER(N158), N158, ""))</f>
        <v/>
      </c>
      <c r="AC158" s="68" t="str">
        <f aca="false">IF(ISBLANK($C158),"",IF(ISNUMBER(O158), O158, ""))</f>
        <v/>
      </c>
      <c r="AD158" s="69" t="str">
        <f aca="false">IF(ISBLANK($C158),"",IF(ISNUMBER(P158), P158, ""))</f>
        <v/>
      </c>
      <c r="AE158" s="69" t="str">
        <f aca="false">IF(ISBLANK($C158),"",IF(ISNUMBER(Q158), Q158, Constants!$B$13))</f>
        <v/>
      </c>
      <c r="AF158" s="66" t="str">
        <f aca="false">IF(ISBLANK($C158),"",IF(R158=Constants!$B$2, TRUE(), IF(R158=Constants!$B$3, FALSE(), FALSE())))</f>
        <v/>
      </c>
      <c r="AG158" s="66" t="str">
        <f aca="false">IF(ISBLANK(C158), "", IF(AF158, Constants!$B$4,IF(COUNTA(G158:P158)=0, Constants!$B$5, Constants!$B$7)))</f>
        <v/>
      </c>
      <c r="AH158" s="66" t="str">
        <f aca="false">IF(ISBLANK($C158), "",IF($AG158=Constants!$B$7,1,$AG158))</f>
        <v/>
      </c>
      <c r="AI158" s="66" t="str">
        <f aca="false">IF($AG158=Constants!$B$7,POWER(Constants!$B$11,X158)*POWER(Constants!$B$12,Z158),"")</f>
        <v/>
      </c>
      <c r="AJ158" s="66" t="str">
        <f aca="false">IF(AND($AG158=Constants!$B$7, U158, V158) ,IF(OR($AA158="",$AC158=""),"",MAX(0, $AC158-$AA158)),"")</f>
        <v/>
      </c>
      <c r="AK158" s="66" t="str">
        <f aca="false">IF(AND($AG158=Constants!$B$7, U158, V158),IF(OR($AA158="",$AC158=""),$AK$6,""),"")</f>
        <v/>
      </c>
      <c r="AL158" s="66" t="str">
        <f aca="false">IF($AG158=Constants!$B$7,IF(AND(U158,V158,W158,Y158),IF($AJ158="",0,IF($AJ$6=0,Constants!$B$9,Constants!$B$9*AJ158/$AJ$6)), 0),"")</f>
        <v/>
      </c>
      <c r="AM158" s="66" t="str">
        <f aca="false">IF(AL158&lt;&gt;"", AL158*AI158,"")</f>
        <v/>
      </c>
      <c r="AN158" s="66" t="str">
        <f aca="false">IF(AND($AG158=Constants!$B$7, U158, V158) ,IF($AB158="", "", IF(OR($AC158="",$AC158=0),"",MAX(0,1-ABS($AC158-$AB158)/$AC158))),"")</f>
        <v/>
      </c>
      <c r="AO158" s="66" t="str">
        <f aca="false">IF(AND($AG158=Constants!$B$7, U158, V158),IF(AND($AA158&lt;&gt;"",$AB158&lt;&gt;"",$AC158=0),$AO$6,""),"")</f>
        <v/>
      </c>
      <c r="AP158" s="66" t="str">
        <f aca="false">IF($AG158=Constants!$B$7 ,IF(AND(U158,V158,W158,Y158,ISNUMBER(AB158)),IF($AN158="",0,IF($AN$6=0,Constants!$B$10,Constants!$B$10*AN158/$AN$6)), 0),"")</f>
        <v/>
      </c>
      <c r="AQ158" s="66" t="str">
        <f aca="false">IF(AP158&lt;&gt;"", AP158*AI158,"")</f>
        <v/>
      </c>
      <c r="AR158" s="66" t="str">
        <f aca="false">IF($AG158=Constants!$B$7,IF($AD158="",0,IF($AR$6=0,Constants!$B$8,Constants!$B$8*AD158/$AR$6)),"")</f>
        <v/>
      </c>
      <c r="AS158" s="66" t="str">
        <f aca="false">IF($AG158&lt;&gt;Constants!$B$7,$AG158,IF(AK158&amp;AO158&lt;&gt;"",Constants!$B$14,AM158+AQ158+AR158))</f>
        <v/>
      </c>
      <c r="AT158" s="66" t="str">
        <f aca="false">IF(ISBLANK($C158),"",IF($AG158=Constants!$B$7,IF(ISNUMBER(AS158),RANK(AS158,$AS$8:$AS$507),Constants!$B$14),$AG158))</f>
        <v/>
      </c>
      <c r="AU158" s="66" t="str">
        <f aca="false">IF(ISBLANK($C158), "",AM158)</f>
        <v/>
      </c>
      <c r="AV158" s="66" t="str">
        <f aca="false">IF(ISBLANK($C158),"",IF($AG158=Constants!$B$7,RANK(AU158,AU$8:AU$507),$AG158))</f>
        <v/>
      </c>
      <c r="AW158" s="66" t="str">
        <f aca="false">IF(ISBLANK($C158), "",AR158)</f>
        <v/>
      </c>
      <c r="AX158" s="66" t="str">
        <f aca="false">IF(ISBLANK($C158),"",IF($AG158=Constants!$B$7,RANK(AW158,AW$8:AW$507),$AG158))</f>
        <v/>
      </c>
      <c r="AY158" s="66" t="str">
        <f aca="false">IF(ISBLANK($C158), "",AE158)</f>
        <v/>
      </c>
      <c r="AZ158" s="66" t="str">
        <f aca="false">IF(ISBLANK($C158),"",
IF($AG158=Constants!$B$7,
  IF(ISNUMBER(AT158),
    COUNTIFS($AT$8:$AT$507,"&lt;"&amp;$AT158)
    + COUNTIFS($AT$8:$AT$507,$AT158,$AV$8:$AV$507,"&lt;"&amp;$AV158)
    + COUNTIFS($AT$8:$AT$507,$AT158,$AV$8:$AV$507,$AV158,$AX$8:$AX$507,"&lt;"&amp;$AX158)
    + COUNTIFS($AT$8:$AT$507,$AT158,$AV$8:$AV$507,$AV158,$AX$8:$AX$507,$AX158,$AY$8:$AY$507,"&lt;"&amp;$AY158)
    + 1,
  Constants!$B$14),
$AG158))</f>
        <v/>
      </c>
      <c r="BA158" s="66" t="str">
        <f aca="false">IF(ISBLANK(C158),"",IF($AG158=Constants!$B$7, IF(ISNUMBER(AT158),AT158-AZ158,Constants!$B$14),$AG158))</f>
        <v/>
      </c>
      <c r="BB158" s="70"/>
      <c r="BC158" s="84" t="str">
        <f aca="false">IF(ISBLANK($C158),"",TRIM(AK158&amp;" "&amp;AO158))</f>
        <v/>
      </c>
      <c r="BD158" s="72" t="str">
        <f aca="false">IF(ISBLANK($C158),"",IF($AG158&lt;&gt;Constants!$B$7,$AG158,AR158))</f>
        <v/>
      </c>
      <c r="BE158" s="72" t="str">
        <f aca="false">IF(ISBLANK($C158),"",IF($AG158&lt;&gt;Constants!$B$7,$AG158,AM158))</f>
        <v/>
      </c>
      <c r="BF158" s="72" t="str">
        <f aca="false">IF(ISBLANK($C158),"",IF($AG158&lt;&gt;Constants!$B$7,$AG158,AQ158))</f>
        <v/>
      </c>
      <c r="BG158" s="73" t="str">
        <f aca="false">IF(ISBLANK($C158),"",IF($AG158&lt;&gt;Constants!$B$7, $AG158 ,AS158))</f>
        <v/>
      </c>
      <c r="BH158" s="74" t="str">
        <f aca="false">IF(ISBLANK($C158),"",IF($AG158&lt;&gt;Constants!$B$7, $AG158 ,AH158))</f>
        <v/>
      </c>
      <c r="BI158" s="72" t="str">
        <f aca="false">IF(ISBLANK(C158),"",BA158)</f>
        <v/>
      </c>
      <c r="BJ158" s="72" t="str">
        <f aca="false">IF(ISBLANK(C158),"",AZ158)</f>
        <v/>
      </c>
      <c r="BK158" s="75" t="str">
        <f aca="false">IF(ISBLANK(C158),"",IFERROR(_xlfn.SWITCH(BJ158, Constants!$B$4, COUNTA($C$8:$C657)+2, Constants!$B$5, COUNTA($C$8:$C657)+1, Constants!$B$6, COUNTA($C$8:$C657)),BJ158))</f>
        <v/>
      </c>
      <c r="BL158" s="5"/>
      <c r="BM158" s="76" t="n">
        <f aca="false">IF(OR(ISNUMBER(BJ158),BJ158="DQ",BJ158="P",BJ158="NS"),
    1,
    0
)</f>
        <v>0</v>
      </c>
      <c r="BN158" s="76" t="n">
        <v>151</v>
      </c>
      <c r="BO158" s="76" t="str">
        <f aca="false">IF(ISBLANK($C158),"",IF(ISNUMBER(BK158),BK158+ROW($B158)/1000,""))</f>
        <v/>
      </c>
      <c r="BP158" s="76" t="str">
        <f aca="false">IF(ISNUMBER(BO158), RANK(BO158,BO$8:BO$507,1), "")</f>
        <v/>
      </c>
      <c r="BQ158" s="76" t="str">
        <f aca="false">IF(ISBLANK($C158),
    "",
    $B158
)</f>
        <v/>
      </c>
      <c r="BR158" s="76" t="str">
        <f aca="false">IF(ISBLANK($C158),
    "",
    $C158
)</f>
        <v/>
      </c>
      <c r="BS158" s="76" t="str">
        <f aca="false">IF(ISBLANK($C158),
    "",
    $D158
)</f>
        <v/>
      </c>
      <c r="BT158" s="77" t="str">
        <f aca="false">BH158</f>
        <v/>
      </c>
      <c r="BU158" s="78" t="str">
        <f aca="false">BG158</f>
        <v/>
      </c>
      <c r="BV158" s="76" t="str">
        <f aca="false">IF(ISBLANK($C158),
    "",
    BJ158
)</f>
        <v/>
      </c>
      <c r="BW158" s="79" t="str">
        <f aca="false">IF(BN158&gt;BM$7,
    "",
    VLOOKUP(BN158,BP$8:BV657,7,FALSE())
)</f>
        <v/>
      </c>
      <c r="BX158" s="80" t="str">
        <f aca="false">IF(BN158&gt;BM$7,
    "",
    VLOOKUP(BN158,BP$8:BV657,2,FALSE())
)</f>
        <v/>
      </c>
      <c r="BY158" s="80" t="str">
        <f aca="false">IF(BN158&gt;BM$7,
    "",
    VLOOKUP(BN158,BP$8:BV657,3,FALSE())
)</f>
        <v/>
      </c>
      <c r="BZ158" s="80" t="str">
        <f aca="false">IF(BN158&gt;BM$7,
    "",
    VLOOKUP(BN158,BP$8:BV657,4,FALSE())
)</f>
        <v/>
      </c>
      <c r="CA158" s="80" t="str">
        <f aca="false">IF(BN158&gt;BM$7,
    "",
    VLOOKUP(BN158,BP$8:BV657,5,FALSE())
)</f>
        <v/>
      </c>
      <c r="CB158" s="81" t="str">
        <f aca="false">IF(BN158&gt;BM$7,
    "",
    VLOOKUP(BN158,BP$8:BV657,6,FALSE())
)</f>
        <v/>
      </c>
      <c r="CC158" s="53"/>
    </row>
    <row r="159" customFormat="false" ht="15.75" hidden="false" customHeight="false" outlineLevel="0" collapsed="false">
      <c r="A159" s="5"/>
      <c r="B159" s="129"/>
      <c r="C159" s="55"/>
      <c r="D159" s="56"/>
      <c r="E159" s="123"/>
      <c r="F159" s="123"/>
      <c r="G159" s="58"/>
      <c r="H159" s="59"/>
      <c r="I159" s="59"/>
      <c r="J159" s="83"/>
      <c r="K159" s="83"/>
      <c r="L159" s="83"/>
      <c r="M159" s="61"/>
      <c r="N159" s="61"/>
      <c r="O159" s="61"/>
      <c r="P159" s="62"/>
      <c r="Q159" s="63"/>
      <c r="R159" s="83"/>
      <c r="S159" s="65"/>
      <c r="T159" s="66"/>
      <c r="U159" s="66" t="str">
        <f aca="false">IF(ISBLANK($C159),"",IF(G159=Constants!$B$2, TRUE(), IF(G159=Constants!$B$3, FALSE(), TRUE())))</f>
        <v/>
      </c>
      <c r="V159" s="66" t="str">
        <f aca="false">IF(ISBLANK($C159),"",IF(H159=Constants!$B$2, TRUE(), IF(H159=Constants!$B$3, FALSE(), TRUE())))</f>
        <v/>
      </c>
      <c r="W159" s="66" t="str">
        <f aca="false">IF(ISBLANK($C159),"",IF(I159=Constants!$B$2, TRUE(), IF(I159=Constants!$B$3, FALSE(), TRUE())))</f>
        <v/>
      </c>
      <c r="X159" s="66" t="str">
        <f aca="false">IF(ISBLANK($C159),"",IF(AND(ISNUMBER(J159),J159&gt;0),INT(J159),0))</f>
        <v/>
      </c>
      <c r="Y159" s="66" t="str">
        <f aca="false">IF(ISBLANK($C159),"",IF(K159=Constants!$B$2, TRUE(), IF(K159=Constants!$B$3, FALSE(), TRUE())))</f>
        <v/>
      </c>
      <c r="Z159" s="66" t="str">
        <f aca="false">IF(ISBLANK($C159),"",IF(AND(ISNUMBER(L159),L159&gt;0),INT(L159),0))</f>
        <v/>
      </c>
      <c r="AA159" s="68" t="str">
        <f aca="false">IF(ISBLANK($C159),"",IF(ISNUMBER(M159), M159, ""))</f>
        <v/>
      </c>
      <c r="AB159" s="68" t="str">
        <f aca="false">IF(ISBLANK($C159),"",IF(ISNUMBER(N159), N159, ""))</f>
        <v/>
      </c>
      <c r="AC159" s="68" t="str">
        <f aca="false">IF(ISBLANK($C159),"",IF(ISNUMBER(O159), O159, ""))</f>
        <v/>
      </c>
      <c r="AD159" s="69" t="str">
        <f aca="false">IF(ISBLANK($C159),"",IF(ISNUMBER(P159), P159, ""))</f>
        <v/>
      </c>
      <c r="AE159" s="69" t="str">
        <f aca="false">IF(ISBLANK($C159),"",IF(ISNUMBER(Q159), Q159, Constants!$B$13))</f>
        <v/>
      </c>
      <c r="AF159" s="66" t="str">
        <f aca="false">IF(ISBLANK($C159),"",IF(R159=Constants!$B$2, TRUE(), IF(R159=Constants!$B$3, FALSE(), FALSE())))</f>
        <v/>
      </c>
      <c r="AG159" s="66" t="str">
        <f aca="false">IF(ISBLANK(C159), "", IF(AF159, Constants!$B$4,IF(COUNTA(G159:P159)=0, Constants!$B$5, Constants!$B$7)))</f>
        <v/>
      </c>
      <c r="AH159" s="66" t="str">
        <f aca="false">IF(ISBLANK($C159), "",IF($AG159=Constants!$B$7,1,$AG159))</f>
        <v/>
      </c>
      <c r="AI159" s="66" t="str">
        <f aca="false">IF($AG159=Constants!$B$7,POWER(Constants!$B$11,X159)*POWER(Constants!$B$12,Z159),"")</f>
        <v/>
      </c>
      <c r="AJ159" s="66" t="str">
        <f aca="false">IF(AND($AG159=Constants!$B$7, U159, V159) ,IF(OR($AA159="",$AC159=""),"",MAX(0, $AC159-$AA159)),"")</f>
        <v/>
      </c>
      <c r="AK159" s="66" t="str">
        <f aca="false">IF(AND($AG159=Constants!$B$7, U159, V159),IF(OR($AA159="",$AC159=""),$AK$6,""),"")</f>
        <v/>
      </c>
      <c r="AL159" s="66" t="str">
        <f aca="false">IF($AG159=Constants!$B$7,IF(AND(U159,V159,W159,Y159),IF($AJ159="",0,IF($AJ$6=0,Constants!$B$9,Constants!$B$9*AJ159/$AJ$6)), 0),"")</f>
        <v/>
      </c>
      <c r="AM159" s="66" t="str">
        <f aca="false">IF(AL159&lt;&gt;"", AL159*AI159,"")</f>
        <v/>
      </c>
      <c r="AN159" s="66" t="str">
        <f aca="false">IF(AND($AG159=Constants!$B$7, U159, V159) ,IF($AB159="", "", IF(OR($AC159="",$AC159=0),"",MAX(0,1-ABS($AC159-$AB159)/$AC159))),"")</f>
        <v/>
      </c>
      <c r="AO159" s="66" t="str">
        <f aca="false">IF(AND($AG159=Constants!$B$7, U159, V159),IF(AND($AA159&lt;&gt;"",$AB159&lt;&gt;"",$AC159=0),$AO$6,""),"")</f>
        <v/>
      </c>
      <c r="AP159" s="66" t="str">
        <f aca="false">IF($AG159=Constants!$B$7 ,IF(AND(U159,V159,W159,Y159,ISNUMBER(AB159)),IF($AN159="",0,IF($AN$6=0,Constants!$B$10,Constants!$B$10*AN159/$AN$6)), 0),"")</f>
        <v/>
      </c>
      <c r="AQ159" s="66" t="str">
        <f aca="false">IF(AP159&lt;&gt;"", AP159*AI159,"")</f>
        <v/>
      </c>
      <c r="AR159" s="66" t="str">
        <f aca="false">IF($AG159=Constants!$B$7,IF($AD159="",0,IF($AR$6=0,Constants!$B$8,Constants!$B$8*AD159/$AR$6)),"")</f>
        <v/>
      </c>
      <c r="AS159" s="66" t="str">
        <f aca="false">IF($AG159&lt;&gt;Constants!$B$7,$AG159,IF(AK159&amp;AO159&lt;&gt;"",Constants!$B$14,AM159+AQ159+AR159))</f>
        <v/>
      </c>
      <c r="AT159" s="66" t="str">
        <f aca="false">IF(ISBLANK($C159),"",IF($AG159=Constants!$B$7,IF(ISNUMBER(AS159),RANK(AS159,$AS$8:$AS$507),Constants!$B$14),$AG159))</f>
        <v/>
      </c>
      <c r="AU159" s="66" t="str">
        <f aca="false">IF(ISBLANK($C159), "",AM159)</f>
        <v/>
      </c>
      <c r="AV159" s="66" t="str">
        <f aca="false">IF(ISBLANK($C159),"",IF($AG159=Constants!$B$7,RANK(AU159,AU$8:AU$507),$AG159))</f>
        <v/>
      </c>
      <c r="AW159" s="66" t="str">
        <f aca="false">IF(ISBLANK($C159), "",AR159)</f>
        <v/>
      </c>
      <c r="AX159" s="66" t="str">
        <f aca="false">IF(ISBLANK($C159),"",IF($AG159=Constants!$B$7,RANK(AW159,AW$8:AW$507),$AG159))</f>
        <v/>
      </c>
      <c r="AY159" s="66" t="str">
        <f aca="false">IF(ISBLANK($C159), "",AE159)</f>
        <v/>
      </c>
      <c r="AZ159" s="66" t="str">
        <f aca="false">IF(ISBLANK($C159),"",
IF($AG159=Constants!$B$7,
  IF(ISNUMBER(AT159),
    COUNTIFS($AT$8:$AT$507,"&lt;"&amp;$AT159)
    + COUNTIFS($AT$8:$AT$507,$AT159,$AV$8:$AV$507,"&lt;"&amp;$AV159)
    + COUNTIFS($AT$8:$AT$507,$AT159,$AV$8:$AV$507,$AV159,$AX$8:$AX$507,"&lt;"&amp;$AX159)
    + COUNTIFS($AT$8:$AT$507,$AT159,$AV$8:$AV$507,$AV159,$AX$8:$AX$507,$AX159,$AY$8:$AY$507,"&lt;"&amp;$AY159)
    + 1,
  Constants!$B$14),
$AG159))</f>
        <v/>
      </c>
      <c r="BA159" s="66" t="str">
        <f aca="false">IF(ISBLANK(C159),"",IF($AG159=Constants!$B$7, IF(ISNUMBER(AT159),AT159-AZ159,Constants!$B$14),$AG159))</f>
        <v/>
      </c>
      <c r="BB159" s="70"/>
      <c r="BC159" s="84" t="str">
        <f aca="false">IF(ISBLANK($C159),"",TRIM(AK159&amp;" "&amp;AO159))</f>
        <v/>
      </c>
      <c r="BD159" s="72" t="str">
        <f aca="false">IF(ISBLANK($C159),"",IF($AG159&lt;&gt;Constants!$B$7,$AG159,AR159))</f>
        <v/>
      </c>
      <c r="BE159" s="72" t="str">
        <f aca="false">IF(ISBLANK($C159),"",IF($AG159&lt;&gt;Constants!$B$7,$AG159,AM159))</f>
        <v/>
      </c>
      <c r="BF159" s="72" t="str">
        <f aca="false">IF(ISBLANK($C159),"",IF($AG159&lt;&gt;Constants!$B$7,$AG159,AQ159))</f>
        <v/>
      </c>
      <c r="BG159" s="73" t="str">
        <f aca="false">IF(ISBLANK($C159),"",IF($AG159&lt;&gt;Constants!$B$7, $AG159 ,AS159))</f>
        <v/>
      </c>
      <c r="BH159" s="74" t="str">
        <f aca="false">IF(ISBLANK($C159),"",IF($AG159&lt;&gt;Constants!$B$7, $AG159 ,AH159))</f>
        <v/>
      </c>
      <c r="BI159" s="72" t="str">
        <f aca="false">IF(ISBLANK(C159),"",BA159)</f>
        <v/>
      </c>
      <c r="BJ159" s="72" t="str">
        <f aca="false">IF(ISBLANK(C159),"",AZ159)</f>
        <v/>
      </c>
      <c r="BK159" s="75" t="str">
        <f aca="false">IF(ISBLANK(C159),"",IFERROR(_xlfn.SWITCH(BJ159, Constants!$B$4, COUNTA($C$8:$C658)+2, Constants!$B$5, COUNTA($C$8:$C658)+1, Constants!$B$6, COUNTA($C$8:$C658)),BJ159))</f>
        <v/>
      </c>
      <c r="BL159" s="5"/>
      <c r="BM159" s="76" t="n">
        <f aca="false">IF(OR(ISNUMBER(BJ159),BJ159="DQ",BJ159="P",BJ159="NS"),
    1,
    0
)</f>
        <v>0</v>
      </c>
      <c r="BN159" s="76" t="n">
        <v>152</v>
      </c>
      <c r="BO159" s="76" t="str">
        <f aca="false">IF(ISBLANK($C159),"",IF(ISNUMBER(BK159),BK159+ROW($B159)/1000,""))</f>
        <v/>
      </c>
      <c r="BP159" s="76" t="str">
        <f aca="false">IF(ISNUMBER(BO159), RANK(BO159,BO$8:BO$507,1), "")</f>
        <v/>
      </c>
      <c r="BQ159" s="76" t="str">
        <f aca="false">IF(ISBLANK($C159),
    "",
    $B159
)</f>
        <v/>
      </c>
      <c r="BR159" s="76" t="str">
        <f aca="false">IF(ISBLANK($C159),
    "",
    $C159
)</f>
        <v/>
      </c>
      <c r="BS159" s="76" t="str">
        <f aca="false">IF(ISBLANK($C159),
    "",
    $D159
)</f>
        <v/>
      </c>
      <c r="BT159" s="77" t="str">
        <f aca="false">BH159</f>
        <v/>
      </c>
      <c r="BU159" s="78" t="str">
        <f aca="false">BG159</f>
        <v/>
      </c>
      <c r="BV159" s="76" t="str">
        <f aca="false">IF(ISBLANK($C159),
    "",
    BJ159
)</f>
        <v/>
      </c>
      <c r="BW159" s="79" t="str">
        <f aca="false">IF(BN159&gt;BM$7,
    "",
    VLOOKUP(BN159,BP$8:BV658,7,FALSE())
)</f>
        <v/>
      </c>
      <c r="BX159" s="80" t="str">
        <f aca="false">IF(BN159&gt;BM$7,
    "",
    VLOOKUP(BN159,BP$8:BV658,2,FALSE())
)</f>
        <v/>
      </c>
      <c r="BY159" s="80" t="str">
        <f aca="false">IF(BN159&gt;BM$7,
    "",
    VLOOKUP(BN159,BP$8:BV658,3,FALSE())
)</f>
        <v/>
      </c>
      <c r="BZ159" s="80" t="str">
        <f aca="false">IF(BN159&gt;BM$7,
    "",
    VLOOKUP(BN159,BP$8:BV658,4,FALSE())
)</f>
        <v/>
      </c>
      <c r="CA159" s="80" t="str">
        <f aca="false">IF(BN159&gt;BM$7,
    "",
    VLOOKUP(BN159,BP$8:BV658,5,FALSE())
)</f>
        <v/>
      </c>
      <c r="CB159" s="81" t="str">
        <f aca="false">IF(BN159&gt;BM$7,
    "",
    VLOOKUP(BN159,BP$8:BV658,6,FALSE())
)</f>
        <v/>
      </c>
      <c r="CC159" s="53"/>
    </row>
    <row r="160" customFormat="false" ht="15.75" hidden="false" customHeight="false" outlineLevel="0" collapsed="false">
      <c r="A160" s="5"/>
      <c r="B160" s="129"/>
      <c r="C160" s="55"/>
      <c r="D160" s="56"/>
      <c r="E160" s="123"/>
      <c r="F160" s="123"/>
      <c r="G160" s="58"/>
      <c r="H160" s="59"/>
      <c r="I160" s="59"/>
      <c r="J160" s="83"/>
      <c r="K160" s="83"/>
      <c r="L160" s="83"/>
      <c r="M160" s="61"/>
      <c r="N160" s="61"/>
      <c r="O160" s="61"/>
      <c r="P160" s="62"/>
      <c r="Q160" s="63"/>
      <c r="R160" s="83"/>
      <c r="S160" s="65"/>
      <c r="T160" s="66"/>
      <c r="U160" s="66" t="str">
        <f aca="false">IF(ISBLANK($C160),"",IF(G160=Constants!$B$2, TRUE(), IF(G160=Constants!$B$3, FALSE(), TRUE())))</f>
        <v/>
      </c>
      <c r="V160" s="66" t="str">
        <f aca="false">IF(ISBLANK($C160),"",IF(H160=Constants!$B$2, TRUE(), IF(H160=Constants!$B$3, FALSE(), TRUE())))</f>
        <v/>
      </c>
      <c r="W160" s="66" t="str">
        <f aca="false">IF(ISBLANK($C160),"",IF(I160=Constants!$B$2, TRUE(), IF(I160=Constants!$B$3, FALSE(), TRUE())))</f>
        <v/>
      </c>
      <c r="X160" s="66" t="str">
        <f aca="false">IF(ISBLANK($C160),"",IF(AND(ISNUMBER(J160),J160&gt;0),INT(J160),0))</f>
        <v/>
      </c>
      <c r="Y160" s="66" t="str">
        <f aca="false">IF(ISBLANK($C160),"",IF(K160=Constants!$B$2, TRUE(), IF(K160=Constants!$B$3, FALSE(), TRUE())))</f>
        <v/>
      </c>
      <c r="Z160" s="66" t="str">
        <f aca="false">IF(ISBLANK($C160),"",IF(AND(ISNUMBER(L160),L160&gt;0),INT(L160),0))</f>
        <v/>
      </c>
      <c r="AA160" s="68" t="str">
        <f aca="false">IF(ISBLANK($C160),"",IF(ISNUMBER(M160), M160, ""))</f>
        <v/>
      </c>
      <c r="AB160" s="68" t="str">
        <f aca="false">IF(ISBLANK($C160),"",IF(ISNUMBER(N160), N160, ""))</f>
        <v/>
      </c>
      <c r="AC160" s="68" t="str">
        <f aca="false">IF(ISBLANK($C160),"",IF(ISNUMBER(O160), O160, ""))</f>
        <v/>
      </c>
      <c r="AD160" s="69" t="str">
        <f aca="false">IF(ISBLANK($C160),"",IF(ISNUMBER(P160), P160, ""))</f>
        <v/>
      </c>
      <c r="AE160" s="69" t="str">
        <f aca="false">IF(ISBLANK($C160),"",IF(ISNUMBER(Q160), Q160, Constants!$B$13))</f>
        <v/>
      </c>
      <c r="AF160" s="66" t="str">
        <f aca="false">IF(ISBLANK($C160),"",IF(R160=Constants!$B$2, TRUE(), IF(R160=Constants!$B$3, FALSE(), FALSE())))</f>
        <v/>
      </c>
      <c r="AG160" s="66" t="str">
        <f aca="false">IF(ISBLANK(C160), "", IF(AF160, Constants!$B$4,IF(COUNTA(G160:P160)=0, Constants!$B$5, Constants!$B$7)))</f>
        <v/>
      </c>
      <c r="AH160" s="66" t="str">
        <f aca="false">IF(ISBLANK($C160), "",IF($AG160=Constants!$B$7,1,$AG160))</f>
        <v/>
      </c>
      <c r="AI160" s="66" t="str">
        <f aca="false">IF($AG160=Constants!$B$7,POWER(Constants!$B$11,X160)*POWER(Constants!$B$12,Z160),"")</f>
        <v/>
      </c>
      <c r="AJ160" s="66" t="str">
        <f aca="false">IF(AND($AG160=Constants!$B$7, U160, V160) ,IF(OR($AA160="",$AC160=""),"",MAX(0, $AC160-$AA160)),"")</f>
        <v/>
      </c>
      <c r="AK160" s="66" t="str">
        <f aca="false">IF(AND($AG160=Constants!$B$7, U160, V160),IF(OR($AA160="",$AC160=""),$AK$6,""),"")</f>
        <v/>
      </c>
      <c r="AL160" s="66" t="str">
        <f aca="false">IF($AG160=Constants!$B$7,IF(AND(U160,V160,W160,Y160),IF($AJ160="",0,IF($AJ$6=0,Constants!$B$9,Constants!$B$9*AJ160/$AJ$6)), 0),"")</f>
        <v/>
      </c>
      <c r="AM160" s="66" t="str">
        <f aca="false">IF(AL160&lt;&gt;"", AL160*AI160,"")</f>
        <v/>
      </c>
      <c r="AN160" s="66" t="str">
        <f aca="false">IF(AND($AG160=Constants!$B$7, U160, V160) ,IF($AB160="", "", IF(OR($AC160="",$AC160=0),"",MAX(0,1-ABS($AC160-$AB160)/$AC160))),"")</f>
        <v/>
      </c>
      <c r="AO160" s="66" t="str">
        <f aca="false">IF(AND($AG160=Constants!$B$7, U160, V160),IF(AND($AA160&lt;&gt;"",$AB160&lt;&gt;"",$AC160=0),$AO$6,""),"")</f>
        <v/>
      </c>
      <c r="AP160" s="66" t="str">
        <f aca="false">IF($AG160=Constants!$B$7 ,IF(AND(U160,V160,W160,Y160,ISNUMBER(AB160)),IF($AN160="",0,IF($AN$6=0,Constants!$B$10,Constants!$B$10*AN160/$AN$6)), 0),"")</f>
        <v/>
      </c>
      <c r="AQ160" s="66" t="str">
        <f aca="false">IF(AP160&lt;&gt;"", AP160*AI160,"")</f>
        <v/>
      </c>
      <c r="AR160" s="66" t="str">
        <f aca="false">IF($AG160=Constants!$B$7,IF($AD160="",0,IF($AR$6=0,Constants!$B$8,Constants!$B$8*AD160/$AR$6)),"")</f>
        <v/>
      </c>
      <c r="AS160" s="66" t="str">
        <f aca="false">IF($AG160&lt;&gt;Constants!$B$7,$AG160,IF(AK160&amp;AO160&lt;&gt;"",Constants!$B$14,AM160+AQ160+AR160))</f>
        <v/>
      </c>
      <c r="AT160" s="66" t="str">
        <f aca="false">IF(ISBLANK($C160),"",IF($AG160=Constants!$B$7,IF(ISNUMBER(AS160),RANK(AS160,$AS$8:$AS$507),Constants!$B$14),$AG160))</f>
        <v/>
      </c>
      <c r="AU160" s="66" t="str">
        <f aca="false">IF(ISBLANK($C160), "",AM160)</f>
        <v/>
      </c>
      <c r="AV160" s="66" t="str">
        <f aca="false">IF(ISBLANK($C160),"",IF($AG160=Constants!$B$7,RANK(AU160,AU$8:AU$507),$AG160))</f>
        <v/>
      </c>
      <c r="AW160" s="66" t="str">
        <f aca="false">IF(ISBLANK($C160), "",AR160)</f>
        <v/>
      </c>
      <c r="AX160" s="66" t="str">
        <f aca="false">IF(ISBLANK($C160),"",IF($AG160=Constants!$B$7,RANK(AW160,AW$8:AW$507),$AG160))</f>
        <v/>
      </c>
      <c r="AY160" s="66" t="str">
        <f aca="false">IF(ISBLANK($C160), "",AE160)</f>
        <v/>
      </c>
      <c r="AZ160" s="66" t="str">
        <f aca="false">IF(ISBLANK($C160),"",
IF($AG160=Constants!$B$7,
  IF(ISNUMBER(AT160),
    COUNTIFS($AT$8:$AT$507,"&lt;"&amp;$AT160)
    + COUNTIFS($AT$8:$AT$507,$AT160,$AV$8:$AV$507,"&lt;"&amp;$AV160)
    + COUNTIFS($AT$8:$AT$507,$AT160,$AV$8:$AV$507,$AV160,$AX$8:$AX$507,"&lt;"&amp;$AX160)
    + COUNTIFS($AT$8:$AT$507,$AT160,$AV$8:$AV$507,$AV160,$AX$8:$AX$507,$AX160,$AY$8:$AY$507,"&lt;"&amp;$AY160)
    + 1,
  Constants!$B$14),
$AG160))</f>
        <v/>
      </c>
      <c r="BA160" s="66" t="str">
        <f aca="false">IF(ISBLANK(C160),"",IF($AG160=Constants!$B$7, IF(ISNUMBER(AT160),AT160-AZ160,Constants!$B$14),$AG160))</f>
        <v/>
      </c>
      <c r="BB160" s="70"/>
      <c r="BC160" s="84" t="str">
        <f aca="false">IF(ISBLANK($C160),"",TRIM(AK160&amp;" "&amp;AO160))</f>
        <v/>
      </c>
      <c r="BD160" s="72" t="str">
        <f aca="false">IF(ISBLANK($C160),"",IF($AG160&lt;&gt;Constants!$B$7,$AG160,AR160))</f>
        <v/>
      </c>
      <c r="BE160" s="72" t="str">
        <f aca="false">IF(ISBLANK($C160),"",IF($AG160&lt;&gt;Constants!$B$7,$AG160,AM160))</f>
        <v/>
      </c>
      <c r="BF160" s="72" t="str">
        <f aca="false">IF(ISBLANK($C160),"",IF($AG160&lt;&gt;Constants!$B$7,$AG160,AQ160))</f>
        <v/>
      </c>
      <c r="BG160" s="73" t="str">
        <f aca="false">IF(ISBLANK($C160),"",IF($AG160&lt;&gt;Constants!$B$7, $AG160 ,AS160))</f>
        <v/>
      </c>
      <c r="BH160" s="74" t="str">
        <f aca="false">IF(ISBLANK($C160),"",IF($AG160&lt;&gt;Constants!$B$7, $AG160 ,AH160))</f>
        <v/>
      </c>
      <c r="BI160" s="72" t="str">
        <f aca="false">IF(ISBLANK(C160),"",BA160)</f>
        <v/>
      </c>
      <c r="BJ160" s="72" t="str">
        <f aca="false">IF(ISBLANK(C160),"",AZ160)</f>
        <v/>
      </c>
      <c r="BK160" s="75" t="str">
        <f aca="false">IF(ISBLANK(C160),"",IFERROR(_xlfn.SWITCH(BJ160, Constants!$B$4, COUNTA($C$8:$C659)+2, Constants!$B$5, COUNTA($C$8:$C659)+1, Constants!$B$6, COUNTA($C$8:$C659)),BJ160))</f>
        <v/>
      </c>
      <c r="BL160" s="5"/>
      <c r="BM160" s="76" t="n">
        <f aca="false">IF(OR(ISNUMBER(BJ160),BJ160="DQ",BJ160="P",BJ160="NS"),
    1,
    0
)</f>
        <v>0</v>
      </c>
      <c r="BN160" s="76" t="n">
        <v>153</v>
      </c>
      <c r="BO160" s="76" t="str">
        <f aca="false">IF(ISBLANK($C160),"",IF(ISNUMBER(BK160),BK160+ROW($B160)/1000,""))</f>
        <v/>
      </c>
      <c r="BP160" s="76" t="str">
        <f aca="false">IF(ISNUMBER(BO160), RANK(BO160,BO$8:BO$507,1), "")</f>
        <v/>
      </c>
      <c r="BQ160" s="76" t="str">
        <f aca="false">IF(ISBLANK($C160),
    "",
    $B160
)</f>
        <v/>
      </c>
      <c r="BR160" s="76" t="str">
        <f aca="false">IF(ISBLANK($C160),
    "",
    $C160
)</f>
        <v/>
      </c>
      <c r="BS160" s="76" t="str">
        <f aca="false">IF(ISBLANK($C160),
    "",
    $D160
)</f>
        <v/>
      </c>
      <c r="BT160" s="77" t="str">
        <f aca="false">BH160</f>
        <v/>
      </c>
      <c r="BU160" s="78" t="str">
        <f aca="false">BG160</f>
        <v/>
      </c>
      <c r="BV160" s="76" t="str">
        <f aca="false">IF(ISBLANK($C160),
    "",
    BJ160
)</f>
        <v/>
      </c>
      <c r="BW160" s="79" t="str">
        <f aca="false">IF(BN160&gt;BM$7,
    "",
    VLOOKUP(BN160,BP$8:BV659,7,FALSE())
)</f>
        <v/>
      </c>
      <c r="BX160" s="80" t="str">
        <f aca="false">IF(BN160&gt;BM$7,
    "",
    VLOOKUP(BN160,BP$8:BV659,2,FALSE())
)</f>
        <v/>
      </c>
      <c r="BY160" s="80" t="str">
        <f aca="false">IF(BN160&gt;BM$7,
    "",
    VLOOKUP(BN160,BP$8:BV659,3,FALSE())
)</f>
        <v/>
      </c>
      <c r="BZ160" s="80" t="str">
        <f aca="false">IF(BN160&gt;BM$7,
    "",
    VLOOKUP(BN160,BP$8:BV659,4,FALSE())
)</f>
        <v/>
      </c>
      <c r="CA160" s="80" t="str">
        <f aca="false">IF(BN160&gt;BM$7,
    "",
    VLOOKUP(BN160,BP$8:BV659,5,FALSE())
)</f>
        <v/>
      </c>
      <c r="CB160" s="81" t="str">
        <f aca="false">IF(BN160&gt;BM$7,
    "",
    VLOOKUP(BN160,BP$8:BV659,6,FALSE())
)</f>
        <v/>
      </c>
      <c r="CC160" s="53"/>
    </row>
    <row r="161" customFormat="false" ht="15.75" hidden="false" customHeight="false" outlineLevel="0" collapsed="false">
      <c r="A161" s="5"/>
      <c r="B161" s="125"/>
      <c r="C161" s="126"/>
      <c r="D161" s="115"/>
      <c r="E161" s="119"/>
      <c r="F161" s="119"/>
      <c r="G161" s="91"/>
      <c r="H161" s="92"/>
      <c r="I161" s="92"/>
      <c r="J161" s="128"/>
      <c r="K161" s="128"/>
      <c r="L161" s="128"/>
      <c r="M161" s="94"/>
      <c r="N161" s="94"/>
      <c r="O161" s="94"/>
      <c r="P161" s="95"/>
      <c r="Q161" s="96"/>
      <c r="R161" s="128"/>
      <c r="S161" s="98"/>
      <c r="T161" s="99"/>
      <c r="U161" s="99" t="str">
        <f aca="false">IF(ISBLANK($C161),"",IF(G161=Constants!$B$2, TRUE(), IF(G161=Constants!$B$3, FALSE(), TRUE())))</f>
        <v/>
      </c>
      <c r="V161" s="99" t="str">
        <f aca="false">IF(ISBLANK($C161),"",IF(H161=Constants!$B$2, TRUE(), IF(H161=Constants!$B$3, FALSE(), TRUE())))</f>
        <v/>
      </c>
      <c r="W161" s="99" t="str">
        <f aca="false">IF(ISBLANK($C161),"",IF(I161=Constants!$B$2, TRUE(), IF(I161=Constants!$B$3, FALSE(), TRUE())))</f>
        <v/>
      </c>
      <c r="X161" s="99" t="str">
        <f aca="false">IF(ISBLANK($C161),"",IF(AND(ISNUMBER(J161),J161&gt;0),INT(J161),0))</f>
        <v/>
      </c>
      <c r="Y161" s="99" t="str">
        <f aca="false">IF(ISBLANK($C161),"",IF(K161=Constants!$B$2, TRUE(), IF(K161=Constants!$B$3, FALSE(), TRUE())))</f>
        <v/>
      </c>
      <c r="Z161" s="100" t="str">
        <f aca="false">IF(ISBLANK($C161),"",IF(AND(ISNUMBER(L161),L161&gt;0),INT(L161),0))</f>
        <v/>
      </c>
      <c r="AA161" s="101" t="str">
        <f aca="false">IF(ISBLANK($C161),"",IF(ISNUMBER(M161), M161, ""))</f>
        <v/>
      </c>
      <c r="AB161" s="101" t="str">
        <f aca="false">IF(ISBLANK($C161),"",IF(ISNUMBER(N161), N161, ""))</f>
        <v/>
      </c>
      <c r="AC161" s="101" t="str">
        <f aca="false">IF(ISBLANK($C161),"",IF(ISNUMBER(O161), O161, ""))</f>
        <v/>
      </c>
      <c r="AD161" s="102" t="str">
        <f aca="false">IF(ISBLANK($C161),"",IF(ISNUMBER(P161), P161, ""))</f>
        <v/>
      </c>
      <c r="AE161" s="102" t="str">
        <f aca="false">IF(ISBLANK($C161),"",IF(ISNUMBER(Q161), Q161, Constants!$B$13))</f>
        <v/>
      </c>
      <c r="AF161" s="99" t="str">
        <f aca="false">IF(ISBLANK($C161),"",IF(R161=Constants!$B$2, TRUE(), IF(R161=Constants!$B$3, FALSE(), FALSE())))</f>
        <v/>
      </c>
      <c r="AG161" s="99" t="str">
        <f aca="false">IF(ISBLANK(C161), "", IF(AF161, Constants!$B$4,IF(COUNTA(G161:P161)=0, Constants!$B$5, Constants!$B$7)))</f>
        <v/>
      </c>
      <c r="AH161" s="99" t="str">
        <f aca="false">IF(ISBLANK($C161), "",IF($AG161=Constants!$B$7,1,$AG161))</f>
        <v/>
      </c>
      <c r="AI161" s="99" t="str">
        <f aca="false">IF($AG161=Constants!$B$7,POWER(Constants!$B$11,X161)*POWER(Constants!$B$12,Z161),"")</f>
        <v/>
      </c>
      <c r="AJ161" s="99" t="str">
        <f aca="false">IF(AND($AG161=Constants!$B$7, U161, V161) ,IF(OR($AA161="",$AC161=""),"",MAX(0, $AC161-$AA161)),"")</f>
        <v/>
      </c>
      <c r="AK161" s="99" t="str">
        <f aca="false">IF(AND($AG161=Constants!$B$7, U161, V161),IF(OR($AA161="",$AC161=""),$AK$6,""),"")</f>
        <v/>
      </c>
      <c r="AL161" s="99" t="str">
        <f aca="false">IF($AG161=Constants!$B$7,IF(AND(U161,V161,W161,Y161),IF($AJ161="",0,IF($AJ$6=0,Constants!$B$9,Constants!$B$9*AJ161/$AJ$6)), 0),"")</f>
        <v/>
      </c>
      <c r="AM161" s="99" t="str">
        <f aca="false">IF(AL161&lt;&gt;"", AL161*AI161,"")</f>
        <v/>
      </c>
      <c r="AN161" s="99" t="str">
        <f aca="false">IF(AND($AG161=Constants!$B$7, U161, V161) ,IF($AB161="", "", IF(OR($AC161="",$AC161=0),"",MAX(0,1-ABS($AC161-$AB161)/$AC161))),"")</f>
        <v/>
      </c>
      <c r="AO161" s="99" t="str">
        <f aca="false">IF(AND($AG161=Constants!$B$7, U161, V161),IF(AND($AA161&lt;&gt;"",$AB161&lt;&gt;"",$AC161=0),$AO$6,""),"")</f>
        <v/>
      </c>
      <c r="AP161" s="99" t="str">
        <f aca="false">IF($AG161=Constants!$B$7 ,IF(AND(U161,V161,W161,Y161,ISNUMBER(AB161)),IF($AN161="",0,IF($AN$6=0,Constants!$B$10,Constants!$B$10*AN161/$AN$6)), 0),"")</f>
        <v/>
      </c>
      <c r="AQ161" s="99" t="str">
        <f aca="false">IF(AP161&lt;&gt;"", AP161*AI161,"")</f>
        <v/>
      </c>
      <c r="AR161" s="99" t="str">
        <f aca="false">IF($AG161=Constants!$B$7,IF($AD161="",0,IF($AR$6=0,Constants!$B$8,Constants!$B$8*AD161/$AR$6)),"")</f>
        <v/>
      </c>
      <c r="AS161" s="99" t="str">
        <f aca="false">IF($AG161&lt;&gt;Constants!$B$7,$AG161,IF(AK161&amp;AO161&lt;&gt;"",Constants!$B$14,AM161+AQ161+AR161))</f>
        <v/>
      </c>
      <c r="AT161" s="99" t="str">
        <f aca="false">IF(ISBLANK($C161),"",IF($AG161=Constants!$B$7,IF(ISNUMBER(AS161),RANK(AS161,$AS$8:$AS$507),Constants!$B$14),$AG161))</f>
        <v/>
      </c>
      <c r="AU161" s="99" t="str">
        <f aca="false">IF(ISBLANK($C161), "",AM161)</f>
        <v/>
      </c>
      <c r="AV161" s="99" t="str">
        <f aca="false">IF(ISBLANK($C161),"",IF($AG161=Constants!$B$7,RANK(AU161,AU$8:AU$507),$AG161))</f>
        <v/>
      </c>
      <c r="AW161" s="99" t="str">
        <f aca="false">IF(ISBLANK($C161), "",AR161)</f>
        <v/>
      </c>
      <c r="AX161" s="99" t="str">
        <f aca="false">IF(ISBLANK($C161),"",IF($AG161=Constants!$B$7,RANK(AW161,AW$8:AW$507),$AG161))</f>
        <v/>
      </c>
      <c r="AY161" s="99" t="str">
        <f aca="false">IF(ISBLANK($C161), "",AE161)</f>
        <v/>
      </c>
      <c r="AZ161" s="99" t="str">
        <f aca="false">IF(ISBLANK($C161),"",
IF($AG161=Constants!$B$7,
  IF(ISNUMBER(AT161),
    COUNTIFS($AT$8:$AT$507,"&lt;"&amp;$AT161)
    + COUNTIFS($AT$8:$AT$507,$AT161,$AV$8:$AV$507,"&lt;"&amp;$AV161)
    + COUNTIFS($AT$8:$AT$507,$AT161,$AV$8:$AV$507,$AV161,$AX$8:$AX$507,"&lt;"&amp;$AX161)
    + COUNTIFS($AT$8:$AT$507,$AT161,$AV$8:$AV$507,$AV161,$AX$8:$AX$507,$AX161,$AY$8:$AY$507,"&lt;"&amp;$AY161)
    + 1,
  Constants!$B$14),
$AG161))</f>
        <v/>
      </c>
      <c r="BA161" s="99" t="str">
        <f aca="false">IF(ISBLANK(C161),"",IF($AG161=Constants!$B$7, IF(ISNUMBER(AT161),AT161-AZ161,Constants!$B$14),$AG161))</f>
        <v/>
      </c>
      <c r="BB161" s="103"/>
      <c r="BC161" s="104" t="str">
        <f aca="false">IF(ISBLANK($C161),"",TRIM(AK161&amp;" "&amp;AO161))</f>
        <v/>
      </c>
      <c r="BD161" s="105" t="str">
        <f aca="false">IF(ISBLANK($C161),"",IF($AG161&lt;&gt;Constants!$B$7,$AG161,AR161))</f>
        <v/>
      </c>
      <c r="BE161" s="105" t="str">
        <f aca="false">IF(ISBLANK($C161),"",IF($AG161&lt;&gt;Constants!$B$7,$AG161,AM161))</f>
        <v/>
      </c>
      <c r="BF161" s="105" t="str">
        <f aca="false">IF(ISBLANK($C161),"",IF($AG161&lt;&gt;Constants!$B$7,$AG161,AQ161))</f>
        <v/>
      </c>
      <c r="BG161" s="106" t="str">
        <f aca="false">IF(ISBLANK($C161),"",IF($AG161&lt;&gt;Constants!$B$7, $AG161 ,AS161))</f>
        <v/>
      </c>
      <c r="BH161" s="107" t="str">
        <f aca="false">IF(ISBLANK($C161),"",IF($AG161&lt;&gt;Constants!$B$7, $AG161 ,AH161))</f>
        <v/>
      </c>
      <c r="BI161" s="105" t="str">
        <f aca="false">IF(ISBLANK(C161),"",BA161)</f>
        <v/>
      </c>
      <c r="BJ161" s="105" t="str">
        <f aca="false">IF(ISBLANK(C161),"",AZ161)</f>
        <v/>
      </c>
      <c r="BK161" s="108" t="str">
        <f aca="false">IF(ISBLANK(C161),"",IFERROR(_xlfn.SWITCH(BJ161, Constants!$B$4, COUNTA($C$8:$C660)+2, Constants!$B$5, COUNTA($C$8:$C660)+1, Constants!$B$6, COUNTA($C$8:$C660)),BJ161))</f>
        <v/>
      </c>
      <c r="BL161" s="5"/>
      <c r="BM161" s="109" t="n">
        <f aca="false">IF(OR(ISNUMBER(BJ161),BJ161="DQ",BJ161="P",BJ161="NS"),
    1,
    0
)</f>
        <v>0</v>
      </c>
      <c r="BN161" s="109" t="n">
        <v>154</v>
      </c>
      <c r="BO161" s="109" t="str">
        <f aca="false">IF(ISBLANK($C161),"",IF(ISNUMBER(BK161),BK161+ROW($B161)/1000,""))</f>
        <v/>
      </c>
      <c r="BP161" s="109" t="str">
        <f aca="false">IF(ISNUMBER(BO161), RANK(BO161,BO$8:BO$507,1), "")</f>
        <v/>
      </c>
      <c r="BQ161" s="109" t="str">
        <f aca="false">IF(ISBLANK($C161),
    "",
    $B161
)</f>
        <v/>
      </c>
      <c r="BR161" s="109" t="str">
        <f aca="false">IF(ISBLANK($C161),
    "",
    $C161
)</f>
        <v/>
      </c>
      <c r="BS161" s="109" t="str">
        <f aca="false">IF(ISBLANK($C161),
    "",
    $D161
)</f>
        <v/>
      </c>
      <c r="BT161" s="110" t="str">
        <f aca="false">BH161</f>
        <v/>
      </c>
      <c r="BU161" s="111" t="str">
        <f aca="false">BG161</f>
        <v/>
      </c>
      <c r="BV161" s="109" t="str">
        <f aca="false">IF(ISBLANK($C161),
    "",
    BJ161
)</f>
        <v/>
      </c>
      <c r="BW161" s="112" t="str">
        <f aca="false">IF(BN161&gt;BM$7,
    "",
    VLOOKUP(BN161,BP$8:BV660,7,FALSE())
)</f>
        <v/>
      </c>
      <c r="BX161" s="113" t="str">
        <f aca="false">IF(BN161&gt;BM$7,
    "",
    VLOOKUP(BN161,BP$8:BV660,2,FALSE())
)</f>
        <v/>
      </c>
      <c r="BY161" s="113" t="str">
        <f aca="false">IF(BN161&gt;BM$7,
    "",
    VLOOKUP(BN161,BP$8:BV660,3,FALSE())
)</f>
        <v/>
      </c>
      <c r="BZ161" s="113" t="str">
        <f aca="false">IF(BN161&gt;BM$7,
    "",
    VLOOKUP(BN161,BP$8:BV660,4,FALSE())
)</f>
        <v/>
      </c>
      <c r="CA161" s="113" t="str">
        <f aca="false">IF(BN161&gt;BM$7,
    "",
    VLOOKUP(BN161,BP$8:BV660,5,FALSE())
)</f>
        <v/>
      </c>
      <c r="CB161" s="114" t="str">
        <f aca="false">IF(BN161&gt;BM$7,
    "",
    VLOOKUP(BN161,BP$8:BV660,6,FALSE())
)</f>
        <v/>
      </c>
      <c r="CC161" s="53"/>
    </row>
    <row r="162" customFormat="false" ht="15.75" hidden="false" customHeight="false" outlineLevel="0" collapsed="false">
      <c r="A162" s="5"/>
      <c r="B162" s="125"/>
      <c r="C162" s="126"/>
      <c r="D162" s="115"/>
      <c r="E162" s="119"/>
      <c r="F162" s="119"/>
      <c r="G162" s="91"/>
      <c r="H162" s="92"/>
      <c r="I162" s="92"/>
      <c r="J162" s="128"/>
      <c r="K162" s="128"/>
      <c r="L162" s="128"/>
      <c r="M162" s="94"/>
      <c r="N162" s="94"/>
      <c r="O162" s="94"/>
      <c r="P162" s="95"/>
      <c r="Q162" s="96"/>
      <c r="R162" s="128"/>
      <c r="S162" s="98"/>
      <c r="T162" s="99"/>
      <c r="U162" s="99" t="str">
        <f aca="false">IF(ISBLANK($C162),"",IF(G162=Constants!$B$2, TRUE(), IF(G162=Constants!$B$3, FALSE(), TRUE())))</f>
        <v/>
      </c>
      <c r="V162" s="99" t="str">
        <f aca="false">IF(ISBLANK($C162),"",IF(H162=Constants!$B$2, TRUE(), IF(H162=Constants!$B$3, FALSE(), TRUE())))</f>
        <v/>
      </c>
      <c r="W162" s="99" t="str">
        <f aca="false">IF(ISBLANK($C162),"",IF(I162=Constants!$B$2, TRUE(), IF(I162=Constants!$B$3, FALSE(), TRUE())))</f>
        <v/>
      </c>
      <c r="X162" s="99" t="str">
        <f aca="false">IF(ISBLANK($C162),"",IF(AND(ISNUMBER(J162),J162&gt;0),INT(J162),0))</f>
        <v/>
      </c>
      <c r="Y162" s="99" t="str">
        <f aca="false">IF(ISBLANK($C162),"",IF(K162=Constants!$B$2, TRUE(), IF(K162=Constants!$B$3, FALSE(), TRUE())))</f>
        <v/>
      </c>
      <c r="Z162" s="100" t="str">
        <f aca="false">IF(ISBLANK($C162),"",IF(AND(ISNUMBER(L162),L162&gt;0),INT(L162),0))</f>
        <v/>
      </c>
      <c r="AA162" s="101" t="str">
        <f aca="false">IF(ISBLANK($C162),"",IF(ISNUMBER(M162), M162, ""))</f>
        <v/>
      </c>
      <c r="AB162" s="101" t="str">
        <f aca="false">IF(ISBLANK($C162),"",IF(ISNUMBER(N162), N162, ""))</f>
        <v/>
      </c>
      <c r="AC162" s="101" t="str">
        <f aca="false">IF(ISBLANK($C162),"",IF(ISNUMBER(O162), O162, ""))</f>
        <v/>
      </c>
      <c r="AD162" s="102" t="str">
        <f aca="false">IF(ISBLANK($C162),"",IF(ISNUMBER(P162), P162, ""))</f>
        <v/>
      </c>
      <c r="AE162" s="102" t="str">
        <f aca="false">IF(ISBLANK($C162),"",IF(ISNUMBER(Q162), Q162, Constants!$B$13))</f>
        <v/>
      </c>
      <c r="AF162" s="99" t="str">
        <f aca="false">IF(ISBLANK($C162),"",IF(R162=Constants!$B$2, TRUE(), IF(R162=Constants!$B$3, FALSE(), FALSE())))</f>
        <v/>
      </c>
      <c r="AG162" s="99" t="str">
        <f aca="false">IF(ISBLANK(C162), "", IF(AF162, Constants!$B$4,IF(COUNTA(G162:P162)=0, Constants!$B$5, Constants!$B$7)))</f>
        <v/>
      </c>
      <c r="AH162" s="99" t="str">
        <f aca="false">IF(ISBLANK($C162), "",IF($AG162=Constants!$B$7,1,$AG162))</f>
        <v/>
      </c>
      <c r="AI162" s="99" t="str">
        <f aca="false">IF($AG162=Constants!$B$7,POWER(Constants!$B$11,X162)*POWER(Constants!$B$12,Z162),"")</f>
        <v/>
      </c>
      <c r="AJ162" s="99" t="str">
        <f aca="false">IF(AND($AG162=Constants!$B$7, U162, V162) ,IF(OR($AA162="",$AC162=""),"",MAX(0, $AC162-$AA162)),"")</f>
        <v/>
      </c>
      <c r="AK162" s="99" t="str">
        <f aca="false">IF(AND($AG162=Constants!$B$7, U162, V162),IF(OR($AA162="",$AC162=""),$AK$6,""),"")</f>
        <v/>
      </c>
      <c r="AL162" s="99" t="str">
        <f aca="false">IF($AG162=Constants!$B$7,IF(AND(U162,V162,W162,Y162),IF($AJ162="",0,IF($AJ$6=0,Constants!$B$9,Constants!$B$9*AJ162/$AJ$6)), 0),"")</f>
        <v/>
      </c>
      <c r="AM162" s="99" t="str">
        <f aca="false">IF(AL162&lt;&gt;"", AL162*AI162,"")</f>
        <v/>
      </c>
      <c r="AN162" s="99" t="str">
        <f aca="false">IF(AND($AG162=Constants!$B$7, U162, V162) ,IF($AB162="", "", IF(OR($AC162="",$AC162=0),"",MAX(0,1-ABS($AC162-$AB162)/$AC162))),"")</f>
        <v/>
      </c>
      <c r="AO162" s="99" t="str">
        <f aca="false">IF(AND($AG162=Constants!$B$7, U162, V162),IF(AND($AA162&lt;&gt;"",$AB162&lt;&gt;"",$AC162=0),$AO$6,""),"")</f>
        <v/>
      </c>
      <c r="AP162" s="99" t="str">
        <f aca="false">IF($AG162=Constants!$B$7 ,IF(AND(U162,V162,W162,Y162,ISNUMBER(AB162)),IF($AN162="",0,IF($AN$6=0,Constants!$B$10,Constants!$B$10*AN162/$AN$6)), 0),"")</f>
        <v/>
      </c>
      <c r="AQ162" s="99" t="str">
        <f aca="false">IF(AP162&lt;&gt;"", AP162*AI162,"")</f>
        <v/>
      </c>
      <c r="AR162" s="99" t="str">
        <f aca="false">IF($AG162=Constants!$B$7,IF($AD162="",0,IF($AR$6=0,Constants!$B$8,Constants!$B$8*AD162/$AR$6)),"")</f>
        <v/>
      </c>
      <c r="AS162" s="99" t="str">
        <f aca="false">IF($AG162&lt;&gt;Constants!$B$7,$AG162,IF(AK162&amp;AO162&lt;&gt;"",Constants!$B$14,AM162+AQ162+AR162))</f>
        <v/>
      </c>
      <c r="AT162" s="99" t="str">
        <f aca="false">IF(ISBLANK($C162),"",IF($AG162=Constants!$B$7,IF(ISNUMBER(AS162),RANK(AS162,$AS$8:$AS$507),Constants!$B$14),$AG162))</f>
        <v/>
      </c>
      <c r="AU162" s="99" t="str">
        <f aca="false">IF(ISBLANK($C162), "",AM162)</f>
        <v/>
      </c>
      <c r="AV162" s="99" t="str">
        <f aca="false">IF(ISBLANK($C162),"",IF($AG162=Constants!$B$7,RANK(AU162,AU$8:AU$507),$AG162))</f>
        <v/>
      </c>
      <c r="AW162" s="99" t="str">
        <f aca="false">IF(ISBLANK($C162), "",AR162)</f>
        <v/>
      </c>
      <c r="AX162" s="99" t="str">
        <f aca="false">IF(ISBLANK($C162),"",IF($AG162=Constants!$B$7,RANK(AW162,AW$8:AW$507),$AG162))</f>
        <v/>
      </c>
      <c r="AY162" s="99" t="str">
        <f aca="false">IF(ISBLANK($C162), "",AE162)</f>
        <v/>
      </c>
      <c r="AZ162" s="99" t="str">
        <f aca="false">IF(ISBLANK($C162),"",
IF($AG162=Constants!$B$7,
  IF(ISNUMBER(AT162),
    COUNTIFS($AT$8:$AT$507,"&lt;"&amp;$AT162)
    + COUNTIFS($AT$8:$AT$507,$AT162,$AV$8:$AV$507,"&lt;"&amp;$AV162)
    + COUNTIFS($AT$8:$AT$507,$AT162,$AV$8:$AV$507,$AV162,$AX$8:$AX$507,"&lt;"&amp;$AX162)
    + COUNTIFS($AT$8:$AT$507,$AT162,$AV$8:$AV$507,$AV162,$AX$8:$AX$507,$AX162,$AY$8:$AY$507,"&lt;"&amp;$AY162)
    + 1,
  Constants!$B$14),
$AG162))</f>
        <v/>
      </c>
      <c r="BA162" s="99" t="str">
        <f aca="false">IF(ISBLANK(C162),"",IF($AG162=Constants!$B$7, IF(ISNUMBER(AT162),AT162-AZ162,Constants!$B$14),$AG162))</f>
        <v/>
      </c>
      <c r="BB162" s="103"/>
      <c r="BC162" s="104" t="str">
        <f aca="false">IF(ISBLANK($C162),"",TRIM(AK162&amp;" "&amp;AO162))</f>
        <v/>
      </c>
      <c r="BD162" s="105" t="str">
        <f aca="false">IF(ISBLANK($C162),"",IF($AG162&lt;&gt;Constants!$B$7,$AG162,AR162))</f>
        <v/>
      </c>
      <c r="BE162" s="105" t="str">
        <f aca="false">IF(ISBLANK($C162),"",IF($AG162&lt;&gt;Constants!$B$7,$AG162,AM162))</f>
        <v/>
      </c>
      <c r="BF162" s="105" t="str">
        <f aca="false">IF(ISBLANK($C162),"",IF($AG162&lt;&gt;Constants!$B$7,$AG162,AQ162))</f>
        <v/>
      </c>
      <c r="BG162" s="106" t="str">
        <f aca="false">IF(ISBLANK($C162),"",IF($AG162&lt;&gt;Constants!$B$7, $AG162 ,AS162))</f>
        <v/>
      </c>
      <c r="BH162" s="107" t="str">
        <f aca="false">IF(ISBLANK($C162),"",IF($AG162&lt;&gt;Constants!$B$7, $AG162 ,AH162))</f>
        <v/>
      </c>
      <c r="BI162" s="105" t="str">
        <f aca="false">IF(ISBLANK(C162),"",BA162)</f>
        <v/>
      </c>
      <c r="BJ162" s="105" t="str">
        <f aca="false">IF(ISBLANK(C162),"",AZ162)</f>
        <v/>
      </c>
      <c r="BK162" s="108" t="str">
        <f aca="false">IF(ISBLANK(C162),"",IFERROR(_xlfn.SWITCH(BJ162, Constants!$B$4, COUNTA($C$8:$C661)+2, Constants!$B$5, COUNTA($C$8:$C661)+1, Constants!$B$6, COUNTA($C$8:$C661)),BJ162))</f>
        <v/>
      </c>
      <c r="BL162" s="5"/>
      <c r="BM162" s="109" t="n">
        <f aca="false">IF(OR(ISNUMBER(BJ162),BJ162="DQ",BJ162="P",BJ162="NS"),
    1,
    0
)</f>
        <v>0</v>
      </c>
      <c r="BN162" s="109" t="n">
        <v>155</v>
      </c>
      <c r="BO162" s="109" t="str">
        <f aca="false">IF(ISBLANK($C162),"",IF(ISNUMBER(BK162),BK162+ROW($B162)/1000,""))</f>
        <v/>
      </c>
      <c r="BP162" s="109" t="str">
        <f aca="false">IF(ISNUMBER(BO162), RANK(BO162,BO$8:BO$507,1), "")</f>
        <v/>
      </c>
      <c r="BQ162" s="109" t="str">
        <f aca="false">IF(ISBLANK($C162),
    "",
    $B162
)</f>
        <v/>
      </c>
      <c r="BR162" s="109" t="str">
        <f aca="false">IF(ISBLANK($C162),
    "",
    $C162
)</f>
        <v/>
      </c>
      <c r="BS162" s="109" t="str">
        <f aca="false">IF(ISBLANK($C162),
    "",
    $D162
)</f>
        <v/>
      </c>
      <c r="BT162" s="110" t="str">
        <f aca="false">BH162</f>
        <v/>
      </c>
      <c r="BU162" s="111" t="str">
        <f aca="false">BG162</f>
        <v/>
      </c>
      <c r="BV162" s="109" t="str">
        <f aca="false">IF(ISBLANK($C162),
    "",
    BJ162
)</f>
        <v/>
      </c>
      <c r="BW162" s="112" t="str">
        <f aca="false">IF(BN162&gt;BM$7,
    "",
    VLOOKUP(BN162,BP$8:BV661,7,FALSE())
)</f>
        <v/>
      </c>
      <c r="BX162" s="113" t="str">
        <f aca="false">IF(BN162&gt;BM$7,
    "",
    VLOOKUP(BN162,BP$8:BV661,2,FALSE())
)</f>
        <v/>
      </c>
      <c r="BY162" s="113" t="str">
        <f aca="false">IF(BN162&gt;BM$7,
    "",
    VLOOKUP(BN162,BP$8:BV661,3,FALSE())
)</f>
        <v/>
      </c>
      <c r="BZ162" s="113" t="str">
        <f aca="false">IF(BN162&gt;BM$7,
    "",
    VLOOKUP(BN162,BP$8:BV661,4,FALSE())
)</f>
        <v/>
      </c>
      <c r="CA162" s="113" t="str">
        <f aca="false">IF(BN162&gt;BM$7,
    "",
    VLOOKUP(BN162,BP$8:BV661,5,FALSE())
)</f>
        <v/>
      </c>
      <c r="CB162" s="114" t="str">
        <f aca="false">IF(BN162&gt;BM$7,
    "",
    VLOOKUP(BN162,BP$8:BV661,6,FALSE())
)</f>
        <v/>
      </c>
      <c r="CC162" s="53"/>
    </row>
    <row r="163" customFormat="false" ht="15.75" hidden="false" customHeight="false" outlineLevel="0" collapsed="false">
      <c r="A163" s="5"/>
      <c r="B163" s="125"/>
      <c r="C163" s="126"/>
      <c r="D163" s="115"/>
      <c r="E163" s="119"/>
      <c r="F163" s="119"/>
      <c r="G163" s="91"/>
      <c r="H163" s="92"/>
      <c r="I163" s="92"/>
      <c r="J163" s="128"/>
      <c r="K163" s="128"/>
      <c r="L163" s="128"/>
      <c r="M163" s="94"/>
      <c r="N163" s="94"/>
      <c r="O163" s="94"/>
      <c r="P163" s="95"/>
      <c r="Q163" s="96"/>
      <c r="R163" s="128"/>
      <c r="S163" s="98"/>
      <c r="T163" s="99"/>
      <c r="U163" s="99" t="str">
        <f aca="false">IF(ISBLANK($C163),"",IF(G163=Constants!$B$2, TRUE(), IF(G163=Constants!$B$3, FALSE(), TRUE())))</f>
        <v/>
      </c>
      <c r="V163" s="99" t="str">
        <f aca="false">IF(ISBLANK($C163),"",IF(H163=Constants!$B$2, TRUE(), IF(H163=Constants!$B$3, FALSE(), TRUE())))</f>
        <v/>
      </c>
      <c r="W163" s="99" t="str">
        <f aca="false">IF(ISBLANK($C163),"",IF(I163=Constants!$B$2, TRUE(), IF(I163=Constants!$B$3, FALSE(), TRUE())))</f>
        <v/>
      </c>
      <c r="X163" s="99" t="str">
        <f aca="false">IF(ISBLANK($C163),"",IF(AND(ISNUMBER(J163),J163&gt;0),INT(J163),0))</f>
        <v/>
      </c>
      <c r="Y163" s="99" t="str">
        <f aca="false">IF(ISBLANK($C163),"",IF(K163=Constants!$B$2, TRUE(), IF(K163=Constants!$B$3, FALSE(), TRUE())))</f>
        <v/>
      </c>
      <c r="Z163" s="100" t="str">
        <f aca="false">IF(ISBLANK($C163),"",IF(AND(ISNUMBER(L163),L163&gt;0),INT(L163),0))</f>
        <v/>
      </c>
      <c r="AA163" s="101" t="str">
        <f aca="false">IF(ISBLANK($C163),"",IF(ISNUMBER(M163), M163, ""))</f>
        <v/>
      </c>
      <c r="AB163" s="101" t="str">
        <f aca="false">IF(ISBLANK($C163),"",IF(ISNUMBER(N163), N163, ""))</f>
        <v/>
      </c>
      <c r="AC163" s="101" t="str">
        <f aca="false">IF(ISBLANK($C163),"",IF(ISNUMBER(O163), O163, ""))</f>
        <v/>
      </c>
      <c r="AD163" s="102" t="str">
        <f aca="false">IF(ISBLANK($C163),"",IF(ISNUMBER(P163), P163, ""))</f>
        <v/>
      </c>
      <c r="AE163" s="102" t="str">
        <f aca="false">IF(ISBLANK($C163),"",IF(ISNUMBER(Q163), Q163, Constants!$B$13))</f>
        <v/>
      </c>
      <c r="AF163" s="99" t="str">
        <f aca="false">IF(ISBLANK($C163),"",IF(R163=Constants!$B$2, TRUE(), IF(R163=Constants!$B$3, FALSE(), FALSE())))</f>
        <v/>
      </c>
      <c r="AG163" s="99" t="str">
        <f aca="false">IF(ISBLANK(C163), "", IF(AF163, Constants!$B$4,IF(COUNTA(G163:P163)=0, Constants!$B$5, Constants!$B$7)))</f>
        <v/>
      </c>
      <c r="AH163" s="99" t="str">
        <f aca="false">IF(ISBLANK($C163), "",IF($AG163=Constants!$B$7,1,$AG163))</f>
        <v/>
      </c>
      <c r="AI163" s="99" t="str">
        <f aca="false">IF($AG163=Constants!$B$7,POWER(Constants!$B$11,X163)*POWER(Constants!$B$12,Z163),"")</f>
        <v/>
      </c>
      <c r="AJ163" s="99" t="str">
        <f aca="false">IF(AND($AG163=Constants!$B$7, U163, V163) ,IF(OR($AA163="",$AC163=""),"",MAX(0, $AC163-$AA163)),"")</f>
        <v/>
      </c>
      <c r="AK163" s="99" t="str">
        <f aca="false">IF(AND($AG163=Constants!$B$7, U163, V163),IF(OR($AA163="",$AC163=""),$AK$6,""),"")</f>
        <v/>
      </c>
      <c r="AL163" s="99" t="str">
        <f aca="false">IF($AG163=Constants!$B$7,IF(AND(U163,V163,W163,Y163),IF($AJ163="",0,IF($AJ$6=0,Constants!$B$9,Constants!$B$9*AJ163/$AJ$6)), 0),"")</f>
        <v/>
      </c>
      <c r="AM163" s="99" t="str">
        <f aca="false">IF(AL163&lt;&gt;"", AL163*AI163,"")</f>
        <v/>
      </c>
      <c r="AN163" s="99" t="str">
        <f aca="false">IF(AND($AG163=Constants!$B$7, U163, V163) ,IF($AB163="", "", IF(OR($AC163="",$AC163=0),"",MAX(0,1-ABS($AC163-$AB163)/$AC163))),"")</f>
        <v/>
      </c>
      <c r="AO163" s="99" t="str">
        <f aca="false">IF(AND($AG163=Constants!$B$7, U163, V163),IF(AND($AA163&lt;&gt;"",$AB163&lt;&gt;"",$AC163=0),$AO$6,""),"")</f>
        <v/>
      </c>
      <c r="AP163" s="99" t="str">
        <f aca="false">IF($AG163=Constants!$B$7 ,IF(AND(U163,V163,W163,Y163,ISNUMBER(AB163)),IF($AN163="",0,IF($AN$6=0,Constants!$B$10,Constants!$B$10*AN163/$AN$6)), 0),"")</f>
        <v/>
      </c>
      <c r="AQ163" s="99" t="str">
        <f aca="false">IF(AP163&lt;&gt;"", AP163*AI163,"")</f>
        <v/>
      </c>
      <c r="AR163" s="99" t="str">
        <f aca="false">IF($AG163=Constants!$B$7,IF($AD163="",0,IF($AR$6=0,Constants!$B$8,Constants!$B$8*AD163/$AR$6)),"")</f>
        <v/>
      </c>
      <c r="AS163" s="99" t="str">
        <f aca="false">IF($AG163&lt;&gt;Constants!$B$7,$AG163,IF(AK163&amp;AO163&lt;&gt;"",Constants!$B$14,AM163+AQ163+AR163))</f>
        <v/>
      </c>
      <c r="AT163" s="99" t="str">
        <f aca="false">IF(ISBLANK($C163),"",IF($AG163=Constants!$B$7,IF(ISNUMBER(AS163),RANK(AS163,$AS$8:$AS$507),Constants!$B$14),$AG163))</f>
        <v/>
      </c>
      <c r="AU163" s="99" t="str">
        <f aca="false">IF(ISBLANK($C163), "",AM163)</f>
        <v/>
      </c>
      <c r="AV163" s="99" t="str">
        <f aca="false">IF(ISBLANK($C163),"",IF($AG163=Constants!$B$7,RANK(AU163,AU$8:AU$507),$AG163))</f>
        <v/>
      </c>
      <c r="AW163" s="99" t="str">
        <f aca="false">IF(ISBLANK($C163), "",AR163)</f>
        <v/>
      </c>
      <c r="AX163" s="99" t="str">
        <f aca="false">IF(ISBLANK($C163),"",IF($AG163=Constants!$B$7,RANK(AW163,AW$8:AW$507),$AG163))</f>
        <v/>
      </c>
      <c r="AY163" s="99" t="str">
        <f aca="false">IF(ISBLANK($C163), "",AE163)</f>
        <v/>
      </c>
      <c r="AZ163" s="99" t="str">
        <f aca="false">IF(ISBLANK($C163),"",
IF($AG163=Constants!$B$7,
  IF(ISNUMBER(AT163),
    COUNTIFS($AT$8:$AT$507,"&lt;"&amp;$AT163)
    + COUNTIFS($AT$8:$AT$507,$AT163,$AV$8:$AV$507,"&lt;"&amp;$AV163)
    + COUNTIFS($AT$8:$AT$507,$AT163,$AV$8:$AV$507,$AV163,$AX$8:$AX$507,"&lt;"&amp;$AX163)
    + COUNTIFS($AT$8:$AT$507,$AT163,$AV$8:$AV$507,$AV163,$AX$8:$AX$507,$AX163,$AY$8:$AY$507,"&lt;"&amp;$AY163)
    + 1,
  Constants!$B$14),
$AG163))</f>
        <v/>
      </c>
      <c r="BA163" s="99" t="str">
        <f aca="false">IF(ISBLANK(C163),"",IF($AG163=Constants!$B$7, IF(ISNUMBER(AT163),AT163-AZ163,Constants!$B$14),$AG163))</f>
        <v/>
      </c>
      <c r="BB163" s="103"/>
      <c r="BC163" s="104" t="str">
        <f aca="false">IF(ISBLANK($C163),"",TRIM(AK163&amp;" "&amp;AO163))</f>
        <v/>
      </c>
      <c r="BD163" s="105" t="str">
        <f aca="false">IF(ISBLANK($C163),"",IF($AG163&lt;&gt;Constants!$B$7,$AG163,AR163))</f>
        <v/>
      </c>
      <c r="BE163" s="105" t="str">
        <f aca="false">IF(ISBLANK($C163),"",IF($AG163&lt;&gt;Constants!$B$7,$AG163,AM163))</f>
        <v/>
      </c>
      <c r="BF163" s="105" t="str">
        <f aca="false">IF(ISBLANK($C163),"",IF($AG163&lt;&gt;Constants!$B$7,$AG163,AQ163))</f>
        <v/>
      </c>
      <c r="BG163" s="106" t="str">
        <f aca="false">IF(ISBLANK($C163),"",IF($AG163&lt;&gt;Constants!$B$7, $AG163 ,AS163))</f>
        <v/>
      </c>
      <c r="BH163" s="107" t="str">
        <f aca="false">IF(ISBLANK($C163),"",IF($AG163&lt;&gt;Constants!$B$7, $AG163 ,AH163))</f>
        <v/>
      </c>
      <c r="BI163" s="105" t="str">
        <f aca="false">IF(ISBLANK(C163),"",BA163)</f>
        <v/>
      </c>
      <c r="BJ163" s="105" t="str">
        <f aca="false">IF(ISBLANK(C163),"",AZ163)</f>
        <v/>
      </c>
      <c r="BK163" s="108" t="str">
        <f aca="false">IF(ISBLANK(C163),"",IFERROR(_xlfn.SWITCH(BJ163, Constants!$B$4, COUNTA($C$8:$C662)+2, Constants!$B$5, COUNTA($C$8:$C662)+1, Constants!$B$6, COUNTA($C$8:$C662)),BJ163))</f>
        <v/>
      </c>
      <c r="BL163" s="5"/>
      <c r="BM163" s="109" t="n">
        <f aca="false">IF(OR(ISNUMBER(BJ163),BJ163="DQ",BJ163="P",BJ163="NS"),
    1,
    0
)</f>
        <v>0</v>
      </c>
      <c r="BN163" s="109" t="n">
        <v>156</v>
      </c>
      <c r="BO163" s="109" t="str">
        <f aca="false">IF(ISBLANK($C163),"",IF(ISNUMBER(BK163),BK163+ROW($B163)/1000,""))</f>
        <v/>
      </c>
      <c r="BP163" s="109" t="str">
        <f aca="false">IF(ISNUMBER(BO163), RANK(BO163,BO$8:BO$507,1), "")</f>
        <v/>
      </c>
      <c r="BQ163" s="109" t="str">
        <f aca="false">IF(ISBLANK($C163),
    "",
    $B163
)</f>
        <v/>
      </c>
      <c r="BR163" s="109" t="str">
        <f aca="false">IF(ISBLANK($C163),
    "",
    $C163
)</f>
        <v/>
      </c>
      <c r="BS163" s="109" t="str">
        <f aca="false">IF(ISBLANK($C163),
    "",
    $D163
)</f>
        <v/>
      </c>
      <c r="BT163" s="110" t="str">
        <f aca="false">BH163</f>
        <v/>
      </c>
      <c r="BU163" s="111" t="str">
        <f aca="false">BG163</f>
        <v/>
      </c>
      <c r="BV163" s="109" t="str">
        <f aca="false">IF(ISBLANK($C163),
    "",
    BJ163
)</f>
        <v/>
      </c>
      <c r="BW163" s="112" t="str">
        <f aca="false">IF(BN163&gt;BM$7,
    "",
    VLOOKUP(BN163,BP$8:BV662,7,FALSE())
)</f>
        <v/>
      </c>
      <c r="BX163" s="113" t="str">
        <f aca="false">IF(BN163&gt;BM$7,
    "",
    VLOOKUP(BN163,BP$8:BV662,2,FALSE())
)</f>
        <v/>
      </c>
      <c r="BY163" s="113" t="str">
        <f aca="false">IF(BN163&gt;BM$7,
    "",
    VLOOKUP(BN163,BP$8:BV662,3,FALSE())
)</f>
        <v/>
      </c>
      <c r="BZ163" s="113" t="str">
        <f aca="false">IF(BN163&gt;BM$7,
    "",
    VLOOKUP(BN163,BP$8:BV662,4,FALSE())
)</f>
        <v/>
      </c>
      <c r="CA163" s="113" t="str">
        <f aca="false">IF(BN163&gt;BM$7,
    "",
    VLOOKUP(BN163,BP$8:BV662,5,FALSE())
)</f>
        <v/>
      </c>
      <c r="CB163" s="114" t="str">
        <f aca="false">IF(BN163&gt;BM$7,
    "",
    VLOOKUP(BN163,BP$8:BV662,6,FALSE())
)</f>
        <v/>
      </c>
      <c r="CC163" s="53"/>
    </row>
    <row r="164" customFormat="false" ht="15.75" hidden="false" customHeight="false" outlineLevel="0" collapsed="false">
      <c r="A164" s="5"/>
      <c r="B164" s="129"/>
      <c r="C164" s="55"/>
      <c r="D164" s="56"/>
      <c r="E164" s="123"/>
      <c r="F164" s="123"/>
      <c r="G164" s="58"/>
      <c r="H164" s="59"/>
      <c r="I164" s="59"/>
      <c r="J164" s="83"/>
      <c r="K164" s="83"/>
      <c r="L164" s="83"/>
      <c r="M164" s="61"/>
      <c r="N164" s="61"/>
      <c r="O164" s="61"/>
      <c r="P164" s="62"/>
      <c r="Q164" s="63"/>
      <c r="R164" s="83"/>
      <c r="S164" s="65"/>
      <c r="T164" s="66"/>
      <c r="U164" s="66" t="str">
        <f aca="false">IF(ISBLANK($C164),"",IF(G164=Constants!$B$2, TRUE(), IF(G164=Constants!$B$3, FALSE(), TRUE())))</f>
        <v/>
      </c>
      <c r="V164" s="66" t="str">
        <f aca="false">IF(ISBLANK($C164),"",IF(H164=Constants!$B$2, TRUE(), IF(H164=Constants!$B$3, FALSE(), TRUE())))</f>
        <v/>
      </c>
      <c r="W164" s="66" t="str">
        <f aca="false">IF(ISBLANK($C164),"",IF(I164=Constants!$B$2, TRUE(), IF(I164=Constants!$B$3, FALSE(), TRUE())))</f>
        <v/>
      </c>
      <c r="X164" s="66" t="str">
        <f aca="false">IF(ISBLANK($C164),"",IF(AND(ISNUMBER(J164),J164&gt;0),INT(J164),0))</f>
        <v/>
      </c>
      <c r="Y164" s="66" t="str">
        <f aca="false">IF(ISBLANK($C164),"",IF(K164=Constants!$B$2, TRUE(), IF(K164=Constants!$B$3, FALSE(), TRUE())))</f>
        <v/>
      </c>
      <c r="Z164" s="66" t="str">
        <f aca="false">IF(ISBLANK($C164),"",IF(AND(ISNUMBER(L164),L164&gt;0),INT(L164),0))</f>
        <v/>
      </c>
      <c r="AA164" s="68" t="str">
        <f aca="false">IF(ISBLANK($C164),"",IF(ISNUMBER(M164), M164, ""))</f>
        <v/>
      </c>
      <c r="AB164" s="68" t="str">
        <f aca="false">IF(ISBLANK($C164),"",IF(ISNUMBER(N164), N164, ""))</f>
        <v/>
      </c>
      <c r="AC164" s="68" t="str">
        <f aca="false">IF(ISBLANK($C164),"",IF(ISNUMBER(O164), O164, ""))</f>
        <v/>
      </c>
      <c r="AD164" s="69" t="str">
        <f aca="false">IF(ISBLANK($C164),"",IF(ISNUMBER(P164), P164, ""))</f>
        <v/>
      </c>
      <c r="AE164" s="69" t="str">
        <f aca="false">IF(ISBLANK($C164),"",IF(ISNUMBER(Q164), Q164, Constants!$B$13))</f>
        <v/>
      </c>
      <c r="AF164" s="66" t="str">
        <f aca="false">IF(ISBLANK($C164),"",IF(R164=Constants!$B$2, TRUE(), IF(R164=Constants!$B$3, FALSE(), FALSE())))</f>
        <v/>
      </c>
      <c r="AG164" s="66" t="str">
        <f aca="false">IF(ISBLANK(C164), "", IF(AF164, Constants!$B$4,IF(COUNTA(G164:P164)=0, Constants!$B$5, Constants!$B$7)))</f>
        <v/>
      </c>
      <c r="AH164" s="66" t="str">
        <f aca="false">IF(ISBLANK($C164), "",IF($AG164=Constants!$B$7,1,$AG164))</f>
        <v/>
      </c>
      <c r="AI164" s="66" t="str">
        <f aca="false">IF($AG164=Constants!$B$7,POWER(Constants!$B$11,X164)*POWER(Constants!$B$12,Z164),"")</f>
        <v/>
      </c>
      <c r="AJ164" s="66" t="str">
        <f aca="false">IF(AND($AG164=Constants!$B$7, U164, V164) ,IF(OR($AA164="",$AC164=""),"",MAX(0, $AC164-$AA164)),"")</f>
        <v/>
      </c>
      <c r="AK164" s="66" t="str">
        <f aca="false">IF(AND($AG164=Constants!$B$7, U164, V164),IF(OR($AA164="",$AC164=""),$AK$6,""),"")</f>
        <v/>
      </c>
      <c r="AL164" s="66" t="str">
        <f aca="false">IF($AG164=Constants!$B$7,IF(AND(U164,V164,W164,Y164),IF($AJ164="",0,IF($AJ$6=0,Constants!$B$9,Constants!$B$9*AJ164/$AJ$6)), 0),"")</f>
        <v/>
      </c>
      <c r="AM164" s="66" t="str">
        <f aca="false">IF(AL164&lt;&gt;"", AL164*AI164,"")</f>
        <v/>
      </c>
      <c r="AN164" s="66" t="str">
        <f aca="false">IF(AND($AG164=Constants!$B$7, U164, V164) ,IF($AB164="", "", IF(OR($AC164="",$AC164=0),"",MAX(0,1-ABS($AC164-$AB164)/$AC164))),"")</f>
        <v/>
      </c>
      <c r="AO164" s="66" t="str">
        <f aca="false">IF(AND($AG164=Constants!$B$7, U164, V164),IF(AND($AA164&lt;&gt;"",$AB164&lt;&gt;"",$AC164=0),$AO$6,""),"")</f>
        <v/>
      </c>
      <c r="AP164" s="66" t="str">
        <f aca="false">IF($AG164=Constants!$B$7 ,IF(AND(U164,V164,W164,Y164,ISNUMBER(AB164)),IF($AN164="",0,IF($AN$6=0,Constants!$B$10,Constants!$B$10*AN164/$AN$6)), 0),"")</f>
        <v/>
      </c>
      <c r="AQ164" s="66" t="str">
        <f aca="false">IF(AP164&lt;&gt;"", AP164*AI164,"")</f>
        <v/>
      </c>
      <c r="AR164" s="66" t="str">
        <f aca="false">IF($AG164=Constants!$B$7,IF($AD164="",0,IF($AR$6=0,Constants!$B$8,Constants!$B$8*AD164/$AR$6)),"")</f>
        <v/>
      </c>
      <c r="AS164" s="66" t="str">
        <f aca="false">IF($AG164&lt;&gt;Constants!$B$7,$AG164,IF(AK164&amp;AO164&lt;&gt;"",Constants!$B$14,AM164+AQ164+AR164))</f>
        <v/>
      </c>
      <c r="AT164" s="66" t="str">
        <f aca="false">IF(ISBLANK($C164),"",IF($AG164=Constants!$B$7,IF(ISNUMBER(AS164),RANK(AS164,$AS$8:$AS$507),Constants!$B$14),$AG164))</f>
        <v/>
      </c>
      <c r="AU164" s="66" t="str">
        <f aca="false">IF(ISBLANK($C164), "",AM164)</f>
        <v/>
      </c>
      <c r="AV164" s="66" t="str">
        <f aca="false">IF(ISBLANK($C164),"",IF($AG164=Constants!$B$7,RANK(AU164,AU$8:AU$507),$AG164))</f>
        <v/>
      </c>
      <c r="AW164" s="66" t="str">
        <f aca="false">IF(ISBLANK($C164), "",AR164)</f>
        <v/>
      </c>
      <c r="AX164" s="66" t="str">
        <f aca="false">IF(ISBLANK($C164),"",IF($AG164=Constants!$B$7,RANK(AW164,AW$8:AW$507),$AG164))</f>
        <v/>
      </c>
      <c r="AY164" s="66" t="str">
        <f aca="false">IF(ISBLANK($C164), "",AE164)</f>
        <v/>
      </c>
      <c r="AZ164" s="66" t="str">
        <f aca="false">IF(ISBLANK($C164),"",
IF($AG164=Constants!$B$7,
  IF(ISNUMBER(AT164),
    COUNTIFS($AT$8:$AT$507,"&lt;"&amp;$AT164)
    + COUNTIFS($AT$8:$AT$507,$AT164,$AV$8:$AV$507,"&lt;"&amp;$AV164)
    + COUNTIFS($AT$8:$AT$507,$AT164,$AV$8:$AV$507,$AV164,$AX$8:$AX$507,"&lt;"&amp;$AX164)
    + COUNTIFS($AT$8:$AT$507,$AT164,$AV$8:$AV$507,$AV164,$AX$8:$AX$507,$AX164,$AY$8:$AY$507,"&lt;"&amp;$AY164)
    + 1,
  Constants!$B$14),
$AG164))</f>
        <v/>
      </c>
      <c r="BA164" s="66" t="str">
        <f aca="false">IF(ISBLANK(C164),"",IF($AG164=Constants!$B$7, IF(ISNUMBER(AT164),AT164-AZ164,Constants!$B$14),$AG164))</f>
        <v/>
      </c>
      <c r="BB164" s="70"/>
      <c r="BC164" s="84" t="str">
        <f aca="false">IF(ISBLANK($C164),"",TRIM(AK164&amp;" "&amp;AO164))</f>
        <v/>
      </c>
      <c r="BD164" s="72" t="str">
        <f aca="false">IF(ISBLANK($C164),"",IF($AG164&lt;&gt;Constants!$B$7,$AG164,AR164))</f>
        <v/>
      </c>
      <c r="BE164" s="72" t="str">
        <f aca="false">IF(ISBLANK($C164),"",IF($AG164&lt;&gt;Constants!$B$7,$AG164,AM164))</f>
        <v/>
      </c>
      <c r="BF164" s="72" t="str">
        <f aca="false">IF(ISBLANK($C164),"",IF($AG164&lt;&gt;Constants!$B$7,$AG164,AQ164))</f>
        <v/>
      </c>
      <c r="BG164" s="73" t="str">
        <f aca="false">IF(ISBLANK($C164),"",IF($AG164&lt;&gt;Constants!$B$7, $AG164 ,AS164))</f>
        <v/>
      </c>
      <c r="BH164" s="74" t="str">
        <f aca="false">IF(ISBLANK($C164),"",IF($AG164&lt;&gt;Constants!$B$7, $AG164 ,AH164))</f>
        <v/>
      </c>
      <c r="BI164" s="72" t="str">
        <f aca="false">IF(ISBLANK(C164),"",BA164)</f>
        <v/>
      </c>
      <c r="BJ164" s="72" t="str">
        <f aca="false">IF(ISBLANK(C164),"",AZ164)</f>
        <v/>
      </c>
      <c r="BK164" s="75" t="str">
        <f aca="false">IF(ISBLANK(C164),"",IFERROR(_xlfn.SWITCH(BJ164, Constants!$B$4, COUNTA($C$8:$C663)+2, Constants!$B$5, COUNTA($C$8:$C663)+1, Constants!$B$6, COUNTA($C$8:$C663)),BJ164))</f>
        <v/>
      </c>
      <c r="BL164" s="5"/>
      <c r="BM164" s="76" t="n">
        <f aca="false">IF(OR(ISNUMBER(BJ164),BJ164="DQ",BJ164="P",BJ164="NS"),
    1,
    0
)</f>
        <v>0</v>
      </c>
      <c r="BN164" s="76" t="n">
        <v>157</v>
      </c>
      <c r="BO164" s="76" t="str">
        <f aca="false">IF(ISBLANK($C164),"",IF(ISNUMBER(BK164),BK164+ROW($B164)/1000,""))</f>
        <v/>
      </c>
      <c r="BP164" s="76" t="str">
        <f aca="false">IF(ISNUMBER(BO164), RANK(BO164,BO$8:BO$507,1), "")</f>
        <v/>
      </c>
      <c r="BQ164" s="76" t="str">
        <f aca="false">IF(ISBLANK($C164),
    "",
    $B164
)</f>
        <v/>
      </c>
      <c r="BR164" s="76" t="str">
        <f aca="false">IF(ISBLANK($C164),
    "",
    $C164
)</f>
        <v/>
      </c>
      <c r="BS164" s="76" t="str">
        <f aca="false">IF(ISBLANK($C164),
    "",
    $D164
)</f>
        <v/>
      </c>
      <c r="BT164" s="77" t="str">
        <f aca="false">BH164</f>
        <v/>
      </c>
      <c r="BU164" s="78" t="str">
        <f aca="false">BG164</f>
        <v/>
      </c>
      <c r="BV164" s="76" t="str">
        <f aca="false">IF(ISBLANK($C164),
    "",
    BJ164
)</f>
        <v/>
      </c>
      <c r="BW164" s="79" t="str">
        <f aca="false">IF(BN164&gt;BM$7,
    "",
    VLOOKUP(BN164,BP$8:BV663,7,FALSE())
)</f>
        <v/>
      </c>
      <c r="BX164" s="80" t="str">
        <f aca="false">IF(BN164&gt;BM$7,
    "",
    VLOOKUP(BN164,BP$8:BV663,2,FALSE())
)</f>
        <v/>
      </c>
      <c r="BY164" s="80" t="str">
        <f aca="false">IF(BN164&gt;BM$7,
    "",
    VLOOKUP(BN164,BP$8:BV663,3,FALSE())
)</f>
        <v/>
      </c>
      <c r="BZ164" s="80" t="str">
        <f aca="false">IF(BN164&gt;BM$7,
    "",
    VLOOKUP(BN164,BP$8:BV663,4,FALSE())
)</f>
        <v/>
      </c>
      <c r="CA164" s="80" t="str">
        <f aca="false">IF(BN164&gt;BM$7,
    "",
    VLOOKUP(BN164,BP$8:BV663,5,FALSE())
)</f>
        <v/>
      </c>
      <c r="CB164" s="81" t="str">
        <f aca="false">IF(BN164&gt;BM$7,
    "",
    VLOOKUP(BN164,BP$8:BV663,6,FALSE())
)</f>
        <v/>
      </c>
      <c r="CC164" s="53"/>
    </row>
    <row r="165" customFormat="false" ht="15.75" hidden="false" customHeight="false" outlineLevel="0" collapsed="false">
      <c r="A165" s="5"/>
      <c r="B165" s="129"/>
      <c r="C165" s="55"/>
      <c r="D165" s="56"/>
      <c r="E165" s="123"/>
      <c r="F165" s="123"/>
      <c r="G165" s="58"/>
      <c r="H165" s="59"/>
      <c r="I165" s="59"/>
      <c r="J165" s="83"/>
      <c r="K165" s="83"/>
      <c r="L165" s="83"/>
      <c r="M165" s="61"/>
      <c r="N165" s="61"/>
      <c r="O165" s="61"/>
      <c r="P165" s="62"/>
      <c r="Q165" s="63"/>
      <c r="R165" s="83"/>
      <c r="S165" s="65"/>
      <c r="T165" s="66"/>
      <c r="U165" s="66" t="str">
        <f aca="false">IF(ISBLANK($C165),"",IF(G165=Constants!$B$2, TRUE(), IF(G165=Constants!$B$3, FALSE(), TRUE())))</f>
        <v/>
      </c>
      <c r="V165" s="66" t="str">
        <f aca="false">IF(ISBLANK($C165),"",IF(H165=Constants!$B$2, TRUE(), IF(H165=Constants!$B$3, FALSE(), TRUE())))</f>
        <v/>
      </c>
      <c r="W165" s="66" t="str">
        <f aca="false">IF(ISBLANK($C165),"",IF(I165=Constants!$B$2, TRUE(), IF(I165=Constants!$B$3, FALSE(), TRUE())))</f>
        <v/>
      </c>
      <c r="X165" s="66" t="str">
        <f aca="false">IF(ISBLANK($C165),"",IF(AND(ISNUMBER(J165),J165&gt;0),INT(J165),0))</f>
        <v/>
      </c>
      <c r="Y165" s="66" t="str">
        <f aca="false">IF(ISBLANK($C165),"",IF(K165=Constants!$B$2, TRUE(), IF(K165=Constants!$B$3, FALSE(), TRUE())))</f>
        <v/>
      </c>
      <c r="Z165" s="66" t="str">
        <f aca="false">IF(ISBLANK($C165),"",IF(AND(ISNUMBER(L165),L165&gt;0),INT(L165),0))</f>
        <v/>
      </c>
      <c r="AA165" s="68" t="str">
        <f aca="false">IF(ISBLANK($C165),"",IF(ISNUMBER(M165), M165, ""))</f>
        <v/>
      </c>
      <c r="AB165" s="68" t="str">
        <f aca="false">IF(ISBLANK($C165),"",IF(ISNUMBER(N165), N165, ""))</f>
        <v/>
      </c>
      <c r="AC165" s="68" t="str">
        <f aca="false">IF(ISBLANK($C165),"",IF(ISNUMBER(O165), O165, ""))</f>
        <v/>
      </c>
      <c r="AD165" s="69" t="str">
        <f aca="false">IF(ISBLANK($C165),"",IF(ISNUMBER(P165), P165, ""))</f>
        <v/>
      </c>
      <c r="AE165" s="69" t="str">
        <f aca="false">IF(ISBLANK($C165),"",IF(ISNUMBER(Q165), Q165, Constants!$B$13))</f>
        <v/>
      </c>
      <c r="AF165" s="66" t="str">
        <f aca="false">IF(ISBLANK($C165),"",IF(R165=Constants!$B$2, TRUE(), IF(R165=Constants!$B$3, FALSE(), FALSE())))</f>
        <v/>
      </c>
      <c r="AG165" s="66" t="str">
        <f aca="false">IF(ISBLANK(C165), "", IF(AF165, Constants!$B$4,IF(COUNTA(G165:P165)=0, Constants!$B$5, Constants!$B$7)))</f>
        <v/>
      </c>
      <c r="AH165" s="66" t="str">
        <f aca="false">IF(ISBLANK($C165), "",IF($AG165=Constants!$B$7,1,$AG165))</f>
        <v/>
      </c>
      <c r="AI165" s="66" t="str">
        <f aca="false">IF($AG165=Constants!$B$7,POWER(Constants!$B$11,X165)*POWER(Constants!$B$12,Z165),"")</f>
        <v/>
      </c>
      <c r="AJ165" s="66" t="str">
        <f aca="false">IF(AND($AG165=Constants!$B$7, U165, V165) ,IF(OR($AA165="",$AC165=""),"",MAX(0, $AC165-$AA165)),"")</f>
        <v/>
      </c>
      <c r="AK165" s="66" t="str">
        <f aca="false">IF(AND($AG165=Constants!$B$7, U165, V165),IF(OR($AA165="",$AC165=""),$AK$6,""),"")</f>
        <v/>
      </c>
      <c r="AL165" s="66" t="str">
        <f aca="false">IF($AG165=Constants!$B$7,IF(AND(U165,V165,W165,Y165),IF($AJ165="",0,IF($AJ$6=0,Constants!$B$9,Constants!$B$9*AJ165/$AJ$6)), 0),"")</f>
        <v/>
      </c>
      <c r="AM165" s="66" t="str">
        <f aca="false">IF(AL165&lt;&gt;"", AL165*AI165,"")</f>
        <v/>
      </c>
      <c r="AN165" s="66" t="str">
        <f aca="false">IF(AND($AG165=Constants!$B$7, U165, V165) ,IF($AB165="", "", IF(OR($AC165="",$AC165=0),"",MAX(0,1-ABS($AC165-$AB165)/$AC165))),"")</f>
        <v/>
      </c>
      <c r="AO165" s="66" t="str">
        <f aca="false">IF(AND($AG165=Constants!$B$7, U165, V165),IF(AND($AA165&lt;&gt;"",$AB165&lt;&gt;"",$AC165=0),$AO$6,""),"")</f>
        <v/>
      </c>
      <c r="AP165" s="66" t="str">
        <f aca="false">IF($AG165=Constants!$B$7 ,IF(AND(U165,V165,W165,Y165,ISNUMBER(AB165)),IF($AN165="",0,IF($AN$6=0,Constants!$B$10,Constants!$B$10*AN165/$AN$6)), 0),"")</f>
        <v/>
      </c>
      <c r="AQ165" s="66" t="str">
        <f aca="false">IF(AP165&lt;&gt;"", AP165*AI165,"")</f>
        <v/>
      </c>
      <c r="AR165" s="66" t="str">
        <f aca="false">IF($AG165=Constants!$B$7,IF($AD165="",0,IF($AR$6=0,Constants!$B$8,Constants!$B$8*AD165/$AR$6)),"")</f>
        <v/>
      </c>
      <c r="AS165" s="66" t="str">
        <f aca="false">IF($AG165&lt;&gt;Constants!$B$7,$AG165,IF(AK165&amp;AO165&lt;&gt;"",Constants!$B$14,AM165+AQ165+AR165))</f>
        <v/>
      </c>
      <c r="AT165" s="66" t="str">
        <f aca="false">IF(ISBLANK($C165),"",IF($AG165=Constants!$B$7,IF(ISNUMBER(AS165),RANK(AS165,$AS$8:$AS$507),Constants!$B$14),$AG165))</f>
        <v/>
      </c>
      <c r="AU165" s="66" t="str">
        <f aca="false">IF(ISBLANK($C165), "",AM165)</f>
        <v/>
      </c>
      <c r="AV165" s="66" t="str">
        <f aca="false">IF(ISBLANK($C165),"",IF($AG165=Constants!$B$7,RANK(AU165,AU$8:AU$507),$AG165))</f>
        <v/>
      </c>
      <c r="AW165" s="66" t="str">
        <f aca="false">IF(ISBLANK($C165), "",AR165)</f>
        <v/>
      </c>
      <c r="AX165" s="66" t="str">
        <f aca="false">IF(ISBLANK($C165),"",IF($AG165=Constants!$B$7,RANK(AW165,AW$8:AW$507),$AG165))</f>
        <v/>
      </c>
      <c r="AY165" s="66" t="str">
        <f aca="false">IF(ISBLANK($C165), "",AE165)</f>
        <v/>
      </c>
      <c r="AZ165" s="66" t="str">
        <f aca="false">IF(ISBLANK($C165),"",
IF($AG165=Constants!$B$7,
  IF(ISNUMBER(AT165),
    COUNTIFS($AT$8:$AT$507,"&lt;"&amp;$AT165)
    + COUNTIFS($AT$8:$AT$507,$AT165,$AV$8:$AV$507,"&lt;"&amp;$AV165)
    + COUNTIFS($AT$8:$AT$507,$AT165,$AV$8:$AV$507,$AV165,$AX$8:$AX$507,"&lt;"&amp;$AX165)
    + COUNTIFS($AT$8:$AT$507,$AT165,$AV$8:$AV$507,$AV165,$AX$8:$AX$507,$AX165,$AY$8:$AY$507,"&lt;"&amp;$AY165)
    + 1,
  Constants!$B$14),
$AG165))</f>
        <v/>
      </c>
      <c r="BA165" s="66" t="str">
        <f aca="false">IF(ISBLANK(C165),"",IF($AG165=Constants!$B$7, IF(ISNUMBER(AT165),AT165-AZ165,Constants!$B$14),$AG165))</f>
        <v/>
      </c>
      <c r="BB165" s="70"/>
      <c r="BC165" s="84" t="str">
        <f aca="false">IF(ISBLANK($C165),"",TRIM(AK165&amp;" "&amp;AO165))</f>
        <v/>
      </c>
      <c r="BD165" s="72" t="str">
        <f aca="false">IF(ISBLANK($C165),"",IF($AG165&lt;&gt;Constants!$B$7,$AG165,AR165))</f>
        <v/>
      </c>
      <c r="BE165" s="72" t="str">
        <f aca="false">IF(ISBLANK($C165),"",IF($AG165&lt;&gt;Constants!$B$7,$AG165,AM165))</f>
        <v/>
      </c>
      <c r="BF165" s="72" t="str">
        <f aca="false">IF(ISBLANK($C165),"",IF($AG165&lt;&gt;Constants!$B$7,$AG165,AQ165))</f>
        <v/>
      </c>
      <c r="BG165" s="73" t="str">
        <f aca="false">IF(ISBLANK($C165),"",IF($AG165&lt;&gt;Constants!$B$7, $AG165 ,AS165))</f>
        <v/>
      </c>
      <c r="BH165" s="74" t="str">
        <f aca="false">IF(ISBLANK($C165),"",IF($AG165&lt;&gt;Constants!$B$7, $AG165 ,AH165))</f>
        <v/>
      </c>
      <c r="BI165" s="72" t="str">
        <f aca="false">IF(ISBLANK(C165),"",BA165)</f>
        <v/>
      </c>
      <c r="BJ165" s="72" t="str">
        <f aca="false">IF(ISBLANK(C165),"",AZ165)</f>
        <v/>
      </c>
      <c r="BK165" s="75" t="str">
        <f aca="false">IF(ISBLANK(C165),"",IFERROR(_xlfn.SWITCH(BJ165, Constants!$B$4, COUNTA($C$8:$C664)+2, Constants!$B$5, COUNTA($C$8:$C664)+1, Constants!$B$6, COUNTA($C$8:$C664)),BJ165))</f>
        <v/>
      </c>
      <c r="BL165" s="5"/>
      <c r="BM165" s="76" t="n">
        <f aca="false">IF(OR(ISNUMBER(BJ165),BJ165="DQ",BJ165="P",BJ165="NS"),
    1,
    0
)</f>
        <v>0</v>
      </c>
      <c r="BN165" s="76" t="n">
        <v>158</v>
      </c>
      <c r="BO165" s="76" t="str">
        <f aca="false">IF(ISBLANK($C165),"",IF(ISNUMBER(BK165),BK165+ROW($B165)/1000,""))</f>
        <v/>
      </c>
      <c r="BP165" s="76" t="str">
        <f aca="false">IF(ISNUMBER(BO165), RANK(BO165,BO$8:BO$507,1), "")</f>
        <v/>
      </c>
      <c r="BQ165" s="76" t="str">
        <f aca="false">IF(ISBLANK($C165),
    "",
    $B165
)</f>
        <v/>
      </c>
      <c r="BR165" s="76" t="str">
        <f aca="false">IF(ISBLANK($C165),
    "",
    $C165
)</f>
        <v/>
      </c>
      <c r="BS165" s="76" t="str">
        <f aca="false">IF(ISBLANK($C165),
    "",
    $D165
)</f>
        <v/>
      </c>
      <c r="BT165" s="77" t="str">
        <f aca="false">BH165</f>
        <v/>
      </c>
      <c r="BU165" s="78" t="str">
        <f aca="false">BG165</f>
        <v/>
      </c>
      <c r="BV165" s="76" t="str">
        <f aca="false">IF(ISBLANK($C165),
    "",
    BJ165
)</f>
        <v/>
      </c>
      <c r="BW165" s="79" t="str">
        <f aca="false">IF(BN165&gt;BM$7,
    "",
    VLOOKUP(BN165,BP$8:BV664,7,FALSE())
)</f>
        <v/>
      </c>
      <c r="BX165" s="80" t="str">
        <f aca="false">IF(BN165&gt;BM$7,
    "",
    VLOOKUP(BN165,BP$8:BV664,2,FALSE())
)</f>
        <v/>
      </c>
      <c r="BY165" s="80" t="str">
        <f aca="false">IF(BN165&gt;BM$7,
    "",
    VLOOKUP(BN165,BP$8:BV664,3,FALSE())
)</f>
        <v/>
      </c>
      <c r="BZ165" s="80" t="str">
        <f aca="false">IF(BN165&gt;BM$7,
    "",
    VLOOKUP(BN165,BP$8:BV664,4,FALSE())
)</f>
        <v/>
      </c>
      <c r="CA165" s="80" t="str">
        <f aca="false">IF(BN165&gt;BM$7,
    "",
    VLOOKUP(BN165,BP$8:BV664,5,FALSE())
)</f>
        <v/>
      </c>
      <c r="CB165" s="81" t="str">
        <f aca="false">IF(BN165&gt;BM$7,
    "",
    VLOOKUP(BN165,BP$8:BV664,6,FALSE())
)</f>
        <v/>
      </c>
      <c r="CC165" s="53"/>
    </row>
    <row r="166" customFormat="false" ht="15.75" hidden="false" customHeight="false" outlineLevel="0" collapsed="false">
      <c r="A166" s="5"/>
      <c r="B166" s="129"/>
      <c r="C166" s="55"/>
      <c r="D166" s="56"/>
      <c r="E166" s="123"/>
      <c r="F166" s="123"/>
      <c r="G166" s="58"/>
      <c r="H166" s="59"/>
      <c r="I166" s="59"/>
      <c r="J166" s="83"/>
      <c r="K166" s="83"/>
      <c r="L166" s="83"/>
      <c r="M166" s="61"/>
      <c r="N166" s="61"/>
      <c r="O166" s="61"/>
      <c r="P166" s="62"/>
      <c r="Q166" s="63"/>
      <c r="R166" s="83"/>
      <c r="S166" s="65"/>
      <c r="T166" s="66"/>
      <c r="U166" s="66" t="str">
        <f aca="false">IF(ISBLANK($C166),"",IF(G166=Constants!$B$2, TRUE(), IF(G166=Constants!$B$3, FALSE(), TRUE())))</f>
        <v/>
      </c>
      <c r="V166" s="66" t="str">
        <f aca="false">IF(ISBLANK($C166),"",IF(H166=Constants!$B$2, TRUE(), IF(H166=Constants!$B$3, FALSE(), TRUE())))</f>
        <v/>
      </c>
      <c r="W166" s="66" t="str">
        <f aca="false">IF(ISBLANK($C166),"",IF(I166=Constants!$B$2, TRUE(), IF(I166=Constants!$B$3, FALSE(), TRUE())))</f>
        <v/>
      </c>
      <c r="X166" s="66" t="str">
        <f aca="false">IF(ISBLANK($C166),"",IF(AND(ISNUMBER(J166),J166&gt;0),INT(J166),0))</f>
        <v/>
      </c>
      <c r="Y166" s="66" t="str">
        <f aca="false">IF(ISBLANK($C166),"",IF(K166=Constants!$B$2, TRUE(), IF(K166=Constants!$B$3, FALSE(), TRUE())))</f>
        <v/>
      </c>
      <c r="Z166" s="66" t="str">
        <f aca="false">IF(ISBLANK($C166),"",IF(AND(ISNUMBER(L166),L166&gt;0),INT(L166),0))</f>
        <v/>
      </c>
      <c r="AA166" s="68" t="str">
        <f aca="false">IF(ISBLANK($C166),"",IF(ISNUMBER(M166), M166, ""))</f>
        <v/>
      </c>
      <c r="AB166" s="68" t="str">
        <f aca="false">IF(ISBLANK($C166),"",IF(ISNUMBER(N166), N166, ""))</f>
        <v/>
      </c>
      <c r="AC166" s="68" t="str">
        <f aca="false">IF(ISBLANK($C166),"",IF(ISNUMBER(O166), O166, ""))</f>
        <v/>
      </c>
      <c r="AD166" s="69" t="str">
        <f aca="false">IF(ISBLANK($C166),"",IF(ISNUMBER(P166), P166, ""))</f>
        <v/>
      </c>
      <c r="AE166" s="69" t="str">
        <f aca="false">IF(ISBLANK($C166),"",IF(ISNUMBER(Q166), Q166, Constants!$B$13))</f>
        <v/>
      </c>
      <c r="AF166" s="66" t="str">
        <f aca="false">IF(ISBLANK($C166),"",IF(R166=Constants!$B$2, TRUE(), IF(R166=Constants!$B$3, FALSE(), FALSE())))</f>
        <v/>
      </c>
      <c r="AG166" s="66" t="str">
        <f aca="false">IF(ISBLANK(C166), "", IF(AF166, Constants!$B$4,IF(COUNTA(G166:P166)=0, Constants!$B$5, Constants!$B$7)))</f>
        <v/>
      </c>
      <c r="AH166" s="66" t="str">
        <f aca="false">IF(ISBLANK($C166), "",IF($AG166=Constants!$B$7,1,$AG166))</f>
        <v/>
      </c>
      <c r="AI166" s="66" t="str">
        <f aca="false">IF($AG166=Constants!$B$7,POWER(Constants!$B$11,X166)*POWER(Constants!$B$12,Z166),"")</f>
        <v/>
      </c>
      <c r="AJ166" s="66" t="str">
        <f aca="false">IF(AND($AG166=Constants!$B$7, U166, V166) ,IF(OR($AA166="",$AC166=""),"",MAX(0, $AC166-$AA166)),"")</f>
        <v/>
      </c>
      <c r="AK166" s="66" t="str">
        <f aca="false">IF(AND($AG166=Constants!$B$7, U166, V166),IF(OR($AA166="",$AC166=""),$AK$6,""),"")</f>
        <v/>
      </c>
      <c r="AL166" s="66" t="str">
        <f aca="false">IF($AG166=Constants!$B$7,IF(AND(U166,V166,W166,Y166),IF($AJ166="",0,IF($AJ$6=0,Constants!$B$9,Constants!$B$9*AJ166/$AJ$6)), 0),"")</f>
        <v/>
      </c>
      <c r="AM166" s="66" t="str">
        <f aca="false">IF(AL166&lt;&gt;"", AL166*AI166,"")</f>
        <v/>
      </c>
      <c r="AN166" s="66" t="str">
        <f aca="false">IF(AND($AG166=Constants!$B$7, U166, V166) ,IF($AB166="", "", IF(OR($AC166="",$AC166=0),"",MAX(0,1-ABS($AC166-$AB166)/$AC166))),"")</f>
        <v/>
      </c>
      <c r="AO166" s="66" t="str">
        <f aca="false">IF(AND($AG166=Constants!$B$7, U166, V166),IF(AND($AA166&lt;&gt;"",$AB166&lt;&gt;"",$AC166=0),$AO$6,""),"")</f>
        <v/>
      </c>
      <c r="AP166" s="66" t="str">
        <f aca="false">IF($AG166=Constants!$B$7 ,IF(AND(U166,V166,W166,Y166,ISNUMBER(AB166)),IF($AN166="",0,IF($AN$6=0,Constants!$B$10,Constants!$B$10*AN166/$AN$6)), 0),"")</f>
        <v/>
      </c>
      <c r="AQ166" s="66" t="str">
        <f aca="false">IF(AP166&lt;&gt;"", AP166*AI166,"")</f>
        <v/>
      </c>
      <c r="AR166" s="66" t="str">
        <f aca="false">IF($AG166=Constants!$B$7,IF($AD166="",0,IF($AR$6=0,Constants!$B$8,Constants!$B$8*AD166/$AR$6)),"")</f>
        <v/>
      </c>
      <c r="AS166" s="66" t="str">
        <f aca="false">IF($AG166&lt;&gt;Constants!$B$7,$AG166,IF(AK166&amp;AO166&lt;&gt;"",Constants!$B$14,AM166+AQ166+AR166))</f>
        <v/>
      </c>
      <c r="AT166" s="66" t="str">
        <f aca="false">IF(ISBLANK($C166),"",IF($AG166=Constants!$B$7,IF(ISNUMBER(AS166),RANK(AS166,$AS$8:$AS$507),Constants!$B$14),$AG166))</f>
        <v/>
      </c>
      <c r="AU166" s="66" t="str">
        <f aca="false">IF(ISBLANK($C166), "",AM166)</f>
        <v/>
      </c>
      <c r="AV166" s="66" t="str">
        <f aca="false">IF(ISBLANK($C166),"",IF($AG166=Constants!$B$7,RANK(AU166,AU$8:AU$507),$AG166))</f>
        <v/>
      </c>
      <c r="AW166" s="66" t="str">
        <f aca="false">IF(ISBLANK($C166), "",AR166)</f>
        <v/>
      </c>
      <c r="AX166" s="66" t="str">
        <f aca="false">IF(ISBLANK($C166),"",IF($AG166=Constants!$B$7,RANK(AW166,AW$8:AW$507),$AG166))</f>
        <v/>
      </c>
      <c r="AY166" s="66" t="str">
        <f aca="false">IF(ISBLANK($C166), "",AE166)</f>
        <v/>
      </c>
      <c r="AZ166" s="66" t="str">
        <f aca="false">IF(ISBLANK($C166),"",
IF($AG166=Constants!$B$7,
  IF(ISNUMBER(AT166),
    COUNTIFS($AT$8:$AT$507,"&lt;"&amp;$AT166)
    + COUNTIFS($AT$8:$AT$507,$AT166,$AV$8:$AV$507,"&lt;"&amp;$AV166)
    + COUNTIFS($AT$8:$AT$507,$AT166,$AV$8:$AV$507,$AV166,$AX$8:$AX$507,"&lt;"&amp;$AX166)
    + COUNTIFS($AT$8:$AT$507,$AT166,$AV$8:$AV$507,$AV166,$AX$8:$AX$507,$AX166,$AY$8:$AY$507,"&lt;"&amp;$AY166)
    + 1,
  Constants!$B$14),
$AG166))</f>
        <v/>
      </c>
      <c r="BA166" s="66" t="str">
        <f aca="false">IF(ISBLANK(C166),"",IF($AG166=Constants!$B$7, IF(ISNUMBER(AT166),AT166-AZ166,Constants!$B$14),$AG166))</f>
        <v/>
      </c>
      <c r="BB166" s="70"/>
      <c r="BC166" s="84" t="str">
        <f aca="false">IF(ISBLANK($C166),"",TRIM(AK166&amp;" "&amp;AO166))</f>
        <v/>
      </c>
      <c r="BD166" s="72" t="str">
        <f aca="false">IF(ISBLANK($C166),"",IF($AG166&lt;&gt;Constants!$B$7,$AG166,AR166))</f>
        <v/>
      </c>
      <c r="BE166" s="72" t="str">
        <f aca="false">IF(ISBLANK($C166),"",IF($AG166&lt;&gt;Constants!$B$7,$AG166,AM166))</f>
        <v/>
      </c>
      <c r="BF166" s="72" t="str">
        <f aca="false">IF(ISBLANK($C166),"",IF($AG166&lt;&gt;Constants!$B$7,$AG166,AQ166))</f>
        <v/>
      </c>
      <c r="BG166" s="73" t="str">
        <f aca="false">IF(ISBLANK($C166),"",IF($AG166&lt;&gt;Constants!$B$7, $AG166 ,AS166))</f>
        <v/>
      </c>
      <c r="BH166" s="74" t="str">
        <f aca="false">IF(ISBLANK($C166),"",IF($AG166&lt;&gt;Constants!$B$7, $AG166 ,AH166))</f>
        <v/>
      </c>
      <c r="BI166" s="72" t="str">
        <f aca="false">IF(ISBLANK(C166),"",BA166)</f>
        <v/>
      </c>
      <c r="BJ166" s="72" t="str">
        <f aca="false">IF(ISBLANK(C166),"",AZ166)</f>
        <v/>
      </c>
      <c r="BK166" s="75" t="str">
        <f aca="false">IF(ISBLANK(C166),"",IFERROR(_xlfn.SWITCH(BJ166, Constants!$B$4, COUNTA($C$8:$C665)+2, Constants!$B$5, COUNTA($C$8:$C665)+1, Constants!$B$6, COUNTA($C$8:$C665)),BJ166))</f>
        <v/>
      </c>
      <c r="BL166" s="5"/>
      <c r="BM166" s="76" t="n">
        <f aca="false">IF(OR(ISNUMBER(BJ166),BJ166="DQ",BJ166="P",BJ166="NS"),
    1,
    0
)</f>
        <v>0</v>
      </c>
      <c r="BN166" s="76" t="n">
        <v>159</v>
      </c>
      <c r="BO166" s="76" t="str">
        <f aca="false">IF(ISBLANK($C166),"",IF(ISNUMBER(BK166),BK166+ROW($B166)/1000,""))</f>
        <v/>
      </c>
      <c r="BP166" s="76" t="str">
        <f aca="false">IF(ISNUMBER(BO166), RANK(BO166,BO$8:BO$507,1), "")</f>
        <v/>
      </c>
      <c r="BQ166" s="76" t="str">
        <f aca="false">IF(ISBLANK($C166),
    "",
    $B166
)</f>
        <v/>
      </c>
      <c r="BR166" s="76" t="str">
        <f aca="false">IF(ISBLANK($C166),
    "",
    $C166
)</f>
        <v/>
      </c>
      <c r="BS166" s="76" t="str">
        <f aca="false">IF(ISBLANK($C166),
    "",
    $D166
)</f>
        <v/>
      </c>
      <c r="BT166" s="77" t="str">
        <f aca="false">BH166</f>
        <v/>
      </c>
      <c r="BU166" s="78" t="str">
        <f aca="false">BG166</f>
        <v/>
      </c>
      <c r="BV166" s="76" t="str">
        <f aca="false">IF(ISBLANK($C166),
    "",
    BJ166
)</f>
        <v/>
      </c>
      <c r="BW166" s="79" t="str">
        <f aca="false">IF(BN166&gt;BM$7,
    "",
    VLOOKUP(BN166,BP$8:BV665,7,FALSE())
)</f>
        <v/>
      </c>
      <c r="BX166" s="80" t="str">
        <f aca="false">IF(BN166&gt;BM$7,
    "",
    VLOOKUP(BN166,BP$8:BV665,2,FALSE())
)</f>
        <v/>
      </c>
      <c r="BY166" s="80" t="str">
        <f aca="false">IF(BN166&gt;BM$7,
    "",
    VLOOKUP(BN166,BP$8:BV665,3,FALSE())
)</f>
        <v/>
      </c>
      <c r="BZ166" s="80" t="str">
        <f aca="false">IF(BN166&gt;BM$7,
    "",
    VLOOKUP(BN166,BP$8:BV665,4,FALSE())
)</f>
        <v/>
      </c>
      <c r="CA166" s="80" t="str">
        <f aca="false">IF(BN166&gt;BM$7,
    "",
    VLOOKUP(BN166,BP$8:BV665,5,FALSE())
)</f>
        <v/>
      </c>
      <c r="CB166" s="81" t="str">
        <f aca="false">IF(BN166&gt;BM$7,
    "",
    VLOOKUP(BN166,BP$8:BV665,6,FALSE())
)</f>
        <v/>
      </c>
      <c r="CC166" s="53"/>
    </row>
    <row r="167" customFormat="false" ht="15.75" hidden="false" customHeight="false" outlineLevel="0" collapsed="false">
      <c r="A167" s="5"/>
      <c r="B167" s="125"/>
      <c r="C167" s="126"/>
      <c r="D167" s="115"/>
      <c r="E167" s="119"/>
      <c r="F167" s="119"/>
      <c r="G167" s="91"/>
      <c r="H167" s="92"/>
      <c r="I167" s="92"/>
      <c r="J167" s="128"/>
      <c r="K167" s="128"/>
      <c r="L167" s="128"/>
      <c r="M167" s="94"/>
      <c r="N167" s="94"/>
      <c r="O167" s="94"/>
      <c r="P167" s="95"/>
      <c r="Q167" s="96"/>
      <c r="R167" s="128"/>
      <c r="S167" s="98"/>
      <c r="T167" s="99"/>
      <c r="U167" s="99" t="str">
        <f aca="false">IF(ISBLANK($C167),"",IF(G167=Constants!$B$2, TRUE(), IF(G167=Constants!$B$3, FALSE(), TRUE())))</f>
        <v/>
      </c>
      <c r="V167" s="99" t="str">
        <f aca="false">IF(ISBLANK($C167),"",IF(H167=Constants!$B$2, TRUE(), IF(H167=Constants!$B$3, FALSE(), TRUE())))</f>
        <v/>
      </c>
      <c r="W167" s="99" t="str">
        <f aca="false">IF(ISBLANK($C167),"",IF(I167=Constants!$B$2, TRUE(), IF(I167=Constants!$B$3, FALSE(), TRUE())))</f>
        <v/>
      </c>
      <c r="X167" s="99" t="str">
        <f aca="false">IF(ISBLANK($C167),"",IF(AND(ISNUMBER(J167),J167&gt;0),INT(J167),0))</f>
        <v/>
      </c>
      <c r="Y167" s="99" t="str">
        <f aca="false">IF(ISBLANK($C167),"",IF(K167=Constants!$B$2, TRUE(), IF(K167=Constants!$B$3, FALSE(), TRUE())))</f>
        <v/>
      </c>
      <c r="Z167" s="100" t="str">
        <f aca="false">IF(ISBLANK($C167),"",IF(AND(ISNUMBER(L167),L167&gt;0),INT(L167),0))</f>
        <v/>
      </c>
      <c r="AA167" s="101" t="str">
        <f aca="false">IF(ISBLANK($C167),"",IF(ISNUMBER(M167), M167, ""))</f>
        <v/>
      </c>
      <c r="AB167" s="101" t="str">
        <f aca="false">IF(ISBLANK($C167),"",IF(ISNUMBER(N167), N167, ""))</f>
        <v/>
      </c>
      <c r="AC167" s="101" t="str">
        <f aca="false">IF(ISBLANK($C167),"",IF(ISNUMBER(O167), O167, ""))</f>
        <v/>
      </c>
      <c r="AD167" s="102" t="str">
        <f aca="false">IF(ISBLANK($C167),"",IF(ISNUMBER(P167), P167, ""))</f>
        <v/>
      </c>
      <c r="AE167" s="102" t="str">
        <f aca="false">IF(ISBLANK($C167),"",IF(ISNUMBER(Q167), Q167, Constants!$B$13))</f>
        <v/>
      </c>
      <c r="AF167" s="99" t="str">
        <f aca="false">IF(ISBLANK($C167),"",IF(R167=Constants!$B$2, TRUE(), IF(R167=Constants!$B$3, FALSE(), FALSE())))</f>
        <v/>
      </c>
      <c r="AG167" s="99" t="str">
        <f aca="false">IF(ISBLANK(C167), "", IF(AF167, Constants!$B$4,IF(COUNTA(G167:P167)=0, Constants!$B$5, Constants!$B$7)))</f>
        <v/>
      </c>
      <c r="AH167" s="99" t="str">
        <f aca="false">IF(ISBLANK($C167), "",IF($AG167=Constants!$B$7,1,$AG167))</f>
        <v/>
      </c>
      <c r="AI167" s="99" t="str">
        <f aca="false">IF($AG167=Constants!$B$7,POWER(Constants!$B$11,X167)*POWER(Constants!$B$12,Z167),"")</f>
        <v/>
      </c>
      <c r="AJ167" s="99" t="str">
        <f aca="false">IF(AND($AG167=Constants!$B$7, U167, V167) ,IF(OR($AA167="",$AC167=""),"",MAX(0, $AC167-$AA167)),"")</f>
        <v/>
      </c>
      <c r="AK167" s="99" t="str">
        <f aca="false">IF(AND($AG167=Constants!$B$7, U167, V167),IF(OR($AA167="",$AC167=""),$AK$6,""),"")</f>
        <v/>
      </c>
      <c r="AL167" s="99" t="str">
        <f aca="false">IF($AG167=Constants!$B$7,IF(AND(U167,V167,W167,Y167),IF($AJ167="",0,IF($AJ$6=0,Constants!$B$9,Constants!$B$9*AJ167/$AJ$6)), 0),"")</f>
        <v/>
      </c>
      <c r="AM167" s="99" t="str">
        <f aca="false">IF(AL167&lt;&gt;"", AL167*AI167,"")</f>
        <v/>
      </c>
      <c r="AN167" s="99" t="str">
        <f aca="false">IF(AND($AG167=Constants!$B$7, U167, V167) ,IF($AB167="", "", IF(OR($AC167="",$AC167=0),"",MAX(0,1-ABS($AC167-$AB167)/$AC167))),"")</f>
        <v/>
      </c>
      <c r="AO167" s="99" t="str">
        <f aca="false">IF(AND($AG167=Constants!$B$7, U167, V167),IF(AND($AA167&lt;&gt;"",$AB167&lt;&gt;"",$AC167=0),$AO$6,""),"")</f>
        <v/>
      </c>
      <c r="AP167" s="99" t="str">
        <f aca="false">IF($AG167=Constants!$B$7 ,IF(AND(U167,V167,W167,Y167,ISNUMBER(AB167)),IF($AN167="",0,IF($AN$6=0,Constants!$B$10,Constants!$B$10*AN167/$AN$6)), 0),"")</f>
        <v/>
      </c>
      <c r="AQ167" s="99" t="str">
        <f aca="false">IF(AP167&lt;&gt;"", AP167*AI167,"")</f>
        <v/>
      </c>
      <c r="AR167" s="99" t="str">
        <f aca="false">IF($AG167=Constants!$B$7,IF($AD167="",0,IF($AR$6=0,Constants!$B$8,Constants!$B$8*AD167/$AR$6)),"")</f>
        <v/>
      </c>
      <c r="AS167" s="99" t="str">
        <f aca="false">IF($AG167&lt;&gt;Constants!$B$7,$AG167,IF(AK167&amp;AO167&lt;&gt;"",Constants!$B$14,AM167+AQ167+AR167))</f>
        <v/>
      </c>
      <c r="AT167" s="99" t="str">
        <f aca="false">IF(ISBLANK($C167),"",IF($AG167=Constants!$B$7,IF(ISNUMBER(AS167),RANK(AS167,$AS$8:$AS$507),Constants!$B$14),$AG167))</f>
        <v/>
      </c>
      <c r="AU167" s="99" t="str">
        <f aca="false">IF(ISBLANK($C167), "",AM167)</f>
        <v/>
      </c>
      <c r="AV167" s="99" t="str">
        <f aca="false">IF(ISBLANK($C167),"",IF($AG167=Constants!$B$7,RANK(AU167,AU$8:AU$507),$AG167))</f>
        <v/>
      </c>
      <c r="AW167" s="99" t="str">
        <f aca="false">IF(ISBLANK($C167), "",AR167)</f>
        <v/>
      </c>
      <c r="AX167" s="99" t="str">
        <f aca="false">IF(ISBLANK($C167),"",IF($AG167=Constants!$B$7,RANK(AW167,AW$8:AW$507),$AG167))</f>
        <v/>
      </c>
      <c r="AY167" s="99" t="str">
        <f aca="false">IF(ISBLANK($C167), "",AE167)</f>
        <v/>
      </c>
      <c r="AZ167" s="99" t="str">
        <f aca="false">IF(ISBLANK($C167),"",
IF($AG167=Constants!$B$7,
  IF(ISNUMBER(AT167),
    COUNTIFS($AT$8:$AT$507,"&lt;"&amp;$AT167)
    + COUNTIFS($AT$8:$AT$507,$AT167,$AV$8:$AV$507,"&lt;"&amp;$AV167)
    + COUNTIFS($AT$8:$AT$507,$AT167,$AV$8:$AV$507,$AV167,$AX$8:$AX$507,"&lt;"&amp;$AX167)
    + COUNTIFS($AT$8:$AT$507,$AT167,$AV$8:$AV$507,$AV167,$AX$8:$AX$507,$AX167,$AY$8:$AY$507,"&lt;"&amp;$AY167)
    + 1,
  Constants!$B$14),
$AG167))</f>
        <v/>
      </c>
      <c r="BA167" s="99" t="str">
        <f aca="false">IF(ISBLANK(C167),"",IF($AG167=Constants!$B$7, IF(ISNUMBER(AT167),AT167-AZ167,Constants!$B$14),$AG167))</f>
        <v/>
      </c>
      <c r="BB167" s="103"/>
      <c r="BC167" s="104" t="str">
        <f aca="false">IF(ISBLANK($C167),"",TRIM(AK167&amp;" "&amp;AO167))</f>
        <v/>
      </c>
      <c r="BD167" s="105" t="str">
        <f aca="false">IF(ISBLANK($C167),"",IF($AG167&lt;&gt;Constants!$B$7,$AG167,AR167))</f>
        <v/>
      </c>
      <c r="BE167" s="105" t="str">
        <f aca="false">IF(ISBLANK($C167),"",IF($AG167&lt;&gt;Constants!$B$7,$AG167,AM167))</f>
        <v/>
      </c>
      <c r="BF167" s="105" t="str">
        <f aca="false">IF(ISBLANK($C167),"",IF($AG167&lt;&gt;Constants!$B$7,$AG167,AQ167))</f>
        <v/>
      </c>
      <c r="BG167" s="106" t="str">
        <f aca="false">IF(ISBLANK($C167),"",IF($AG167&lt;&gt;Constants!$B$7, $AG167 ,AS167))</f>
        <v/>
      </c>
      <c r="BH167" s="107" t="str">
        <f aca="false">IF(ISBLANK($C167),"",IF($AG167&lt;&gt;Constants!$B$7, $AG167 ,AH167))</f>
        <v/>
      </c>
      <c r="BI167" s="105" t="str">
        <f aca="false">IF(ISBLANK(C167),"",BA167)</f>
        <v/>
      </c>
      <c r="BJ167" s="105" t="str">
        <f aca="false">IF(ISBLANK(C167),"",AZ167)</f>
        <v/>
      </c>
      <c r="BK167" s="108" t="str">
        <f aca="false">IF(ISBLANK(C167),"",IFERROR(_xlfn.SWITCH(BJ167, Constants!$B$4, COUNTA($C$8:$C666)+2, Constants!$B$5, COUNTA($C$8:$C666)+1, Constants!$B$6, COUNTA($C$8:$C666)),BJ167))</f>
        <v/>
      </c>
      <c r="BL167" s="5"/>
      <c r="BM167" s="109" t="n">
        <f aca="false">IF(OR(ISNUMBER(BJ167),BJ167="DQ",BJ167="P",BJ167="NS"),
    1,
    0
)</f>
        <v>0</v>
      </c>
      <c r="BN167" s="109" t="n">
        <v>160</v>
      </c>
      <c r="BO167" s="109" t="str">
        <f aca="false">IF(ISBLANK($C167),"",IF(ISNUMBER(BK167),BK167+ROW($B167)/1000,""))</f>
        <v/>
      </c>
      <c r="BP167" s="109" t="str">
        <f aca="false">IF(ISNUMBER(BO167), RANK(BO167,BO$8:BO$507,1), "")</f>
        <v/>
      </c>
      <c r="BQ167" s="109" t="str">
        <f aca="false">IF(ISBLANK($C167),
    "",
    $B167
)</f>
        <v/>
      </c>
      <c r="BR167" s="109" t="str">
        <f aca="false">IF(ISBLANK($C167),
    "",
    $C167
)</f>
        <v/>
      </c>
      <c r="BS167" s="109" t="str">
        <f aca="false">IF(ISBLANK($C167),
    "",
    $D167
)</f>
        <v/>
      </c>
      <c r="BT167" s="110" t="str">
        <f aca="false">BH167</f>
        <v/>
      </c>
      <c r="BU167" s="111" t="str">
        <f aca="false">BG167</f>
        <v/>
      </c>
      <c r="BV167" s="109" t="str">
        <f aca="false">IF(ISBLANK($C167),
    "",
    BJ167
)</f>
        <v/>
      </c>
      <c r="BW167" s="112" t="str">
        <f aca="false">IF(BN167&gt;BM$7,
    "",
    VLOOKUP(BN167,BP$8:BV666,7,FALSE())
)</f>
        <v/>
      </c>
      <c r="BX167" s="113" t="str">
        <f aca="false">IF(BN167&gt;BM$7,
    "",
    VLOOKUP(BN167,BP$8:BV666,2,FALSE())
)</f>
        <v/>
      </c>
      <c r="BY167" s="113" t="str">
        <f aca="false">IF(BN167&gt;BM$7,
    "",
    VLOOKUP(BN167,BP$8:BV666,3,FALSE())
)</f>
        <v/>
      </c>
      <c r="BZ167" s="113" t="str">
        <f aca="false">IF(BN167&gt;BM$7,
    "",
    VLOOKUP(BN167,BP$8:BV666,4,FALSE())
)</f>
        <v/>
      </c>
      <c r="CA167" s="113" t="str">
        <f aca="false">IF(BN167&gt;BM$7,
    "",
    VLOOKUP(BN167,BP$8:BV666,5,FALSE())
)</f>
        <v/>
      </c>
      <c r="CB167" s="114" t="str">
        <f aca="false">IF(BN167&gt;BM$7,
    "",
    VLOOKUP(BN167,BP$8:BV666,6,FALSE())
)</f>
        <v/>
      </c>
      <c r="CC167" s="53"/>
    </row>
    <row r="168" customFormat="false" ht="15.75" hidden="false" customHeight="false" outlineLevel="0" collapsed="false">
      <c r="A168" s="5"/>
      <c r="B168" s="125"/>
      <c r="C168" s="126"/>
      <c r="D168" s="115"/>
      <c r="E168" s="119"/>
      <c r="F168" s="119"/>
      <c r="G168" s="91"/>
      <c r="H168" s="92"/>
      <c r="I168" s="92"/>
      <c r="J168" s="128"/>
      <c r="K168" s="128"/>
      <c r="L168" s="128"/>
      <c r="M168" s="94"/>
      <c r="N168" s="94"/>
      <c r="O168" s="94"/>
      <c r="P168" s="95"/>
      <c r="Q168" s="96"/>
      <c r="R168" s="128"/>
      <c r="S168" s="98"/>
      <c r="T168" s="99"/>
      <c r="U168" s="99" t="str">
        <f aca="false">IF(ISBLANK($C168),"",IF(G168=Constants!$B$2, TRUE(), IF(G168=Constants!$B$3, FALSE(), TRUE())))</f>
        <v/>
      </c>
      <c r="V168" s="99" t="str">
        <f aca="false">IF(ISBLANK($C168),"",IF(H168=Constants!$B$2, TRUE(), IF(H168=Constants!$B$3, FALSE(), TRUE())))</f>
        <v/>
      </c>
      <c r="W168" s="99" t="str">
        <f aca="false">IF(ISBLANK($C168),"",IF(I168=Constants!$B$2, TRUE(), IF(I168=Constants!$B$3, FALSE(), TRUE())))</f>
        <v/>
      </c>
      <c r="X168" s="99" t="str">
        <f aca="false">IF(ISBLANK($C168),"",IF(AND(ISNUMBER(J168),J168&gt;0),INT(J168),0))</f>
        <v/>
      </c>
      <c r="Y168" s="99" t="str">
        <f aca="false">IF(ISBLANK($C168),"",IF(K168=Constants!$B$2, TRUE(), IF(K168=Constants!$B$3, FALSE(), TRUE())))</f>
        <v/>
      </c>
      <c r="Z168" s="100" t="str">
        <f aca="false">IF(ISBLANK($C168),"",IF(AND(ISNUMBER(L168),L168&gt;0),INT(L168),0))</f>
        <v/>
      </c>
      <c r="AA168" s="101" t="str">
        <f aca="false">IF(ISBLANK($C168),"",IF(ISNUMBER(M168), M168, ""))</f>
        <v/>
      </c>
      <c r="AB168" s="101" t="str">
        <f aca="false">IF(ISBLANK($C168),"",IF(ISNUMBER(N168), N168, ""))</f>
        <v/>
      </c>
      <c r="AC168" s="101" t="str">
        <f aca="false">IF(ISBLANK($C168),"",IF(ISNUMBER(O168), O168, ""))</f>
        <v/>
      </c>
      <c r="AD168" s="102" t="str">
        <f aca="false">IF(ISBLANK($C168),"",IF(ISNUMBER(P168), P168, ""))</f>
        <v/>
      </c>
      <c r="AE168" s="102" t="str">
        <f aca="false">IF(ISBLANK($C168),"",IF(ISNUMBER(Q168), Q168, Constants!$B$13))</f>
        <v/>
      </c>
      <c r="AF168" s="99" t="str">
        <f aca="false">IF(ISBLANK($C168),"",IF(R168=Constants!$B$2, TRUE(), IF(R168=Constants!$B$3, FALSE(), FALSE())))</f>
        <v/>
      </c>
      <c r="AG168" s="99" t="str">
        <f aca="false">IF(ISBLANK(C168), "", IF(AF168, Constants!$B$4,IF(COUNTA(G168:P168)=0, Constants!$B$5, Constants!$B$7)))</f>
        <v/>
      </c>
      <c r="AH168" s="99" t="str">
        <f aca="false">IF(ISBLANK($C168), "",IF($AG168=Constants!$B$7,1,$AG168))</f>
        <v/>
      </c>
      <c r="AI168" s="99" t="str">
        <f aca="false">IF($AG168=Constants!$B$7,POWER(Constants!$B$11,X168)*POWER(Constants!$B$12,Z168),"")</f>
        <v/>
      </c>
      <c r="AJ168" s="99" t="str">
        <f aca="false">IF(AND($AG168=Constants!$B$7, U168, V168) ,IF(OR($AA168="",$AC168=""),"",MAX(0, $AC168-$AA168)),"")</f>
        <v/>
      </c>
      <c r="AK168" s="99" t="str">
        <f aca="false">IF(AND($AG168=Constants!$B$7, U168, V168),IF(OR($AA168="",$AC168=""),$AK$6,""),"")</f>
        <v/>
      </c>
      <c r="AL168" s="99" t="str">
        <f aca="false">IF($AG168=Constants!$B$7,IF(AND(U168,V168,W168,Y168),IF($AJ168="",0,IF($AJ$6=0,Constants!$B$9,Constants!$B$9*AJ168/$AJ$6)), 0),"")</f>
        <v/>
      </c>
      <c r="AM168" s="99" t="str">
        <f aca="false">IF(AL168&lt;&gt;"", AL168*AI168,"")</f>
        <v/>
      </c>
      <c r="AN168" s="99" t="str">
        <f aca="false">IF(AND($AG168=Constants!$B$7, U168, V168) ,IF($AB168="", "", IF(OR($AC168="",$AC168=0),"",MAX(0,1-ABS($AC168-$AB168)/$AC168))),"")</f>
        <v/>
      </c>
      <c r="AO168" s="99" t="str">
        <f aca="false">IF(AND($AG168=Constants!$B$7, U168, V168),IF(AND($AA168&lt;&gt;"",$AB168&lt;&gt;"",$AC168=0),$AO$6,""),"")</f>
        <v/>
      </c>
      <c r="AP168" s="99" t="str">
        <f aca="false">IF($AG168=Constants!$B$7 ,IF(AND(U168,V168,W168,Y168,ISNUMBER(AB168)),IF($AN168="",0,IF($AN$6=0,Constants!$B$10,Constants!$B$10*AN168/$AN$6)), 0),"")</f>
        <v/>
      </c>
      <c r="AQ168" s="99" t="str">
        <f aca="false">IF(AP168&lt;&gt;"", AP168*AI168,"")</f>
        <v/>
      </c>
      <c r="AR168" s="99" t="str">
        <f aca="false">IF($AG168=Constants!$B$7,IF($AD168="",0,IF($AR$6=0,Constants!$B$8,Constants!$B$8*AD168/$AR$6)),"")</f>
        <v/>
      </c>
      <c r="AS168" s="99" t="str">
        <f aca="false">IF($AG168&lt;&gt;Constants!$B$7,$AG168,IF(AK168&amp;AO168&lt;&gt;"",Constants!$B$14,AM168+AQ168+AR168))</f>
        <v/>
      </c>
      <c r="AT168" s="99" t="str">
        <f aca="false">IF(ISBLANK($C168),"",IF($AG168=Constants!$B$7,IF(ISNUMBER(AS168),RANK(AS168,$AS$8:$AS$507),Constants!$B$14),$AG168))</f>
        <v/>
      </c>
      <c r="AU168" s="99" t="str">
        <f aca="false">IF(ISBLANK($C168), "",AM168)</f>
        <v/>
      </c>
      <c r="AV168" s="99" t="str">
        <f aca="false">IF(ISBLANK($C168),"",IF($AG168=Constants!$B$7,RANK(AU168,AU$8:AU$507),$AG168))</f>
        <v/>
      </c>
      <c r="AW168" s="99" t="str">
        <f aca="false">IF(ISBLANK($C168), "",AR168)</f>
        <v/>
      </c>
      <c r="AX168" s="99" t="str">
        <f aca="false">IF(ISBLANK($C168),"",IF($AG168=Constants!$B$7,RANK(AW168,AW$8:AW$507),$AG168))</f>
        <v/>
      </c>
      <c r="AY168" s="99" t="str">
        <f aca="false">IF(ISBLANK($C168), "",AE168)</f>
        <v/>
      </c>
      <c r="AZ168" s="99" t="str">
        <f aca="false">IF(ISBLANK($C168),"",
IF($AG168=Constants!$B$7,
  IF(ISNUMBER(AT168),
    COUNTIFS($AT$8:$AT$507,"&lt;"&amp;$AT168)
    + COUNTIFS($AT$8:$AT$507,$AT168,$AV$8:$AV$507,"&lt;"&amp;$AV168)
    + COUNTIFS($AT$8:$AT$507,$AT168,$AV$8:$AV$507,$AV168,$AX$8:$AX$507,"&lt;"&amp;$AX168)
    + COUNTIFS($AT$8:$AT$507,$AT168,$AV$8:$AV$507,$AV168,$AX$8:$AX$507,$AX168,$AY$8:$AY$507,"&lt;"&amp;$AY168)
    + 1,
  Constants!$B$14),
$AG168))</f>
        <v/>
      </c>
      <c r="BA168" s="99" t="str">
        <f aca="false">IF(ISBLANK(C168),"",IF($AG168=Constants!$B$7, IF(ISNUMBER(AT168),AT168-AZ168,Constants!$B$14),$AG168))</f>
        <v/>
      </c>
      <c r="BB168" s="103"/>
      <c r="BC168" s="104" t="str">
        <f aca="false">IF(ISBLANK($C168),"",TRIM(AK168&amp;" "&amp;AO168))</f>
        <v/>
      </c>
      <c r="BD168" s="105" t="str">
        <f aca="false">IF(ISBLANK($C168),"",IF($AG168&lt;&gt;Constants!$B$7,$AG168,AR168))</f>
        <v/>
      </c>
      <c r="BE168" s="105" t="str">
        <f aca="false">IF(ISBLANK($C168),"",IF($AG168&lt;&gt;Constants!$B$7,$AG168,AM168))</f>
        <v/>
      </c>
      <c r="BF168" s="105" t="str">
        <f aca="false">IF(ISBLANK($C168),"",IF($AG168&lt;&gt;Constants!$B$7,$AG168,AQ168))</f>
        <v/>
      </c>
      <c r="BG168" s="106" t="str">
        <f aca="false">IF(ISBLANK($C168),"",IF($AG168&lt;&gt;Constants!$B$7, $AG168 ,AS168))</f>
        <v/>
      </c>
      <c r="BH168" s="107" t="str">
        <f aca="false">IF(ISBLANK($C168),"",IF($AG168&lt;&gt;Constants!$B$7, $AG168 ,AH168))</f>
        <v/>
      </c>
      <c r="BI168" s="105" t="str">
        <f aca="false">IF(ISBLANK(C168),"",BA168)</f>
        <v/>
      </c>
      <c r="BJ168" s="105" t="str">
        <f aca="false">IF(ISBLANK(C168),"",AZ168)</f>
        <v/>
      </c>
      <c r="BK168" s="108" t="str">
        <f aca="false">IF(ISBLANK(C168),"",IFERROR(_xlfn.SWITCH(BJ168, Constants!$B$4, COUNTA($C$8:$C667)+2, Constants!$B$5, COUNTA($C$8:$C667)+1, Constants!$B$6, COUNTA($C$8:$C667)),BJ168))</f>
        <v/>
      </c>
      <c r="BL168" s="5"/>
      <c r="BM168" s="109" t="n">
        <f aca="false">IF(OR(ISNUMBER(BJ168),BJ168="DQ",BJ168="P",BJ168="NS"),
    1,
    0
)</f>
        <v>0</v>
      </c>
      <c r="BN168" s="109" t="n">
        <v>161</v>
      </c>
      <c r="BO168" s="109" t="str">
        <f aca="false">IF(ISBLANK($C168),"",IF(ISNUMBER(BK168),BK168+ROW($B168)/1000,""))</f>
        <v/>
      </c>
      <c r="BP168" s="109" t="str">
        <f aca="false">IF(ISNUMBER(BO168), RANK(BO168,BO$8:BO$507,1), "")</f>
        <v/>
      </c>
      <c r="BQ168" s="109" t="str">
        <f aca="false">IF(ISBLANK($C168),
    "",
    $B168
)</f>
        <v/>
      </c>
      <c r="BR168" s="109" t="str">
        <f aca="false">IF(ISBLANK($C168),
    "",
    $C168
)</f>
        <v/>
      </c>
      <c r="BS168" s="109" t="str">
        <f aca="false">IF(ISBLANK($C168),
    "",
    $D168
)</f>
        <v/>
      </c>
      <c r="BT168" s="110" t="str">
        <f aca="false">BH168</f>
        <v/>
      </c>
      <c r="BU168" s="111" t="str">
        <f aca="false">BG168</f>
        <v/>
      </c>
      <c r="BV168" s="109" t="str">
        <f aca="false">IF(ISBLANK($C168),
    "",
    BJ168
)</f>
        <v/>
      </c>
      <c r="BW168" s="112" t="str">
        <f aca="false">IF(BN168&gt;BM$7,
    "",
    VLOOKUP(BN168,BP$8:BV667,7,FALSE())
)</f>
        <v/>
      </c>
      <c r="BX168" s="113" t="str">
        <f aca="false">IF(BN168&gt;BM$7,
    "",
    VLOOKUP(BN168,BP$8:BV667,2,FALSE())
)</f>
        <v/>
      </c>
      <c r="BY168" s="113" t="str">
        <f aca="false">IF(BN168&gt;BM$7,
    "",
    VLOOKUP(BN168,BP$8:BV667,3,FALSE())
)</f>
        <v/>
      </c>
      <c r="BZ168" s="113" t="str">
        <f aca="false">IF(BN168&gt;BM$7,
    "",
    VLOOKUP(BN168,BP$8:BV667,4,FALSE())
)</f>
        <v/>
      </c>
      <c r="CA168" s="113" t="str">
        <f aca="false">IF(BN168&gt;BM$7,
    "",
    VLOOKUP(BN168,BP$8:BV667,5,FALSE())
)</f>
        <v/>
      </c>
      <c r="CB168" s="114" t="str">
        <f aca="false">IF(BN168&gt;BM$7,
    "",
    VLOOKUP(BN168,BP$8:BV667,6,FALSE())
)</f>
        <v/>
      </c>
      <c r="CC168" s="53"/>
    </row>
    <row r="169" customFormat="false" ht="15.75" hidden="false" customHeight="false" outlineLevel="0" collapsed="false">
      <c r="A169" s="5"/>
      <c r="B169" s="125"/>
      <c r="C169" s="126"/>
      <c r="D169" s="115"/>
      <c r="E169" s="119"/>
      <c r="F169" s="119"/>
      <c r="G169" s="91"/>
      <c r="H169" s="92"/>
      <c r="I169" s="92"/>
      <c r="J169" s="128"/>
      <c r="K169" s="128"/>
      <c r="L169" s="128"/>
      <c r="M169" s="94"/>
      <c r="N169" s="94"/>
      <c r="O169" s="94"/>
      <c r="P169" s="95"/>
      <c r="Q169" s="96"/>
      <c r="R169" s="128"/>
      <c r="S169" s="98"/>
      <c r="T169" s="99"/>
      <c r="U169" s="99" t="str">
        <f aca="false">IF(ISBLANK($C169),"",IF(G169=Constants!$B$2, TRUE(), IF(G169=Constants!$B$3, FALSE(), TRUE())))</f>
        <v/>
      </c>
      <c r="V169" s="99" t="str">
        <f aca="false">IF(ISBLANK($C169),"",IF(H169=Constants!$B$2, TRUE(), IF(H169=Constants!$B$3, FALSE(), TRUE())))</f>
        <v/>
      </c>
      <c r="W169" s="99" t="str">
        <f aca="false">IF(ISBLANK($C169),"",IF(I169=Constants!$B$2, TRUE(), IF(I169=Constants!$B$3, FALSE(), TRUE())))</f>
        <v/>
      </c>
      <c r="X169" s="99" t="str">
        <f aca="false">IF(ISBLANK($C169),"",IF(AND(ISNUMBER(J169),J169&gt;0),INT(J169),0))</f>
        <v/>
      </c>
      <c r="Y169" s="99" t="str">
        <f aca="false">IF(ISBLANK($C169),"",IF(K169=Constants!$B$2, TRUE(), IF(K169=Constants!$B$3, FALSE(), TRUE())))</f>
        <v/>
      </c>
      <c r="Z169" s="100" t="str">
        <f aca="false">IF(ISBLANK($C169),"",IF(AND(ISNUMBER(L169),L169&gt;0),INT(L169),0))</f>
        <v/>
      </c>
      <c r="AA169" s="101" t="str">
        <f aca="false">IF(ISBLANK($C169),"",IF(ISNUMBER(M169), M169, ""))</f>
        <v/>
      </c>
      <c r="AB169" s="101" t="str">
        <f aca="false">IF(ISBLANK($C169),"",IF(ISNUMBER(N169), N169, ""))</f>
        <v/>
      </c>
      <c r="AC169" s="101" t="str">
        <f aca="false">IF(ISBLANK($C169),"",IF(ISNUMBER(O169), O169, ""))</f>
        <v/>
      </c>
      <c r="AD169" s="102" t="str">
        <f aca="false">IF(ISBLANK($C169),"",IF(ISNUMBER(P169), P169, ""))</f>
        <v/>
      </c>
      <c r="AE169" s="102" t="str">
        <f aca="false">IF(ISBLANK($C169),"",IF(ISNUMBER(Q169), Q169, Constants!$B$13))</f>
        <v/>
      </c>
      <c r="AF169" s="99" t="str">
        <f aca="false">IF(ISBLANK($C169),"",IF(R169=Constants!$B$2, TRUE(), IF(R169=Constants!$B$3, FALSE(), FALSE())))</f>
        <v/>
      </c>
      <c r="AG169" s="99" t="str">
        <f aca="false">IF(ISBLANK(C169), "", IF(AF169, Constants!$B$4,IF(COUNTA(G169:P169)=0, Constants!$B$5, Constants!$B$7)))</f>
        <v/>
      </c>
      <c r="AH169" s="99" t="str">
        <f aca="false">IF(ISBLANK($C169), "",IF($AG169=Constants!$B$7,1,$AG169))</f>
        <v/>
      </c>
      <c r="AI169" s="99" t="str">
        <f aca="false">IF($AG169=Constants!$B$7,POWER(Constants!$B$11,X169)*POWER(Constants!$B$12,Z169),"")</f>
        <v/>
      </c>
      <c r="AJ169" s="99" t="str">
        <f aca="false">IF(AND($AG169=Constants!$B$7, U169, V169) ,IF(OR($AA169="",$AC169=""),"",MAX(0, $AC169-$AA169)),"")</f>
        <v/>
      </c>
      <c r="AK169" s="99" t="str">
        <f aca="false">IF(AND($AG169=Constants!$B$7, U169, V169),IF(OR($AA169="",$AC169=""),$AK$6,""),"")</f>
        <v/>
      </c>
      <c r="AL169" s="99" t="str">
        <f aca="false">IF($AG169=Constants!$B$7,IF(AND(U169,V169,W169,Y169),IF($AJ169="",0,IF($AJ$6=0,Constants!$B$9,Constants!$B$9*AJ169/$AJ$6)), 0),"")</f>
        <v/>
      </c>
      <c r="AM169" s="99" t="str">
        <f aca="false">IF(AL169&lt;&gt;"", AL169*AI169,"")</f>
        <v/>
      </c>
      <c r="AN169" s="99" t="str">
        <f aca="false">IF(AND($AG169=Constants!$B$7, U169, V169) ,IF($AB169="", "", IF(OR($AC169="",$AC169=0),"",MAX(0,1-ABS($AC169-$AB169)/$AC169))),"")</f>
        <v/>
      </c>
      <c r="AO169" s="99" t="str">
        <f aca="false">IF(AND($AG169=Constants!$B$7, U169, V169),IF(AND($AA169&lt;&gt;"",$AB169&lt;&gt;"",$AC169=0),$AO$6,""),"")</f>
        <v/>
      </c>
      <c r="AP169" s="99" t="str">
        <f aca="false">IF($AG169=Constants!$B$7 ,IF(AND(U169,V169,W169,Y169,ISNUMBER(AB169)),IF($AN169="",0,IF($AN$6=0,Constants!$B$10,Constants!$B$10*AN169/$AN$6)), 0),"")</f>
        <v/>
      </c>
      <c r="AQ169" s="99" t="str">
        <f aca="false">IF(AP169&lt;&gt;"", AP169*AI169,"")</f>
        <v/>
      </c>
      <c r="AR169" s="99" t="str">
        <f aca="false">IF($AG169=Constants!$B$7,IF($AD169="",0,IF($AR$6=0,Constants!$B$8,Constants!$B$8*AD169/$AR$6)),"")</f>
        <v/>
      </c>
      <c r="AS169" s="99" t="str">
        <f aca="false">IF($AG169&lt;&gt;Constants!$B$7,$AG169,IF(AK169&amp;AO169&lt;&gt;"",Constants!$B$14,AM169+AQ169+AR169))</f>
        <v/>
      </c>
      <c r="AT169" s="99" t="str">
        <f aca="false">IF(ISBLANK($C169),"",IF($AG169=Constants!$B$7,IF(ISNUMBER(AS169),RANK(AS169,$AS$8:$AS$507),Constants!$B$14),$AG169))</f>
        <v/>
      </c>
      <c r="AU169" s="99" t="str">
        <f aca="false">IF(ISBLANK($C169), "",AM169)</f>
        <v/>
      </c>
      <c r="AV169" s="99" t="str">
        <f aca="false">IF(ISBLANK($C169),"",IF($AG169=Constants!$B$7,RANK(AU169,AU$8:AU$507),$AG169))</f>
        <v/>
      </c>
      <c r="AW169" s="99" t="str">
        <f aca="false">IF(ISBLANK($C169), "",AR169)</f>
        <v/>
      </c>
      <c r="AX169" s="99" t="str">
        <f aca="false">IF(ISBLANK($C169),"",IF($AG169=Constants!$B$7,RANK(AW169,AW$8:AW$507),$AG169))</f>
        <v/>
      </c>
      <c r="AY169" s="99" t="str">
        <f aca="false">IF(ISBLANK($C169), "",AE169)</f>
        <v/>
      </c>
      <c r="AZ169" s="99" t="str">
        <f aca="false">IF(ISBLANK($C169),"",
IF($AG169=Constants!$B$7,
  IF(ISNUMBER(AT169),
    COUNTIFS($AT$8:$AT$507,"&lt;"&amp;$AT169)
    + COUNTIFS($AT$8:$AT$507,$AT169,$AV$8:$AV$507,"&lt;"&amp;$AV169)
    + COUNTIFS($AT$8:$AT$507,$AT169,$AV$8:$AV$507,$AV169,$AX$8:$AX$507,"&lt;"&amp;$AX169)
    + COUNTIFS($AT$8:$AT$507,$AT169,$AV$8:$AV$507,$AV169,$AX$8:$AX$507,$AX169,$AY$8:$AY$507,"&lt;"&amp;$AY169)
    + 1,
  Constants!$B$14),
$AG169))</f>
        <v/>
      </c>
      <c r="BA169" s="99" t="str">
        <f aca="false">IF(ISBLANK(C169),"",IF($AG169=Constants!$B$7, IF(ISNUMBER(AT169),AT169-AZ169,Constants!$B$14),$AG169))</f>
        <v/>
      </c>
      <c r="BB169" s="103"/>
      <c r="BC169" s="104" t="str">
        <f aca="false">IF(ISBLANK($C169),"",TRIM(AK169&amp;" "&amp;AO169))</f>
        <v/>
      </c>
      <c r="BD169" s="105" t="str">
        <f aca="false">IF(ISBLANK($C169),"",IF($AG169&lt;&gt;Constants!$B$7,$AG169,AR169))</f>
        <v/>
      </c>
      <c r="BE169" s="105" t="str">
        <f aca="false">IF(ISBLANK($C169),"",IF($AG169&lt;&gt;Constants!$B$7,$AG169,AM169))</f>
        <v/>
      </c>
      <c r="BF169" s="105" t="str">
        <f aca="false">IF(ISBLANK($C169),"",IF($AG169&lt;&gt;Constants!$B$7,$AG169,AQ169))</f>
        <v/>
      </c>
      <c r="BG169" s="106" t="str">
        <f aca="false">IF(ISBLANK($C169),"",IF($AG169&lt;&gt;Constants!$B$7, $AG169 ,AS169))</f>
        <v/>
      </c>
      <c r="BH169" s="107" t="str">
        <f aca="false">IF(ISBLANK($C169),"",IF($AG169&lt;&gt;Constants!$B$7, $AG169 ,AH169))</f>
        <v/>
      </c>
      <c r="BI169" s="105" t="str">
        <f aca="false">IF(ISBLANK(C169),"",BA169)</f>
        <v/>
      </c>
      <c r="BJ169" s="105" t="str">
        <f aca="false">IF(ISBLANK(C169),"",AZ169)</f>
        <v/>
      </c>
      <c r="BK169" s="108" t="str">
        <f aca="false">IF(ISBLANK(C169),"",IFERROR(_xlfn.SWITCH(BJ169, Constants!$B$4, COUNTA($C$8:$C668)+2, Constants!$B$5, COUNTA($C$8:$C668)+1, Constants!$B$6, COUNTA($C$8:$C668)),BJ169))</f>
        <v/>
      </c>
      <c r="BL169" s="5"/>
      <c r="BM169" s="109" t="n">
        <f aca="false">IF(OR(ISNUMBER(BJ169),BJ169="DQ",BJ169="P",BJ169="NS"),
    1,
    0
)</f>
        <v>0</v>
      </c>
      <c r="BN169" s="109" t="n">
        <v>162</v>
      </c>
      <c r="BO169" s="109" t="str">
        <f aca="false">IF(ISBLANK($C169),"",IF(ISNUMBER(BK169),BK169+ROW($B169)/1000,""))</f>
        <v/>
      </c>
      <c r="BP169" s="109" t="str">
        <f aca="false">IF(ISNUMBER(BO169), RANK(BO169,BO$8:BO$507,1), "")</f>
        <v/>
      </c>
      <c r="BQ169" s="109" t="str">
        <f aca="false">IF(ISBLANK($C169),
    "",
    $B169
)</f>
        <v/>
      </c>
      <c r="BR169" s="109" t="str">
        <f aca="false">IF(ISBLANK($C169),
    "",
    $C169
)</f>
        <v/>
      </c>
      <c r="BS169" s="109" t="str">
        <f aca="false">IF(ISBLANK($C169),
    "",
    $D169
)</f>
        <v/>
      </c>
      <c r="BT169" s="110" t="str">
        <f aca="false">BH169</f>
        <v/>
      </c>
      <c r="BU169" s="111" t="str">
        <f aca="false">BG169</f>
        <v/>
      </c>
      <c r="BV169" s="109" t="str">
        <f aca="false">IF(ISBLANK($C169),
    "",
    BJ169
)</f>
        <v/>
      </c>
      <c r="BW169" s="112" t="str">
        <f aca="false">IF(BN169&gt;BM$7,
    "",
    VLOOKUP(BN169,BP$8:BV668,7,FALSE())
)</f>
        <v/>
      </c>
      <c r="BX169" s="113" t="str">
        <f aca="false">IF(BN169&gt;BM$7,
    "",
    VLOOKUP(BN169,BP$8:BV668,2,FALSE())
)</f>
        <v/>
      </c>
      <c r="BY169" s="113" t="str">
        <f aca="false">IF(BN169&gt;BM$7,
    "",
    VLOOKUP(BN169,BP$8:BV668,3,FALSE())
)</f>
        <v/>
      </c>
      <c r="BZ169" s="113" t="str">
        <f aca="false">IF(BN169&gt;BM$7,
    "",
    VLOOKUP(BN169,BP$8:BV668,4,FALSE())
)</f>
        <v/>
      </c>
      <c r="CA169" s="113" t="str">
        <f aca="false">IF(BN169&gt;BM$7,
    "",
    VLOOKUP(BN169,BP$8:BV668,5,FALSE())
)</f>
        <v/>
      </c>
      <c r="CB169" s="114" t="str">
        <f aca="false">IF(BN169&gt;BM$7,
    "",
    VLOOKUP(BN169,BP$8:BV668,6,FALSE())
)</f>
        <v/>
      </c>
      <c r="CC169" s="53"/>
    </row>
    <row r="170" customFormat="false" ht="15.75" hidden="false" customHeight="false" outlineLevel="0" collapsed="false">
      <c r="A170" s="5"/>
      <c r="B170" s="129"/>
      <c r="C170" s="55"/>
      <c r="D170" s="56"/>
      <c r="E170" s="123"/>
      <c r="F170" s="123"/>
      <c r="G170" s="58"/>
      <c r="H170" s="59"/>
      <c r="I170" s="59"/>
      <c r="J170" s="83"/>
      <c r="K170" s="83"/>
      <c r="L170" s="83"/>
      <c r="M170" s="61"/>
      <c r="N170" s="61"/>
      <c r="O170" s="61"/>
      <c r="P170" s="62"/>
      <c r="Q170" s="63"/>
      <c r="R170" s="83"/>
      <c r="S170" s="65"/>
      <c r="T170" s="66"/>
      <c r="U170" s="66" t="str">
        <f aca="false">IF(ISBLANK($C170),"",IF(G170=Constants!$B$2, TRUE(), IF(G170=Constants!$B$3, FALSE(), TRUE())))</f>
        <v/>
      </c>
      <c r="V170" s="66" t="str">
        <f aca="false">IF(ISBLANK($C170),"",IF(H170=Constants!$B$2, TRUE(), IF(H170=Constants!$B$3, FALSE(), TRUE())))</f>
        <v/>
      </c>
      <c r="W170" s="66" t="str">
        <f aca="false">IF(ISBLANK($C170),"",IF(I170=Constants!$B$2, TRUE(), IF(I170=Constants!$B$3, FALSE(), TRUE())))</f>
        <v/>
      </c>
      <c r="X170" s="66" t="str">
        <f aca="false">IF(ISBLANK($C170),"",IF(AND(ISNUMBER(J170),J170&gt;0),INT(J170),0))</f>
        <v/>
      </c>
      <c r="Y170" s="66" t="str">
        <f aca="false">IF(ISBLANK($C170),"",IF(K170=Constants!$B$2, TRUE(), IF(K170=Constants!$B$3, FALSE(), TRUE())))</f>
        <v/>
      </c>
      <c r="Z170" s="66" t="str">
        <f aca="false">IF(ISBLANK($C170),"",IF(AND(ISNUMBER(L170),L170&gt;0),INT(L170),0))</f>
        <v/>
      </c>
      <c r="AA170" s="68" t="str">
        <f aca="false">IF(ISBLANK($C170),"",IF(ISNUMBER(M170), M170, ""))</f>
        <v/>
      </c>
      <c r="AB170" s="68" t="str">
        <f aca="false">IF(ISBLANK($C170),"",IF(ISNUMBER(N170), N170, ""))</f>
        <v/>
      </c>
      <c r="AC170" s="68" t="str">
        <f aca="false">IF(ISBLANK($C170),"",IF(ISNUMBER(O170), O170, ""))</f>
        <v/>
      </c>
      <c r="AD170" s="69" t="str">
        <f aca="false">IF(ISBLANK($C170),"",IF(ISNUMBER(P170), P170, ""))</f>
        <v/>
      </c>
      <c r="AE170" s="69" t="str">
        <f aca="false">IF(ISBLANK($C170),"",IF(ISNUMBER(Q170), Q170, Constants!$B$13))</f>
        <v/>
      </c>
      <c r="AF170" s="66" t="str">
        <f aca="false">IF(ISBLANK($C170),"",IF(R170=Constants!$B$2, TRUE(), IF(R170=Constants!$B$3, FALSE(), FALSE())))</f>
        <v/>
      </c>
      <c r="AG170" s="66" t="str">
        <f aca="false">IF(ISBLANK(C170), "", IF(AF170, Constants!$B$4,IF(COUNTA(G170:P170)=0, Constants!$B$5, Constants!$B$7)))</f>
        <v/>
      </c>
      <c r="AH170" s="66" t="str">
        <f aca="false">IF(ISBLANK($C170), "",IF($AG170=Constants!$B$7,1,$AG170))</f>
        <v/>
      </c>
      <c r="AI170" s="66" t="str">
        <f aca="false">IF($AG170=Constants!$B$7,POWER(Constants!$B$11,X170)*POWER(Constants!$B$12,Z170),"")</f>
        <v/>
      </c>
      <c r="AJ170" s="66" t="str">
        <f aca="false">IF(AND($AG170=Constants!$B$7, U170, V170) ,IF(OR($AA170="",$AC170=""),"",MAX(0, $AC170-$AA170)),"")</f>
        <v/>
      </c>
      <c r="AK170" s="66" t="str">
        <f aca="false">IF(AND($AG170=Constants!$B$7, U170, V170),IF(OR($AA170="",$AC170=""),$AK$6,""),"")</f>
        <v/>
      </c>
      <c r="AL170" s="66" t="str">
        <f aca="false">IF($AG170=Constants!$B$7,IF(AND(U170,V170,W170,Y170),IF($AJ170="",0,IF($AJ$6=0,Constants!$B$9,Constants!$B$9*AJ170/$AJ$6)), 0),"")</f>
        <v/>
      </c>
      <c r="AM170" s="66" t="str">
        <f aca="false">IF(AL170&lt;&gt;"", AL170*AI170,"")</f>
        <v/>
      </c>
      <c r="AN170" s="66" t="str">
        <f aca="false">IF(AND($AG170=Constants!$B$7, U170, V170) ,IF($AB170="", "", IF(OR($AC170="",$AC170=0),"",MAX(0,1-ABS($AC170-$AB170)/$AC170))),"")</f>
        <v/>
      </c>
      <c r="AO170" s="66" t="str">
        <f aca="false">IF(AND($AG170=Constants!$B$7, U170, V170),IF(AND($AA170&lt;&gt;"",$AB170&lt;&gt;"",$AC170=0),$AO$6,""),"")</f>
        <v/>
      </c>
      <c r="AP170" s="66" t="str">
        <f aca="false">IF($AG170=Constants!$B$7 ,IF(AND(U170,V170,W170,Y170,ISNUMBER(AB170)),IF($AN170="",0,IF($AN$6=0,Constants!$B$10,Constants!$B$10*AN170/$AN$6)), 0),"")</f>
        <v/>
      </c>
      <c r="AQ170" s="66" t="str">
        <f aca="false">IF(AP170&lt;&gt;"", AP170*AI170,"")</f>
        <v/>
      </c>
      <c r="AR170" s="66" t="str">
        <f aca="false">IF($AG170=Constants!$B$7,IF($AD170="",0,IF($AR$6=0,Constants!$B$8,Constants!$B$8*AD170/$AR$6)),"")</f>
        <v/>
      </c>
      <c r="AS170" s="66" t="str">
        <f aca="false">IF($AG170&lt;&gt;Constants!$B$7,$AG170,IF(AK170&amp;AO170&lt;&gt;"",Constants!$B$14,AM170+AQ170+AR170))</f>
        <v/>
      </c>
      <c r="AT170" s="66" t="str">
        <f aca="false">IF(ISBLANK($C170),"",IF($AG170=Constants!$B$7,IF(ISNUMBER(AS170),RANK(AS170,$AS$8:$AS$507),Constants!$B$14),$AG170))</f>
        <v/>
      </c>
      <c r="AU170" s="66" t="str">
        <f aca="false">IF(ISBLANK($C170), "",AM170)</f>
        <v/>
      </c>
      <c r="AV170" s="66" t="str">
        <f aca="false">IF(ISBLANK($C170),"",IF($AG170=Constants!$B$7,RANK(AU170,AU$8:AU$507),$AG170))</f>
        <v/>
      </c>
      <c r="AW170" s="66" t="str">
        <f aca="false">IF(ISBLANK($C170), "",AR170)</f>
        <v/>
      </c>
      <c r="AX170" s="66" t="str">
        <f aca="false">IF(ISBLANK($C170),"",IF($AG170=Constants!$B$7,RANK(AW170,AW$8:AW$507),$AG170))</f>
        <v/>
      </c>
      <c r="AY170" s="66" t="str">
        <f aca="false">IF(ISBLANK($C170), "",AE170)</f>
        <v/>
      </c>
      <c r="AZ170" s="66" t="str">
        <f aca="false">IF(ISBLANK($C170),"",
IF($AG170=Constants!$B$7,
  IF(ISNUMBER(AT170),
    COUNTIFS($AT$8:$AT$507,"&lt;"&amp;$AT170)
    + COUNTIFS($AT$8:$AT$507,$AT170,$AV$8:$AV$507,"&lt;"&amp;$AV170)
    + COUNTIFS($AT$8:$AT$507,$AT170,$AV$8:$AV$507,$AV170,$AX$8:$AX$507,"&lt;"&amp;$AX170)
    + COUNTIFS($AT$8:$AT$507,$AT170,$AV$8:$AV$507,$AV170,$AX$8:$AX$507,$AX170,$AY$8:$AY$507,"&lt;"&amp;$AY170)
    + 1,
  Constants!$B$14),
$AG170))</f>
        <v/>
      </c>
      <c r="BA170" s="66" t="str">
        <f aca="false">IF(ISBLANK(C170),"",IF($AG170=Constants!$B$7, IF(ISNUMBER(AT170),AT170-AZ170,Constants!$B$14),$AG170))</f>
        <v/>
      </c>
      <c r="BB170" s="70"/>
      <c r="BC170" s="84" t="str">
        <f aca="false">IF(ISBLANK($C170),"",TRIM(AK170&amp;" "&amp;AO170))</f>
        <v/>
      </c>
      <c r="BD170" s="72" t="str">
        <f aca="false">IF(ISBLANK($C170),"",IF($AG170&lt;&gt;Constants!$B$7,$AG170,AR170))</f>
        <v/>
      </c>
      <c r="BE170" s="72" t="str">
        <f aca="false">IF(ISBLANK($C170),"",IF($AG170&lt;&gt;Constants!$B$7,$AG170,AM170))</f>
        <v/>
      </c>
      <c r="BF170" s="72" t="str">
        <f aca="false">IF(ISBLANK($C170),"",IF($AG170&lt;&gt;Constants!$B$7,$AG170,AQ170))</f>
        <v/>
      </c>
      <c r="BG170" s="73" t="str">
        <f aca="false">IF(ISBLANK($C170),"",IF($AG170&lt;&gt;Constants!$B$7, $AG170 ,AS170))</f>
        <v/>
      </c>
      <c r="BH170" s="74" t="str">
        <f aca="false">IF(ISBLANK($C170),"",IF($AG170&lt;&gt;Constants!$B$7, $AG170 ,AH170))</f>
        <v/>
      </c>
      <c r="BI170" s="72" t="str">
        <f aca="false">IF(ISBLANK(C170),"",BA170)</f>
        <v/>
      </c>
      <c r="BJ170" s="72" t="str">
        <f aca="false">IF(ISBLANK(C170),"",AZ170)</f>
        <v/>
      </c>
      <c r="BK170" s="75" t="str">
        <f aca="false">IF(ISBLANK(C170),"",IFERROR(_xlfn.SWITCH(BJ170, Constants!$B$4, COUNTA($C$8:$C669)+2, Constants!$B$5, COUNTA($C$8:$C669)+1, Constants!$B$6, COUNTA($C$8:$C669)),BJ170))</f>
        <v/>
      </c>
      <c r="BL170" s="5"/>
      <c r="BM170" s="76" t="n">
        <f aca="false">IF(OR(ISNUMBER(BJ170),BJ170="DQ",BJ170="P",BJ170="NS"),
    1,
    0
)</f>
        <v>0</v>
      </c>
      <c r="BN170" s="76" t="n">
        <v>163</v>
      </c>
      <c r="BO170" s="76" t="str">
        <f aca="false">IF(ISBLANK($C170),"",IF(ISNUMBER(BK170),BK170+ROW($B170)/1000,""))</f>
        <v/>
      </c>
      <c r="BP170" s="76" t="str">
        <f aca="false">IF(ISNUMBER(BO170), RANK(BO170,BO$8:BO$507,1), "")</f>
        <v/>
      </c>
      <c r="BQ170" s="76" t="str">
        <f aca="false">IF(ISBLANK($C170),
    "",
    $B170
)</f>
        <v/>
      </c>
      <c r="BR170" s="76" t="str">
        <f aca="false">IF(ISBLANK($C170),
    "",
    $C170
)</f>
        <v/>
      </c>
      <c r="BS170" s="76" t="str">
        <f aca="false">IF(ISBLANK($C170),
    "",
    $D170
)</f>
        <v/>
      </c>
      <c r="BT170" s="77" t="str">
        <f aca="false">BH170</f>
        <v/>
      </c>
      <c r="BU170" s="78" t="str">
        <f aca="false">BG170</f>
        <v/>
      </c>
      <c r="BV170" s="76" t="str">
        <f aca="false">IF(ISBLANK($C170),
    "",
    BJ170
)</f>
        <v/>
      </c>
      <c r="BW170" s="79" t="str">
        <f aca="false">IF(BN170&gt;BM$7,
    "",
    VLOOKUP(BN170,BP$8:BV669,7,FALSE())
)</f>
        <v/>
      </c>
      <c r="BX170" s="80" t="str">
        <f aca="false">IF(BN170&gt;BM$7,
    "",
    VLOOKUP(BN170,BP$8:BV669,2,FALSE())
)</f>
        <v/>
      </c>
      <c r="BY170" s="80" t="str">
        <f aca="false">IF(BN170&gt;BM$7,
    "",
    VLOOKUP(BN170,BP$8:BV669,3,FALSE())
)</f>
        <v/>
      </c>
      <c r="BZ170" s="80" t="str">
        <f aca="false">IF(BN170&gt;BM$7,
    "",
    VLOOKUP(BN170,BP$8:BV669,4,FALSE())
)</f>
        <v/>
      </c>
      <c r="CA170" s="80" t="str">
        <f aca="false">IF(BN170&gt;BM$7,
    "",
    VLOOKUP(BN170,BP$8:BV669,5,FALSE())
)</f>
        <v/>
      </c>
      <c r="CB170" s="81" t="str">
        <f aca="false">IF(BN170&gt;BM$7,
    "",
    VLOOKUP(BN170,BP$8:BV669,6,FALSE())
)</f>
        <v/>
      </c>
      <c r="CC170" s="53"/>
    </row>
    <row r="171" customFormat="false" ht="15.75" hidden="false" customHeight="false" outlineLevel="0" collapsed="false">
      <c r="A171" s="5"/>
      <c r="B171" s="129"/>
      <c r="C171" s="55"/>
      <c r="D171" s="56"/>
      <c r="E171" s="123"/>
      <c r="F171" s="123"/>
      <c r="G171" s="58"/>
      <c r="H171" s="59"/>
      <c r="I171" s="59"/>
      <c r="J171" s="83"/>
      <c r="K171" s="83"/>
      <c r="L171" s="83"/>
      <c r="M171" s="61"/>
      <c r="N171" s="61"/>
      <c r="O171" s="61"/>
      <c r="P171" s="62"/>
      <c r="Q171" s="63"/>
      <c r="R171" s="83"/>
      <c r="S171" s="65"/>
      <c r="T171" s="66"/>
      <c r="U171" s="66" t="str">
        <f aca="false">IF(ISBLANK($C171),"",IF(G171=Constants!$B$2, TRUE(), IF(G171=Constants!$B$3, FALSE(), TRUE())))</f>
        <v/>
      </c>
      <c r="V171" s="66" t="str">
        <f aca="false">IF(ISBLANK($C171),"",IF(H171=Constants!$B$2, TRUE(), IF(H171=Constants!$B$3, FALSE(), TRUE())))</f>
        <v/>
      </c>
      <c r="W171" s="66" t="str">
        <f aca="false">IF(ISBLANK($C171),"",IF(I171=Constants!$B$2, TRUE(), IF(I171=Constants!$B$3, FALSE(), TRUE())))</f>
        <v/>
      </c>
      <c r="X171" s="66" t="str">
        <f aca="false">IF(ISBLANK($C171),"",IF(AND(ISNUMBER(J171),J171&gt;0),INT(J171),0))</f>
        <v/>
      </c>
      <c r="Y171" s="66" t="str">
        <f aca="false">IF(ISBLANK($C171),"",IF(K171=Constants!$B$2, TRUE(), IF(K171=Constants!$B$3, FALSE(), TRUE())))</f>
        <v/>
      </c>
      <c r="Z171" s="66" t="str">
        <f aca="false">IF(ISBLANK($C171),"",IF(AND(ISNUMBER(L171),L171&gt;0),INT(L171),0))</f>
        <v/>
      </c>
      <c r="AA171" s="68" t="str">
        <f aca="false">IF(ISBLANK($C171),"",IF(ISNUMBER(M171), M171, ""))</f>
        <v/>
      </c>
      <c r="AB171" s="68" t="str">
        <f aca="false">IF(ISBLANK($C171),"",IF(ISNUMBER(N171), N171, ""))</f>
        <v/>
      </c>
      <c r="AC171" s="68" t="str">
        <f aca="false">IF(ISBLANK($C171),"",IF(ISNUMBER(O171), O171, ""))</f>
        <v/>
      </c>
      <c r="AD171" s="69" t="str">
        <f aca="false">IF(ISBLANK($C171),"",IF(ISNUMBER(P171), P171, ""))</f>
        <v/>
      </c>
      <c r="AE171" s="69" t="str">
        <f aca="false">IF(ISBLANK($C171),"",IF(ISNUMBER(Q171), Q171, Constants!$B$13))</f>
        <v/>
      </c>
      <c r="AF171" s="66" t="str">
        <f aca="false">IF(ISBLANK($C171),"",IF(R171=Constants!$B$2, TRUE(), IF(R171=Constants!$B$3, FALSE(), FALSE())))</f>
        <v/>
      </c>
      <c r="AG171" s="66" t="str">
        <f aca="false">IF(ISBLANK(C171), "", IF(AF171, Constants!$B$4,IF(COUNTA(G171:P171)=0, Constants!$B$5, Constants!$B$7)))</f>
        <v/>
      </c>
      <c r="AH171" s="66" t="str">
        <f aca="false">IF(ISBLANK($C171), "",IF($AG171=Constants!$B$7,1,$AG171))</f>
        <v/>
      </c>
      <c r="AI171" s="66" t="str">
        <f aca="false">IF($AG171=Constants!$B$7,POWER(Constants!$B$11,X171)*POWER(Constants!$B$12,Z171),"")</f>
        <v/>
      </c>
      <c r="AJ171" s="66" t="str">
        <f aca="false">IF(AND($AG171=Constants!$B$7, U171, V171) ,IF(OR($AA171="",$AC171=""),"",MAX(0, $AC171-$AA171)),"")</f>
        <v/>
      </c>
      <c r="AK171" s="66" t="str">
        <f aca="false">IF(AND($AG171=Constants!$B$7, U171, V171),IF(OR($AA171="",$AC171=""),$AK$6,""),"")</f>
        <v/>
      </c>
      <c r="AL171" s="66" t="str">
        <f aca="false">IF($AG171=Constants!$B$7,IF(AND(U171,V171,W171,Y171),IF($AJ171="",0,IF($AJ$6=0,Constants!$B$9,Constants!$B$9*AJ171/$AJ$6)), 0),"")</f>
        <v/>
      </c>
      <c r="AM171" s="66" t="str">
        <f aca="false">IF(AL171&lt;&gt;"", AL171*AI171,"")</f>
        <v/>
      </c>
      <c r="AN171" s="66" t="str">
        <f aca="false">IF(AND($AG171=Constants!$B$7, U171, V171) ,IF($AB171="", "", IF(OR($AC171="",$AC171=0),"",MAX(0,1-ABS($AC171-$AB171)/$AC171))),"")</f>
        <v/>
      </c>
      <c r="AO171" s="66" t="str">
        <f aca="false">IF(AND($AG171=Constants!$B$7, U171, V171),IF(AND($AA171&lt;&gt;"",$AB171&lt;&gt;"",$AC171=0),$AO$6,""),"")</f>
        <v/>
      </c>
      <c r="AP171" s="66" t="str">
        <f aca="false">IF($AG171=Constants!$B$7 ,IF(AND(U171,V171,W171,Y171,ISNUMBER(AB171)),IF($AN171="",0,IF($AN$6=0,Constants!$B$10,Constants!$B$10*AN171/$AN$6)), 0),"")</f>
        <v/>
      </c>
      <c r="AQ171" s="66" t="str">
        <f aca="false">IF(AP171&lt;&gt;"", AP171*AI171,"")</f>
        <v/>
      </c>
      <c r="AR171" s="66" t="str">
        <f aca="false">IF($AG171=Constants!$B$7,IF($AD171="",0,IF($AR$6=0,Constants!$B$8,Constants!$B$8*AD171/$AR$6)),"")</f>
        <v/>
      </c>
      <c r="AS171" s="66" t="str">
        <f aca="false">IF($AG171&lt;&gt;Constants!$B$7,$AG171,IF(AK171&amp;AO171&lt;&gt;"",Constants!$B$14,AM171+AQ171+AR171))</f>
        <v/>
      </c>
      <c r="AT171" s="66" t="str">
        <f aca="false">IF(ISBLANK($C171),"",IF($AG171=Constants!$B$7,IF(ISNUMBER(AS171),RANK(AS171,$AS$8:$AS$507),Constants!$B$14),$AG171))</f>
        <v/>
      </c>
      <c r="AU171" s="66" t="str">
        <f aca="false">IF(ISBLANK($C171), "",AM171)</f>
        <v/>
      </c>
      <c r="AV171" s="66" t="str">
        <f aca="false">IF(ISBLANK($C171),"",IF($AG171=Constants!$B$7,RANK(AU171,AU$8:AU$507),$AG171))</f>
        <v/>
      </c>
      <c r="AW171" s="66" t="str">
        <f aca="false">IF(ISBLANK($C171), "",AR171)</f>
        <v/>
      </c>
      <c r="AX171" s="66" t="str">
        <f aca="false">IF(ISBLANK($C171),"",IF($AG171=Constants!$B$7,RANK(AW171,AW$8:AW$507),$AG171))</f>
        <v/>
      </c>
      <c r="AY171" s="66" t="str">
        <f aca="false">IF(ISBLANK($C171), "",AE171)</f>
        <v/>
      </c>
      <c r="AZ171" s="66" t="str">
        <f aca="false">IF(ISBLANK($C171),"",
IF($AG171=Constants!$B$7,
  IF(ISNUMBER(AT171),
    COUNTIFS($AT$8:$AT$507,"&lt;"&amp;$AT171)
    + COUNTIFS($AT$8:$AT$507,$AT171,$AV$8:$AV$507,"&lt;"&amp;$AV171)
    + COUNTIFS($AT$8:$AT$507,$AT171,$AV$8:$AV$507,$AV171,$AX$8:$AX$507,"&lt;"&amp;$AX171)
    + COUNTIFS($AT$8:$AT$507,$AT171,$AV$8:$AV$507,$AV171,$AX$8:$AX$507,$AX171,$AY$8:$AY$507,"&lt;"&amp;$AY171)
    + 1,
  Constants!$B$14),
$AG171))</f>
        <v/>
      </c>
      <c r="BA171" s="66" t="str">
        <f aca="false">IF(ISBLANK(C171),"",IF($AG171=Constants!$B$7, IF(ISNUMBER(AT171),AT171-AZ171,Constants!$B$14),$AG171))</f>
        <v/>
      </c>
      <c r="BB171" s="70"/>
      <c r="BC171" s="84" t="str">
        <f aca="false">IF(ISBLANK($C171),"",TRIM(AK171&amp;" "&amp;AO171))</f>
        <v/>
      </c>
      <c r="BD171" s="72" t="str">
        <f aca="false">IF(ISBLANK($C171),"",IF($AG171&lt;&gt;Constants!$B$7,$AG171,AR171))</f>
        <v/>
      </c>
      <c r="BE171" s="72" t="str">
        <f aca="false">IF(ISBLANK($C171),"",IF($AG171&lt;&gt;Constants!$B$7,$AG171,AM171))</f>
        <v/>
      </c>
      <c r="BF171" s="72" t="str">
        <f aca="false">IF(ISBLANK($C171),"",IF($AG171&lt;&gt;Constants!$B$7,$AG171,AQ171))</f>
        <v/>
      </c>
      <c r="BG171" s="73" t="str">
        <f aca="false">IF(ISBLANK($C171),"",IF($AG171&lt;&gt;Constants!$B$7, $AG171 ,AS171))</f>
        <v/>
      </c>
      <c r="BH171" s="74" t="str">
        <f aca="false">IF(ISBLANK($C171),"",IF($AG171&lt;&gt;Constants!$B$7, $AG171 ,AH171))</f>
        <v/>
      </c>
      <c r="BI171" s="72" t="str">
        <f aca="false">IF(ISBLANK(C171),"",BA171)</f>
        <v/>
      </c>
      <c r="BJ171" s="72" t="str">
        <f aca="false">IF(ISBLANK(C171),"",AZ171)</f>
        <v/>
      </c>
      <c r="BK171" s="75" t="str">
        <f aca="false">IF(ISBLANK(C171),"",IFERROR(_xlfn.SWITCH(BJ171, Constants!$B$4, COUNTA($C$8:$C670)+2, Constants!$B$5, COUNTA($C$8:$C670)+1, Constants!$B$6, COUNTA($C$8:$C670)),BJ171))</f>
        <v/>
      </c>
      <c r="BL171" s="5"/>
      <c r="BM171" s="76" t="n">
        <f aca="false">IF(OR(ISNUMBER(BJ171),BJ171="DQ",BJ171="P",BJ171="NS"),
    1,
    0
)</f>
        <v>0</v>
      </c>
      <c r="BN171" s="76" t="n">
        <v>164</v>
      </c>
      <c r="BO171" s="76" t="str">
        <f aca="false">IF(ISBLANK($C171),"",IF(ISNUMBER(BK171),BK171+ROW($B171)/1000,""))</f>
        <v/>
      </c>
      <c r="BP171" s="76" t="str">
        <f aca="false">IF(ISNUMBER(BO171), RANK(BO171,BO$8:BO$507,1), "")</f>
        <v/>
      </c>
      <c r="BQ171" s="76" t="str">
        <f aca="false">IF(ISBLANK($C171),
    "",
    $B171
)</f>
        <v/>
      </c>
      <c r="BR171" s="76" t="str">
        <f aca="false">IF(ISBLANK($C171),
    "",
    $C171
)</f>
        <v/>
      </c>
      <c r="BS171" s="76" t="str">
        <f aca="false">IF(ISBLANK($C171),
    "",
    $D171
)</f>
        <v/>
      </c>
      <c r="BT171" s="77" t="str">
        <f aca="false">BH171</f>
        <v/>
      </c>
      <c r="BU171" s="78" t="str">
        <f aca="false">BG171</f>
        <v/>
      </c>
      <c r="BV171" s="76" t="str">
        <f aca="false">IF(ISBLANK($C171),
    "",
    BJ171
)</f>
        <v/>
      </c>
      <c r="BW171" s="79" t="str">
        <f aca="false">IF(BN171&gt;BM$7,
    "",
    VLOOKUP(BN171,BP$8:BV670,7,FALSE())
)</f>
        <v/>
      </c>
      <c r="BX171" s="80" t="str">
        <f aca="false">IF(BN171&gt;BM$7,
    "",
    VLOOKUP(BN171,BP$8:BV670,2,FALSE())
)</f>
        <v/>
      </c>
      <c r="BY171" s="80" t="str">
        <f aca="false">IF(BN171&gt;BM$7,
    "",
    VLOOKUP(BN171,BP$8:BV670,3,FALSE())
)</f>
        <v/>
      </c>
      <c r="BZ171" s="80" t="str">
        <f aca="false">IF(BN171&gt;BM$7,
    "",
    VLOOKUP(BN171,BP$8:BV670,4,FALSE())
)</f>
        <v/>
      </c>
      <c r="CA171" s="80" t="str">
        <f aca="false">IF(BN171&gt;BM$7,
    "",
    VLOOKUP(BN171,BP$8:BV670,5,FALSE())
)</f>
        <v/>
      </c>
      <c r="CB171" s="81" t="str">
        <f aca="false">IF(BN171&gt;BM$7,
    "",
    VLOOKUP(BN171,BP$8:BV670,6,FALSE())
)</f>
        <v/>
      </c>
      <c r="CC171" s="53"/>
    </row>
    <row r="172" customFormat="false" ht="15.75" hidden="false" customHeight="false" outlineLevel="0" collapsed="false">
      <c r="A172" s="5"/>
      <c r="B172" s="129"/>
      <c r="C172" s="55"/>
      <c r="D172" s="56"/>
      <c r="E172" s="123"/>
      <c r="F172" s="123"/>
      <c r="G172" s="58"/>
      <c r="H172" s="59"/>
      <c r="I172" s="59"/>
      <c r="J172" s="83"/>
      <c r="K172" s="83"/>
      <c r="L172" s="83"/>
      <c r="M172" s="61"/>
      <c r="N172" s="61"/>
      <c r="O172" s="61"/>
      <c r="P172" s="62"/>
      <c r="Q172" s="63"/>
      <c r="R172" s="83"/>
      <c r="S172" s="65"/>
      <c r="T172" s="66"/>
      <c r="U172" s="66" t="str">
        <f aca="false">IF(ISBLANK($C172),"",IF(G172=Constants!$B$2, TRUE(), IF(G172=Constants!$B$3, FALSE(), TRUE())))</f>
        <v/>
      </c>
      <c r="V172" s="66" t="str">
        <f aca="false">IF(ISBLANK($C172),"",IF(H172=Constants!$B$2, TRUE(), IF(H172=Constants!$B$3, FALSE(), TRUE())))</f>
        <v/>
      </c>
      <c r="W172" s="66" t="str">
        <f aca="false">IF(ISBLANK($C172),"",IF(I172=Constants!$B$2, TRUE(), IF(I172=Constants!$B$3, FALSE(), TRUE())))</f>
        <v/>
      </c>
      <c r="X172" s="66" t="str">
        <f aca="false">IF(ISBLANK($C172),"",IF(AND(ISNUMBER(J172),J172&gt;0),INT(J172),0))</f>
        <v/>
      </c>
      <c r="Y172" s="66" t="str">
        <f aca="false">IF(ISBLANK($C172),"",IF(K172=Constants!$B$2, TRUE(), IF(K172=Constants!$B$3, FALSE(), TRUE())))</f>
        <v/>
      </c>
      <c r="Z172" s="66" t="str">
        <f aca="false">IF(ISBLANK($C172),"",IF(AND(ISNUMBER(L172),L172&gt;0),INT(L172),0))</f>
        <v/>
      </c>
      <c r="AA172" s="68" t="str">
        <f aca="false">IF(ISBLANK($C172),"",IF(ISNUMBER(M172), M172, ""))</f>
        <v/>
      </c>
      <c r="AB172" s="68" t="str">
        <f aca="false">IF(ISBLANK($C172),"",IF(ISNUMBER(N172), N172, ""))</f>
        <v/>
      </c>
      <c r="AC172" s="68" t="str">
        <f aca="false">IF(ISBLANK($C172),"",IF(ISNUMBER(O172), O172, ""))</f>
        <v/>
      </c>
      <c r="AD172" s="69" t="str">
        <f aca="false">IF(ISBLANK($C172),"",IF(ISNUMBER(P172), P172, ""))</f>
        <v/>
      </c>
      <c r="AE172" s="69" t="str">
        <f aca="false">IF(ISBLANK($C172),"",IF(ISNUMBER(Q172), Q172, Constants!$B$13))</f>
        <v/>
      </c>
      <c r="AF172" s="66" t="str">
        <f aca="false">IF(ISBLANK($C172),"",IF(R172=Constants!$B$2, TRUE(), IF(R172=Constants!$B$3, FALSE(), FALSE())))</f>
        <v/>
      </c>
      <c r="AG172" s="66" t="str">
        <f aca="false">IF(ISBLANK(C172), "", IF(AF172, Constants!$B$4,IF(COUNTA(G172:P172)=0, Constants!$B$5, Constants!$B$7)))</f>
        <v/>
      </c>
      <c r="AH172" s="66" t="str">
        <f aca="false">IF(ISBLANK($C172), "",IF($AG172=Constants!$B$7,1,$AG172))</f>
        <v/>
      </c>
      <c r="AI172" s="66" t="str">
        <f aca="false">IF($AG172=Constants!$B$7,POWER(Constants!$B$11,X172)*POWER(Constants!$B$12,Z172),"")</f>
        <v/>
      </c>
      <c r="AJ172" s="66" t="str">
        <f aca="false">IF(AND($AG172=Constants!$B$7, U172, V172) ,IF(OR($AA172="",$AC172=""),"",MAX(0, $AC172-$AA172)),"")</f>
        <v/>
      </c>
      <c r="AK172" s="66" t="str">
        <f aca="false">IF(AND($AG172=Constants!$B$7, U172, V172),IF(OR($AA172="",$AC172=""),$AK$6,""),"")</f>
        <v/>
      </c>
      <c r="AL172" s="66" t="str">
        <f aca="false">IF($AG172=Constants!$B$7,IF(AND(U172,V172,W172,Y172),IF($AJ172="",0,IF($AJ$6=0,Constants!$B$9,Constants!$B$9*AJ172/$AJ$6)), 0),"")</f>
        <v/>
      </c>
      <c r="AM172" s="66" t="str">
        <f aca="false">IF(AL172&lt;&gt;"", AL172*AI172,"")</f>
        <v/>
      </c>
      <c r="AN172" s="66" t="str">
        <f aca="false">IF(AND($AG172=Constants!$B$7, U172, V172) ,IF($AB172="", "", IF(OR($AC172="",$AC172=0),"",MAX(0,1-ABS($AC172-$AB172)/$AC172))),"")</f>
        <v/>
      </c>
      <c r="AO172" s="66" t="str">
        <f aca="false">IF(AND($AG172=Constants!$B$7, U172, V172),IF(AND($AA172&lt;&gt;"",$AB172&lt;&gt;"",$AC172=0),$AO$6,""),"")</f>
        <v/>
      </c>
      <c r="AP172" s="66" t="str">
        <f aca="false">IF($AG172=Constants!$B$7 ,IF(AND(U172,V172,W172,Y172,ISNUMBER(AB172)),IF($AN172="",0,IF($AN$6=0,Constants!$B$10,Constants!$B$10*AN172/$AN$6)), 0),"")</f>
        <v/>
      </c>
      <c r="AQ172" s="66" t="str">
        <f aca="false">IF(AP172&lt;&gt;"", AP172*AI172,"")</f>
        <v/>
      </c>
      <c r="AR172" s="66" t="str">
        <f aca="false">IF($AG172=Constants!$B$7,IF($AD172="",0,IF($AR$6=0,Constants!$B$8,Constants!$B$8*AD172/$AR$6)),"")</f>
        <v/>
      </c>
      <c r="AS172" s="66" t="str">
        <f aca="false">IF($AG172&lt;&gt;Constants!$B$7,$AG172,IF(AK172&amp;AO172&lt;&gt;"",Constants!$B$14,AM172+AQ172+AR172))</f>
        <v/>
      </c>
      <c r="AT172" s="66" t="str">
        <f aca="false">IF(ISBLANK($C172),"",IF($AG172=Constants!$B$7,IF(ISNUMBER(AS172),RANK(AS172,$AS$8:$AS$507),Constants!$B$14),$AG172))</f>
        <v/>
      </c>
      <c r="AU172" s="66" t="str">
        <f aca="false">IF(ISBLANK($C172), "",AM172)</f>
        <v/>
      </c>
      <c r="AV172" s="66" t="str">
        <f aca="false">IF(ISBLANK($C172),"",IF($AG172=Constants!$B$7,RANK(AU172,AU$8:AU$507),$AG172))</f>
        <v/>
      </c>
      <c r="AW172" s="66" t="str">
        <f aca="false">IF(ISBLANK($C172), "",AR172)</f>
        <v/>
      </c>
      <c r="AX172" s="66" t="str">
        <f aca="false">IF(ISBLANK($C172),"",IF($AG172=Constants!$B$7,RANK(AW172,AW$8:AW$507),$AG172))</f>
        <v/>
      </c>
      <c r="AY172" s="66" t="str">
        <f aca="false">IF(ISBLANK($C172), "",AE172)</f>
        <v/>
      </c>
      <c r="AZ172" s="66" t="str">
        <f aca="false">IF(ISBLANK($C172),"",
IF($AG172=Constants!$B$7,
  IF(ISNUMBER(AT172),
    COUNTIFS($AT$8:$AT$507,"&lt;"&amp;$AT172)
    + COUNTIFS($AT$8:$AT$507,$AT172,$AV$8:$AV$507,"&lt;"&amp;$AV172)
    + COUNTIFS($AT$8:$AT$507,$AT172,$AV$8:$AV$507,$AV172,$AX$8:$AX$507,"&lt;"&amp;$AX172)
    + COUNTIFS($AT$8:$AT$507,$AT172,$AV$8:$AV$507,$AV172,$AX$8:$AX$507,$AX172,$AY$8:$AY$507,"&lt;"&amp;$AY172)
    + 1,
  Constants!$B$14),
$AG172))</f>
        <v/>
      </c>
      <c r="BA172" s="66" t="str">
        <f aca="false">IF(ISBLANK(C172),"",IF($AG172=Constants!$B$7, IF(ISNUMBER(AT172),AT172-AZ172,Constants!$B$14),$AG172))</f>
        <v/>
      </c>
      <c r="BB172" s="70"/>
      <c r="BC172" s="84" t="str">
        <f aca="false">IF(ISBLANK($C172),"",TRIM(AK172&amp;" "&amp;AO172))</f>
        <v/>
      </c>
      <c r="BD172" s="72" t="str">
        <f aca="false">IF(ISBLANK($C172),"",IF($AG172&lt;&gt;Constants!$B$7,$AG172,AR172))</f>
        <v/>
      </c>
      <c r="BE172" s="72" t="str">
        <f aca="false">IF(ISBLANK($C172),"",IF($AG172&lt;&gt;Constants!$B$7,$AG172,AM172))</f>
        <v/>
      </c>
      <c r="BF172" s="72" t="str">
        <f aca="false">IF(ISBLANK($C172),"",IF($AG172&lt;&gt;Constants!$B$7,$AG172,AQ172))</f>
        <v/>
      </c>
      <c r="BG172" s="73" t="str">
        <f aca="false">IF(ISBLANK($C172),"",IF($AG172&lt;&gt;Constants!$B$7, $AG172 ,AS172))</f>
        <v/>
      </c>
      <c r="BH172" s="74" t="str">
        <f aca="false">IF(ISBLANK($C172),"",IF($AG172&lt;&gt;Constants!$B$7, $AG172 ,AH172))</f>
        <v/>
      </c>
      <c r="BI172" s="72" t="str">
        <f aca="false">IF(ISBLANK(C172),"",BA172)</f>
        <v/>
      </c>
      <c r="BJ172" s="72" t="str">
        <f aca="false">IF(ISBLANK(C172),"",AZ172)</f>
        <v/>
      </c>
      <c r="BK172" s="75" t="str">
        <f aca="false">IF(ISBLANK(C172),"",IFERROR(_xlfn.SWITCH(BJ172, Constants!$B$4, COUNTA($C$8:$C671)+2, Constants!$B$5, COUNTA($C$8:$C671)+1, Constants!$B$6, COUNTA($C$8:$C671)),BJ172))</f>
        <v/>
      </c>
      <c r="BL172" s="5"/>
      <c r="BM172" s="76" t="n">
        <f aca="false">IF(OR(ISNUMBER(BJ172),BJ172="DQ",BJ172="P",BJ172="NS"),
    1,
    0
)</f>
        <v>0</v>
      </c>
      <c r="BN172" s="76" t="n">
        <v>165</v>
      </c>
      <c r="BO172" s="76" t="str">
        <f aca="false">IF(ISBLANK($C172),"",IF(ISNUMBER(BK172),BK172+ROW($B172)/1000,""))</f>
        <v/>
      </c>
      <c r="BP172" s="76" t="str">
        <f aca="false">IF(ISNUMBER(BO172), RANK(BO172,BO$8:BO$507,1), "")</f>
        <v/>
      </c>
      <c r="BQ172" s="76" t="str">
        <f aca="false">IF(ISBLANK($C172),
    "",
    $B172
)</f>
        <v/>
      </c>
      <c r="BR172" s="76" t="str">
        <f aca="false">IF(ISBLANK($C172),
    "",
    $C172
)</f>
        <v/>
      </c>
      <c r="BS172" s="76" t="str">
        <f aca="false">IF(ISBLANK($C172),
    "",
    $D172
)</f>
        <v/>
      </c>
      <c r="BT172" s="77" t="str">
        <f aca="false">BH172</f>
        <v/>
      </c>
      <c r="BU172" s="78" t="str">
        <f aca="false">BG172</f>
        <v/>
      </c>
      <c r="BV172" s="76" t="str">
        <f aca="false">IF(ISBLANK($C172),
    "",
    BJ172
)</f>
        <v/>
      </c>
      <c r="BW172" s="79" t="str">
        <f aca="false">IF(BN172&gt;BM$7,
    "",
    VLOOKUP(BN172,BP$8:BV671,7,FALSE())
)</f>
        <v/>
      </c>
      <c r="BX172" s="80" t="str">
        <f aca="false">IF(BN172&gt;BM$7,
    "",
    VLOOKUP(BN172,BP$8:BV671,2,FALSE())
)</f>
        <v/>
      </c>
      <c r="BY172" s="80" t="str">
        <f aca="false">IF(BN172&gt;BM$7,
    "",
    VLOOKUP(BN172,BP$8:BV671,3,FALSE())
)</f>
        <v/>
      </c>
      <c r="BZ172" s="80" t="str">
        <f aca="false">IF(BN172&gt;BM$7,
    "",
    VLOOKUP(BN172,BP$8:BV671,4,FALSE())
)</f>
        <v/>
      </c>
      <c r="CA172" s="80" t="str">
        <f aca="false">IF(BN172&gt;BM$7,
    "",
    VLOOKUP(BN172,BP$8:BV671,5,FALSE())
)</f>
        <v/>
      </c>
      <c r="CB172" s="81" t="str">
        <f aca="false">IF(BN172&gt;BM$7,
    "",
    VLOOKUP(BN172,BP$8:BV671,6,FALSE())
)</f>
        <v/>
      </c>
      <c r="CC172" s="53"/>
    </row>
    <row r="173" customFormat="false" ht="15.75" hidden="false" customHeight="false" outlineLevel="0" collapsed="false">
      <c r="A173" s="5"/>
      <c r="B173" s="125"/>
      <c r="C173" s="126"/>
      <c r="D173" s="115"/>
      <c r="E173" s="119"/>
      <c r="F173" s="119"/>
      <c r="G173" s="91"/>
      <c r="H173" s="92"/>
      <c r="I173" s="92"/>
      <c r="J173" s="128"/>
      <c r="K173" s="128"/>
      <c r="L173" s="128"/>
      <c r="M173" s="94"/>
      <c r="N173" s="94"/>
      <c r="O173" s="94"/>
      <c r="P173" s="95"/>
      <c r="Q173" s="96"/>
      <c r="R173" s="128"/>
      <c r="S173" s="98"/>
      <c r="T173" s="99"/>
      <c r="U173" s="99" t="str">
        <f aca="false">IF(ISBLANK($C173),"",IF(G173=Constants!$B$2, TRUE(), IF(G173=Constants!$B$3, FALSE(), TRUE())))</f>
        <v/>
      </c>
      <c r="V173" s="99" t="str">
        <f aca="false">IF(ISBLANK($C173),"",IF(H173=Constants!$B$2, TRUE(), IF(H173=Constants!$B$3, FALSE(), TRUE())))</f>
        <v/>
      </c>
      <c r="W173" s="99" t="str">
        <f aca="false">IF(ISBLANK($C173),"",IF(I173=Constants!$B$2, TRUE(), IF(I173=Constants!$B$3, FALSE(), TRUE())))</f>
        <v/>
      </c>
      <c r="X173" s="99" t="str">
        <f aca="false">IF(ISBLANK($C173),"",IF(AND(ISNUMBER(J173),J173&gt;0),INT(J173),0))</f>
        <v/>
      </c>
      <c r="Y173" s="99" t="str">
        <f aca="false">IF(ISBLANK($C173),"",IF(K173=Constants!$B$2, TRUE(), IF(K173=Constants!$B$3, FALSE(), TRUE())))</f>
        <v/>
      </c>
      <c r="Z173" s="100" t="str">
        <f aca="false">IF(ISBLANK($C173),"",IF(AND(ISNUMBER(L173),L173&gt;0),INT(L173),0))</f>
        <v/>
      </c>
      <c r="AA173" s="101" t="str">
        <f aca="false">IF(ISBLANK($C173),"",IF(ISNUMBER(M173), M173, ""))</f>
        <v/>
      </c>
      <c r="AB173" s="101" t="str">
        <f aca="false">IF(ISBLANK($C173),"",IF(ISNUMBER(N173), N173, ""))</f>
        <v/>
      </c>
      <c r="AC173" s="101" t="str">
        <f aca="false">IF(ISBLANK($C173),"",IF(ISNUMBER(O173), O173, ""))</f>
        <v/>
      </c>
      <c r="AD173" s="102" t="str">
        <f aca="false">IF(ISBLANK($C173),"",IF(ISNUMBER(P173), P173, ""))</f>
        <v/>
      </c>
      <c r="AE173" s="102" t="str">
        <f aca="false">IF(ISBLANK($C173),"",IF(ISNUMBER(Q173), Q173, Constants!$B$13))</f>
        <v/>
      </c>
      <c r="AF173" s="99" t="str">
        <f aca="false">IF(ISBLANK($C173),"",IF(R173=Constants!$B$2, TRUE(), IF(R173=Constants!$B$3, FALSE(), FALSE())))</f>
        <v/>
      </c>
      <c r="AG173" s="99" t="str">
        <f aca="false">IF(ISBLANK(C173), "", IF(AF173, Constants!$B$4,IF(COUNTA(G173:P173)=0, Constants!$B$5, Constants!$B$7)))</f>
        <v/>
      </c>
      <c r="AH173" s="99" t="str">
        <f aca="false">IF(ISBLANK($C173), "",IF($AG173=Constants!$B$7,1,$AG173))</f>
        <v/>
      </c>
      <c r="AI173" s="99" t="str">
        <f aca="false">IF($AG173=Constants!$B$7,POWER(Constants!$B$11,X173)*POWER(Constants!$B$12,Z173),"")</f>
        <v/>
      </c>
      <c r="AJ173" s="99" t="str">
        <f aca="false">IF(AND($AG173=Constants!$B$7, U173, V173) ,IF(OR($AA173="",$AC173=""),"",MAX(0, $AC173-$AA173)),"")</f>
        <v/>
      </c>
      <c r="AK173" s="99" t="str">
        <f aca="false">IF(AND($AG173=Constants!$B$7, U173, V173),IF(OR($AA173="",$AC173=""),$AK$6,""),"")</f>
        <v/>
      </c>
      <c r="AL173" s="99" t="str">
        <f aca="false">IF($AG173=Constants!$B$7,IF(AND(U173,V173,W173,Y173),IF($AJ173="",0,IF($AJ$6=0,Constants!$B$9,Constants!$B$9*AJ173/$AJ$6)), 0),"")</f>
        <v/>
      </c>
      <c r="AM173" s="99" t="str">
        <f aca="false">IF(AL173&lt;&gt;"", AL173*AI173,"")</f>
        <v/>
      </c>
      <c r="AN173" s="99" t="str">
        <f aca="false">IF(AND($AG173=Constants!$B$7, U173, V173) ,IF($AB173="", "", IF(OR($AC173="",$AC173=0),"",MAX(0,1-ABS($AC173-$AB173)/$AC173))),"")</f>
        <v/>
      </c>
      <c r="AO173" s="99" t="str">
        <f aca="false">IF(AND($AG173=Constants!$B$7, U173, V173),IF(AND($AA173&lt;&gt;"",$AB173&lt;&gt;"",$AC173=0),$AO$6,""),"")</f>
        <v/>
      </c>
      <c r="AP173" s="99" t="str">
        <f aca="false">IF($AG173=Constants!$B$7 ,IF(AND(U173,V173,W173,Y173,ISNUMBER(AB173)),IF($AN173="",0,IF($AN$6=0,Constants!$B$10,Constants!$B$10*AN173/$AN$6)), 0),"")</f>
        <v/>
      </c>
      <c r="AQ173" s="99" t="str">
        <f aca="false">IF(AP173&lt;&gt;"", AP173*AI173,"")</f>
        <v/>
      </c>
      <c r="AR173" s="99" t="str">
        <f aca="false">IF($AG173=Constants!$B$7,IF($AD173="",0,IF($AR$6=0,Constants!$B$8,Constants!$B$8*AD173/$AR$6)),"")</f>
        <v/>
      </c>
      <c r="AS173" s="99" t="str">
        <f aca="false">IF($AG173&lt;&gt;Constants!$B$7,$AG173,IF(AK173&amp;AO173&lt;&gt;"",Constants!$B$14,AM173+AQ173+AR173))</f>
        <v/>
      </c>
      <c r="AT173" s="99" t="str">
        <f aca="false">IF(ISBLANK($C173),"",IF($AG173=Constants!$B$7,IF(ISNUMBER(AS173),RANK(AS173,$AS$8:$AS$507),Constants!$B$14),$AG173))</f>
        <v/>
      </c>
      <c r="AU173" s="99" t="str">
        <f aca="false">IF(ISBLANK($C173), "",AM173)</f>
        <v/>
      </c>
      <c r="AV173" s="99" t="str">
        <f aca="false">IF(ISBLANK($C173),"",IF($AG173=Constants!$B$7,RANK(AU173,AU$8:AU$507),$AG173))</f>
        <v/>
      </c>
      <c r="AW173" s="99" t="str">
        <f aca="false">IF(ISBLANK($C173), "",AR173)</f>
        <v/>
      </c>
      <c r="AX173" s="99" t="str">
        <f aca="false">IF(ISBLANK($C173),"",IF($AG173=Constants!$B$7,RANK(AW173,AW$8:AW$507),$AG173))</f>
        <v/>
      </c>
      <c r="AY173" s="99" t="str">
        <f aca="false">IF(ISBLANK($C173), "",AE173)</f>
        <v/>
      </c>
      <c r="AZ173" s="99" t="str">
        <f aca="false">IF(ISBLANK($C173),"",
IF($AG173=Constants!$B$7,
  IF(ISNUMBER(AT173),
    COUNTIFS($AT$8:$AT$507,"&lt;"&amp;$AT173)
    + COUNTIFS($AT$8:$AT$507,$AT173,$AV$8:$AV$507,"&lt;"&amp;$AV173)
    + COUNTIFS($AT$8:$AT$507,$AT173,$AV$8:$AV$507,$AV173,$AX$8:$AX$507,"&lt;"&amp;$AX173)
    + COUNTIFS($AT$8:$AT$507,$AT173,$AV$8:$AV$507,$AV173,$AX$8:$AX$507,$AX173,$AY$8:$AY$507,"&lt;"&amp;$AY173)
    + 1,
  Constants!$B$14),
$AG173))</f>
        <v/>
      </c>
      <c r="BA173" s="99" t="str">
        <f aca="false">IF(ISBLANK(C173),"",IF($AG173=Constants!$B$7, IF(ISNUMBER(AT173),AT173-AZ173,Constants!$B$14),$AG173))</f>
        <v/>
      </c>
      <c r="BB173" s="103"/>
      <c r="BC173" s="104" t="str">
        <f aca="false">IF(ISBLANK($C173),"",TRIM(AK173&amp;" "&amp;AO173))</f>
        <v/>
      </c>
      <c r="BD173" s="105" t="str">
        <f aca="false">IF(ISBLANK($C173),"",IF($AG173&lt;&gt;Constants!$B$7,$AG173,AR173))</f>
        <v/>
      </c>
      <c r="BE173" s="105" t="str">
        <f aca="false">IF(ISBLANK($C173),"",IF($AG173&lt;&gt;Constants!$B$7,$AG173,AM173))</f>
        <v/>
      </c>
      <c r="BF173" s="105" t="str">
        <f aca="false">IF(ISBLANK($C173),"",IF($AG173&lt;&gt;Constants!$B$7,$AG173,AQ173))</f>
        <v/>
      </c>
      <c r="BG173" s="106" t="str">
        <f aca="false">IF(ISBLANK($C173),"",IF($AG173&lt;&gt;Constants!$B$7, $AG173 ,AS173))</f>
        <v/>
      </c>
      <c r="BH173" s="107" t="str">
        <f aca="false">IF(ISBLANK($C173),"",IF($AG173&lt;&gt;Constants!$B$7, $AG173 ,AH173))</f>
        <v/>
      </c>
      <c r="BI173" s="105" t="str">
        <f aca="false">IF(ISBLANK(C173),"",BA173)</f>
        <v/>
      </c>
      <c r="BJ173" s="105" t="str">
        <f aca="false">IF(ISBLANK(C173),"",AZ173)</f>
        <v/>
      </c>
      <c r="BK173" s="108" t="str">
        <f aca="false">IF(ISBLANK(C173),"",IFERROR(_xlfn.SWITCH(BJ173, Constants!$B$4, COUNTA($C$8:$C672)+2, Constants!$B$5, COUNTA($C$8:$C672)+1, Constants!$B$6, COUNTA($C$8:$C672)),BJ173))</f>
        <v/>
      </c>
      <c r="BL173" s="5"/>
      <c r="BM173" s="109" t="n">
        <f aca="false">IF(OR(ISNUMBER(BJ173),BJ173="DQ",BJ173="P",BJ173="NS"),
    1,
    0
)</f>
        <v>0</v>
      </c>
      <c r="BN173" s="109" t="n">
        <v>166</v>
      </c>
      <c r="BO173" s="109" t="str">
        <f aca="false">IF(ISBLANK($C173),"",IF(ISNUMBER(BK173),BK173+ROW($B173)/1000,""))</f>
        <v/>
      </c>
      <c r="BP173" s="109" t="str">
        <f aca="false">IF(ISNUMBER(BO173), RANK(BO173,BO$8:BO$507,1), "")</f>
        <v/>
      </c>
      <c r="BQ173" s="109" t="str">
        <f aca="false">IF(ISBLANK($C173),
    "",
    $B173
)</f>
        <v/>
      </c>
      <c r="BR173" s="109" t="str">
        <f aca="false">IF(ISBLANK($C173),
    "",
    $C173
)</f>
        <v/>
      </c>
      <c r="BS173" s="109" t="str">
        <f aca="false">IF(ISBLANK($C173),
    "",
    $D173
)</f>
        <v/>
      </c>
      <c r="BT173" s="110" t="str">
        <f aca="false">BH173</f>
        <v/>
      </c>
      <c r="BU173" s="111" t="str">
        <f aca="false">BG173</f>
        <v/>
      </c>
      <c r="BV173" s="109" t="str">
        <f aca="false">IF(ISBLANK($C173),
    "",
    BJ173
)</f>
        <v/>
      </c>
      <c r="BW173" s="112" t="str">
        <f aca="false">IF(BN173&gt;BM$7,
    "",
    VLOOKUP(BN173,BP$8:BV672,7,FALSE())
)</f>
        <v/>
      </c>
      <c r="BX173" s="113" t="str">
        <f aca="false">IF(BN173&gt;BM$7,
    "",
    VLOOKUP(BN173,BP$8:BV672,2,FALSE())
)</f>
        <v/>
      </c>
      <c r="BY173" s="113" t="str">
        <f aca="false">IF(BN173&gt;BM$7,
    "",
    VLOOKUP(BN173,BP$8:BV672,3,FALSE())
)</f>
        <v/>
      </c>
      <c r="BZ173" s="113" t="str">
        <f aca="false">IF(BN173&gt;BM$7,
    "",
    VLOOKUP(BN173,BP$8:BV672,4,FALSE())
)</f>
        <v/>
      </c>
      <c r="CA173" s="113" t="str">
        <f aca="false">IF(BN173&gt;BM$7,
    "",
    VLOOKUP(BN173,BP$8:BV672,5,FALSE())
)</f>
        <v/>
      </c>
      <c r="CB173" s="114" t="str">
        <f aca="false">IF(BN173&gt;BM$7,
    "",
    VLOOKUP(BN173,BP$8:BV672,6,FALSE())
)</f>
        <v/>
      </c>
      <c r="CC173" s="53"/>
    </row>
    <row r="174" customFormat="false" ht="15.75" hidden="false" customHeight="false" outlineLevel="0" collapsed="false">
      <c r="A174" s="5"/>
      <c r="B174" s="125"/>
      <c r="C174" s="126"/>
      <c r="D174" s="115"/>
      <c r="E174" s="119"/>
      <c r="F174" s="119"/>
      <c r="G174" s="91"/>
      <c r="H174" s="92"/>
      <c r="I174" s="92"/>
      <c r="J174" s="128"/>
      <c r="K174" s="128"/>
      <c r="L174" s="128"/>
      <c r="M174" s="94"/>
      <c r="N174" s="94"/>
      <c r="O174" s="94"/>
      <c r="P174" s="95"/>
      <c r="Q174" s="96"/>
      <c r="R174" s="128"/>
      <c r="S174" s="98"/>
      <c r="T174" s="99"/>
      <c r="U174" s="99" t="str">
        <f aca="false">IF(ISBLANK($C174),"",IF(G174=Constants!$B$2, TRUE(), IF(G174=Constants!$B$3, FALSE(), TRUE())))</f>
        <v/>
      </c>
      <c r="V174" s="99" t="str">
        <f aca="false">IF(ISBLANK($C174),"",IF(H174=Constants!$B$2, TRUE(), IF(H174=Constants!$B$3, FALSE(), TRUE())))</f>
        <v/>
      </c>
      <c r="W174" s="99" t="str">
        <f aca="false">IF(ISBLANK($C174),"",IF(I174=Constants!$B$2, TRUE(), IF(I174=Constants!$B$3, FALSE(), TRUE())))</f>
        <v/>
      </c>
      <c r="X174" s="99" t="str">
        <f aca="false">IF(ISBLANK($C174),"",IF(AND(ISNUMBER(J174),J174&gt;0),INT(J174),0))</f>
        <v/>
      </c>
      <c r="Y174" s="99" t="str">
        <f aca="false">IF(ISBLANK($C174),"",IF(K174=Constants!$B$2, TRUE(), IF(K174=Constants!$B$3, FALSE(), TRUE())))</f>
        <v/>
      </c>
      <c r="Z174" s="100" t="str">
        <f aca="false">IF(ISBLANK($C174),"",IF(AND(ISNUMBER(L174),L174&gt;0),INT(L174),0))</f>
        <v/>
      </c>
      <c r="AA174" s="101" t="str">
        <f aca="false">IF(ISBLANK($C174),"",IF(ISNUMBER(M174), M174, ""))</f>
        <v/>
      </c>
      <c r="AB174" s="101" t="str">
        <f aca="false">IF(ISBLANK($C174),"",IF(ISNUMBER(N174), N174, ""))</f>
        <v/>
      </c>
      <c r="AC174" s="101" t="str">
        <f aca="false">IF(ISBLANK($C174),"",IF(ISNUMBER(O174), O174, ""))</f>
        <v/>
      </c>
      <c r="AD174" s="102" t="str">
        <f aca="false">IF(ISBLANK($C174),"",IF(ISNUMBER(P174), P174, ""))</f>
        <v/>
      </c>
      <c r="AE174" s="102" t="str">
        <f aca="false">IF(ISBLANK($C174),"",IF(ISNUMBER(Q174), Q174, Constants!$B$13))</f>
        <v/>
      </c>
      <c r="AF174" s="99" t="str">
        <f aca="false">IF(ISBLANK($C174),"",IF(R174=Constants!$B$2, TRUE(), IF(R174=Constants!$B$3, FALSE(), FALSE())))</f>
        <v/>
      </c>
      <c r="AG174" s="99" t="str">
        <f aca="false">IF(ISBLANK(C174), "", IF(AF174, Constants!$B$4,IF(COUNTA(G174:P174)=0, Constants!$B$5, Constants!$B$7)))</f>
        <v/>
      </c>
      <c r="AH174" s="99" t="str">
        <f aca="false">IF(ISBLANK($C174), "",IF($AG174=Constants!$B$7,1,$AG174))</f>
        <v/>
      </c>
      <c r="AI174" s="99" t="str">
        <f aca="false">IF($AG174=Constants!$B$7,POWER(Constants!$B$11,X174)*POWER(Constants!$B$12,Z174),"")</f>
        <v/>
      </c>
      <c r="AJ174" s="99" t="str">
        <f aca="false">IF(AND($AG174=Constants!$B$7, U174, V174) ,IF(OR($AA174="",$AC174=""),"",MAX(0, $AC174-$AA174)),"")</f>
        <v/>
      </c>
      <c r="AK174" s="99" t="str">
        <f aca="false">IF(AND($AG174=Constants!$B$7, U174, V174),IF(OR($AA174="",$AC174=""),$AK$6,""),"")</f>
        <v/>
      </c>
      <c r="AL174" s="99" t="str">
        <f aca="false">IF($AG174=Constants!$B$7,IF(AND(U174,V174,W174,Y174),IF($AJ174="",0,IF($AJ$6=0,Constants!$B$9,Constants!$B$9*AJ174/$AJ$6)), 0),"")</f>
        <v/>
      </c>
      <c r="AM174" s="99" t="str">
        <f aca="false">IF(AL174&lt;&gt;"", AL174*AI174,"")</f>
        <v/>
      </c>
      <c r="AN174" s="99" t="str">
        <f aca="false">IF(AND($AG174=Constants!$B$7, U174, V174) ,IF($AB174="", "", IF(OR($AC174="",$AC174=0),"",MAX(0,1-ABS($AC174-$AB174)/$AC174))),"")</f>
        <v/>
      </c>
      <c r="AO174" s="99" t="str">
        <f aca="false">IF(AND($AG174=Constants!$B$7, U174, V174),IF(AND($AA174&lt;&gt;"",$AB174&lt;&gt;"",$AC174=0),$AO$6,""),"")</f>
        <v/>
      </c>
      <c r="AP174" s="99" t="str">
        <f aca="false">IF($AG174=Constants!$B$7 ,IF(AND(U174,V174,W174,Y174,ISNUMBER(AB174)),IF($AN174="",0,IF($AN$6=0,Constants!$B$10,Constants!$B$10*AN174/$AN$6)), 0),"")</f>
        <v/>
      </c>
      <c r="AQ174" s="99" t="str">
        <f aca="false">IF(AP174&lt;&gt;"", AP174*AI174,"")</f>
        <v/>
      </c>
      <c r="AR174" s="99" t="str">
        <f aca="false">IF($AG174=Constants!$B$7,IF($AD174="",0,IF($AR$6=0,Constants!$B$8,Constants!$B$8*AD174/$AR$6)),"")</f>
        <v/>
      </c>
      <c r="AS174" s="99" t="str">
        <f aca="false">IF($AG174&lt;&gt;Constants!$B$7,$AG174,IF(AK174&amp;AO174&lt;&gt;"",Constants!$B$14,AM174+AQ174+AR174))</f>
        <v/>
      </c>
      <c r="AT174" s="99" t="str">
        <f aca="false">IF(ISBLANK($C174),"",IF($AG174=Constants!$B$7,IF(ISNUMBER(AS174),RANK(AS174,$AS$8:$AS$507),Constants!$B$14),$AG174))</f>
        <v/>
      </c>
      <c r="AU174" s="99" t="str">
        <f aca="false">IF(ISBLANK($C174), "",AM174)</f>
        <v/>
      </c>
      <c r="AV174" s="99" t="str">
        <f aca="false">IF(ISBLANK($C174),"",IF($AG174=Constants!$B$7,RANK(AU174,AU$8:AU$507),$AG174))</f>
        <v/>
      </c>
      <c r="AW174" s="99" t="str">
        <f aca="false">IF(ISBLANK($C174), "",AR174)</f>
        <v/>
      </c>
      <c r="AX174" s="99" t="str">
        <f aca="false">IF(ISBLANK($C174),"",IF($AG174=Constants!$B$7,RANK(AW174,AW$8:AW$507),$AG174))</f>
        <v/>
      </c>
      <c r="AY174" s="99" t="str">
        <f aca="false">IF(ISBLANK($C174), "",AE174)</f>
        <v/>
      </c>
      <c r="AZ174" s="99" t="str">
        <f aca="false">IF(ISBLANK($C174),"",
IF($AG174=Constants!$B$7,
  IF(ISNUMBER(AT174),
    COUNTIFS($AT$8:$AT$507,"&lt;"&amp;$AT174)
    + COUNTIFS($AT$8:$AT$507,$AT174,$AV$8:$AV$507,"&lt;"&amp;$AV174)
    + COUNTIFS($AT$8:$AT$507,$AT174,$AV$8:$AV$507,$AV174,$AX$8:$AX$507,"&lt;"&amp;$AX174)
    + COUNTIFS($AT$8:$AT$507,$AT174,$AV$8:$AV$507,$AV174,$AX$8:$AX$507,$AX174,$AY$8:$AY$507,"&lt;"&amp;$AY174)
    + 1,
  Constants!$B$14),
$AG174))</f>
        <v/>
      </c>
      <c r="BA174" s="99" t="str">
        <f aca="false">IF(ISBLANK(C174),"",IF($AG174=Constants!$B$7, IF(ISNUMBER(AT174),AT174-AZ174,Constants!$B$14),$AG174))</f>
        <v/>
      </c>
      <c r="BB174" s="103"/>
      <c r="BC174" s="104" t="str">
        <f aca="false">IF(ISBLANK($C174),"",TRIM(AK174&amp;" "&amp;AO174))</f>
        <v/>
      </c>
      <c r="BD174" s="105" t="str">
        <f aca="false">IF(ISBLANK($C174),"",IF($AG174&lt;&gt;Constants!$B$7,$AG174,AR174))</f>
        <v/>
      </c>
      <c r="BE174" s="105" t="str">
        <f aca="false">IF(ISBLANK($C174),"",IF($AG174&lt;&gt;Constants!$B$7,$AG174,AM174))</f>
        <v/>
      </c>
      <c r="BF174" s="105" t="str">
        <f aca="false">IF(ISBLANK($C174),"",IF($AG174&lt;&gt;Constants!$B$7,$AG174,AQ174))</f>
        <v/>
      </c>
      <c r="BG174" s="106" t="str">
        <f aca="false">IF(ISBLANK($C174),"",IF($AG174&lt;&gt;Constants!$B$7, $AG174 ,AS174))</f>
        <v/>
      </c>
      <c r="BH174" s="107" t="str">
        <f aca="false">IF(ISBLANK($C174),"",IF($AG174&lt;&gt;Constants!$B$7, $AG174 ,AH174))</f>
        <v/>
      </c>
      <c r="BI174" s="105" t="str">
        <f aca="false">IF(ISBLANK(C174),"",BA174)</f>
        <v/>
      </c>
      <c r="BJ174" s="105" t="str">
        <f aca="false">IF(ISBLANK(C174),"",AZ174)</f>
        <v/>
      </c>
      <c r="BK174" s="108" t="str">
        <f aca="false">IF(ISBLANK(C174),"",IFERROR(_xlfn.SWITCH(BJ174, Constants!$B$4, COUNTA($C$8:$C673)+2, Constants!$B$5, COUNTA($C$8:$C673)+1, Constants!$B$6, COUNTA($C$8:$C673)),BJ174))</f>
        <v/>
      </c>
      <c r="BL174" s="5"/>
      <c r="BM174" s="109" t="n">
        <f aca="false">IF(OR(ISNUMBER(BJ174),BJ174="DQ",BJ174="P",BJ174="NS"),
    1,
    0
)</f>
        <v>0</v>
      </c>
      <c r="BN174" s="109" t="n">
        <v>167</v>
      </c>
      <c r="BO174" s="109" t="str">
        <f aca="false">IF(ISBLANK($C174),"",IF(ISNUMBER(BK174),BK174+ROW($B174)/1000,""))</f>
        <v/>
      </c>
      <c r="BP174" s="109" t="str">
        <f aca="false">IF(ISNUMBER(BO174), RANK(BO174,BO$8:BO$507,1), "")</f>
        <v/>
      </c>
      <c r="BQ174" s="109" t="str">
        <f aca="false">IF(ISBLANK($C174),
    "",
    $B174
)</f>
        <v/>
      </c>
      <c r="BR174" s="109" t="str">
        <f aca="false">IF(ISBLANK($C174),
    "",
    $C174
)</f>
        <v/>
      </c>
      <c r="BS174" s="109" t="str">
        <f aca="false">IF(ISBLANK($C174),
    "",
    $D174
)</f>
        <v/>
      </c>
      <c r="BT174" s="110" t="str">
        <f aca="false">BH174</f>
        <v/>
      </c>
      <c r="BU174" s="111" t="str">
        <f aca="false">BG174</f>
        <v/>
      </c>
      <c r="BV174" s="109" t="str">
        <f aca="false">IF(ISBLANK($C174),
    "",
    BJ174
)</f>
        <v/>
      </c>
      <c r="BW174" s="112" t="str">
        <f aca="false">IF(BN174&gt;BM$7,
    "",
    VLOOKUP(BN174,BP$8:BV673,7,FALSE())
)</f>
        <v/>
      </c>
      <c r="BX174" s="113" t="str">
        <f aca="false">IF(BN174&gt;BM$7,
    "",
    VLOOKUP(BN174,BP$8:BV673,2,FALSE())
)</f>
        <v/>
      </c>
      <c r="BY174" s="113" t="str">
        <f aca="false">IF(BN174&gt;BM$7,
    "",
    VLOOKUP(BN174,BP$8:BV673,3,FALSE())
)</f>
        <v/>
      </c>
      <c r="BZ174" s="113" t="str">
        <f aca="false">IF(BN174&gt;BM$7,
    "",
    VLOOKUP(BN174,BP$8:BV673,4,FALSE())
)</f>
        <v/>
      </c>
      <c r="CA174" s="113" t="str">
        <f aca="false">IF(BN174&gt;BM$7,
    "",
    VLOOKUP(BN174,BP$8:BV673,5,FALSE())
)</f>
        <v/>
      </c>
      <c r="CB174" s="114" t="str">
        <f aca="false">IF(BN174&gt;BM$7,
    "",
    VLOOKUP(BN174,BP$8:BV673,6,FALSE())
)</f>
        <v/>
      </c>
      <c r="CC174" s="53"/>
    </row>
    <row r="175" customFormat="false" ht="15.75" hidden="false" customHeight="false" outlineLevel="0" collapsed="false">
      <c r="A175" s="5"/>
      <c r="B175" s="125"/>
      <c r="C175" s="126"/>
      <c r="D175" s="115"/>
      <c r="E175" s="119"/>
      <c r="F175" s="119"/>
      <c r="G175" s="91"/>
      <c r="H175" s="92"/>
      <c r="I175" s="92"/>
      <c r="J175" s="128"/>
      <c r="K175" s="128"/>
      <c r="L175" s="128"/>
      <c r="M175" s="94"/>
      <c r="N175" s="94"/>
      <c r="O175" s="94"/>
      <c r="P175" s="95"/>
      <c r="Q175" s="96"/>
      <c r="R175" s="128"/>
      <c r="S175" s="98"/>
      <c r="T175" s="99"/>
      <c r="U175" s="99" t="str">
        <f aca="false">IF(ISBLANK($C175),"",IF(G175=Constants!$B$2, TRUE(), IF(G175=Constants!$B$3, FALSE(), TRUE())))</f>
        <v/>
      </c>
      <c r="V175" s="99" t="str">
        <f aca="false">IF(ISBLANK($C175),"",IF(H175=Constants!$B$2, TRUE(), IF(H175=Constants!$B$3, FALSE(), TRUE())))</f>
        <v/>
      </c>
      <c r="W175" s="99" t="str">
        <f aca="false">IF(ISBLANK($C175),"",IF(I175=Constants!$B$2, TRUE(), IF(I175=Constants!$B$3, FALSE(), TRUE())))</f>
        <v/>
      </c>
      <c r="X175" s="99" t="str">
        <f aca="false">IF(ISBLANK($C175),"",IF(AND(ISNUMBER(J175),J175&gt;0),INT(J175),0))</f>
        <v/>
      </c>
      <c r="Y175" s="99" t="str">
        <f aca="false">IF(ISBLANK($C175),"",IF(K175=Constants!$B$2, TRUE(), IF(K175=Constants!$B$3, FALSE(), TRUE())))</f>
        <v/>
      </c>
      <c r="Z175" s="100" t="str">
        <f aca="false">IF(ISBLANK($C175),"",IF(AND(ISNUMBER(L175),L175&gt;0),INT(L175),0))</f>
        <v/>
      </c>
      <c r="AA175" s="101" t="str">
        <f aca="false">IF(ISBLANK($C175),"",IF(ISNUMBER(M175), M175, ""))</f>
        <v/>
      </c>
      <c r="AB175" s="101" t="str">
        <f aca="false">IF(ISBLANK($C175),"",IF(ISNUMBER(N175), N175, ""))</f>
        <v/>
      </c>
      <c r="AC175" s="101" t="str">
        <f aca="false">IF(ISBLANK($C175),"",IF(ISNUMBER(O175), O175, ""))</f>
        <v/>
      </c>
      <c r="AD175" s="102" t="str">
        <f aca="false">IF(ISBLANK($C175),"",IF(ISNUMBER(P175), P175, ""))</f>
        <v/>
      </c>
      <c r="AE175" s="102" t="str">
        <f aca="false">IF(ISBLANK($C175),"",IF(ISNUMBER(Q175), Q175, Constants!$B$13))</f>
        <v/>
      </c>
      <c r="AF175" s="99" t="str">
        <f aca="false">IF(ISBLANK($C175),"",IF(R175=Constants!$B$2, TRUE(), IF(R175=Constants!$B$3, FALSE(), FALSE())))</f>
        <v/>
      </c>
      <c r="AG175" s="99" t="str">
        <f aca="false">IF(ISBLANK(C175), "", IF(AF175, Constants!$B$4,IF(COUNTA(G175:P175)=0, Constants!$B$5, Constants!$B$7)))</f>
        <v/>
      </c>
      <c r="AH175" s="99" t="str">
        <f aca="false">IF(ISBLANK($C175), "",IF($AG175=Constants!$B$7,1,$AG175))</f>
        <v/>
      </c>
      <c r="AI175" s="99" t="str">
        <f aca="false">IF($AG175=Constants!$B$7,POWER(Constants!$B$11,X175)*POWER(Constants!$B$12,Z175),"")</f>
        <v/>
      </c>
      <c r="AJ175" s="99" t="str">
        <f aca="false">IF(AND($AG175=Constants!$B$7, U175, V175) ,IF(OR($AA175="",$AC175=""),"",MAX(0, $AC175-$AA175)),"")</f>
        <v/>
      </c>
      <c r="AK175" s="99" t="str">
        <f aca="false">IF(AND($AG175=Constants!$B$7, U175, V175),IF(OR($AA175="",$AC175=""),$AK$6,""),"")</f>
        <v/>
      </c>
      <c r="AL175" s="99" t="str">
        <f aca="false">IF($AG175=Constants!$B$7,IF(AND(U175,V175,W175,Y175),IF($AJ175="",0,IF($AJ$6=0,Constants!$B$9,Constants!$B$9*AJ175/$AJ$6)), 0),"")</f>
        <v/>
      </c>
      <c r="AM175" s="99" t="str">
        <f aca="false">IF(AL175&lt;&gt;"", AL175*AI175,"")</f>
        <v/>
      </c>
      <c r="AN175" s="99" t="str">
        <f aca="false">IF(AND($AG175=Constants!$B$7, U175, V175) ,IF($AB175="", "", IF(OR($AC175="",$AC175=0),"",MAX(0,1-ABS($AC175-$AB175)/$AC175))),"")</f>
        <v/>
      </c>
      <c r="AO175" s="99" t="str">
        <f aca="false">IF(AND($AG175=Constants!$B$7, U175, V175),IF(AND($AA175&lt;&gt;"",$AB175&lt;&gt;"",$AC175=0),$AO$6,""),"")</f>
        <v/>
      </c>
      <c r="AP175" s="99" t="str">
        <f aca="false">IF($AG175=Constants!$B$7 ,IF(AND(U175,V175,W175,Y175,ISNUMBER(AB175)),IF($AN175="",0,IF($AN$6=0,Constants!$B$10,Constants!$B$10*AN175/$AN$6)), 0),"")</f>
        <v/>
      </c>
      <c r="AQ175" s="99" t="str">
        <f aca="false">IF(AP175&lt;&gt;"", AP175*AI175,"")</f>
        <v/>
      </c>
      <c r="AR175" s="99" t="str">
        <f aca="false">IF($AG175=Constants!$B$7,IF($AD175="",0,IF($AR$6=0,Constants!$B$8,Constants!$B$8*AD175/$AR$6)),"")</f>
        <v/>
      </c>
      <c r="AS175" s="99" t="str">
        <f aca="false">IF($AG175&lt;&gt;Constants!$B$7,$AG175,IF(AK175&amp;AO175&lt;&gt;"",Constants!$B$14,AM175+AQ175+AR175))</f>
        <v/>
      </c>
      <c r="AT175" s="99" t="str">
        <f aca="false">IF(ISBLANK($C175),"",IF($AG175=Constants!$B$7,IF(ISNUMBER(AS175),RANK(AS175,$AS$8:$AS$507),Constants!$B$14),$AG175))</f>
        <v/>
      </c>
      <c r="AU175" s="99" t="str">
        <f aca="false">IF(ISBLANK($C175), "",AM175)</f>
        <v/>
      </c>
      <c r="AV175" s="99" t="str">
        <f aca="false">IF(ISBLANK($C175),"",IF($AG175=Constants!$B$7,RANK(AU175,AU$8:AU$507),$AG175))</f>
        <v/>
      </c>
      <c r="AW175" s="99" t="str">
        <f aca="false">IF(ISBLANK($C175), "",AR175)</f>
        <v/>
      </c>
      <c r="AX175" s="99" t="str">
        <f aca="false">IF(ISBLANK($C175),"",IF($AG175=Constants!$B$7,RANK(AW175,AW$8:AW$507),$AG175))</f>
        <v/>
      </c>
      <c r="AY175" s="99" t="str">
        <f aca="false">IF(ISBLANK($C175), "",AE175)</f>
        <v/>
      </c>
      <c r="AZ175" s="99" t="str">
        <f aca="false">IF(ISBLANK($C175),"",
IF($AG175=Constants!$B$7,
  IF(ISNUMBER(AT175),
    COUNTIFS($AT$8:$AT$507,"&lt;"&amp;$AT175)
    + COUNTIFS($AT$8:$AT$507,$AT175,$AV$8:$AV$507,"&lt;"&amp;$AV175)
    + COUNTIFS($AT$8:$AT$507,$AT175,$AV$8:$AV$507,$AV175,$AX$8:$AX$507,"&lt;"&amp;$AX175)
    + COUNTIFS($AT$8:$AT$507,$AT175,$AV$8:$AV$507,$AV175,$AX$8:$AX$507,$AX175,$AY$8:$AY$507,"&lt;"&amp;$AY175)
    + 1,
  Constants!$B$14),
$AG175))</f>
        <v/>
      </c>
      <c r="BA175" s="99" t="str">
        <f aca="false">IF(ISBLANK(C175),"",IF($AG175=Constants!$B$7, IF(ISNUMBER(AT175),AT175-AZ175,Constants!$B$14),$AG175))</f>
        <v/>
      </c>
      <c r="BB175" s="103"/>
      <c r="BC175" s="104" t="str">
        <f aca="false">IF(ISBLANK($C175),"",TRIM(AK175&amp;" "&amp;AO175))</f>
        <v/>
      </c>
      <c r="BD175" s="105" t="str">
        <f aca="false">IF(ISBLANK($C175),"",IF($AG175&lt;&gt;Constants!$B$7,$AG175,AR175))</f>
        <v/>
      </c>
      <c r="BE175" s="105" t="str">
        <f aca="false">IF(ISBLANK($C175),"",IF($AG175&lt;&gt;Constants!$B$7,$AG175,AM175))</f>
        <v/>
      </c>
      <c r="BF175" s="105" t="str">
        <f aca="false">IF(ISBLANK($C175),"",IF($AG175&lt;&gt;Constants!$B$7,$AG175,AQ175))</f>
        <v/>
      </c>
      <c r="BG175" s="106" t="str">
        <f aca="false">IF(ISBLANK($C175),"",IF($AG175&lt;&gt;Constants!$B$7, $AG175 ,AS175))</f>
        <v/>
      </c>
      <c r="BH175" s="107" t="str">
        <f aca="false">IF(ISBLANK($C175),"",IF($AG175&lt;&gt;Constants!$B$7, $AG175 ,AH175))</f>
        <v/>
      </c>
      <c r="BI175" s="105" t="str">
        <f aca="false">IF(ISBLANK(C175),"",BA175)</f>
        <v/>
      </c>
      <c r="BJ175" s="105" t="str">
        <f aca="false">IF(ISBLANK(C175),"",AZ175)</f>
        <v/>
      </c>
      <c r="BK175" s="108" t="str">
        <f aca="false">IF(ISBLANK(C175),"",IFERROR(_xlfn.SWITCH(BJ175, Constants!$B$4, COUNTA($C$8:$C674)+2, Constants!$B$5, COUNTA($C$8:$C674)+1, Constants!$B$6, COUNTA($C$8:$C674)),BJ175))</f>
        <v/>
      </c>
      <c r="BL175" s="5"/>
      <c r="BM175" s="109" t="n">
        <f aca="false">IF(OR(ISNUMBER(BJ175),BJ175="DQ",BJ175="P",BJ175="NS"),
    1,
    0
)</f>
        <v>0</v>
      </c>
      <c r="BN175" s="109" t="n">
        <v>168</v>
      </c>
      <c r="BO175" s="109" t="str">
        <f aca="false">IF(ISBLANK($C175),"",IF(ISNUMBER(BK175),BK175+ROW($B175)/1000,""))</f>
        <v/>
      </c>
      <c r="BP175" s="109" t="str">
        <f aca="false">IF(ISNUMBER(BO175), RANK(BO175,BO$8:BO$507,1), "")</f>
        <v/>
      </c>
      <c r="BQ175" s="109" t="str">
        <f aca="false">IF(ISBLANK($C175),
    "",
    $B175
)</f>
        <v/>
      </c>
      <c r="BR175" s="109" t="str">
        <f aca="false">IF(ISBLANK($C175),
    "",
    $C175
)</f>
        <v/>
      </c>
      <c r="BS175" s="109" t="str">
        <f aca="false">IF(ISBLANK($C175),
    "",
    $D175
)</f>
        <v/>
      </c>
      <c r="BT175" s="110" t="str">
        <f aca="false">BH175</f>
        <v/>
      </c>
      <c r="BU175" s="111" t="str">
        <f aca="false">BG175</f>
        <v/>
      </c>
      <c r="BV175" s="109" t="str">
        <f aca="false">IF(ISBLANK($C175),
    "",
    BJ175
)</f>
        <v/>
      </c>
      <c r="BW175" s="112" t="str">
        <f aca="false">IF(BN175&gt;BM$7,
    "",
    VLOOKUP(BN175,BP$8:BV674,7,FALSE())
)</f>
        <v/>
      </c>
      <c r="BX175" s="113" t="str">
        <f aca="false">IF(BN175&gt;BM$7,
    "",
    VLOOKUP(BN175,BP$8:BV674,2,FALSE())
)</f>
        <v/>
      </c>
      <c r="BY175" s="113" t="str">
        <f aca="false">IF(BN175&gt;BM$7,
    "",
    VLOOKUP(BN175,BP$8:BV674,3,FALSE())
)</f>
        <v/>
      </c>
      <c r="BZ175" s="113" t="str">
        <f aca="false">IF(BN175&gt;BM$7,
    "",
    VLOOKUP(BN175,BP$8:BV674,4,FALSE())
)</f>
        <v/>
      </c>
      <c r="CA175" s="113" t="str">
        <f aca="false">IF(BN175&gt;BM$7,
    "",
    VLOOKUP(BN175,BP$8:BV674,5,FALSE())
)</f>
        <v/>
      </c>
      <c r="CB175" s="114" t="str">
        <f aca="false">IF(BN175&gt;BM$7,
    "",
    VLOOKUP(BN175,BP$8:BV674,6,FALSE())
)</f>
        <v/>
      </c>
      <c r="CC175" s="53"/>
    </row>
    <row r="176" customFormat="false" ht="15.75" hidden="false" customHeight="false" outlineLevel="0" collapsed="false">
      <c r="A176" s="5"/>
      <c r="B176" s="129"/>
      <c r="C176" s="55"/>
      <c r="D176" s="56"/>
      <c r="E176" s="123"/>
      <c r="F176" s="123"/>
      <c r="G176" s="58"/>
      <c r="H176" s="59"/>
      <c r="I176" s="59"/>
      <c r="J176" s="83"/>
      <c r="K176" s="83"/>
      <c r="L176" s="83"/>
      <c r="M176" s="61"/>
      <c r="N176" s="61"/>
      <c r="O176" s="61"/>
      <c r="P176" s="62"/>
      <c r="Q176" s="63"/>
      <c r="R176" s="83"/>
      <c r="S176" s="65"/>
      <c r="T176" s="66"/>
      <c r="U176" s="66" t="str">
        <f aca="false">IF(ISBLANK($C176),"",IF(G176=Constants!$B$2, TRUE(), IF(G176=Constants!$B$3, FALSE(), TRUE())))</f>
        <v/>
      </c>
      <c r="V176" s="66" t="str">
        <f aca="false">IF(ISBLANK($C176),"",IF(H176=Constants!$B$2, TRUE(), IF(H176=Constants!$B$3, FALSE(), TRUE())))</f>
        <v/>
      </c>
      <c r="W176" s="66" t="str">
        <f aca="false">IF(ISBLANK($C176),"",IF(I176=Constants!$B$2, TRUE(), IF(I176=Constants!$B$3, FALSE(), TRUE())))</f>
        <v/>
      </c>
      <c r="X176" s="66" t="str">
        <f aca="false">IF(ISBLANK($C176),"",IF(AND(ISNUMBER(J176),J176&gt;0),INT(J176),0))</f>
        <v/>
      </c>
      <c r="Y176" s="66" t="str">
        <f aca="false">IF(ISBLANK($C176),"",IF(K176=Constants!$B$2, TRUE(), IF(K176=Constants!$B$3, FALSE(), TRUE())))</f>
        <v/>
      </c>
      <c r="Z176" s="66" t="str">
        <f aca="false">IF(ISBLANK($C176),"",IF(AND(ISNUMBER(L176),L176&gt;0),INT(L176),0))</f>
        <v/>
      </c>
      <c r="AA176" s="68" t="str">
        <f aca="false">IF(ISBLANK($C176),"",IF(ISNUMBER(M176), M176, ""))</f>
        <v/>
      </c>
      <c r="AB176" s="68" t="str">
        <f aca="false">IF(ISBLANK($C176),"",IF(ISNUMBER(N176), N176, ""))</f>
        <v/>
      </c>
      <c r="AC176" s="68" t="str">
        <f aca="false">IF(ISBLANK($C176),"",IF(ISNUMBER(O176), O176, ""))</f>
        <v/>
      </c>
      <c r="AD176" s="69" t="str">
        <f aca="false">IF(ISBLANK($C176),"",IF(ISNUMBER(P176), P176, ""))</f>
        <v/>
      </c>
      <c r="AE176" s="69" t="str">
        <f aca="false">IF(ISBLANK($C176),"",IF(ISNUMBER(Q176), Q176, Constants!$B$13))</f>
        <v/>
      </c>
      <c r="AF176" s="66" t="str">
        <f aca="false">IF(ISBLANK($C176),"",IF(R176=Constants!$B$2, TRUE(), IF(R176=Constants!$B$3, FALSE(), FALSE())))</f>
        <v/>
      </c>
      <c r="AG176" s="66" t="str">
        <f aca="false">IF(ISBLANK(C176), "", IF(AF176, Constants!$B$4,IF(COUNTA(G176:P176)=0, Constants!$B$5, Constants!$B$7)))</f>
        <v/>
      </c>
      <c r="AH176" s="66" t="str">
        <f aca="false">IF(ISBLANK($C176), "",IF($AG176=Constants!$B$7,1,$AG176))</f>
        <v/>
      </c>
      <c r="AI176" s="66" t="str">
        <f aca="false">IF($AG176=Constants!$B$7,POWER(Constants!$B$11,X176)*POWER(Constants!$B$12,Z176),"")</f>
        <v/>
      </c>
      <c r="AJ176" s="66" t="str">
        <f aca="false">IF(AND($AG176=Constants!$B$7, U176, V176) ,IF(OR($AA176="",$AC176=""),"",MAX(0, $AC176-$AA176)),"")</f>
        <v/>
      </c>
      <c r="AK176" s="66" t="str">
        <f aca="false">IF(AND($AG176=Constants!$B$7, U176, V176),IF(OR($AA176="",$AC176=""),$AK$6,""),"")</f>
        <v/>
      </c>
      <c r="AL176" s="66" t="str">
        <f aca="false">IF($AG176=Constants!$B$7,IF(AND(U176,V176,W176,Y176),IF($AJ176="",0,IF($AJ$6=0,Constants!$B$9,Constants!$B$9*AJ176/$AJ$6)), 0),"")</f>
        <v/>
      </c>
      <c r="AM176" s="66" t="str">
        <f aca="false">IF(AL176&lt;&gt;"", AL176*AI176,"")</f>
        <v/>
      </c>
      <c r="AN176" s="66" t="str">
        <f aca="false">IF(AND($AG176=Constants!$B$7, U176, V176) ,IF($AB176="", "", IF(OR($AC176="",$AC176=0),"",MAX(0,1-ABS($AC176-$AB176)/$AC176))),"")</f>
        <v/>
      </c>
      <c r="AO176" s="66" t="str">
        <f aca="false">IF(AND($AG176=Constants!$B$7, U176, V176),IF(AND($AA176&lt;&gt;"",$AB176&lt;&gt;"",$AC176=0),$AO$6,""),"")</f>
        <v/>
      </c>
      <c r="AP176" s="66" t="str">
        <f aca="false">IF($AG176=Constants!$B$7 ,IF(AND(U176,V176,W176,Y176,ISNUMBER(AB176)),IF($AN176="",0,IF($AN$6=0,Constants!$B$10,Constants!$B$10*AN176/$AN$6)), 0),"")</f>
        <v/>
      </c>
      <c r="AQ176" s="66" t="str">
        <f aca="false">IF(AP176&lt;&gt;"", AP176*AI176,"")</f>
        <v/>
      </c>
      <c r="AR176" s="66" t="str">
        <f aca="false">IF($AG176=Constants!$B$7,IF($AD176="",0,IF($AR$6=0,Constants!$B$8,Constants!$B$8*AD176/$AR$6)),"")</f>
        <v/>
      </c>
      <c r="AS176" s="66" t="str">
        <f aca="false">IF($AG176&lt;&gt;Constants!$B$7,$AG176,IF(AK176&amp;AO176&lt;&gt;"",Constants!$B$14,AM176+AQ176+AR176))</f>
        <v/>
      </c>
      <c r="AT176" s="66" t="str">
        <f aca="false">IF(ISBLANK($C176),"",IF($AG176=Constants!$B$7,IF(ISNUMBER(AS176),RANK(AS176,$AS$8:$AS$507),Constants!$B$14),$AG176))</f>
        <v/>
      </c>
      <c r="AU176" s="66" t="str">
        <f aca="false">IF(ISBLANK($C176), "",AM176)</f>
        <v/>
      </c>
      <c r="AV176" s="66" t="str">
        <f aca="false">IF(ISBLANK($C176),"",IF($AG176=Constants!$B$7,RANK(AU176,AU$8:AU$507),$AG176))</f>
        <v/>
      </c>
      <c r="AW176" s="66" t="str">
        <f aca="false">IF(ISBLANK($C176), "",AR176)</f>
        <v/>
      </c>
      <c r="AX176" s="66" t="str">
        <f aca="false">IF(ISBLANK($C176),"",IF($AG176=Constants!$B$7,RANK(AW176,AW$8:AW$507),$AG176))</f>
        <v/>
      </c>
      <c r="AY176" s="66" t="str">
        <f aca="false">IF(ISBLANK($C176), "",AE176)</f>
        <v/>
      </c>
      <c r="AZ176" s="66" t="str">
        <f aca="false">IF(ISBLANK($C176),"",
IF($AG176=Constants!$B$7,
  IF(ISNUMBER(AT176),
    COUNTIFS($AT$8:$AT$507,"&lt;"&amp;$AT176)
    + COUNTIFS($AT$8:$AT$507,$AT176,$AV$8:$AV$507,"&lt;"&amp;$AV176)
    + COUNTIFS($AT$8:$AT$507,$AT176,$AV$8:$AV$507,$AV176,$AX$8:$AX$507,"&lt;"&amp;$AX176)
    + COUNTIFS($AT$8:$AT$507,$AT176,$AV$8:$AV$507,$AV176,$AX$8:$AX$507,$AX176,$AY$8:$AY$507,"&lt;"&amp;$AY176)
    + 1,
  Constants!$B$14),
$AG176))</f>
        <v/>
      </c>
      <c r="BA176" s="66" t="str">
        <f aca="false">IF(ISBLANK(C176),"",IF($AG176=Constants!$B$7, IF(ISNUMBER(AT176),AT176-AZ176,Constants!$B$14),$AG176))</f>
        <v/>
      </c>
      <c r="BB176" s="70"/>
      <c r="BC176" s="84" t="str">
        <f aca="false">IF(ISBLANK($C176),"",TRIM(AK176&amp;" "&amp;AO176))</f>
        <v/>
      </c>
      <c r="BD176" s="72" t="str">
        <f aca="false">IF(ISBLANK($C176),"",IF($AG176&lt;&gt;Constants!$B$7,$AG176,AR176))</f>
        <v/>
      </c>
      <c r="BE176" s="72" t="str">
        <f aca="false">IF(ISBLANK($C176),"",IF($AG176&lt;&gt;Constants!$B$7,$AG176,AM176))</f>
        <v/>
      </c>
      <c r="BF176" s="72" t="str">
        <f aca="false">IF(ISBLANK($C176),"",IF($AG176&lt;&gt;Constants!$B$7,$AG176,AQ176))</f>
        <v/>
      </c>
      <c r="BG176" s="73" t="str">
        <f aca="false">IF(ISBLANK($C176),"",IF($AG176&lt;&gt;Constants!$B$7, $AG176 ,AS176))</f>
        <v/>
      </c>
      <c r="BH176" s="74" t="str">
        <f aca="false">IF(ISBLANK($C176),"",IF($AG176&lt;&gt;Constants!$B$7, $AG176 ,AH176))</f>
        <v/>
      </c>
      <c r="BI176" s="72" t="str">
        <f aca="false">IF(ISBLANK(C176),"",BA176)</f>
        <v/>
      </c>
      <c r="BJ176" s="72" t="str">
        <f aca="false">IF(ISBLANK(C176),"",AZ176)</f>
        <v/>
      </c>
      <c r="BK176" s="75" t="str">
        <f aca="false">IF(ISBLANK(C176),"",IFERROR(_xlfn.SWITCH(BJ176, Constants!$B$4, COUNTA($C$8:$C675)+2, Constants!$B$5, COUNTA($C$8:$C675)+1, Constants!$B$6, COUNTA($C$8:$C675)),BJ176))</f>
        <v/>
      </c>
      <c r="BL176" s="5"/>
      <c r="BM176" s="76" t="n">
        <f aca="false">IF(OR(ISNUMBER(BJ176),BJ176="DQ",BJ176="P",BJ176="NS"),
    1,
    0
)</f>
        <v>0</v>
      </c>
      <c r="BN176" s="76" t="n">
        <v>169</v>
      </c>
      <c r="BO176" s="76" t="str">
        <f aca="false">IF(ISBLANK($C176),"",IF(ISNUMBER(BK176),BK176+ROW($B176)/1000,""))</f>
        <v/>
      </c>
      <c r="BP176" s="76" t="str">
        <f aca="false">IF(ISNUMBER(BO176), RANK(BO176,BO$8:BO$507,1), "")</f>
        <v/>
      </c>
      <c r="BQ176" s="76" t="str">
        <f aca="false">IF(ISBLANK($C176),
    "",
    $B176
)</f>
        <v/>
      </c>
      <c r="BR176" s="76" t="str">
        <f aca="false">IF(ISBLANK($C176),
    "",
    $C176
)</f>
        <v/>
      </c>
      <c r="BS176" s="76" t="str">
        <f aca="false">IF(ISBLANK($C176),
    "",
    $D176
)</f>
        <v/>
      </c>
      <c r="BT176" s="77" t="str">
        <f aca="false">BH176</f>
        <v/>
      </c>
      <c r="BU176" s="78" t="str">
        <f aca="false">BG176</f>
        <v/>
      </c>
      <c r="BV176" s="76" t="str">
        <f aca="false">IF(ISBLANK($C176),
    "",
    BJ176
)</f>
        <v/>
      </c>
      <c r="BW176" s="79" t="str">
        <f aca="false">IF(BN176&gt;BM$7,
    "",
    VLOOKUP(BN176,BP$8:BV675,7,FALSE())
)</f>
        <v/>
      </c>
      <c r="BX176" s="80" t="str">
        <f aca="false">IF(BN176&gt;BM$7,
    "",
    VLOOKUP(BN176,BP$8:BV675,2,FALSE())
)</f>
        <v/>
      </c>
      <c r="BY176" s="80" t="str">
        <f aca="false">IF(BN176&gt;BM$7,
    "",
    VLOOKUP(BN176,BP$8:BV675,3,FALSE())
)</f>
        <v/>
      </c>
      <c r="BZ176" s="80" t="str">
        <f aca="false">IF(BN176&gt;BM$7,
    "",
    VLOOKUP(BN176,BP$8:BV675,4,FALSE())
)</f>
        <v/>
      </c>
      <c r="CA176" s="80" t="str">
        <f aca="false">IF(BN176&gt;BM$7,
    "",
    VLOOKUP(BN176,BP$8:BV675,5,FALSE())
)</f>
        <v/>
      </c>
      <c r="CB176" s="81" t="str">
        <f aca="false">IF(BN176&gt;BM$7,
    "",
    VLOOKUP(BN176,BP$8:BV675,6,FALSE())
)</f>
        <v/>
      </c>
      <c r="CC176" s="53"/>
    </row>
    <row r="177" customFormat="false" ht="15.75" hidden="false" customHeight="false" outlineLevel="0" collapsed="false">
      <c r="A177" s="5"/>
      <c r="B177" s="129"/>
      <c r="C177" s="55"/>
      <c r="D177" s="56"/>
      <c r="E177" s="123"/>
      <c r="F177" s="123"/>
      <c r="G177" s="58"/>
      <c r="H177" s="59"/>
      <c r="I177" s="59"/>
      <c r="J177" s="83"/>
      <c r="K177" s="83"/>
      <c r="L177" s="83"/>
      <c r="M177" s="61"/>
      <c r="N177" s="61"/>
      <c r="O177" s="61"/>
      <c r="P177" s="62"/>
      <c r="Q177" s="63"/>
      <c r="R177" s="83"/>
      <c r="S177" s="65"/>
      <c r="T177" s="66"/>
      <c r="U177" s="66" t="str">
        <f aca="false">IF(ISBLANK($C177),"",IF(G177=Constants!$B$2, TRUE(), IF(G177=Constants!$B$3, FALSE(), TRUE())))</f>
        <v/>
      </c>
      <c r="V177" s="66" t="str">
        <f aca="false">IF(ISBLANK($C177),"",IF(H177=Constants!$B$2, TRUE(), IF(H177=Constants!$B$3, FALSE(), TRUE())))</f>
        <v/>
      </c>
      <c r="W177" s="66" t="str">
        <f aca="false">IF(ISBLANK($C177),"",IF(I177=Constants!$B$2, TRUE(), IF(I177=Constants!$B$3, FALSE(), TRUE())))</f>
        <v/>
      </c>
      <c r="X177" s="66" t="str">
        <f aca="false">IF(ISBLANK($C177),"",IF(AND(ISNUMBER(J177),J177&gt;0),INT(J177),0))</f>
        <v/>
      </c>
      <c r="Y177" s="66" t="str">
        <f aca="false">IF(ISBLANK($C177),"",IF(K177=Constants!$B$2, TRUE(), IF(K177=Constants!$B$3, FALSE(), TRUE())))</f>
        <v/>
      </c>
      <c r="Z177" s="66" t="str">
        <f aca="false">IF(ISBLANK($C177),"",IF(AND(ISNUMBER(L177),L177&gt;0),INT(L177),0))</f>
        <v/>
      </c>
      <c r="AA177" s="68" t="str">
        <f aca="false">IF(ISBLANK($C177),"",IF(ISNUMBER(M177), M177, ""))</f>
        <v/>
      </c>
      <c r="AB177" s="68" t="str">
        <f aca="false">IF(ISBLANK($C177),"",IF(ISNUMBER(N177), N177, ""))</f>
        <v/>
      </c>
      <c r="AC177" s="68" t="str">
        <f aca="false">IF(ISBLANK($C177),"",IF(ISNUMBER(O177), O177, ""))</f>
        <v/>
      </c>
      <c r="AD177" s="69" t="str">
        <f aca="false">IF(ISBLANK($C177),"",IF(ISNUMBER(P177), P177, ""))</f>
        <v/>
      </c>
      <c r="AE177" s="69" t="str">
        <f aca="false">IF(ISBLANK($C177),"",IF(ISNUMBER(Q177), Q177, Constants!$B$13))</f>
        <v/>
      </c>
      <c r="AF177" s="66" t="str">
        <f aca="false">IF(ISBLANK($C177),"",IF(R177=Constants!$B$2, TRUE(), IF(R177=Constants!$B$3, FALSE(), FALSE())))</f>
        <v/>
      </c>
      <c r="AG177" s="66" t="str">
        <f aca="false">IF(ISBLANK(C177), "", IF(AF177, Constants!$B$4,IF(COUNTA(G177:P177)=0, Constants!$B$5, Constants!$B$7)))</f>
        <v/>
      </c>
      <c r="AH177" s="66" t="str">
        <f aca="false">IF(ISBLANK($C177), "",IF($AG177=Constants!$B$7,1,$AG177))</f>
        <v/>
      </c>
      <c r="AI177" s="66" t="str">
        <f aca="false">IF($AG177=Constants!$B$7,POWER(Constants!$B$11,X177)*POWER(Constants!$B$12,Z177),"")</f>
        <v/>
      </c>
      <c r="AJ177" s="66" t="str">
        <f aca="false">IF(AND($AG177=Constants!$B$7, U177, V177) ,IF(OR($AA177="",$AC177=""),"",MAX(0, $AC177-$AA177)),"")</f>
        <v/>
      </c>
      <c r="AK177" s="66" t="str">
        <f aca="false">IF(AND($AG177=Constants!$B$7, U177, V177),IF(OR($AA177="",$AC177=""),$AK$6,""),"")</f>
        <v/>
      </c>
      <c r="AL177" s="66" t="str">
        <f aca="false">IF($AG177=Constants!$B$7,IF(AND(U177,V177,W177,Y177),IF($AJ177="",0,IF($AJ$6=0,Constants!$B$9,Constants!$B$9*AJ177/$AJ$6)), 0),"")</f>
        <v/>
      </c>
      <c r="AM177" s="66" t="str">
        <f aca="false">IF(AL177&lt;&gt;"", AL177*AI177,"")</f>
        <v/>
      </c>
      <c r="AN177" s="66" t="str">
        <f aca="false">IF(AND($AG177=Constants!$B$7, U177, V177) ,IF($AB177="", "", IF(OR($AC177="",$AC177=0),"",MAX(0,1-ABS($AC177-$AB177)/$AC177))),"")</f>
        <v/>
      </c>
      <c r="AO177" s="66" t="str">
        <f aca="false">IF(AND($AG177=Constants!$B$7, U177, V177),IF(AND($AA177&lt;&gt;"",$AB177&lt;&gt;"",$AC177=0),$AO$6,""),"")</f>
        <v/>
      </c>
      <c r="AP177" s="66" t="str">
        <f aca="false">IF($AG177=Constants!$B$7 ,IF(AND(U177,V177,W177,Y177,ISNUMBER(AB177)),IF($AN177="",0,IF($AN$6=0,Constants!$B$10,Constants!$B$10*AN177/$AN$6)), 0),"")</f>
        <v/>
      </c>
      <c r="AQ177" s="66" t="str">
        <f aca="false">IF(AP177&lt;&gt;"", AP177*AI177,"")</f>
        <v/>
      </c>
      <c r="AR177" s="66" t="str">
        <f aca="false">IF($AG177=Constants!$B$7,IF($AD177="",0,IF($AR$6=0,Constants!$B$8,Constants!$B$8*AD177/$AR$6)),"")</f>
        <v/>
      </c>
      <c r="AS177" s="66" t="str">
        <f aca="false">IF($AG177&lt;&gt;Constants!$B$7,$AG177,IF(AK177&amp;AO177&lt;&gt;"",Constants!$B$14,AM177+AQ177+AR177))</f>
        <v/>
      </c>
      <c r="AT177" s="66" t="str">
        <f aca="false">IF(ISBLANK($C177),"",IF($AG177=Constants!$B$7,IF(ISNUMBER(AS177),RANK(AS177,$AS$8:$AS$507),Constants!$B$14),$AG177))</f>
        <v/>
      </c>
      <c r="AU177" s="66" t="str">
        <f aca="false">IF(ISBLANK($C177), "",AM177)</f>
        <v/>
      </c>
      <c r="AV177" s="66" t="str">
        <f aca="false">IF(ISBLANK($C177),"",IF($AG177=Constants!$B$7,RANK(AU177,AU$8:AU$507),$AG177))</f>
        <v/>
      </c>
      <c r="AW177" s="66" t="str">
        <f aca="false">IF(ISBLANK($C177), "",AR177)</f>
        <v/>
      </c>
      <c r="AX177" s="66" t="str">
        <f aca="false">IF(ISBLANK($C177),"",IF($AG177=Constants!$B$7,RANK(AW177,AW$8:AW$507),$AG177))</f>
        <v/>
      </c>
      <c r="AY177" s="66" t="str">
        <f aca="false">IF(ISBLANK($C177), "",AE177)</f>
        <v/>
      </c>
      <c r="AZ177" s="66" t="str">
        <f aca="false">IF(ISBLANK($C177),"",
IF($AG177=Constants!$B$7,
  IF(ISNUMBER(AT177),
    COUNTIFS($AT$8:$AT$507,"&lt;"&amp;$AT177)
    + COUNTIFS($AT$8:$AT$507,$AT177,$AV$8:$AV$507,"&lt;"&amp;$AV177)
    + COUNTIFS($AT$8:$AT$507,$AT177,$AV$8:$AV$507,$AV177,$AX$8:$AX$507,"&lt;"&amp;$AX177)
    + COUNTIFS($AT$8:$AT$507,$AT177,$AV$8:$AV$507,$AV177,$AX$8:$AX$507,$AX177,$AY$8:$AY$507,"&lt;"&amp;$AY177)
    + 1,
  Constants!$B$14),
$AG177))</f>
        <v/>
      </c>
      <c r="BA177" s="66" t="str">
        <f aca="false">IF(ISBLANK(C177),"",IF($AG177=Constants!$B$7, IF(ISNUMBER(AT177),AT177-AZ177,Constants!$B$14),$AG177))</f>
        <v/>
      </c>
      <c r="BB177" s="70"/>
      <c r="BC177" s="84" t="str">
        <f aca="false">IF(ISBLANK($C177),"",TRIM(AK177&amp;" "&amp;AO177))</f>
        <v/>
      </c>
      <c r="BD177" s="72" t="str">
        <f aca="false">IF(ISBLANK($C177),"",IF($AG177&lt;&gt;Constants!$B$7,$AG177,AR177))</f>
        <v/>
      </c>
      <c r="BE177" s="72" t="str">
        <f aca="false">IF(ISBLANK($C177),"",IF($AG177&lt;&gt;Constants!$B$7,$AG177,AM177))</f>
        <v/>
      </c>
      <c r="BF177" s="72" t="str">
        <f aca="false">IF(ISBLANK($C177),"",IF($AG177&lt;&gt;Constants!$B$7,$AG177,AQ177))</f>
        <v/>
      </c>
      <c r="BG177" s="73" t="str">
        <f aca="false">IF(ISBLANK($C177),"",IF($AG177&lt;&gt;Constants!$B$7, $AG177 ,AS177))</f>
        <v/>
      </c>
      <c r="BH177" s="74" t="str">
        <f aca="false">IF(ISBLANK($C177),"",IF($AG177&lt;&gt;Constants!$B$7, $AG177 ,AH177))</f>
        <v/>
      </c>
      <c r="BI177" s="72" t="str">
        <f aca="false">IF(ISBLANK(C177),"",BA177)</f>
        <v/>
      </c>
      <c r="BJ177" s="72" t="str">
        <f aca="false">IF(ISBLANK(C177),"",AZ177)</f>
        <v/>
      </c>
      <c r="BK177" s="75" t="str">
        <f aca="false">IF(ISBLANK(C177),"",IFERROR(_xlfn.SWITCH(BJ177, Constants!$B$4, COUNTA($C$8:$C676)+2, Constants!$B$5, COUNTA($C$8:$C676)+1, Constants!$B$6, COUNTA($C$8:$C676)),BJ177))</f>
        <v/>
      </c>
      <c r="BL177" s="5"/>
      <c r="BM177" s="76" t="n">
        <f aca="false">IF(OR(ISNUMBER(BJ177),BJ177="DQ",BJ177="P",BJ177="NS"),
    1,
    0
)</f>
        <v>0</v>
      </c>
      <c r="BN177" s="76" t="n">
        <v>170</v>
      </c>
      <c r="BO177" s="76" t="str">
        <f aca="false">IF(ISBLANK($C177),"",IF(ISNUMBER(BK177),BK177+ROW($B177)/1000,""))</f>
        <v/>
      </c>
      <c r="BP177" s="76" t="str">
        <f aca="false">IF(ISNUMBER(BO177), RANK(BO177,BO$8:BO$507,1), "")</f>
        <v/>
      </c>
      <c r="BQ177" s="76" t="str">
        <f aca="false">IF(ISBLANK($C177),
    "",
    $B177
)</f>
        <v/>
      </c>
      <c r="BR177" s="76" t="str">
        <f aca="false">IF(ISBLANK($C177),
    "",
    $C177
)</f>
        <v/>
      </c>
      <c r="BS177" s="76" t="str">
        <f aca="false">IF(ISBLANK($C177),
    "",
    $D177
)</f>
        <v/>
      </c>
      <c r="BT177" s="77" t="str">
        <f aca="false">BH177</f>
        <v/>
      </c>
      <c r="BU177" s="78" t="str">
        <f aca="false">BG177</f>
        <v/>
      </c>
      <c r="BV177" s="76" t="str">
        <f aca="false">IF(ISBLANK($C177),
    "",
    BJ177
)</f>
        <v/>
      </c>
      <c r="BW177" s="79" t="str">
        <f aca="false">IF(BN177&gt;BM$7,
    "",
    VLOOKUP(BN177,BP$8:BV676,7,FALSE())
)</f>
        <v/>
      </c>
      <c r="BX177" s="80" t="str">
        <f aca="false">IF(BN177&gt;BM$7,
    "",
    VLOOKUP(BN177,BP$8:BV676,2,FALSE())
)</f>
        <v/>
      </c>
      <c r="BY177" s="80" t="str">
        <f aca="false">IF(BN177&gt;BM$7,
    "",
    VLOOKUP(BN177,BP$8:BV676,3,FALSE())
)</f>
        <v/>
      </c>
      <c r="BZ177" s="80" t="str">
        <f aca="false">IF(BN177&gt;BM$7,
    "",
    VLOOKUP(BN177,BP$8:BV676,4,FALSE())
)</f>
        <v/>
      </c>
      <c r="CA177" s="80" t="str">
        <f aca="false">IF(BN177&gt;BM$7,
    "",
    VLOOKUP(BN177,BP$8:BV676,5,FALSE())
)</f>
        <v/>
      </c>
      <c r="CB177" s="81" t="str">
        <f aca="false">IF(BN177&gt;BM$7,
    "",
    VLOOKUP(BN177,BP$8:BV676,6,FALSE())
)</f>
        <v/>
      </c>
      <c r="CC177" s="53"/>
    </row>
    <row r="178" customFormat="false" ht="15.75" hidden="false" customHeight="false" outlineLevel="0" collapsed="false">
      <c r="A178" s="5"/>
      <c r="B178" s="129"/>
      <c r="C178" s="55"/>
      <c r="D178" s="56"/>
      <c r="E178" s="123"/>
      <c r="F178" s="123"/>
      <c r="G178" s="58"/>
      <c r="H178" s="59"/>
      <c r="I178" s="59"/>
      <c r="J178" s="83"/>
      <c r="K178" s="83"/>
      <c r="L178" s="83"/>
      <c r="M178" s="61"/>
      <c r="N178" s="61"/>
      <c r="O178" s="61"/>
      <c r="P178" s="62"/>
      <c r="Q178" s="63"/>
      <c r="R178" s="83"/>
      <c r="S178" s="65"/>
      <c r="T178" s="66"/>
      <c r="U178" s="66" t="str">
        <f aca="false">IF(ISBLANK($C178),"",IF(G178=Constants!$B$2, TRUE(), IF(G178=Constants!$B$3, FALSE(), TRUE())))</f>
        <v/>
      </c>
      <c r="V178" s="66" t="str">
        <f aca="false">IF(ISBLANK($C178),"",IF(H178=Constants!$B$2, TRUE(), IF(H178=Constants!$B$3, FALSE(), TRUE())))</f>
        <v/>
      </c>
      <c r="W178" s="66" t="str">
        <f aca="false">IF(ISBLANK($C178),"",IF(I178=Constants!$B$2, TRUE(), IF(I178=Constants!$B$3, FALSE(), TRUE())))</f>
        <v/>
      </c>
      <c r="X178" s="66" t="str">
        <f aca="false">IF(ISBLANK($C178),"",IF(AND(ISNUMBER(J178),J178&gt;0),INT(J178),0))</f>
        <v/>
      </c>
      <c r="Y178" s="66" t="str">
        <f aca="false">IF(ISBLANK($C178),"",IF(K178=Constants!$B$2, TRUE(), IF(K178=Constants!$B$3, FALSE(), TRUE())))</f>
        <v/>
      </c>
      <c r="Z178" s="66" t="str">
        <f aca="false">IF(ISBLANK($C178),"",IF(AND(ISNUMBER(L178),L178&gt;0),INT(L178),0))</f>
        <v/>
      </c>
      <c r="AA178" s="68" t="str">
        <f aca="false">IF(ISBLANK($C178),"",IF(ISNUMBER(M178), M178, ""))</f>
        <v/>
      </c>
      <c r="AB178" s="68" t="str">
        <f aca="false">IF(ISBLANK($C178),"",IF(ISNUMBER(N178), N178, ""))</f>
        <v/>
      </c>
      <c r="AC178" s="68" t="str">
        <f aca="false">IF(ISBLANK($C178),"",IF(ISNUMBER(O178), O178, ""))</f>
        <v/>
      </c>
      <c r="AD178" s="69" t="str">
        <f aca="false">IF(ISBLANK($C178),"",IF(ISNUMBER(P178), P178, ""))</f>
        <v/>
      </c>
      <c r="AE178" s="69" t="str">
        <f aca="false">IF(ISBLANK($C178),"",IF(ISNUMBER(Q178), Q178, Constants!$B$13))</f>
        <v/>
      </c>
      <c r="AF178" s="66" t="str">
        <f aca="false">IF(ISBLANK($C178),"",IF(R178=Constants!$B$2, TRUE(), IF(R178=Constants!$B$3, FALSE(), FALSE())))</f>
        <v/>
      </c>
      <c r="AG178" s="66" t="str">
        <f aca="false">IF(ISBLANK(C178), "", IF(AF178, Constants!$B$4,IF(COUNTA(G178:P178)=0, Constants!$B$5, Constants!$B$7)))</f>
        <v/>
      </c>
      <c r="AH178" s="66" t="str">
        <f aca="false">IF(ISBLANK($C178), "",IF($AG178=Constants!$B$7,1,$AG178))</f>
        <v/>
      </c>
      <c r="AI178" s="66" t="str">
        <f aca="false">IF($AG178=Constants!$B$7,POWER(Constants!$B$11,X178)*POWER(Constants!$B$12,Z178),"")</f>
        <v/>
      </c>
      <c r="AJ178" s="66" t="str">
        <f aca="false">IF(AND($AG178=Constants!$B$7, U178, V178) ,IF(OR($AA178="",$AC178=""),"",MAX(0, $AC178-$AA178)),"")</f>
        <v/>
      </c>
      <c r="AK178" s="66" t="str">
        <f aca="false">IF(AND($AG178=Constants!$B$7, U178, V178),IF(OR($AA178="",$AC178=""),$AK$6,""),"")</f>
        <v/>
      </c>
      <c r="AL178" s="66" t="str">
        <f aca="false">IF($AG178=Constants!$B$7,IF(AND(U178,V178,W178,Y178),IF($AJ178="",0,IF($AJ$6=0,Constants!$B$9,Constants!$B$9*AJ178/$AJ$6)), 0),"")</f>
        <v/>
      </c>
      <c r="AM178" s="66" t="str">
        <f aca="false">IF(AL178&lt;&gt;"", AL178*AI178,"")</f>
        <v/>
      </c>
      <c r="AN178" s="66" t="str">
        <f aca="false">IF(AND($AG178=Constants!$B$7, U178, V178) ,IF($AB178="", "", IF(OR($AC178="",$AC178=0),"",MAX(0,1-ABS($AC178-$AB178)/$AC178))),"")</f>
        <v/>
      </c>
      <c r="AO178" s="66" t="str">
        <f aca="false">IF(AND($AG178=Constants!$B$7, U178, V178),IF(AND($AA178&lt;&gt;"",$AB178&lt;&gt;"",$AC178=0),$AO$6,""),"")</f>
        <v/>
      </c>
      <c r="AP178" s="66" t="str">
        <f aca="false">IF($AG178=Constants!$B$7 ,IF(AND(U178,V178,W178,Y178,ISNUMBER(AB178)),IF($AN178="",0,IF($AN$6=0,Constants!$B$10,Constants!$B$10*AN178/$AN$6)), 0),"")</f>
        <v/>
      </c>
      <c r="AQ178" s="66" t="str">
        <f aca="false">IF(AP178&lt;&gt;"", AP178*AI178,"")</f>
        <v/>
      </c>
      <c r="AR178" s="66" t="str">
        <f aca="false">IF($AG178=Constants!$B$7,IF($AD178="",0,IF($AR$6=0,Constants!$B$8,Constants!$B$8*AD178/$AR$6)),"")</f>
        <v/>
      </c>
      <c r="AS178" s="66" t="str">
        <f aca="false">IF($AG178&lt;&gt;Constants!$B$7,$AG178,IF(AK178&amp;AO178&lt;&gt;"",Constants!$B$14,AM178+AQ178+AR178))</f>
        <v/>
      </c>
      <c r="AT178" s="66" t="str">
        <f aca="false">IF(ISBLANK($C178),"",IF($AG178=Constants!$B$7,IF(ISNUMBER(AS178),RANK(AS178,$AS$8:$AS$507),Constants!$B$14),$AG178))</f>
        <v/>
      </c>
      <c r="AU178" s="66" t="str">
        <f aca="false">IF(ISBLANK($C178), "",AM178)</f>
        <v/>
      </c>
      <c r="AV178" s="66" t="str">
        <f aca="false">IF(ISBLANK($C178),"",IF($AG178=Constants!$B$7,RANK(AU178,AU$8:AU$507),$AG178))</f>
        <v/>
      </c>
      <c r="AW178" s="66" t="str">
        <f aca="false">IF(ISBLANK($C178), "",AR178)</f>
        <v/>
      </c>
      <c r="AX178" s="66" t="str">
        <f aca="false">IF(ISBLANK($C178),"",IF($AG178=Constants!$B$7,RANK(AW178,AW$8:AW$507),$AG178))</f>
        <v/>
      </c>
      <c r="AY178" s="66" t="str">
        <f aca="false">IF(ISBLANK($C178), "",AE178)</f>
        <v/>
      </c>
      <c r="AZ178" s="66" t="str">
        <f aca="false">IF(ISBLANK($C178),"",
IF($AG178=Constants!$B$7,
  IF(ISNUMBER(AT178),
    COUNTIFS($AT$8:$AT$507,"&lt;"&amp;$AT178)
    + COUNTIFS($AT$8:$AT$507,$AT178,$AV$8:$AV$507,"&lt;"&amp;$AV178)
    + COUNTIFS($AT$8:$AT$507,$AT178,$AV$8:$AV$507,$AV178,$AX$8:$AX$507,"&lt;"&amp;$AX178)
    + COUNTIFS($AT$8:$AT$507,$AT178,$AV$8:$AV$507,$AV178,$AX$8:$AX$507,$AX178,$AY$8:$AY$507,"&lt;"&amp;$AY178)
    + 1,
  Constants!$B$14),
$AG178))</f>
        <v/>
      </c>
      <c r="BA178" s="66" t="str">
        <f aca="false">IF(ISBLANK(C178),"",IF($AG178=Constants!$B$7, IF(ISNUMBER(AT178),AT178-AZ178,Constants!$B$14),$AG178))</f>
        <v/>
      </c>
      <c r="BB178" s="70"/>
      <c r="BC178" s="84" t="str">
        <f aca="false">IF(ISBLANK($C178),"",TRIM(AK178&amp;" "&amp;AO178))</f>
        <v/>
      </c>
      <c r="BD178" s="72" t="str">
        <f aca="false">IF(ISBLANK($C178),"",IF($AG178&lt;&gt;Constants!$B$7,$AG178,AR178))</f>
        <v/>
      </c>
      <c r="BE178" s="72" t="str">
        <f aca="false">IF(ISBLANK($C178),"",IF($AG178&lt;&gt;Constants!$B$7,$AG178,AM178))</f>
        <v/>
      </c>
      <c r="BF178" s="72" t="str">
        <f aca="false">IF(ISBLANK($C178),"",IF($AG178&lt;&gt;Constants!$B$7,$AG178,AQ178))</f>
        <v/>
      </c>
      <c r="BG178" s="73" t="str">
        <f aca="false">IF(ISBLANK($C178),"",IF($AG178&lt;&gt;Constants!$B$7, $AG178 ,AS178))</f>
        <v/>
      </c>
      <c r="BH178" s="74" t="str">
        <f aca="false">IF(ISBLANK($C178),"",IF($AG178&lt;&gt;Constants!$B$7, $AG178 ,AH178))</f>
        <v/>
      </c>
      <c r="BI178" s="72" t="str">
        <f aca="false">IF(ISBLANK(C178),"",BA178)</f>
        <v/>
      </c>
      <c r="BJ178" s="72" t="str">
        <f aca="false">IF(ISBLANK(C178),"",AZ178)</f>
        <v/>
      </c>
      <c r="BK178" s="75" t="str">
        <f aca="false">IF(ISBLANK(C178),"",IFERROR(_xlfn.SWITCH(BJ178, Constants!$B$4, COUNTA($C$8:$C677)+2, Constants!$B$5, COUNTA($C$8:$C677)+1, Constants!$B$6, COUNTA($C$8:$C677)),BJ178))</f>
        <v/>
      </c>
      <c r="BL178" s="5"/>
      <c r="BM178" s="76" t="n">
        <f aca="false">IF(OR(ISNUMBER(BJ178),BJ178="DQ",BJ178="P",BJ178="NS"),
    1,
    0
)</f>
        <v>0</v>
      </c>
      <c r="BN178" s="76" t="n">
        <v>171</v>
      </c>
      <c r="BO178" s="76" t="str">
        <f aca="false">IF(ISBLANK($C178),"",IF(ISNUMBER(BK178),BK178+ROW($B178)/1000,""))</f>
        <v/>
      </c>
      <c r="BP178" s="76" t="str">
        <f aca="false">IF(ISNUMBER(BO178), RANK(BO178,BO$8:BO$507,1), "")</f>
        <v/>
      </c>
      <c r="BQ178" s="76" t="str">
        <f aca="false">IF(ISBLANK($C178),
    "",
    $B178
)</f>
        <v/>
      </c>
      <c r="BR178" s="76" t="str">
        <f aca="false">IF(ISBLANK($C178),
    "",
    $C178
)</f>
        <v/>
      </c>
      <c r="BS178" s="76" t="str">
        <f aca="false">IF(ISBLANK($C178),
    "",
    $D178
)</f>
        <v/>
      </c>
      <c r="BT178" s="77" t="str">
        <f aca="false">BH178</f>
        <v/>
      </c>
      <c r="BU178" s="78" t="str">
        <f aca="false">BG178</f>
        <v/>
      </c>
      <c r="BV178" s="76" t="str">
        <f aca="false">IF(ISBLANK($C178),
    "",
    BJ178
)</f>
        <v/>
      </c>
      <c r="BW178" s="79" t="str">
        <f aca="false">IF(BN178&gt;BM$7,
    "",
    VLOOKUP(BN178,BP$8:BV677,7,FALSE())
)</f>
        <v/>
      </c>
      <c r="BX178" s="80" t="str">
        <f aca="false">IF(BN178&gt;BM$7,
    "",
    VLOOKUP(BN178,BP$8:BV677,2,FALSE())
)</f>
        <v/>
      </c>
      <c r="BY178" s="80" t="str">
        <f aca="false">IF(BN178&gt;BM$7,
    "",
    VLOOKUP(BN178,BP$8:BV677,3,FALSE())
)</f>
        <v/>
      </c>
      <c r="BZ178" s="80" t="str">
        <f aca="false">IF(BN178&gt;BM$7,
    "",
    VLOOKUP(BN178,BP$8:BV677,4,FALSE())
)</f>
        <v/>
      </c>
      <c r="CA178" s="80" t="str">
        <f aca="false">IF(BN178&gt;BM$7,
    "",
    VLOOKUP(BN178,BP$8:BV677,5,FALSE())
)</f>
        <v/>
      </c>
      <c r="CB178" s="81" t="str">
        <f aca="false">IF(BN178&gt;BM$7,
    "",
    VLOOKUP(BN178,BP$8:BV677,6,FALSE())
)</f>
        <v/>
      </c>
      <c r="CC178" s="53"/>
    </row>
    <row r="179" customFormat="false" ht="15.75" hidden="false" customHeight="false" outlineLevel="0" collapsed="false">
      <c r="A179" s="5"/>
      <c r="B179" s="125"/>
      <c r="C179" s="126"/>
      <c r="D179" s="115"/>
      <c r="E179" s="119"/>
      <c r="F179" s="119"/>
      <c r="G179" s="91"/>
      <c r="H179" s="92"/>
      <c r="I179" s="92"/>
      <c r="J179" s="128"/>
      <c r="K179" s="128"/>
      <c r="L179" s="128"/>
      <c r="M179" s="94"/>
      <c r="N179" s="94"/>
      <c r="O179" s="94"/>
      <c r="P179" s="95"/>
      <c r="Q179" s="96"/>
      <c r="R179" s="128"/>
      <c r="S179" s="98"/>
      <c r="T179" s="99"/>
      <c r="U179" s="99" t="str">
        <f aca="false">IF(ISBLANK($C179),"",IF(G179=Constants!$B$2, TRUE(), IF(G179=Constants!$B$3, FALSE(), TRUE())))</f>
        <v/>
      </c>
      <c r="V179" s="99" t="str">
        <f aca="false">IF(ISBLANK($C179),"",IF(H179=Constants!$B$2, TRUE(), IF(H179=Constants!$B$3, FALSE(), TRUE())))</f>
        <v/>
      </c>
      <c r="W179" s="99" t="str">
        <f aca="false">IF(ISBLANK($C179),"",IF(I179=Constants!$B$2, TRUE(), IF(I179=Constants!$B$3, FALSE(), TRUE())))</f>
        <v/>
      </c>
      <c r="X179" s="99" t="str">
        <f aca="false">IF(ISBLANK($C179),"",IF(AND(ISNUMBER(J179),J179&gt;0),INT(J179),0))</f>
        <v/>
      </c>
      <c r="Y179" s="99" t="str">
        <f aca="false">IF(ISBLANK($C179),"",IF(K179=Constants!$B$2, TRUE(), IF(K179=Constants!$B$3, FALSE(), TRUE())))</f>
        <v/>
      </c>
      <c r="Z179" s="100" t="str">
        <f aca="false">IF(ISBLANK($C179),"",IF(AND(ISNUMBER(L179),L179&gt;0),INT(L179),0))</f>
        <v/>
      </c>
      <c r="AA179" s="101" t="str">
        <f aca="false">IF(ISBLANK($C179),"",IF(ISNUMBER(M179), M179, ""))</f>
        <v/>
      </c>
      <c r="AB179" s="101" t="str">
        <f aca="false">IF(ISBLANK($C179),"",IF(ISNUMBER(N179), N179, ""))</f>
        <v/>
      </c>
      <c r="AC179" s="101" t="str">
        <f aca="false">IF(ISBLANK($C179),"",IF(ISNUMBER(O179), O179, ""))</f>
        <v/>
      </c>
      <c r="AD179" s="102" t="str">
        <f aca="false">IF(ISBLANK($C179),"",IF(ISNUMBER(P179), P179, ""))</f>
        <v/>
      </c>
      <c r="AE179" s="102" t="str">
        <f aca="false">IF(ISBLANK($C179),"",IF(ISNUMBER(Q179), Q179, Constants!$B$13))</f>
        <v/>
      </c>
      <c r="AF179" s="99" t="str">
        <f aca="false">IF(ISBLANK($C179),"",IF(R179=Constants!$B$2, TRUE(), IF(R179=Constants!$B$3, FALSE(), FALSE())))</f>
        <v/>
      </c>
      <c r="AG179" s="99" t="str">
        <f aca="false">IF(ISBLANK(C179), "", IF(AF179, Constants!$B$4,IF(COUNTA(G179:P179)=0, Constants!$B$5, Constants!$B$7)))</f>
        <v/>
      </c>
      <c r="AH179" s="99" t="str">
        <f aca="false">IF(ISBLANK($C179), "",IF($AG179=Constants!$B$7,1,$AG179))</f>
        <v/>
      </c>
      <c r="AI179" s="99" t="str">
        <f aca="false">IF($AG179=Constants!$B$7,POWER(Constants!$B$11,X179)*POWER(Constants!$B$12,Z179),"")</f>
        <v/>
      </c>
      <c r="AJ179" s="99" t="str">
        <f aca="false">IF(AND($AG179=Constants!$B$7, U179, V179) ,IF(OR($AA179="",$AC179=""),"",MAX(0, $AC179-$AA179)),"")</f>
        <v/>
      </c>
      <c r="AK179" s="99" t="str">
        <f aca="false">IF(AND($AG179=Constants!$B$7, U179, V179),IF(OR($AA179="",$AC179=""),$AK$6,""),"")</f>
        <v/>
      </c>
      <c r="AL179" s="99" t="str">
        <f aca="false">IF($AG179=Constants!$B$7,IF(AND(U179,V179,W179,Y179),IF($AJ179="",0,IF($AJ$6=0,Constants!$B$9,Constants!$B$9*AJ179/$AJ$6)), 0),"")</f>
        <v/>
      </c>
      <c r="AM179" s="99" t="str">
        <f aca="false">IF(AL179&lt;&gt;"", AL179*AI179,"")</f>
        <v/>
      </c>
      <c r="AN179" s="99" t="str">
        <f aca="false">IF(AND($AG179=Constants!$B$7, U179, V179) ,IF($AB179="", "", IF(OR($AC179="",$AC179=0),"",MAX(0,1-ABS($AC179-$AB179)/$AC179))),"")</f>
        <v/>
      </c>
      <c r="AO179" s="99" t="str">
        <f aca="false">IF(AND($AG179=Constants!$B$7, U179, V179),IF(AND($AA179&lt;&gt;"",$AB179&lt;&gt;"",$AC179=0),$AO$6,""),"")</f>
        <v/>
      </c>
      <c r="AP179" s="99" t="str">
        <f aca="false">IF($AG179=Constants!$B$7 ,IF(AND(U179,V179,W179,Y179,ISNUMBER(AB179)),IF($AN179="",0,IF($AN$6=0,Constants!$B$10,Constants!$B$10*AN179/$AN$6)), 0),"")</f>
        <v/>
      </c>
      <c r="AQ179" s="99" t="str">
        <f aca="false">IF(AP179&lt;&gt;"", AP179*AI179,"")</f>
        <v/>
      </c>
      <c r="AR179" s="99" t="str">
        <f aca="false">IF($AG179=Constants!$B$7,IF($AD179="",0,IF($AR$6=0,Constants!$B$8,Constants!$B$8*AD179/$AR$6)),"")</f>
        <v/>
      </c>
      <c r="AS179" s="99" t="str">
        <f aca="false">IF($AG179&lt;&gt;Constants!$B$7,$AG179,IF(AK179&amp;AO179&lt;&gt;"",Constants!$B$14,AM179+AQ179+AR179))</f>
        <v/>
      </c>
      <c r="AT179" s="99" t="str">
        <f aca="false">IF(ISBLANK($C179),"",IF($AG179=Constants!$B$7,IF(ISNUMBER(AS179),RANK(AS179,$AS$8:$AS$507),Constants!$B$14),$AG179))</f>
        <v/>
      </c>
      <c r="AU179" s="99" t="str">
        <f aca="false">IF(ISBLANK($C179), "",AM179)</f>
        <v/>
      </c>
      <c r="AV179" s="99" t="str">
        <f aca="false">IF(ISBLANK($C179),"",IF($AG179=Constants!$B$7,RANK(AU179,AU$8:AU$507),$AG179))</f>
        <v/>
      </c>
      <c r="AW179" s="99" t="str">
        <f aca="false">IF(ISBLANK($C179), "",AR179)</f>
        <v/>
      </c>
      <c r="AX179" s="99" t="str">
        <f aca="false">IF(ISBLANK($C179),"",IF($AG179=Constants!$B$7,RANK(AW179,AW$8:AW$507),$AG179))</f>
        <v/>
      </c>
      <c r="AY179" s="99" t="str">
        <f aca="false">IF(ISBLANK($C179), "",AE179)</f>
        <v/>
      </c>
      <c r="AZ179" s="99" t="str">
        <f aca="false">IF(ISBLANK($C179),"",
IF($AG179=Constants!$B$7,
  IF(ISNUMBER(AT179),
    COUNTIFS($AT$8:$AT$507,"&lt;"&amp;$AT179)
    + COUNTIFS($AT$8:$AT$507,$AT179,$AV$8:$AV$507,"&lt;"&amp;$AV179)
    + COUNTIFS($AT$8:$AT$507,$AT179,$AV$8:$AV$507,$AV179,$AX$8:$AX$507,"&lt;"&amp;$AX179)
    + COUNTIFS($AT$8:$AT$507,$AT179,$AV$8:$AV$507,$AV179,$AX$8:$AX$507,$AX179,$AY$8:$AY$507,"&lt;"&amp;$AY179)
    + 1,
  Constants!$B$14),
$AG179))</f>
        <v/>
      </c>
      <c r="BA179" s="99" t="str">
        <f aca="false">IF(ISBLANK(C179),"",IF($AG179=Constants!$B$7, IF(ISNUMBER(AT179),AT179-AZ179,Constants!$B$14),$AG179))</f>
        <v/>
      </c>
      <c r="BB179" s="103"/>
      <c r="BC179" s="104" t="str">
        <f aca="false">IF(ISBLANK($C179),"",TRIM(AK179&amp;" "&amp;AO179))</f>
        <v/>
      </c>
      <c r="BD179" s="105" t="str">
        <f aca="false">IF(ISBLANK($C179),"",IF($AG179&lt;&gt;Constants!$B$7,$AG179,AR179))</f>
        <v/>
      </c>
      <c r="BE179" s="105" t="str">
        <f aca="false">IF(ISBLANK($C179),"",IF($AG179&lt;&gt;Constants!$B$7,$AG179,AM179))</f>
        <v/>
      </c>
      <c r="BF179" s="105" t="str">
        <f aca="false">IF(ISBLANK($C179),"",IF($AG179&lt;&gt;Constants!$B$7,$AG179,AQ179))</f>
        <v/>
      </c>
      <c r="BG179" s="106" t="str">
        <f aca="false">IF(ISBLANK($C179),"",IF($AG179&lt;&gt;Constants!$B$7, $AG179 ,AS179))</f>
        <v/>
      </c>
      <c r="BH179" s="107" t="str">
        <f aca="false">IF(ISBLANK($C179),"",IF($AG179&lt;&gt;Constants!$B$7, $AG179 ,AH179))</f>
        <v/>
      </c>
      <c r="BI179" s="105" t="str">
        <f aca="false">IF(ISBLANK(C179),"",BA179)</f>
        <v/>
      </c>
      <c r="BJ179" s="105" t="str">
        <f aca="false">IF(ISBLANK(C179),"",AZ179)</f>
        <v/>
      </c>
      <c r="BK179" s="108" t="str">
        <f aca="false">IF(ISBLANK(C179),"",IFERROR(_xlfn.SWITCH(BJ179, Constants!$B$4, COUNTA($C$8:$C678)+2, Constants!$B$5, COUNTA($C$8:$C678)+1, Constants!$B$6, COUNTA($C$8:$C678)),BJ179))</f>
        <v/>
      </c>
      <c r="BL179" s="5"/>
      <c r="BM179" s="109" t="n">
        <f aca="false">IF(OR(ISNUMBER(BJ179),BJ179="DQ",BJ179="P",BJ179="NS"),
    1,
    0
)</f>
        <v>0</v>
      </c>
      <c r="BN179" s="109" t="n">
        <v>172</v>
      </c>
      <c r="BO179" s="109" t="str">
        <f aca="false">IF(ISBLANK($C179),"",IF(ISNUMBER(BK179),BK179+ROW($B179)/1000,""))</f>
        <v/>
      </c>
      <c r="BP179" s="109" t="str">
        <f aca="false">IF(ISNUMBER(BO179), RANK(BO179,BO$8:BO$507,1), "")</f>
        <v/>
      </c>
      <c r="BQ179" s="109" t="str">
        <f aca="false">IF(ISBLANK($C179),
    "",
    $B179
)</f>
        <v/>
      </c>
      <c r="BR179" s="109" t="str">
        <f aca="false">IF(ISBLANK($C179),
    "",
    $C179
)</f>
        <v/>
      </c>
      <c r="BS179" s="109" t="str">
        <f aca="false">IF(ISBLANK($C179),
    "",
    $D179
)</f>
        <v/>
      </c>
      <c r="BT179" s="110" t="str">
        <f aca="false">BH179</f>
        <v/>
      </c>
      <c r="BU179" s="111" t="str">
        <f aca="false">BG179</f>
        <v/>
      </c>
      <c r="BV179" s="109" t="str">
        <f aca="false">IF(ISBLANK($C179),
    "",
    BJ179
)</f>
        <v/>
      </c>
      <c r="BW179" s="112" t="str">
        <f aca="false">IF(BN179&gt;BM$7,
    "",
    VLOOKUP(BN179,BP$8:BV678,7,FALSE())
)</f>
        <v/>
      </c>
      <c r="BX179" s="113" t="str">
        <f aca="false">IF(BN179&gt;BM$7,
    "",
    VLOOKUP(BN179,BP$8:BV678,2,FALSE())
)</f>
        <v/>
      </c>
      <c r="BY179" s="113" t="str">
        <f aca="false">IF(BN179&gt;BM$7,
    "",
    VLOOKUP(BN179,BP$8:BV678,3,FALSE())
)</f>
        <v/>
      </c>
      <c r="BZ179" s="113" t="str">
        <f aca="false">IF(BN179&gt;BM$7,
    "",
    VLOOKUP(BN179,BP$8:BV678,4,FALSE())
)</f>
        <v/>
      </c>
      <c r="CA179" s="113" t="str">
        <f aca="false">IF(BN179&gt;BM$7,
    "",
    VLOOKUP(BN179,BP$8:BV678,5,FALSE())
)</f>
        <v/>
      </c>
      <c r="CB179" s="114" t="str">
        <f aca="false">IF(BN179&gt;BM$7,
    "",
    VLOOKUP(BN179,BP$8:BV678,6,FALSE())
)</f>
        <v/>
      </c>
      <c r="CC179" s="53"/>
    </row>
    <row r="180" customFormat="false" ht="15.75" hidden="false" customHeight="false" outlineLevel="0" collapsed="false">
      <c r="A180" s="5"/>
      <c r="B180" s="125"/>
      <c r="C180" s="126"/>
      <c r="D180" s="115"/>
      <c r="E180" s="119"/>
      <c r="F180" s="119"/>
      <c r="G180" s="91"/>
      <c r="H180" s="92"/>
      <c r="I180" s="92"/>
      <c r="J180" s="128"/>
      <c r="K180" s="128"/>
      <c r="L180" s="128"/>
      <c r="M180" s="94"/>
      <c r="N180" s="94"/>
      <c r="O180" s="94"/>
      <c r="P180" s="95"/>
      <c r="Q180" s="96"/>
      <c r="R180" s="128"/>
      <c r="S180" s="98"/>
      <c r="T180" s="99"/>
      <c r="U180" s="99" t="str">
        <f aca="false">IF(ISBLANK($C180),"",IF(G180=Constants!$B$2, TRUE(), IF(G180=Constants!$B$3, FALSE(), TRUE())))</f>
        <v/>
      </c>
      <c r="V180" s="99" t="str">
        <f aca="false">IF(ISBLANK($C180),"",IF(H180=Constants!$B$2, TRUE(), IF(H180=Constants!$B$3, FALSE(), TRUE())))</f>
        <v/>
      </c>
      <c r="W180" s="99" t="str">
        <f aca="false">IF(ISBLANK($C180),"",IF(I180=Constants!$B$2, TRUE(), IF(I180=Constants!$B$3, FALSE(), TRUE())))</f>
        <v/>
      </c>
      <c r="X180" s="99" t="str">
        <f aca="false">IF(ISBLANK($C180),"",IF(AND(ISNUMBER(J180),J180&gt;0),INT(J180),0))</f>
        <v/>
      </c>
      <c r="Y180" s="99" t="str">
        <f aca="false">IF(ISBLANK($C180),"",IF(K180=Constants!$B$2, TRUE(), IF(K180=Constants!$B$3, FALSE(), TRUE())))</f>
        <v/>
      </c>
      <c r="Z180" s="100" t="str">
        <f aca="false">IF(ISBLANK($C180),"",IF(AND(ISNUMBER(L180),L180&gt;0),INT(L180),0))</f>
        <v/>
      </c>
      <c r="AA180" s="101" t="str">
        <f aca="false">IF(ISBLANK($C180),"",IF(ISNUMBER(M180), M180, ""))</f>
        <v/>
      </c>
      <c r="AB180" s="101" t="str">
        <f aca="false">IF(ISBLANK($C180),"",IF(ISNUMBER(N180), N180, ""))</f>
        <v/>
      </c>
      <c r="AC180" s="101" t="str">
        <f aca="false">IF(ISBLANK($C180),"",IF(ISNUMBER(O180), O180, ""))</f>
        <v/>
      </c>
      <c r="AD180" s="102" t="str">
        <f aca="false">IF(ISBLANK($C180),"",IF(ISNUMBER(P180), P180, ""))</f>
        <v/>
      </c>
      <c r="AE180" s="102" t="str">
        <f aca="false">IF(ISBLANK($C180),"",IF(ISNUMBER(Q180), Q180, Constants!$B$13))</f>
        <v/>
      </c>
      <c r="AF180" s="99" t="str">
        <f aca="false">IF(ISBLANK($C180),"",IF(R180=Constants!$B$2, TRUE(), IF(R180=Constants!$B$3, FALSE(), FALSE())))</f>
        <v/>
      </c>
      <c r="AG180" s="99" t="str">
        <f aca="false">IF(ISBLANK(C180), "", IF(AF180, Constants!$B$4,IF(COUNTA(G180:P180)=0, Constants!$B$5, Constants!$B$7)))</f>
        <v/>
      </c>
      <c r="AH180" s="99" t="str">
        <f aca="false">IF(ISBLANK($C180), "",IF($AG180=Constants!$B$7,1,$AG180))</f>
        <v/>
      </c>
      <c r="AI180" s="99" t="str">
        <f aca="false">IF($AG180=Constants!$B$7,POWER(Constants!$B$11,X180)*POWER(Constants!$B$12,Z180),"")</f>
        <v/>
      </c>
      <c r="AJ180" s="99" t="str">
        <f aca="false">IF(AND($AG180=Constants!$B$7, U180, V180) ,IF(OR($AA180="",$AC180=""),"",MAX(0, $AC180-$AA180)),"")</f>
        <v/>
      </c>
      <c r="AK180" s="99" t="str">
        <f aca="false">IF(AND($AG180=Constants!$B$7, U180, V180),IF(OR($AA180="",$AC180=""),$AK$6,""),"")</f>
        <v/>
      </c>
      <c r="AL180" s="99" t="str">
        <f aca="false">IF($AG180=Constants!$B$7,IF(AND(U180,V180,W180,Y180),IF($AJ180="",0,IF($AJ$6=0,Constants!$B$9,Constants!$B$9*AJ180/$AJ$6)), 0),"")</f>
        <v/>
      </c>
      <c r="AM180" s="99" t="str">
        <f aca="false">IF(AL180&lt;&gt;"", AL180*AI180,"")</f>
        <v/>
      </c>
      <c r="AN180" s="99" t="str">
        <f aca="false">IF(AND($AG180=Constants!$B$7, U180, V180) ,IF($AB180="", "", IF(OR($AC180="",$AC180=0),"",MAX(0,1-ABS($AC180-$AB180)/$AC180))),"")</f>
        <v/>
      </c>
      <c r="AO180" s="99" t="str">
        <f aca="false">IF(AND($AG180=Constants!$B$7, U180, V180),IF(AND($AA180&lt;&gt;"",$AB180&lt;&gt;"",$AC180=0),$AO$6,""),"")</f>
        <v/>
      </c>
      <c r="AP180" s="99" t="str">
        <f aca="false">IF($AG180=Constants!$B$7 ,IF(AND(U180,V180,W180,Y180,ISNUMBER(AB180)),IF($AN180="",0,IF($AN$6=0,Constants!$B$10,Constants!$B$10*AN180/$AN$6)), 0),"")</f>
        <v/>
      </c>
      <c r="AQ180" s="99" t="str">
        <f aca="false">IF(AP180&lt;&gt;"", AP180*AI180,"")</f>
        <v/>
      </c>
      <c r="AR180" s="99" t="str">
        <f aca="false">IF($AG180=Constants!$B$7,IF($AD180="",0,IF($AR$6=0,Constants!$B$8,Constants!$B$8*AD180/$AR$6)),"")</f>
        <v/>
      </c>
      <c r="AS180" s="99" t="str">
        <f aca="false">IF($AG180&lt;&gt;Constants!$B$7,$AG180,IF(AK180&amp;AO180&lt;&gt;"",Constants!$B$14,AM180+AQ180+AR180))</f>
        <v/>
      </c>
      <c r="AT180" s="99" t="str">
        <f aca="false">IF(ISBLANK($C180),"",IF($AG180=Constants!$B$7,IF(ISNUMBER(AS180),RANK(AS180,$AS$8:$AS$507),Constants!$B$14),$AG180))</f>
        <v/>
      </c>
      <c r="AU180" s="99" t="str">
        <f aca="false">IF(ISBLANK($C180), "",AM180)</f>
        <v/>
      </c>
      <c r="AV180" s="99" t="str">
        <f aca="false">IF(ISBLANK($C180),"",IF($AG180=Constants!$B$7,RANK(AU180,AU$8:AU$507),$AG180))</f>
        <v/>
      </c>
      <c r="AW180" s="99" t="str">
        <f aca="false">IF(ISBLANK($C180), "",AR180)</f>
        <v/>
      </c>
      <c r="AX180" s="99" t="str">
        <f aca="false">IF(ISBLANK($C180),"",IF($AG180=Constants!$B$7,RANK(AW180,AW$8:AW$507),$AG180))</f>
        <v/>
      </c>
      <c r="AY180" s="99" t="str">
        <f aca="false">IF(ISBLANK($C180), "",AE180)</f>
        <v/>
      </c>
      <c r="AZ180" s="99" t="str">
        <f aca="false">IF(ISBLANK($C180),"",
IF($AG180=Constants!$B$7,
  IF(ISNUMBER(AT180),
    COUNTIFS($AT$8:$AT$507,"&lt;"&amp;$AT180)
    + COUNTIFS($AT$8:$AT$507,$AT180,$AV$8:$AV$507,"&lt;"&amp;$AV180)
    + COUNTIFS($AT$8:$AT$507,$AT180,$AV$8:$AV$507,$AV180,$AX$8:$AX$507,"&lt;"&amp;$AX180)
    + COUNTIFS($AT$8:$AT$507,$AT180,$AV$8:$AV$507,$AV180,$AX$8:$AX$507,$AX180,$AY$8:$AY$507,"&lt;"&amp;$AY180)
    + 1,
  Constants!$B$14),
$AG180))</f>
        <v/>
      </c>
      <c r="BA180" s="99" t="str">
        <f aca="false">IF(ISBLANK(C180),"",IF($AG180=Constants!$B$7, IF(ISNUMBER(AT180),AT180-AZ180,Constants!$B$14),$AG180))</f>
        <v/>
      </c>
      <c r="BB180" s="103"/>
      <c r="BC180" s="104" t="str">
        <f aca="false">IF(ISBLANK($C180),"",TRIM(AK180&amp;" "&amp;AO180))</f>
        <v/>
      </c>
      <c r="BD180" s="105" t="str">
        <f aca="false">IF(ISBLANK($C180),"",IF($AG180&lt;&gt;Constants!$B$7,$AG180,AR180))</f>
        <v/>
      </c>
      <c r="BE180" s="105" t="str">
        <f aca="false">IF(ISBLANK($C180),"",IF($AG180&lt;&gt;Constants!$B$7,$AG180,AM180))</f>
        <v/>
      </c>
      <c r="BF180" s="105" t="str">
        <f aca="false">IF(ISBLANK($C180),"",IF($AG180&lt;&gt;Constants!$B$7,$AG180,AQ180))</f>
        <v/>
      </c>
      <c r="BG180" s="106" t="str">
        <f aca="false">IF(ISBLANK($C180),"",IF($AG180&lt;&gt;Constants!$B$7, $AG180 ,AS180))</f>
        <v/>
      </c>
      <c r="BH180" s="107" t="str">
        <f aca="false">IF(ISBLANK($C180),"",IF($AG180&lt;&gt;Constants!$B$7, $AG180 ,AH180))</f>
        <v/>
      </c>
      <c r="BI180" s="105" t="str">
        <f aca="false">IF(ISBLANK(C180),"",BA180)</f>
        <v/>
      </c>
      <c r="BJ180" s="105" t="str">
        <f aca="false">IF(ISBLANK(C180),"",AZ180)</f>
        <v/>
      </c>
      <c r="BK180" s="108" t="str">
        <f aca="false">IF(ISBLANK(C180),"",IFERROR(_xlfn.SWITCH(BJ180, Constants!$B$4, COUNTA($C$8:$C679)+2, Constants!$B$5, COUNTA($C$8:$C679)+1, Constants!$B$6, COUNTA($C$8:$C679)),BJ180))</f>
        <v/>
      </c>
      <c r="BL180" s="5"/>
      <c r="BM180" s="109" t="n">
        <f aca="false">IF(OR(ISNUMBER(BJ180),BJ180="DQ",BJ180="P",BJ180="NS"),
    1,
    0
)</f>
        <v>0</v>
      </c>
      <c r="BN180" s="109" t="n">
        <v>173</v>
      </c>
      <c r="BO180" s="109" t="str">
        <f aca="false">IF(ISBLANK($C180),"",IF(ISNUMBER(BK180),BK180+ROW($B180)/1000,""))</f>
        <v/>
      </c>
      <c r="BP180" s="109" t="str">
        <f aca="false">IF(ISNUMBER(BO180), RANK(BO180,BO$8:BO$507,1), "")</f>
        <v/>
      </c>
      <c r="BQ180" s="109" t="str">
        <f aca="false">IF(ISBLANK($C180),
    "",
    $B180
)</f>
        <v/>
      </c>
      <c r="BR180" s="109" t="str">
        <f aca="false">IF(ISBLANK($C180),
    "",
    $C180
)</f>
        <v/>
      </c>
      <c r="BS180" s="109" t="str">
        <f aca="false">IF(ISBLANK($C180),
    "",
    $D180
)</f>
        <v/>
      </c>
      <c r="BT180" s="110" t="str">
        <f aca="false">BH180</f>
        <v/>
      </c>
      <c r="BU180" s="111" t="str">
        <f aca="false">BG180</f>
        <v/>
      </c>
      <c r="BV180" s="109" t="str">
        <f aca="false">IF(ISBLANK($C180),
    "",
    BJ180
)</f>
        <v/>
      </c>
      <c r="BW180" s="112" t="str">
        <f aca="false">IF(BN180&gt;BM$7,
    "",
    VLOOKUP(BN180,BP$8:BV679,7,FALSE())
)</f>
        <v/>
      </c>
      <c r="BX180" s="113" t="str">
        <f aca="false">IF(BN180&gt;BM$7,
    "",
    VLOOKUP(BN180,BP$8:BV679,2,FALSE())
)</f>
        <v/>
      </c>
      <c r="BY180" s="113" t="str">
        <f aca="false">IF(BN180&gt;BM$7,
    "",
    VLOOKUP(BN180,BP$8:BV679,3,FALSE())
)</f>
        <v/>
      </c>
      <c r="BZ180" s="113" t="str">
        <f aca="false">IF(BN180&gt;BM$7,
    "",
    VLOOKUP(BN180,BP$8:BV679,4,FALSE())
)</f>
        <v/>
      </c>
      <c r="CA180" s="113" t="str">
        <f aca="false">IF(BN180&gt;BM$7,
    "",
    VLOOKUP(BN180,BP$8:BV679,5,FALSE())
)</f>
        <v/>
      </c>
      <c r="CB180" s="114" t="str">
        <f aca="false">IF(BN180&gt;BM$7,
    "",
    VLOOKUP(BN180,BP$8:BV679,6,FALSE())
)</f>
        <v/>
      </c>
      <c r="CC180" s="53"/>
    </row>
    <row r="181" customFormat="false" ht="15.75" hidden="false" customHeight="false" outlineLevel="0" collapsed="false">
      <c r="A181" s="5"/>
      <c r="B181" s="125"/>
      <c r="C181" s="126"/>
      <c r="D181" s="115"/>
      <c r="E181" s="119"/>
      <c r="F181" s="119"/>
      <c r="G181" s="91"/>
      <c r="H181" s="92"/>
      <c r="I181" s="92"/>
      <c r="J181" s="128"/>
      <c r="K181" s="128"/>
      <c r="L181" s="128"/>
      <c r="M181" s="94"/>
      <c r="N181" s="94"/>
      <c r="O181" s="94"/>
      <c r="P181" s="95"/>
      <c r="Q181" s="96"/>
      <c r="R181" s="128"/>
      <c r="S181" s="98"/>
      <c r="T181" s="99"/>
      <c r="U181" s="99" t="str">
        <f aca="false">IF(ISBLANK($C181),"",IF(G181=Constants!$B$2, TRUE(), IF(G181=Constants!$B$3, FALSE(), TRUE())))</f>
        <v/>
      </c>
      <c r="V181" s="99" t="str">
        <f aca="false">IF(ISBLANK($C181),"",IF(H181=Constants!$B$2, TRUE(), IF(H181=Constants!$B$3, FALSE(), TRUE())))</f>
        <v/>
      </c>
      <c r="W181" s="99" t="str">
        <f aca="false">IF(ISBLANK($C181),"",IF(I181=Constants!$B$2, TRUE(), IF(I181=Constants!$B$3, FALSE(), TRUE())))</f>
        <v/>
      </c>
      <c r="X181" s="99" t="str">
        <f aca="false">IF(ISBLANK($C181),"",IF(AND(ISNUMBER(J181),J181&gt;0),INT(J181),0))</f>
        <v/>
      </c>
      <c r="Y181" s="99" t="str">
        <f aca="false">IF(ISBLANK($C181),"",IF(K181=Constants!$B$2, TRUE(), IF(K181=Constants!$B$3, FALSE(), TRUE())))</f>
        <v/>
      </c>
      <c r="Z181" s="100" t="str">
        <f aca="false">IF(ISBLANK($C181),"",IF(AND(ISNUMBER(L181),L181&gt;0),INT(L181),0))</f>
        <v/>
      </c>
      <c r="AA181" s="101" t="str">
        <f aca="false">IF(ISBLANK($C181),"",IF(ISNUMBER(M181), M181, ""))</f>
        <v/>
      </c>
      <c r="AB181" s="101" t="str">
        <f aca="false">IF(ISBLANK($C181),"",IF(ISNUMBER(N181), N181, ""))</f>
        <v/>
      </c>
      <c r="AC181" s="101" t="str">
        <f aca="false">IF(ISBLANK($C181),"",IF(ISNUMBER(O181), O181, ""))</f>
        <v/>
      </c>
      <c r="AD181" s="102" t="str">
        <f aca="false">IF(ISBLANK($C181),"",IF(ISNUMBER(P181), P181, ""))</f>
        <v/>
      </c>
      <c r="AE181" s="102" t="str">
        <f aca="false">IF(ISBLANK($C181),"",IF(ISNUMBER(Q181), Q181, Constants!$B$13))</f>
        <v/>
      </c>
      <c r="AF181" s="99" t="str">
        <f aca="false">IF(ISBLANK($C181),"",IF(R181=Constants!$B$2, TRUE(), IF(R181=Constants!$B$3, FALSE(), FALSE())))</f>
        <v/>
      </c>
      <c r="AG181" s="99" t="str">
        <f aca="false">IF(ISBLANK(C181), "", IF(AF181, Constants!$B$4,IF(COUNTA(G181:P181)=0, Constants!$B$5, Constants!$B$7)))</f>
        <v/>
      </c>
      <c r="AH181" s="99" t="str">
        <f aca="false">IF(ISBLANK($C181), "",IF($AG181=Constants!$B$7,1,$AG181))</f>
        <v/>
      </c>
      <c r="AI181" s="99" t="str">
        <f aca="false">IF($AG181=Constants!$B$7,POWER(Constants!$B$11,X181)*POWER(Constants!$B$12,Z181),"")</f>
        <v/>
      </c>
      <c r="AJ181" s="99" t="str">
        <f aca="false">IF(AND($AG181=Constants!$B$7, U181, V181) ,IF(OR($AA181="",$AC181=""),"",MAX(0, $AC181-$AA181)),"")</f>
        <v/>
      </c>
      <c r="AK181" s="99" t="str">
        <f aca="false">IF(AND($AG181=Constants!$B$7, U181, V181),IF(OR($AA181="",$AC181=""),$AK$6,""),"")</f>
        <v/>
      </c>
      <c r="AL181" s="99" t="str">
        <f aca="false">IF($AG181=Constants!$B$7,IF(AND(U181,V181,W181,Y181),IF($AJ181="",0,IF($AJ$6=0,Constants!$B$9,Constants!$B$9*AJ181/$AJ$6)), 0),"")</f>
        <v/>
      </c>
      <c r="AM181" s="99" t="str">
        <f aca="false">IF(AL181&lt;&gt;"", AL181*AI181,"")</f>
        <v/>
      </c>
      <c r="AN181" s="99" t="str">
        <f aca="false">IF(AND($AG181=Constants!$B$7, U181, V181) ,IF($AB181="", "", IF(OR($AC181="",$AC181=0),"",MAX(0,1-ABS($AC181-$AB181)/$AC181))),"")</f>
        <v/>
      </c>
      <c r="AO181" s="99" t="str">
        <f aca="false">IF(AND($AG181=Constants!$B$7, U181, V181),IF(AND($AA181&lt;&gt;"",$AB181&lt;&gt;"",$AC181=0),$AO$6,""),"")</f>
        <v/>
      </c>
      <c r="AP181" s="99" t="str">
        <f aca="false">IF($AG181=Constants!$B$7 ,IF(AND(U181,V181,W181,Y181,ISNUMBER(AB181)),IF($AN181="",0,IF($AN$6=0,Constants!$B$10,Constants!$B$10*AN181/$AN$6)), 0),"")</f>
        <v/>
      </c>
      <c r="AQ181" s="99" t="str">
        <f aca="false">IF(AP181&lt;&gt;"", AP181*AI181,"")</f>
        <v/>
      </c>
      <c r="AR181" s="99" t="str">
        <f aca="false">IF($AG181=Constants!$B$7,IF($AD181="",0,IF($AR$6=0,Constants!$B$8,Constants!$B$8*AD181/$AR$6)),"")</f>
        <v/>
      </c>
      <c r="AS181" s="99" t="str">
        <f aca="false">IF($AG181&lt;&gt;Constants!$B$7,$AG181,IF(AK181&amp;AO181&lt;&gt;"",Constants!$B$14,AM181+AQ181+AR181))</f>
        <v/>
      </c>
      <c r="AT181" s="99" t="str">
        <f aca="false">IF(ISBLANK($C181),"",IF($AG181=Constants!$B$7,IF(ISNUMBER(AS181),RANK(AS181,$AS$8:$AS$507),Constants!$B$14),$AG181))</f>
        <v/>
      </c>
      <c r="AU181" s="99" t="str">
        <f aca="false">IF(ISBLANK($C181), "",AM181)</f>
        <v/>
      </c>
      <c r="AV181" s="99" t="str">
        <f aca="false">IF(ISBLANK($C181),"",IF($AG181=Constants!$B$7,RANK(AU181,AU$8:AU$507),$AG181))</f>
        <v/>
      </c>
      <c r="AW181" s="99" t="str">
        <f aca="false">IF(ISBLANK($C181), "",AR181)</f>
        <v/>
      </c>
      <c r="AX181" s="99" t="str">
        <f aca="false">IF(ISBLANK($C181),"",IF($AG181=Constants!$B$7,RANK(AW181,AW$8:AW$507),$AG181))</f>
        <v/>
      </c>
      <c r="AY181" s="99" t="str">
        <f aca="false">IF(ISBLANK($C181), "",AE181)</f>
        <v/>
      </c>
      <c r="AZ181" s="99" t="str">
        <f aca="false">IF(ISBLANK($C181),"",
IF($AG181=Constants!$B$7,
  IF(ISNUMBER(AT181),
    COUNTIFS($AT$8:$AT$507,"&lt;"&amp;$AT181)
    + COUNTIFS($AT$8:$AT$507,$AT181,$AV$8:$AV$507,"&lt;"&amp;$AV181)
    + COUNTIFS($AT$8:$AT$507,$AT181,$AV$8:$AV$507,$AV181,$AX$8:$AX$507,"&lt;"&amp;$AX181)
    + COUNTIFS($AT$8:$AT$507,$AT181,$AV$8:$AV$507,$AV181,$AX$8:$AX$507,$AX181,$AY$8:$AY$507,"&lt;"&amp;$AY181)
    + 1,
  Constants!$B$14),
$AG181))</f>
        <v/>
      </c>
      <c r="BA181" s="99" t="str">
        <f aca="false">IF(ISBLANK(C181),"",IF($AG181=Constants!$B$7, IF(ISNUMBER(AT181),AT181-AZ181,Constants!$B$14),$AG181))</f>
        <v/>
      </c>
      <c r="BB181" s="103"/>
      <c r="BC181" s="104" t="str">
        <f aca="false">IF(ISBLANK($C181),"",TRIM(AK181&amp;" "&amp;AO181))</f>
        <v/>
      </c>
      <c r="BD181" s="105" t="str">
        <f aca="false">IF(ISBLANK($C181),"",IF($AG181&lt;&gt;Constants!$B$7,$AG181,AR181))</f>
        <v/>
      </c>
      <c r="BE181" s="105" t="str">
        <f aca="false">IF(ISBLANK($C181),"",IF($AG181&lt;&gt;Constants!$B$7,$AG181,AM181))</f>
        <v/>
      </c>
      <c r="BF181" s="105" t="str">
        <f aca="false">IF(ISBLANK($C181),"",IF($AG181&lt;&gt;Constants!$B$7,$AG181,AQ181))</f>
        <v/>
      </c>
      <c r="BG181" s="106" t="str">
        <f aca="false">IF(ISBLANK($C181),"",IF($AG181&lt;&gt;Constants!$B$7, $AG181 ,AS181))</f>
        <v/>
      </c>
      <c r="BH181" s="107" t="str">
        <f aca="false">IF(ISBLANK($C181),"",IF($AG181&lt;&gt;Constants!$B$7, $AG181 ,AH181))</f>
        <v/>
      </c>
      <c r="BI181" s="105" t="str">
        <f aca="false">IF(ISBLANK(C181),"",BA181)</f>
        <v/>
      </c>
      <c r="BJ181" s="105" t="str">
        <f aca="false">IF(ISBLANK(C181),"",AZ181)</f>
        <v/>
      </c>
      <c r="BK181" s="108" t="str">
        <f aca="false">IF(ISBLANK(C181),"",IFERROR(_xlfn.SWITCH(BJ181, Constants!$B$4, COUNTA($C$8:$C680)+2, Constants!$B$5, COUNTA($C$8:$C680)+1, Constants!$B$6, COUNTA($C$8:$C680)),BJ181))</f>
        <v/>
      </c>
      <c r="BL181" s="5"/>
      <c r="BM181" s="109" t="n">
        <f aca="false">IF(OR(ISNUMBER(BJ181),BJ181="DQ",BJ181="P",BJ181="NS"),
    1,
    0
)</f>
        <v>0</v>
      </c>
      <c r="BN181" s="109" t="n">
        <v>174</v>
      </c>
      <c r="BO181" s="109" t="str">
        <f aca="false">IF(ISBLANK($C181),"",IF(ISNUMBER(BK181),BK181+ROW($B181)/1000,""))</f>
        <v/>
      </c>
      <c r="BP181" s="109" t="str">
        <f aca="false">IF(ISNUMBER(BO181), RANK(BO181,BO$8:BO$507,1), "")</f>
        <v/>
      </c>
      <c r="BQ181" s="109" t="str">
        <f aca="false">IF(ISBLANK($C181),
    "",
    $B181
)</f>
        <v/>
      </c>
      <c r="BR181" s="109" t="str">
        <f aca="false">IF(ISBLANK($C181),
    "",
    $C181
)</f>
        <v/>
      </c>
      <c r="BS181" s="109" t="str">
        <f aca="false">IF(ISBLANK($C181),
    "",
    $D181
)</f>
        <v/>
      </c>
      <c r="BT181" s="110" t="str">
        <f aca="false">BH181</f>
        <v/>
      </c>
      <c r="BU181" s="111" t="str">
        <f aca="false">BG181</f>
        <v/>
      </c>
      <c r="BV181" s="109" t="str">
        <f aca="false">IF(ISBLANK($C181),
    "",
    BJ181
)</f>
        <v/>
      </c>
      <c r="BW181" s="112" t="str">
        <f aca="false">IF(BN181&gt;BM$7,
    "",
    VLOOKUP(BN181,BP$8:BV680,7,FALSE())
)</f>
        <v/>
      </c>
      <c r="BX181" s="113" t="str">
        <f aca="false">IF(BN181&gt;BM$7,
    "",
    VLOOKUP(BN181,BP$8:BV680,2,FALSE())
)</f>
        <v/>
      </c>
      <c r="BY181" s="113" t="str">
        <f aca="false">IF(BN181&gt;BM$7,
    "",
    VLOOKUP(BN181,BP$8:BV680,3,FALSE())
)</f>
        <v/>
      </c>
      <c r="BZ181" s="113" t="str">
        <f aca="false">IF(BN181&gt;BM$7,
    "",
    VLOOKUP(BN181,BP$8:BV680,4,FALSE())
)</f>
        <v/>
      </c>
      <c r="CA181" s="113" t="str">
        <f aca="false">IF(BN181&gt;BM$7,
    "",
    VLOOKUP(BN181,BP$8:BV680,5,FALSE())
)</f>
        <v/>
      </c>
      <c r="CB181" s="114" t="str">
        <f aca="false">IF(BN181&gt;BM$7,
    "",
    VLOOKUP(BN181,BP$8:BV680,6,FALSE())
)</f>
        <v/>
      </c>
      <c r="CC181" s="53"/>
    </row>
    <row r="182" customFormat="false" ht="15.75" hidden="false" customHeight="false" outlineLevel="0" collapsed="false">
      <c r="A182" s="5"/>
      <c r="B182" s="129"/>
      <c r="C182" s="55"/>
      <c r="D182" s="56"/>
      <c r="E182" s="123"/>
      <c r="F182" s="123"/>
      <c r="G182" s="58"/>
      <c r="H182" s="59"/>
      <c r="I182" s="59"/>
      <c r="J182" s="83"/>
      <c r="K182" s="83"/>
      <c r="L182" s="83"/>
      <c r="M182" s="61"/>
      <c r="N182" s="61"/>
      <c r="O182" s="61"/>
      <c r="P182" s="62"/>
      <c r="Q182" s="63"/>
      <c r="R182" s="83"/>
      <c r="S182" s="65"/>
      <c r="T182" s="66"/>
      <c r="U182" s="66" t="str">
        <f aca="false">IF(ISBLANK($C182),"",IF(G182=Constants!$B$2, TRUE(), IF(G182=Constants!$B$3, FALSE(), TRUE())))</f>
        <v/>
      </c>
      <c r="V182" s="66" t="str">
        <f aca="false">IF(ISBLANK($C182),"",IF(H182=Constants!$B$2, TRUE(), IF(H182=Constants!$B$3, FALSE(), TRUE())))</f>
        <v/>
      </c>
      <c r="W182" s="66" t="str">
        <f aca="false">IF(ISBLANK($C182),"",IF(I182=Constants!$B$2, TRUE(), IF(I182=Constants!$B$3, FALSE(), TRUE())))</f>
        <v/>
      </c>
      <c r="X182" s="66" t="str">
        <f aca="false">IF(ISBLANK($C182),"",IF(AND(ISNUMBER(J182),J182&gt;0),INT(J182),0))</f>
        <v/>
      </c>
      <c r="Y182" s="66" t="str">
        <f aca="false">IF(ISBLANK($C182),"",IF(K182=Constants!$B$2, TRUE(), IF(K182=Constants!$B$3, FALSE(), TRUE())))</f>
        <v/>
      </c>
      <c r="Z182" s="66" t="str">
        <f aca="false">IF(ISBLANK($C182),"",IF(AND(ISNUMBER(L182),L182&gt;0),INT(L182),0))</f>
        <v/>
      </c>
      <c r="AA182" s="68" t="str">
        <f aca="false">IF(ISBLANK($C182),"",IF(ISNUMBER(M182), M182, ""))</f>
        <v/>
      </c>
      <c r="AB182" s="68" t="str">
        <f aca="false">IF(ISBLANK($C182),"",IF(ISNUMBER(N182), N182, ""))</f>
        <v/>
      </c>
      <c r="AC182" s="68" t="str">
        <f aca="false">IF(ISBLANK($C182),"",IF(ISNUMBER(O182), O182, ""))</f>
        <v/>
      </c>
      <c r="AD182" s="69" t="str">
        <f aca="false">IF(ISBLANK($C182),"",IF(ISNUMBER(P182), P182, ""))</f>
        <v/>
      </c>
      <c r="AE182" s="69" t="str">
        <f aca="false">IF(ISBLANK($C182),"",IF(ISNUMBER(Q182), Q182, Constants!$B$13))</f>
        <v/>
      </c>
      <c r="AF182" s="66" t="str">
        <f aca="false">IF(ISBLANK($C182),"",IF(R182=Constants!$B$2, TRUE(), IF(R182=Constants!$B$3, FALSE(), FALSE())))</f>
        <v/>
      </c>
      <c r="AG182" s="66" t="str">
        <f aca="false">IF(ISBLANK(C182), "", IF(AF182, Constants!$B$4,IF(COUNTA(G182:P182)=0, Constants!$B$5, Constants!$B$7)))</f>
        <v/>
      </c>
      <c r="AH182" s="66" t="str">
        <f aca="false">IF(ISBLANK($C182), "",IF($AG182=Constants!$B$7,1,$AG182))</f>
        <v/>
      </c>
      <c r="AI182" s="66" t="str">
        <f aca="false">IF($AG182=Constants!$B$7,POWER(Constants!$B$11,X182)*POWER(Constants!$B$12,Z182),"")</f>
        <v/>
      </c>
      <c r="AJ182" s="66" t="str">
        <f aca="false">IF(AND($AG182=Constants!$B$7, U182, V182) ,IF(OR($AA182="",$AC182=""),"",MAX(0, $AC182-$AA182)),"")</f>
        <v/>
      </c>
      <c r="AK182" s="66" t="str">
        <f aca="false">IF(AND($AG182=Constants!$B$7, U182, V182),IF(OR($AA182="",$AC182=""),$AK$6,""),"")</f>
        <v/>
      </c>
      <c r="AL182" s="66" t="str">
        <f aca="false">IF($AG182=Constants!$B$7,IF(AND(U182,V182,W182,Y182),IF($AJ182="",0,IF($AJ$6=0,Constants!$B$9,Constants!$B$9*AJ182/$AJ$6)), 0),"")</f>
        <v/>
      </c>
      <c r="AM182" s="66" t="str">
        <f aca="false">IF(AL182&lt;&gt;"", AL182*AI182,"")</f>
        <v/>
      </c>
      <c r="AN182" s="66" t="str">
        <f aca="false">IF(AND($AG182=Constants!$B$7, U182, V182) ,IF($AB182="", "", IF(OR($AC182="",$AC182=0),"",MAX(0,1-ABS($AC182-$AB182)/$AC182))),"")</f>
        <v/>
      </c>
      <c r="AO182" s="66" t="str">
        <f aca="false">IF(AND($AG182=Constants!$B$7, U182, V182),IF(AND($AA182&lt;&gt;"",$AB182&lt;&gt;"",$AC182=0),$AO$6,""),"")</f>
        <v/>
      </c>
      <c r="AP182" s="66" t="str">
        <f aca="false">IF($AG182=Constants!$B$7 ,IF(AND(U182,V182,W182,Y182,ISNUMBER(AB182)),IF($AN182="",0,IF($AN$6=0,Constants!$B$10,Constants!$B$10*AN182/$AN$6)), 0),"")</f>
        <v/>
      </c>
      <c r="AQ182" s="66" t="str">
        <f aca="false">IF(AP182&lt;&gt;"", AP182*AI182,"")</f>
        <v/>
      </c>
      <c r="AR182" s="66" t="str">
        <f aca="false">IF($AG182=Constants!$B$7,IF($AD182="",0,IF($AR$6=0,Constants!$B$8,Constants!$B$8*AD182/$AR$6)),"")</f>
        <v/>
      </c>
      <c r="AS182" s="66" t="str">
        <f aca="false">IF($AG182&lt;&gt;Constants!$B$7,$AG182,IF(AK182&amp;AO182&lt;&gt;"",Constants!$B$14,AM182+AQ182+AR182))</f>
        <v/>
      </c>
      <c r="AT182" s="66" t="str">
        <f aca="false">IF(ISBLANK($C182),"",IF($AG182=Constants!$B$7,IF(ISNUMBER(AS182),RANK(AS182,$AS$8:$AS$507),Constants!$B$14),$AG182))</f>
        <v/>
      </c>
      <c r="AU182" s="66" t="str">
        <f aca="false">IF(ISBLANK($C182), "",AM182)</f>
        <v/>
      </c>
      <c r="AV182" s="66" t="str">
        <f aca="false">IF(ISBLANK($C182),"",IF($AG182=Constants!$B$7,RANK(AU182,AU$8:AU$507),$AG182))</f>
        <v/>
      </c>
      <c r="AW182" s="66" t="str">
        <f aca="false">IF(ISBLANK($C182), "",AR182)</f>
        <v/>
      </c>
      <c r="AX182" s="66" t="str">
        <f aca="false">IF(ISBLANK($C182),"",IF($AG182=Constants!$B$7,RANK(AW182,AW$8:AW$507),$AG182))</f>
        <v/>
      </c>
      <c r="AY182" s="66" t="str">
        <f aca="false">IF(ISBLANK($C182), "",AE182)</f>
        <v/>
      </c>
      <c r="AZ182" s="66" t="str">
        <f aca="false">IF(ISBLANK($C182),"",
IF($AG182=Constants!$B$7,
  IF(ISNUMBER(AT182),
    COUNTIFS($AT$8:$AT$507,"&lt;"&amp;$AT182)
    + COUNTIFS($AT$8:$AT$507,$AT182,$AV$8:$AV$507,"&lt;"&amp;$AV182)
    + COUNTIFS($AT$8:$AT$507,$AT182,$AV$8:$AV$507,$AV182,$AX$8:$AX$507,"&lt;"&amp;$AX182)
    + COUNTIFS($AT$8:$AT$507,$AT182,$AV$8:$AV$507,$AV182,$AX$8:$AX$507,$AX182,$AY$8:$AY$507,"&lt;"&amp;$AY182)
    + 1,
  Constants!$B$14),
$AG182))</f>
        <v/>
      </c>
      <c r="BA182" s="66" t="str">
        <f aca="false">IF(ISBLANK(C182),"",IF($AG182=Constants!$B$7, IF(ISNUMBER(AT182),AT182-AZ182,Constants!$B$14),$AG182))</f>
        <v/>
      </c>
      <c r="BB182" s="70"/>
      <c r="BC182" s="84" t="str">
        <f aca="false">IF(ISBLANK($C182),"",TRIM(AK182&amp;" "&amp;AO182))</f>
        <v/>
      </c>
      <c r="BD182" s="72" t="str">
        <f aca="false">IF(ISBLANK($C182),"",IF($AG182&lt;&gt;Constants!$B$7,$AG182,AR182))</f>
        <v/>
      </c>
      <c r="BE182" s="72" t="str">
        <f aca="false">IF(ISBLANK($C182),"",IF($AG182&lt;&gt;Constants!$B$7,$AG182,AM182))</f>
        <v/>
      </c>
      <c r="BF182" s="72" t="str">
        <f aca="false">IF(ISBLANK($C182),"",IF($AG182&lt;&gt;Constants!$B$7,$AG182,AQ182))</f>
        <v/>
      </c>
      <c r="BG182" s="73" t="str">
        <f aca="false">IF(ISBLANK($C182),"",IF($AG182&lt;&gt;Constants!$B$7, $AG182 ,AS182))</f>
        <v/>
      </c>
      <c r="BH182" s="74" t="str">
        <f aca="false">IF(ISBLANK($C182),"",IF($AG182&lt;&gt;Constants!$B$7, $AG182 ,AH182))</f>
        <v/>
      </c>
      <c r="BI182" s="72" t="str">
        <f aca="false">IF(ISBLANK(C182),"",BA182)</f>
        <v/>
      </c>
      <c r="BJ182" s="72" t="str">
        <f aca="false">IF(ISBLANK(C182),"",AZ182)</f>
        <v/>
      </c>
      <c r="BK182" s="75" t="str">
        <f aca="false">IF(ISBLANK(C182),"",IFERROR(_xlfn.SWITCH(BJ182, Constants!$B$4, COUNTA($C$8:$C681)+2, Constants!$B$5, COUNTA($C$8:$C681)+1, Constants!$B$6, COUNTA($C$8:$C681)),BJ182))</f>
        <v/>
      </c>
      <c r="BL182" s="5"/>
      <c r="BM182" s="76" t="n">
        <f aca="false">IF(OR(ISNUMBER(BJ182),BJ182="DQ",BJ182="P",BJ182="NS"),
    1,
    0
)</f>
        <v>0</v>
      </c>
      <c r="BN182" s="76" t="n">
        <v>175</v>
      </c>
      <c r="BO182" s="76" t="str">
        <f aca="false">IF(ISBLANK($C182),"",IF(ISNUMBER(BK182),BK182+ROW($B182)/1000,""))</f>
        <v/>
      </c>
      <c r="BP182" s="76" t="str">
        <f aca="false">IF(ISNUMBER(BO182), RANK(BO182,BO$8:BO$507,1), "")</f>
        <v/>
      </c>
      <c r="BQ182" s="76" t="str">
        <f aca="false">IF(ISBLANK($C182),
    "",
    $B182
)</f>
        <v/>
      </c>
      <c r="BR182" s="76" t="str">
        <f aca="false">IF(ISBLANK($C182),
    "",
    $C182
)</f>
        <v/>
      </c>
      <c r="BS182" s="76" t="str">
        <f aca="false">IF(ISBLANK($C182),
    "",
    $D182
)</f>
        <v/>
      </c>
      <c r="BT182" s="77" t="str">
        <f aca="false">BH182</f>
        <v/>
      </c>
      <c r="BU182" s="78" t="str">
        <f aca="false">BG182</f>
        <v/>
      </c>
      <c r="BV182" s="76" t="str">
        <f aca="false">IF(ISBLANK($C182),
    "",
    BJ182
)</f>
        <v/>
      </c>
      <c r="BW182" s="79" t="str">
        <f aca="false">IF(BN182&gt;BM$7,
    "",
    VLOOKUP(BN182,BP$8:BV681,7,FALSE())
)</f>
        <v/>
      </c>
      <c r="BX182" s="80" t="str">
        <f aca="false">IF(BN182&gt;BM$7,
    "",
    VLOOKUP(BN182,BP$8:BV681,2,FALSE())
)</f>
        <v/>
      </c>
      <c r="BY182" s="80" t="str">
        <f aca="false">IF(BN182&gt;BM$7,
    "",
    VLOOKUP(BN182,BP$8:BV681,3,FALSE())
)</f>
        <v/>
      </c>
      <c r="BZ182" s="80" t="str">
        <f aca="false">IF(BN182&gt;BM$7,
    "",
    VLOOKUP(BN182,BP$8:BV681,4,FALSE())
)</f>
        <v/>
      </c>
      <c r="CA182" s="80" t="str">
        <f aca="false">IF(BN182&gt;BM$7,
    "",
    VLOOKUP(BN182,BP$8:BV681,5,FALSE())
)</f>
        <v/>
      </c>
      <c r="CB182" s="81" t="str">
        <f aca="false">IF(BN182&gt;BM$7,
    "",
    VLOOKUP(BN182,BP$8:BV681,6,FALSE())
)</f>
        <v/>
      </c>
      <c r="CC182" s="53"/>
    </row>
    <row r="183" customFormat="false" ht="15.75" hidden="false" customHeight="false" outlineLevel="0" collapsed="false">
      <c r="A183" s="5"/>
      <c r="B183" s="129"/>
      <c r="C183" s="55"/>
      <c r="D183" s="56"/>
      <c r="E183" s="123"/>
      <c r="F183" s="123"/>
      <c r="G183" s="58"/>
      <c r="H183" s="59"/>
      <c r="I183" s="59"/>
      <c r="J183" s="83"/>
      <c r="K183" s="83"/>
      <c r="L183" s="83"/>
      <c r="M183" s="61"/>
      <c r="N183" s="61"/>
      <c r="O183" s="61"/>
      <c r="P183" s="62"/>
      <c r="Q183" s="63"/>
      <c r="R183" s="83"/>
      <c r="S183" s="65"/>
      <c r="T183" s="66"/>
      <c r="U183" s="66" t="str">
        <f aca="false">IF(ISBLANK($C183),"",IF(G183=Constants!$B$2, TRUE(), IF(G183=Constants!$B$3, FALSE(), TRUE())))</f>
        <v/>
      </c>
      <c r="V183" s="66" t="str">
        <f aca="false">IF(ISBLANK($C183),"",IF(H183=Constants!$B$2, TRUE(), IF(H183=Constants!$B$3, FALSE(), TRUE())))</f>
        <v/>
      </c>
      <c r="W183" s="66" t="str">
        <f aca="false">IF(ISBLANK($C183),"",IF(I183=Constants!$B$2, TRUE(), IF(I183=Constants!$B$3, FALSE(), TRUE())))</f>
        <v/>
      </c>
      <c r="X183" s="66" t="str">
        <f aca="false">IF(ISBLANK($C183),"",IF(AND(ISNUMBER(J183),J183&gt;0),INT(J183),0))</f>
        <v/>
      </c>
      <c r="Y183" s="66" t="str">
        <f aca="false">IF(ISBLANK($C183),"",IF(K183=Constants!$B$2, TRUE(), IF(K183=Constants!$B$3, FALSE(), TRUE())))</f>
        <v/>
      </c>
      <c r="Z183" s="66" t="str">
        <f aca="false">IF(ISBLANK($C183),"",IF(AND(ISNUMBER(L183),L183&gt;0),INT(L183),0))</f>
        <v/>
      </c>
      <c r="AA183" s="68" t="str">
        <f aca="false">IF(ISBLANK($C183),"",IF(ISNUMBER(M183), M183, ""))</f>
        <v/>
      </c>
      <c r="AB183" s="68" t="str">
        <f aca="false">IF(ISBLANK($C183),"",IF(ISNUMBER(N183), N183, ""))</f>
        <v/>
      </c>
      <c r="AC183" s="68" t="str">
        <f aca="false">IF(ISBLANK($C183),"",IF(ISNUMBER(O183), O183, ""))</f>
        <v/>
      </c>
      <c r="AD183" s="69" t="str">
        <f aca="false">IF(ISBLANK($C183),"",IF(ISNUMBER(P183), P183, ""))</f>
        <v/>
      </c>
      <c r="AE183" s="69" t="str">
        <f aca="false">IF(ISBLANK($C183),"",IF(ISNUMBER(Q183), Q183, Constants!$B$13))</f>
        <v/>
      </c>
      <c r="AF183" s="66" t="str">
        <f aca="false">IF(ISBLANK($C183),"",IF(R183=Constants!$B$2, TRUE(), IF(R183=Constants!$B$3, FALSE(), FALSE())))</f>
        <v/>
      </c>
      <c r="AG183" s="66" t="str">
        <f aca="false">IF(ISBLANK(C183), "", IF(AF183, Constants!$B$4,IF(COUNTA(G183:P183)=0, Constants!$B$5, Constants!$B$7)))</f>
        <v/>
      </c>
      <c r="AH183" s="66" t="str">
        <f aca="false">IF(ISBLANK($C183), "",IF($AG183=Constants!$B$7,1,$AG183))</f>
        <v/>
      </c>
      <c r="AI183" s="66" t="str">
        <f aca="false">IF($AG183=Constants!$B$7,POWER(Constants!$B$11,X183)*POWER(Constants!$B$12,Z183),"")</f>
        <v/>
      </c>
      <c r="AJ183" s="66" t="str">
        <f aca="false">IF(AND($AG183=Constants!$B$7, U183, V183) ,IF(OR($AA183="",$AC183=""),"",MAX(0, $AC183-$AA183)),"")</f>
        <v/>
      </c>
      <c r="AK183" s="66" t="str">
        <f aca="false">IF(AND($AG183=Constants!$B$7, U183, V183),IF(OR($AA183="",$AC183=""),$AK$6,""),"")</f>
        <v/>
      </c>
      <c r="AL183" s="66" t="str">
        <f aca="false">IF($AG183=Constants!$B$7,IF(AND(U183,V183,W183,Y183),IF($AJ183="",0,IF($AJ$6=0,Constants!$B$9,Constants!$B$9*AJ183/$AJ$6)), 0),"")</f>
        <v/>
      </c>
      <c r="AM183" s="66" t="str">
        <f aca="false">IF(AL183&lt;&gt;"", AL183*AI183,"")</f>
        <v/>
      </c>
      <c r="AN183" s="66" t="str">
        <f aca="false">IF(AND($AG183=Constants!$B$7, U183, V183) ,IF($AB183="", "", IF(OR($AC183="",$AC183=0),"",MAX(0,1-ABS($AC183-$AB183)/$AC183))),"")</f>
        <v/>
      </c>
      <c r="AO183" s="66" t="str">
        <f aca="false">IF(AND($AG183=Constants!$B$7, U183, V183),IF(AND($AA183&lt;&gt;"",$AB183&lt;&gt;"",$AC183=0),$AO$6,""),"")</f>
        <v/>
      </c>
      <c r="AP183" s="66" t="str">
        <f aca="false">IF($AG183=Constants!$B$7 ,IF(AND(U183,V183,W183,Y183,ISNUMBER(AB183)),IF($AN183="",0,IF($AN$6=0,Constants!$B$10,Constants!$B$10*AN183/$AN$6)), 0),"")</f>
        <v/>
      </c>
      <c r="AQ183" s="66" t="str">
        <f aca="false">IF(AP183&lt;&gt;"", AP183*AI183,"")</f>
        <v/>
      </c>
      <c r="AR183" s="66" t="str">
        <f aca="false">IF($AG183=Constants!$B$7,IF($AD183="",0,IF($AR$6=0,Constants!$B$8,Constants!$B$8*AD183/$AR$6)),"")</f>
        <v/>
      </c>
      <c r="AS183" s="66" t="str">
        <f aca="false">IF($AG183&lt;&gt;Constants!$B$7,$AG183,IF(AK183&amp;AO183&lt;&gt;"",Constants!$B$14,AM183+AQ183+AR183))</f>
        <v/>
      </c>
      <c r="AT183" s="66" t="str">
        <f aca="false">IF(ISBLANK($C183),"",IF($AG183=Constants!$B$7,IF(ISNUMBER(AS183),RANK(AS183,$AS$8:$AS$507),Constants!$B$14),$AG183))</f>
        <v/>
      </c>
      <c r="AU183" s="66" t="str">
        <f aca="false">IF(ISBLANK($C183), "",AM183)</f>
        <v/>
      </c>
      <c r="AV183" s="66" t="str">
        <f aca="false">IF(ISBLANK($C183),"",IF($AG183=Constants!$B$7,RANK(AU183,AU$8:AU$507),$AG183))</f>
        <v/>
      </c>
      <c r="AW183" s="66" t="str">
        <f aca="false">IF(ISBLANK($C183), "",AR183)</f>
        <v/>
      </c>
      <c r="AX183" s="66" t="str">
        <f aca="false">IF(ISBLANK($C183),"",IF($AG183=Constants!$B$7,RANK(AW183,AW$8:AW$507),$AG183))</f>
        <v/>
      </c>
      <c r="AY183" s="66" t="str">
        <f aca="false">IF(ISBLANK($C183), "",AE183)</f>
        <v/>
      </c>
      <c r="AZ183" s="66" t="str">
        <f aca="false">IF(ISBLANK($C183),"",
IF($AG183=Constants!$B$7,
  IF(ISNUMBER(AT183),
    COUNTIFS($AT$8:$AT$507,"&lt;"&amp;$AT183)
    + COUNTIFS($AT$8:$AT$507,$AT183,$AV$8:$AV$507,"&lt;"&amp;$AV183)
    + COUNTIFS($AT$8:$AT$507,$AT183,$AV$8:$AV$507,$AV183,$AX$8:$AX$507,"&lt;"&amp;$AX183)
    + COUNTIFS($AT$8:$AT$507,$AT183,$AV$8:$AV$507,$AV183,$AX$8:$AX$507,$AX183,$AY$8:$AY$507,"&lt;"&amp;$AY183)
    + 1,
  Constants!$B$14),
$AG183))</f>
        <v/>
      </c>
      <c r="BA183" s="66" t="str">
        <f aca="false">IF(ISBLANK(C183),"",IF($AG183=Constants!$B$7, IF(ISNUMBER(AT183),AT183-AZ183,Constants!$B$14),$AG183))</f>
        <v/>
      </c>
      <c r="BB183" s="70"/>
      <c r="BC183" s="84" t="str">
        <f aca="false">IF(ISBLANK($C183),"",TRIM(AK183&amp;" "&amp;AO183))</f>
        <v/>
      </c>
      <c r="BD183" s="72" t="str">
        <f aca="false">IF(ISBLANK($C183),"",IF($AG183&lt;&gt;Constants!$B$7,$AG183,AR183))</f>
        <v/>
      </c>
      <c r="BE183" s="72" t="str">
        <f aca="false">IF(ISBLANK($C183),"",IF($AG183&lt;&gt;Constants!$B$7,$AG183,AM183))</f>
        <v/>
      </c>
      <c r="BF183" s="72" t="str">
        <f aca="false">IF(ISBLANK($C183),"",IF($AG183&lt;&gt;Constants!$B$7,$AG183,AQ183))</f>
        <v/>
      </c>
      <c r="BG183" s="73" t="str">
        <f aca="false">IF(ISBLANK($C183),"",IF($AG183&lt;&gt;Constants!$B$7, $AG183 ,AS183))</f>
        <v/>
      </c>
      <c r="BH183" s="74" t="str">
        <f aca="false">IF(ISBLANK($C183),"",IF($AG183&lt;&gt;Constants!$B$7, $AG183 ,AH183))</f>
        <v/>
      </c>
      <c r="BI183" s="72" t="str">
        <f aca="false">IF(ISBLANK(C183),"",BA183)</f>
        <v/>
      </c>
      <c r="BJ183" s="72" t="str">
        <f aca="false">IF(ISBLANK(C183),"",AZ183)</f>
        <v/>
      </c>
      <c r="BK183" s="75" t="str">
        <f aca="false">IF(ISBLANK(C183),"",IFERROR(_xlfn.SWITCH(BJ183, Constants!$B$4, COUNTA($C$8:$C682)+2, Constants!$B$5, COUNTA($C$8:$C682)+1, Constants!$B$6, COUNTA($C$8:$C682)),BJ183))</f>
        <v/>
      </c>
      <c r="BL183" s="5"/>
      <c r="BM183" s="76" t="n">
        <f aca="false">IF(OR(ISNUMBER(BJ183),BJ183="DQ",BJ183="P",BJ183="NS"),
    1,
    0
)</f>
        <v>0</v>
      </c>
      <c r="BN183" s="76" t="n">
        <v>176</v>
      </c>
      <c r="BO183" s="76" t="str">
        <f aca="false">IF(ISBLANK($C183),"",IF(ISNUMBER(BK183),BK183+ROW($B183)/1000,""))</f>
        <v/>
      </c>
      <c r="BP183" s="76" t="str">
        <f aca="false">IF(ISNUMBER(BO183), RANK(BO183,BO$8:BO$507,1), "")</f>
        <v/>
      </c>
      <c r="BQ183" s="76" t="str">
        <f aca="false">IF(ISBLANK($C183),
    "",
    $B183
)</f>
        <v/>
      </c>
      <c r="BR183" s="76" t="str">
        <f aca="false">IF(ISBLANK($C183),
    "",
    $C183
)</f>
        <v/>
      </c>
      <c r="BS183" s="76" t="str">
        <f aca="false">IF(ISBLANK($C183),
    "",
    $D183
)</f>
        <v/>
      </c>
      <c r="BT183" s="77" t="str">
        <f aca="false">BH183</f>
        <v/>
      </c>
      <c r="BU183" s="78" t="str">
        <f aca="false">BG183</f>
        <v/>
      </c>
      <c r="BV183" s="76" t="str">
        <f aca="false">IF(ISBLANK($C183),
    "",
    BJ183
)</f>
        <v/>
      </c>
      <c r="BW183" s="79" t="str">
        <f aca="false">IF(BN183&gt;BM$7,
    "",
    VLOOKUP(BN183,BP$8:BV682,7,FALSE())
)</f>
        <v/>
      </c>
      <c r="BX183" s="80" t="str">
        <f aca="false">IF(BN183&gt;BM$7,
    "",
    VLOOKUP(BN183,BP$8:BV682,2,FALSE())
)</f>
        <v/>
      </c>
      <c r="BY183" s="80" t="str">
        <f aca="false">IF(BN183&gt;BM$7,
    "",
    VLOOKUP(BN183,BP$8:BV682,3,FALSE())
)</f>
        <v/>
      </c>
      <c r="BZ183" s="80" t="str">
        <f aca="false">IF(BN183&gt;BM$7,
    "",
    VLOOKUP(BN183,BP$8:BV682,4,FALSE())
)</f>
        <v/>
      </c>
      <c r="CA183" s="80" t="str">
        <f aca="false">IF(BN183&gt;BM$7,
    "",
    VLOOKUP(BN183,BP$8:BV682,5,FALSE())
)</f>
        <v/>
      </c>
      <c r="CB183" s="81" t="str">
        <f aca="false">IF(BN183&gt;BM$7,
    "",
    VLOOKUP(BN183,BP$8:BV682,6,FALSE())
)</f>
        <v/>
      </c>
      <c r="CC183" s="53"/>
    </row>
    <row r="184" customFormat="false" ht="15.75" hidden="false" customHeight="false" outlineLevel="0" collapsed="false">
      <c r="A184" s="5"/>
      <c r="B184" s="129"/>
      <c r="C184" s="55"/>
      <c r="D184" s="56"/>
      <c r="E184" s="123"/>
      <c r="F184" s="123"/>
      <c r="G184" s="58"/>
      <c r="H184" s="59"/>
      <c r="I184" s="59"/>
      <c r="J184" s="83"/>
      <c r="K184" s="83"/>
      <c r="L184" s="83"/>
      <c r="M184" s="61"/>
      <c r="N184" s="61"/>
      <c r="O184" s="61"/>
      <c r="P184" s="62"/>
      <c r="Q184" s="63"/>
      <c r="R184" s="83"/>
      <c r="S184" s="65"/>
      <c r="T184" s="66"/>
      <c r="U184" s="66" t="str">
        <f aca="false">IF(ISBLANK($C184),"",IF(G184=Constants!$B$2, TRUE(), IF(G184=Constants!$B$3, FALSE(), TRUE())))</f>
        <v/>
      </c>
      <c r="V184" s="66" t="str">
        <f aca="false">IF(ISBLANK($C184),"",IF(H184=Constants!$B$2, TRUE(), IF(H184=Constants!$B$3, FALSE(), TRUE())))</f>
        <v/>
      </c>
      <c r="W184" s="66" t="str">
        <f aca="false">IF(ISBLANK($C184),"",IF(I184=Constants!$B$2, TRUE(), IF(I184=Constants!$B$3, FALSE(), TRUE())))</f>
        <v/>
      </c>
      <c r="X184" s="66" t="str">
        <f aca="false">IF(ISBLANK($C184),"",IF(AND(ISNUMBER(J184),J184&gt;0),INT(J184),0))</f>
        <v/>
      </c>
      <c r="Y184" s="66" t="str">
        <f aca="false">IF(ISBLANK($C184),"",IF(K184=Constants!$B$2, TRUE(), IF(K184=Constants!$B$3, FALSE(), TRUE())))</f>
        <v/>
      </c>
      <c r="Z184" s="66" t="str">
        <f aca="false">IF(ISBLANK($C184),"",IF(AND(ISNUMBER(L184),L184&gt;0),INT(L184),0))</f>
        <v/>
      </c>
      <c r="AA184" s="68" t="str">
        <f aca="false">IF(ISBLANK($C184),"",IF(ISNUMBER(M184), M184, ""))</f>
        <v/>
      </c>
      <c r="AB184" s="68" t="str">
        <f aca="false">IF(ISBLANK($C184),"",IF(ISNUMBER(N184), N184, ""))</f>
        <v/>
      </c>
      <c r="AC184" s="68" t="str">
        <f aca="false">IF(ISBLANK($C184),"",IF(ISNUMBER(O184), O184, ""))</f>
        <v/>
      </c>
      <c r="AD184" s="69" t="str">
        <f aca="false">IF(ISBLANK($C184),"",IF(ISNUMBER(P184), P184, ""))</f>
        <v/>
      </c>
      <c r="AE184" s="69" t="str">
        <f aca="false">IF(ISBLANK($C184),"",IF(ISNUMBER(Q184), Q184, Constants!$B$13))</f>
        <v/>
      </c>
      <c r="AF184" s="66" t="str">
        <f aca="false">IF(ISBLANK($C184),"",IF(R184=Constants!$B$2, TRUE(), IF(R184=Constants!$B$3, FALSE(), FALSE())))</f>
        <v/>
      </c>
      <c r="AG184" s="66" t="str">
        <f aca="false">IF(ISBLANK(C184), "", IF(AF184, Constants!$B$4,IF(COUNTA(G184:P184)=0, Constants!$B$5, Constants!$B$7)))</f>
        <v/>
      </c>
      <c r="AH184" s="66" t="str">
        <f aca="false">IF(ISBLANK($C184), "",IF($AG184=Constants!$B$7,1,$AG184))</f>
        <v/>
      </c>
      <c r="AI184" s="66" t="str">
        <f aca="false">IF($AG184=Constants!$B$7,POWER(Constants!$B$11,X184)*POWER(Constants!$B$12,Z184),"")</f>
        <v/>
      </c>
      <c r="AJ184" s="66" t="str">
        <f aca="false">IF(AND($AG184=Constants!$B$7, U184, V184) ,IF(OR($AA184="",$AC184=""),"",MAX(0, $AC184-$AA184)),"")</f>
        <v/>
      </c>
      <c r="AK184" s="66" t="str">
        <f aca="false">IF(AND($AG184=Constants!$B$7, U184, V184),IF(OR($AA184="",$AC184=""),$AK$6,""),"")</f>
        <v/>
      </c>
      <c r="AL184" s="66" t="str">
        <f aca="false">IF($AG184=Constants!$B$7,IF(AND(U184,V184,W184,Y184),IF($AJ184="",0,IF($AJ$6=0,Constants!$B$9,Constants!$B$9*AJ184/$AJ$6)), 0),"")</f>
        <v/>
      </c>
      <c r="AM184" s="66" t="str">
        <f aca="false">IF(AL184&lt;&gt;"", AL184*AI184,"")</f>
        <v/>
      </c>
      <c r="AN184" s="66" t="str">
        <f aca="false">IF(AND($AG184=Constants!$B$7, U184, V184) ,IF($AB184="", "", IF(OR($AC184="",$AC184=0),"",MAX(0,1-ABS($AC184-$AB184)/$AC184))),"")</f>
        <v/>
      </c>
      <c r="AO184" s="66" t="str">
        <f aca="false">IF(AND($AG184=Constants!$B$7, U184, V184),IF(AND($AA184&lt;&gt;"",$AB184&lt;&gt;"",$AC184=0),$AO$6,""),"")</f>
        <v/>
      </c>
      <c r="AP184" s="66" t="str">
        <f aca="false">IF($AG184=Constants!$B$7 ,IF(AND(U184,V184,W184,Y184,ISNUMBER(AB184)),IF($AN184="",0,IF($AN$6=0,Constants!$B$10,Constants!$B$10*AN184/$AN$6)), 0),"")</f>
        <v/>
      </c>
      <c r="AQ184" s="66" t="str">
        <f aca="false">IF(AP184&lt;&gt;"", AP184*AI184,"")</f>
        <v/>
      </c>
      <c r="AR184" s="66" t="str">
        <f aca="false">IF($AG184=Constants!$B$7,IF($AD184="",0,IF($AR$6=0,Constants!$B$8,Constants!$B$8*AD184/$AR$6)),"")</f>
        <v/>
      </c>
      <c r="AS184" s="66" t="str">
        <f aca="false">IF($AG184&lt;&gt;Constants!$B$7,$AG184,IF(AK184&amp;AO184&lt;&gt;"",Constants!$B$14,AM184+AQ184+AR184))</f>
        <v/>
      </c>
      <c r="AT184" s="66" t="str">
        <f aca="false">IF(ISBLANK($C184),"",IF($AG184=Constants!$B$7,IF(ISNUMBER(AS184),RANK(AS184,$AS$8:$AS$507),Constants!$B$14),$AG184))</f>
        <v/>
      </c>
      <c r="AU184" s="66" t="str">
        <f aca="false">IF(ISBLANK($C184), "",AM184)</f>
        <v/>
      </c>
      <c r="AV184" s="66" t="str">
        <f aca="false">IF(ISBLANK($C184),"",IF($AG184=Constants!$B$7,RANK(AU184,AU$8:AU$507),$AG184))</f>
        <v/>
      </c>
      <c r="AW184" s="66" t="str">
        <f aca="false">IF(ISBLANK($C184), "",AR184)</f>
        <v/>
      </c>
      <c r="AX184" s="66" t="str">
        <f aca="false">IF(ISBLANK($C184),"",IF($AG184=Constants!$B$7,RANK(AW184,AW$8:AW$507),$AG184))</f>
        <v/>
      </c>
      <c r="AY184" s="66" t="str">
        <f aca="false">IF(ISBLANK($C184), "",AE184)</f>
        <v/>
      </c>
      <c r="AZ184" s="66" t="str">
        <f aca="false">IF(ISBLANK($C184),"",
IF($AG184=Constants!$B$7,
  IF(ISNUMBER(AT184),
    COUNTIFS($AT$8:$AT$507,"&lt;"&amp;$AT184)
    + COUNTIFS($AT$8:$AT$507,$AT184,$AV$8:$AV$507,"&lt;"&amp;$AV184)
    + COUNTIFS($AT$8:$AT$507,$AT184,$AV$8:$AV$507,$AV184,$AX$8:$AX$507,"&lt;"&amp;$AX184)
    + COUNTIFS($AT$8:$AT$507,$AT184,$AV$8:$AV$507,$AV184,$AX$8:$AX$507,$AX184,$AY$8:$AY$507,"&lt;"&amp;$AY184)
    + 1,
  Constants!$B$14),
$AG184))</f>
        <v/>
      </c>
      <c r="BA184" s="66" t="str">
        <f aca="false">IF(ISBLANK(C184),"",IF($AG184=Constants!$B$7, IF(ISNUMBER(AT184),AT184-AZ184,Constants!$B$14),$AG184))</f>
        <v/>
      </c>
      <c r="BB184" s="70"/>
      <c r="BC184" s="84" t="str">
        <f aca="false">IF(ISBLANK($C184),"",TRIM(AK184&amp;" "&amp;AO184))</f>
        <v/>
      </c>
      <c r="BD184" s="72" t="str">
        <f aca="false">IF(ISBLANK($C184),"",IF($AG184&lt;&gt;Constants!$B$7,$AG184,AR184))</f>
        <v/>
      </c>
      <c r="BE184" s="72" t="str">
        <f aca="false">IF(ISBLANK($C184),"",IF($AG184&lt;&gt;Constants!$B$7,$AG184,AM184))</f>
        <v/>
      </c>
      <c r="BF184" s="72" t="str">
        <f aca="false">IF(ISBLANK($C184),"",IF($AG184&lt;&gt;Constants!$B$7,$AG184,AQ184))</f>
        <v/>
      </c>
      <c r="BG184" s="73" t="str">
        <f aca="false">IF(ISBLANK($C184),"",IF($AG184&lt;&gt;Constants!$B$7, $AG184 ,AS184))</f>
        <v/>
      </c>
      <c r="BH184" s="74" t="str">
        <f aca="false">IF(ISBLANK($C184),"",IF($AG184&lt;&gt;Constants!$B$7, $AG184 ,AH184))</f>
        <v/>
      </c>
      <c r="BI184" s="72" t="str">
        <f aca="false">IF(ISBLANK(C184),"",BA184)</f>
        <v/>
      </c>
      <c r="BJ184" s="72" t="str">
        <f aca="false">IF(ISBLANK(C184),"",AZ184)</f>
        <v/>
      </c>
      <c r="BK184" s="75" t="str">
        <f aca="false">IF(ISBLANK(C184),"",IFERROR(_xlfn.SWITCH(BJ184, Constants!$B$4, COUNTA($C$8:$C683)+2, Constants!$B$5, COUNTA($C$8:$C683)+1, Constants!$B$6, COUNTA($C$8:$C683)),BJ184))</f>
        <v/>
      </c>
      <c r="BL184" s="5"/>
      <c r="BM184" s="76" t="n">
        <f aca="false">IF(OR(ISNUMBER(BJ184),BJ184="DQ",BJ184="P",BJ184="NS"),
    1,
    0
)</f>
        <v>0</v>
      </c>
      <c r="BN184" s="76" t="n">
        <v>177</v>
      </c>
      <c r="BO184" s="76" t="str">
        <f aca="false">IF(ISBLANK($C184),"",IF(ISNUMBER(BK184),BK184+ROW($B184)/1000,""))</f>
        <v/>
      </c>
      <c r="BP184" s="76" t="str">
        <f aca="false">IF(ISNUMBER(BO184), RANK(BO184,BO$8:BO$507,1), "")</f>
        <v/>
      </c>
      <c r="BQ184" s="76" t="str">
        <f aca="false">IF(ISBLANK($C184),
    "",
    $B184
)</f>
        <v/>
      </c>
      <c r="BR184" s="76" t="str">
        <f aca="false">IF(ISBLANK($C184),
    "",
    $C184
)</f>
        <v/>
      </c>
      <c r="BS184" s="76" t="str">
        <f aca="false">IF(ISBLANK($C184),
    "",
    $D184
)</f>
        <v/>
      </c>
      <c r="BT184" s="77" t="str">
        <f aca="false">BH184</f>
        <v/>
      </c>
      <c r="BU184" s="78" t="str">
        <f aca="false">BG184</f>
        <v/>
      </c>
      <c r="BV184" s="76" t="str">
        <f aca="false">IF(ISBLANK($C184),
    "",
    BJ184
)</f>
        <v/>
      </c>
      <c r="BW184" s="79" t="str">
        <f aca="false">IF(BN184&gt;BM$7,
    "",
    VLOOKUP(BN184,BP$8:BV683,7,FALSE())
)</f>
        <v/>
      </c>
      <c r="BX184" s="80" t="str">
        <f aca="false">IF(BN184&gt;BM$7,
    "",
    VLOOKUP(BN184,BP$8:BV683,2,FALSE())
)</f>
        <v/>
      </c>
      <c r="BY184" s="80" t="str">
        <f aca="false">IF(BN184&gt;BM$7,
    "",
    VLOOKUP(BN184,BP$8:BV683,3,FALSE())
)</f>
        <v/>
      </c>
      <c r="BZ184" s="80" t="str">
        <f aca="false">IF(BN184&gt;BM$7,
    "",
    VLOOKUP(BN184,BP$8:BV683,4,FALSE())
)</f>
        <v/>
      </c>
      <c r="CA184" s="80" t="str">
        <f aca="false">IF(BN184&gt;BM$7,
    "",
    VLOOKUP(BN184,BP$8:BV683,5,FALSE())
)</f>
        <v/>
      </c>
      <c r="CB184" s="81" t="str">
        <f aca="false">IF(BN184&gt;BM$7,
    "",
    VLOOKUP(BN184,BP$8:BV683,6,FALSE())
)</f>
        <v/>
      </c>
      <c r="CC184" s="53"/>
    </row>
    <row r="185" customFormat="false" ht="15.75" hidden="false" customHeight="false" outlineLevel="0" collapsed="false">
      <c r="A185" s="5"/>
      <c r="B185" s="125"/>
      <c r="C185" s="126"/>
      <c r="D185" s="115"/>
      <c r="E185" s="119"/>
      <c r="F185" s="119"/>
      <c r="G185" s="91"/>
      <c r="H185" s="92"/>
      <c r="I185" s="92"/>
      <c r="J185" s="128"/>
      <c r="K185" s="128"/>
      <c r="L185" s="128"/>
      <c r="M185" s="94"/>
      <c r="N185" s="94"/>
      <c r="O185" s="94"/>
      <c r="P185" s="95"/>
      <c r="Q185" s="96"/>
      <c r="R185" s="128"/>
      <c r="S185" s="98"/>
      <c r="T185" s="99"/>
      <c r="U185" s="99" t="str">
        <f aca="false">IF(ISBLANK($C185),"",IF(G185=Constants!$B$2, TRUE(), IF(G185=Constants!$B$3, FALSE(), TRUE())))</f>
        <v/>
      </c>
      <c r="V185" s="99" t="str">
        <f aca="false">IF(ISBLANK($C185),"",IF(H185=Constants!$B$2, TRUE(), IF(H185=Constants!$B$3, FALSE(), TRUE())))</f>
        <v/>
      </c>
      <c r="W185" s="99" t="str">
        <f aca="false">IF(ISBLANK($C185),"",IF(I185=Constants!$B$2, TRUE(), IF(I185=Constants!$B$3, FALSE(), TRUE())))</f>
        <v/>
      </c>
      <c r="X185" s="99" t="str">
        <f aca="false">IF(ISBLANK($C185),"",IF(AND(ISNUMBER(J185),J185&gt;0),INT(J185),0))</f>
        <v/>
      </c>
      <c r="Y185" s="99" t="str">
        <f aca="false">IF(ISBLANK($C185),"",IF(K185=Constants!$B$2, TRUE(), IF(K185=Constants!$B$3, FALSE(), TRUE())))</f>
        <v/>
      </c>
      <c r="Z185" s="100" t="str">
        <f aca="false">IF(ISBLANK($C185),"",IF(AND(ISNUMBER(L185),L185&gt;0),INT(L185),0))</f>
        <v/>
      </c>
      <c r="AA185" s="101" t="str">
        <f aca="false">IF(ISBLANK($C185),"",IF(ISNUMBER(M185), M185, ""))</f>
        <v/>
      </c>
      <c r="AB185" s="101" t="str">
        <f aca="false">IF(ISBLANK($C185),"",IF(ISNUMBER(N185), N185, ""))</f>
        <v/>
      </c>
      <c r="AC185" s="101" t="str">
        <f aca="false">IF(ISBLANK($C185),"",IF(ISNUMBER(O185), O185, ""))</f>
        <v/>
      </c>
      <c r="AD185" s="102" t="str">
        <f aca="false">IF(ISBLANK($C185),"",IF(ISNUMBER(P185), P185, ""))</f>
        <v/>
      </c>
      <c r="AE185" s="102" t="str">
        <f aca="false">IF(ISBLANK($C185),"",IF(ISNUMBER(Q185), Q185, Constants!$B$13))</f>
        <v/>
      </c>
      <c r="AF185" s="99" t="str">
        <f aca="false">IF(ISBLANK($C185),"",IF(R185=Constants!$B$2, TRUE(), IF(R185=Constants!$B$3, FALSE(), FALSE())))</f>
        <v/>
      </c>
      <c r="AG185" s="99" t="str">
        <f aca="false">IF(ISBLANK(C185), "", IF(AF185, Constants!$B$4,IF(COUNTA(G185:P185)=0, Constants!$B$5, Constants!$B$7)))</f>
        <v/>
      </c>
      <c r="AH185" s="99" t="str">
        <f aca="false">IF(ISBLANK($C185), "",IF($AG185=Constants!$B$7,1,$AG185))</f>
        <v/>
      </c>
      <c r="AI185" s="99" t="str">
        <f aca="false">IF($AG185=Constants!$B$7,POWER(Constants!$B$11,X185)*POWER(Constants!$B$12,Z185),"")</f>
        <v/>
      </c>
      <c r="AJ185" s="99" t="str">
        <f aca="false">IF(AND($AG185=Constants!$B$7, U185, V185) ,IF(OR($AA185="",$AC185=""),"",MAX(0, $AC185-$AA185)),"")</f>
        <v/>
      </c>
      <c r="AK185" s="99" t="str">
        <f aca="false">IF(AND($AG185=Constants!$B$7, U185, V185),IF(OR($AA185="",$AC185=""),$AK$6,""),"")</f>
        <v/>
      </c>
      <c r="AL185" s="99" t="str">
        <f aca="false">IF($AG185=Constants!$B$7,IF(AND(U185,V185,W185,Y185),IF($AJ185="",0,IF($AJ$6=0,Constants!$B$9,Constants!$B$9*AJ185/$AJ$6)), 0),"")</f>
        <v/>
      </c>
      <c r="AM185" s="99" t="str">
        <f aca="false">IF(AL185&lt;&gt;"", AL185*AI185,"")</f>
        <v/>
      </c>
      <c r="AN185" s="99" t="str">
        <f aca="false">IF(AND($AG185=Constants!$B$7, U185, V185) ,IF($AB185="", "", IF(OR($AC185="",$AC185=0),"",MAX(0,1-ABS($AC185-$AB185)/$AC185))),"")</f>
        <v/>
      </c>
      <c r="AO185" s="99" t="str">
        <f aca="false">IF(AND($AG185=Constants!$B$7, U185, V185),IF(AND($AA185&lt;&gt;"",$AB185&lt;&gt;"",$AC185=0),$AO$6,""),"")</f>
        <v/>
      </c>
      <c r="AP185" s="99" t="str">
        <f aca="false">IF($AG185=Constants!$B$7 ,IF(AND(U185,V185,W185,Y185,ISNUMBER(AB185)),IF($AN185="",0,IF($AN$6=0,Constants!$B$10,Constants!$B$10*AN185/$AN$6)), 0),"")</f>
        <v/>
      </c>
      <c r="AQ185" s="99" t="str">
        <f aca="false">IF(AP185&lt;&gt;"", AP185*AI185,"")</f>
        <v/>
      </c>
      <c r="AR185" s="99" t="str">
        <f aca="false">IF($AG185=Constants!$B$7,IF($AD185="",0,IF($AR$6=0,Constants!$B$8,Constants!$B$8*AD185/$AR$6)),"")</f>
        <v/>
      </c>
      <c r="AS185" s="99" t="str">
        <f aca="false">IF($AG185&lt;&gt;Constants!$B$7,$AG185,IF(AK185&amp;AO185&lt;&gt;"",Constants!$B$14,AM185+AQ185+AR185))</f>
        <v/>
      </c>
      <c r="AT185" s="99" t="str">
        <f aca="false">IF(ISBLANK($C185),"",IF($AG185=Constants!$B$7,IF(ISNUMBER(AS185),RANK(AS185,$AS$8:$AS$507),Constants!$B$14),$AG185))</f>
        <v/>
      </c>
      <c r="AU185" s="99" t="str">
        <f aca="false">IF(ISBLANK($C185), "",AM185)</f>
        <v/>
      </c>
      <c r="AV185" s="99" t="str">
        <f aca="false">IF(ISBLANK($C185),"",IF($AG185=Constants!$B$7,RANK(AU185,AU$8:AU$507),$AG185))</f>
        <v/>
      </c>
      <c r="AW185" s="99" t="str">
        <f aca="false">IF(ISBLANK($C185), "",AR185)</f>
        <v/>
      </c>
      <c r="AX185" s="99" t="str">
        <f aca="false">IF(ISBLANK($C185),"",IF($AG185=Constants!$B$7,RANK(AW185,AW$8:AW$507),$AG185))</f>
        <v/>
      </c>
      <c r="AY185" s="99" t="str">
        <f aca="false">IF(ISBLANK($C185), "",AE185)</f>
        <v/>
      </c>
      <c r="AZ185" s="99" t="str">
        <f aca="false">IF(ISBLANK($C185),"",
IF($AG185=Constants!$B$7,
  IF(ISNUMBER(AT185),
    COUNTIFS($AT$8:$AT$507,"&lt;"&amp;$AT185)
    + COUNTIFS($AT$8:$AT$507,$AT185,$AV$8:$AV$507,"&lt;"&amp;$AV185)
    + COUNTIFS($AT$8:$AT$507,$AT185,$AV$8:$AV$507,$AV185,$AX$8:$AX$507,"&lt;"&amp;$AX185)
    + COUNTIFS($AT$8:$AT$507,$AT185,$AV$8:$AV$507,$AV185,$AX$8:$AX$507,$AX185,$AY$8:$AY$507,"&lt;"&amp;$AY185)
    + 1,
  Constants!$B$14),
$AG185))</f>
        <v/>
      </c>
      <c r="BA185" s="99" t="str">
        <f aca="false">IF(ISBLANK(C185),"",IF($AG185=Constants!$B$7, IF(ISNUMBER(AT185),AT185-AZ185,Constants!$B$14),$AG185))</f>
        <v/>
      </c>
      <c r="BB185" s="103"/>
      <c r="BC185" s="104" t="str">
        <f aca="false">IF(ISBLANK($C185),"",TRIM(AK185&amp;" "&amp;AO185))</f>
        <v/>
      </c>
      <c r="BD185" s="105" t="str">
        <f aca="false">IF(ISBLANK($C185),"",IF($AG185&lt;&gt;Constants!$B$7,$AG185,AR185))</f>
        <v/>
      </c>
      <c r="BE185" s="105" t="str">
        <f aca="false">IF(ISBLANK($C185),"",IF($AG185&lt;&gt;Constants!$B$7,$AG185,AM185))</f>
        <v/>
      </c>
      <c r="BF185" s="105" t="str">
        <f aca="false">IF(ISBLANK($C185),"",IF($AG185&lt;&gt;Constants!$B$7,$AG185,AQ185))</f>
        <v/>
      </c>
      <c r="BG185" s="106" t="str">
        <f aca="false">IF(ISBLANK($C185),"",IF($AG185&lt;&gt;Constants!$B$7, $AG185 ,AS185))</f>
        <v/>
      </c>
      <c r="BH185" s="107" t="str">
        <f aca="false">IF(ISBLANK($C185),"",IF($AG185&lt;&gt;Constants!$B$7, $AG185 ,AH185))</f>
        <v/>
      </c>
      <c r="BI185" s="105" t="str">
        <f aca="false">IF(ISBLANK(C185),"",BA185)</f>
        <v/>
      </c>
      <c r="BJ185" s="105" t="str">
        <f aca="false">IF(ISBLANK(C185),"",AZ185)</f>
        <v/>
      </c>
      <c r="BK185" s="108" t="str">
        <f aca="false">IF(ISBLANK(C185),"",IFERROR(_xlfn.SWITCH(BJ185, Constants!$B$4, COUNTA($C$8:$C684)+2, Constants!$B$5, COUNTA($C$8:$C684)+1, Constants!$B$6, COUNTA($C$8:$C684)),BJ185))</f>
        <v/>
      </c>
      <c r="BL185" s="5"/>
      <c r="BM185" s="109" t="n">
        <f aca="false">IF(OR(ISNUMBER(BJ185),BJ185="DQ",BJ185="P",BJ185="NS"),
    1,
    0
)</f>
        <v>0</v>
      </c>
      <c r="BN185" s="109" t="n">
        <v>178</v>
      </c>
      <c r="BO185" s="109" t="str">
        <f aca="false">IF(ISBLANK($C185),"",IF(ISNUMBER(BK185),BK185+ROW($B185)/1000,""))</f>
        <v/>
      </c>
      <c r="BP185" s="109" t="str">
        <f aca="false">IF(ISNUMBER(BO185), RANK(BO185,BO$8:BO$507,1), "")</f>
        <v/>
      </c>
      <c r="BQ185" s="109" t="str">
        <f aca="false">IF(ISBLANK($C185),
    "",
    $B185
)</f>
        <v/>
      </c>
      <c r="BR185" s="109" t="str">
        <f aca="false">IF(ISBLANK($C185),
    "",
    $C185
)</f>
        <v/>
      </c>
      <c r="BS185" s="109" t="str">
        <f aca="false">IF(ISBLANK($C185),
    "",
    $D185
)</f>
        <v/>
      </c>
      <c r="BT185" s="110" t="str">
        <f aca="false">BH185</f>
        <v/>
      </c>
      <c r="BU185" s="111" t="str">
        <f aca="false">BG185</f>
        <v/>
      </c>
      <c r="BV185" s="109" t="str">
        <f aca="false">IF(ISBLANK($C185),
    "",
    BJ185
)</f>
        <v/>
      </c>
      <c r="BW185" s="112" t="str">
        <f aca="false">IF(BN185&gt;BM$7,
    "",
    VLOOKUP(BN185,BP$8:BV684,7,FALSE())
)</f>
        <v/>
      </c>
      <c r="BX185" s="113" t="str">
        <f aca="false">IF(BN185&gt;BM$7,
    "",
    VLOOKUP(BN185,BP$8:BV684,2,FALSE())
)</f>
        <v/>
      </c>
      <c r="BY185" s="113" t="str">
        <f aca="false">IF(BN185&gt;BM$7,
    "",
    VLOOKUP(BN185,BP$8:BV684,3,FALSE())
)</f>
        <v/>
      </c>
      <c r="BZ185" s="113" t="str">
        <f aca="false">IF(BN185&gt;BM$7,
    "",
    VLOOKUP(BN185,BP$8:BV684,4,FALSE())
)</f>
        <v/>
      </c>
      <c r="CA185" s="113" t="str">
        <f aca="false">IF(BN185&gt;BM$7,
    "",
    VLOOKUP(BN185,BP$8:BV684,5,FALSE())
)</f>
        <v/>
      </c>
      <c r="CB185" s="114" t="str">
        <f aca="false">IF(BN185&gt;BM$7,
    "",
    VLOOKUP(BN185,BP$8:BV684,6,FALSE())
)</f>
        <v/>
      </c>
      <c r="CC185" s="53"/>
    </row>
    <row r="186" customFormat="false" ht="15.75" hidden="false" customHeight="false" outlineLevel="0" collapsed="false">
      <c r="A186" s="5"/>
      <c r="B186" s="125"/>
      <c r="C186" s="126"/>
      <c r="D186" s="115"/>
      <c r="E186" s="119"/>
      <c r="F186" s="119"/>
      <c r="G186" s="91"/>
      <c r="H186" s="92"/>
      <c r="I186" s="92"/>
      <c r="J186" s="128"/>
      <c r="K186" s="128"/>
      <c r="L186" s="128"/>
      <c r="M186" s="94"/>
      <c r="N186" s="94"/>
      <c r="O186" s="94"/>
      <c r="P186" s="95"/>
      <c r="Q186" s="96"/>
      <c r="R186" s="128"/>
      <c r="S186" s="98"/>
      <c r="T186" s="99"/>
      <c r="U186" s="99" t="str">
        <f aca="false">IF(ISBLANK($C186),"",IF(G186=Constants!$B$2, TRUE(), IF(G186=Constants!$B$3, FALSE(), TRUE())))</f>
        <v/>
      </c>
      <c r="V186" s="99" t="str">
        <f aca="false">IF(ISBLANK($C186),"",IF(H186=Constants!$B$2, TRUE(), IF(H186=Constants!$B$3, FALSE(), TRUE())))</f>
        <v/>
      </c>
      <c r="W186" s="99" t="str">
        <f aca="false">IF(ISBLANK($C186),"",IF(I186=Constants!$B$2, TRUE(), IF(I186=Constants!$B$3, FALSE(), TRUE())))</f>
        <v/>
      </c>
      <c r="X186" s="99" t="str">
        <f aca="false">IF(ISBLANK($C186),"",IF(AND(ISNUMBER(J186),J186&gt;0),INT(J186),0))</f>
        <v/>
      </c>
      <c r="Y186" s="99" t="str">
        <f aca="false">IF(ISBLANK($C186),"",IF(K186=Constants!$B$2, TRUE(), IF(K186=Constants!$B$3, FALSE(), TRUE())))</f>
        <v/>
      </c>
      <c r="Z186" s="100" t="str">
        <f aca="false">IF(ISBLANK($C186),"",IF(AND(ISNUMBER(L186),L186&gt;0),INT(L186),0))</f>
        <v/>
      </c>
      <c r="AA186" s="101" t="str">
        <f aca="false">IF(ISBLANK($C186),"",IF(ISNUMBER(M186), M186, ""))</f>
        <v/>
      </c>
      <c r="AB186" s="101" t="str">
        <f aca="false">IF(ISBLANK($C186),"",IF(ISNUMBER(N186), N186, ""))</f>
        <v/>
      </c>
      <c r="AC186" s="101" t="str">
        <f aca="false">IF(ISBLANK($C186),"",IF(ISNUMBER(O186), O186, ""))</f>
        <v/>
      </c>
      <c r="AD186" s="102" t="str">
        <f aca="false">IF(ISBLANK($C186),"",IF(ISNUMBER(P186), P186, ""))</f>
        <v/>
      </c>
      <c r="AE186" s="102" t="str">
        <f aca="false">IF(ISBLANK($C186),"",IF(ISNUMBER(Q186), Q186, Constants!$B$13))</f>
        <v/>
      </c>
      <c r="AF186" s="99" t="str">
        <f aca="false">IF(ISBLANK($C186),"",IF(R186=Constants!$B$2, TRUE(), IF(R186=Constants!$B$3, FALSE(), FALSE())))</f>
        <v/>
      </c>
      <c r="AG186" s="99" t="str">
        <f aca="false">IF(ISBLANK(C186), "", IF(AF186, Constants!$B$4,IF(COUNTA(G186:P186)=0, Constants!$B$5, Constants!$B$7)))</f>
        <v/>
      </c>
      <c r="AH186" s="99" t="str">
        <f aca="false">IF(ISBLANK($C186), "",IF($AG186=Constants!$B$7,1,$AG186))</f>
        <v/>
      </c>
      <c r="AI186" s="99" t="str">
        <f aca="false">IF($AG186=Constants!$B$7,POWER(Constants!$B$11,X186)*POWER(Constants!$B$12,Z186),"")</f>
        <v/>
      </c>
      <c r="AJ186" s="99" t="str">
        <f aca="false">IF(AND($AG186=Constants!$B$7, U186, V186) ,IF(OR($AA186="",$AC186=""),"",MAX(0, $AC186-$AA186)),"")</f>
        <v/>
      </c>
      <c r="AK186" s="99" t="str">
        <f aca="false">IF(AND($AG186=Constants!$B$7, U186, V186),IF(OR($AA186="",$AC186=""),$AK$6,""),"")</f>
        <v/>
      </c>
      <c r="AL186" s="99" t="str">
        <f aca="false">IF($AG186=Constants!$B$7,IF(AND(U186,V186,W186,Y186),IF($AJ186="",0,IF($AJ$6=0,Constants!$B$9,Constants!$B$9*AJ186/$AJ$6)), 0),"")</f>
        <v/>
      </c>
      <c r="AM186" s="99" t="str">
        <f aca="false">IF(AL186&lt;&gt;"", AL186*AI186,"")</f>
        <v/>
      </c>
      <c r="AN186" s="99" t="str">
        <f aca="false">IF(AND($AG186=Constants!$B$7, U186, V186) ,IF($AB186="", "", IF(OR($AC186="",$AC186=0),"",MAX(0,1-ABS($AC186-$AB186)/$AC186))),"")</f>
        <v/>
      </c>
      <c r="AO186" s="99" t="str">
        <f aca="false">IF(AND($AG186=Constants!$B$7, U186, V186),IF(AND($AA186&lt;&gt;"",$AB186&lt;&gt;"",$AC186=0),$AO$6,""),"")</f>
        <v/>
      </c>
      <c r="AP186" s="99" t="str">
        <f aca="false">IF($AG186=Constants!$B$7 ,IF(AND(U186,V186,W186,Y186,ISNUMBER(AB186)),IF($AN186="",0,IF($AN$6=0,Constants!$B$10,Constants!$B$10*AN186/$AN$6)), 0),"")</f>
        <v/>
      </c>
      <c r="AQ186" s="99" t="str">
        <f aca="false">IF(AP186&lt;&gt;"", AP186*AI186,"")</f>
        <v/>
      </c>
      <c r="AR186" s="99" t="str">
        <f aca="false">IF($AG186=Constants!$B$7,IF($AD186="",0,IF($AR$6=0,Constants!$B$8,Constants!$B$8*AD186/$AR$6)),"")</f>
        <v/>
      </c>
      <c r="AS186" s="99" t="str">
        <f aca="false">IF($AG186&lt;&gt;Constants!$B$7,$AG186,IF(AK186&amp;AO186&lt;&gt;"",Constants!$B$14,AM186+AQ186+AR186))</f>
        <v/>
      </c>
      <c r="AT186" s="99" t="str">
        <f aca="false">IF(ISBLANK($C186),"",IF($AG186=Constants!$B$7,IF(ISNUMBER(AS186),RANK(AS186,$AS$8:$AS$507),Constants!$B$14),$AG186))</f>
        <v/>
      </c>
      <c r="AU186" s="99" t="str">
        <f aca="false">IF(ISBLANK($C186), "",AM186)</f>
        <v/>
      </c>
      <c r="AV186" s="99" t="str">
        <f aca="false">IF(ISBLANK($C186),"",IF($AG186=Constants!$B$7,RANK(AU186,AU$8:AU$507),$AG186))</f>
        <v/>
      </c>
      <c r="AW186" s="99" t="str">
        <f aca="false">IF(ISBLANK($C186), "",AR186)</f>
        <v/>
      </c>
      <c r="AX186" s="99" t="str">
        <f aca="false">IF(ISBLANK($C186),"",IF($AG186=Constants!$B$7,RANK(AW186,AW$8:AW$507),$AG186))</f>
        <v/>
      </c>
      <c r="AY186" s="99" t="str">
        <f aca="false">IF(ISBLANK($C186), "",AE186)</f>
        <v/>
      </c>
      <c r="AZ186" s="99" t="str">
        <f aca="false">IF(ISBLANK($C186),"",
IF($AG186=Constants!$B$7,
  IF(ISNUMBER(AT186),
    COUNTIFS($AT$8:$AT$507,"&lt;"&amp;$AT186)
    + COUNTIFS($AT$8:$AT$507,$AT186,$AV$8:$AV$507,"&lt;"&amp;$AV186)
    + COUNTIFS($AT$8:$AT$507,$AT186,$AV$8:$AV$507,$AV186,$AX$8:$AX$507,"&lt;"&amp;$AX186)
    + COUNTIFS($AT$8:$AT$507,$AT186,$AV$8:$AV$507,$AV186,$AX$8:$AX$507,$AX186,$AY$8:$AY$507,"&lt;"&amp;$AY186)
    + 1,
  Constants!$B$14),
$AG186))</f>
        <v/>
      </c>
      <c r="BA186" s="99" t="str">
        <f aca="false">IF(ISBLANK(C186),"",IF($AG186=Constants!$B$7, IF(ISNUMBER(AT186),AT186-AZ186,Constants!$B$14),$AG186))</f>
        <v/>
      </c>
      <c r="BB186" s="103"/>
      <c r="BC186" s="104" t="str">
        <f aca="false">IF(ISBLANK($C186),"",TRIM(AK186&amp;" "&amp;AO186))</f>
        <v/>
      </c>
      <c r="BD186" s="105" t="str">
        <f aca="false">IF(ISBLANK($C186),"",IF($AG186&lt;&gt;Constants!$B$7,$AG186,AR186))</f>
        <v/>
      </c>
      <c r="BE186" s="105" t="str">
        <f aca="false">IF(ISBLANK($C186),"",IF($AG186&lt;&gt;Constants!$B$7,$AG186,AM186))</f>
        <v/>
      </c>
      <c r="BF186" s="105" t="str">
        <f aca="false">IF(ISBLANK($C186),"",IF($AG186&lt;&gt;Constants!$B$7,$AG186,AQ186))</f>
        <v/>
      </c>
      <c r="BG186" s="106" t="str">
        <f aca="false">IF(ISBLANK($C186),"",IF($AG186&lt;&gt;Constants!$B$7, $AG186 ,AS186))</f>
        <v/>
      </c>
      <c r="BH186" s="107" t="str">
        <f aca="false">IF(ISBLANK($C186),"",IF($AG186&lt;&gt;Constants!$B$7, $AG186 ,AH186))</f>
        <v/>
      </c>
      <c r="BI186" s="105" t="str">
        <f aca="false">IF(ISBLANK(C186),"",BA186)</f>
        <v/>
      </c>
      <c r="BJ186" s="105" t="str">
        <f aca="false">IF(ISBLANK(C186),"",AZ186)</f>
        <v/>
      </c>
      <c r="BK186" s="108" t="str">
        <f aca="false">IF(ISBLANK(C186),"",IFERROR(_xlfn.SWITCH(BJ186, Constants!$B$4, COUNTA($C$8:$C685)+2, Constants!$B$5, COUNTA($C$8:$C685)+1, Constants!$B$6, COUNTA($C$8:$C685)),BJ186))</f>
        <v/>
      </c>
      <c r="BL186" s="5"/>
      <c r="BM186" s="109" t="n">
        <f aca="false">IF(OR(ISNUMBER(BJ186),BJ186="DQ",BJ186="P",BJ186="NS"),
    1,
    0
)</f>
        <v>0</v>
      </c>
      <c r="BN186" s="109" t="n">
        <v>179</v>
      </c>
      <c r="BO186" s="109" t="str">
        <f aca="false">IF(ISBLANK($C186),"",IF(ISNUMBER(BK186),BK186+ROW($B186)/1000,""))</f>
        <v/>
      </c>
      <c r="BP186" s="109" t="str">
        <f aca="false">IF(ISNUMBER(BO186), RANK(BO186,BO$8:BO$507,1), "")</f>
        <v/>
      </c>
      <c r="BQ186" s="109" t="str">
        <f aca="false">IF(ISBLANK($C186),
    "",
    $B186
)</f>
        <v/>
      </c>
      <c r="BR186" s="109" t="str">
        <f aca="false">IF(ISBLANK($C186),
    "",
    $C186
)</f>
        <v/>
      </c>
      <c r="BS186" s="109" t="str">
        <f aca="false">IF(ISBLANK($C186),
    "",
    $D186
)</f>
        <v/>
      </c>
      <c r="BT186" s="110" t="str">
        <f aca="false">BH186</f>
        <v/>
      </c>
      <c r="BU186" s="111" t="str">
        <f aca="false">BG186</f>
        <v/>
      </c>
      <c r="BV186" s="109" t="str">
        <f aca="false">IF(ISBLANK($C186),
    "",
    BJ186
)</f>
        <v/>
      </c>
      <c r="BW186" s="112" t="str">
        <f aca="false">IF(BN186&gt;BM$7,
    "",
    VLOOKUP(BN186,BP$8:BV685,7,FALSE())
)</f>
        <v/>
      </c>
      <c r="BX186" s="113" t="str">
        <f aca="false">IF(BN186&gt;BM$7,
    "",
    VLOOKUP(BN186,BP$8:BV685,2,FALSE())
)</f>
        <v/>
      </c>
      <c r="BY186" s="113" t="str">
        <f aca="false">IF(BN186&gt;BM$7,
    "",
    VLOOKUP(BN186,BP$8:BV685,3,FALSE())
)</f>
        <v/>
      </c>
      <c r="BZ186" s="113" t="str">
        <f aca="false">IF(BN186&gt;BM$7,
    "",
    VLOOKUP(BN186,BP$8:BV685,4,FALSE())
)</f>
        <v/>
      </c>
      <c r="CA186" s="113" t="str">
        <f aca="false">IF(BN186&gt;BM$7,
    "",
    VLOOKUP(BN186,BP$8:BV685,5,FALSE())
)</f>
        <v/>
      </c>
      <c r="CB186" s="114" t="str">
        <f aca="false">IF(BN186&gt;BM$7,
    "",
    VLOOKUP(BN186,BP$8:BV685,6,FALSE())
)</f>
        <v/>
      </c>
      <c r="CC186" s="53"/>
    </row>
    <row r="187" customFormat="false" ht="15.75" hidden="false" customHeight="false" outlineLevel="0" collapsed="false">
      <c r="A187" s="5"/>
      <c r="B187" s="125"/>
      <c r="C187" s="126"/>
      <c r="D187" s="115"/>
      <c r="E187" s="119"/>
      <c r="F187" s="119"/>
      <c r="G187" s="91"/>
      <c r="H187" s="92"/>
      <c r="I187" s="92"/>
      <c r="J187" s="128"/>
      <c r="K187" s="128"/>
      <c r="L187" s="128"/>
      <c r="M187" s="94"/>
      <c r="N187" s="94"/>
      <c r="O187" s="94"/>
      <c r="P187" s="95"/>
      <c r="Q187" s="96"/>
      <c r="R187" s="128"/>
      <c r="S187" s="98"/>
      <c r="T187" s="99"/>
      <c r="U187" s="99" t="str">
        <f aca="false">IF(ISBLANK($C187),"",IF(G187=Constants!$B$2, TRUE(), IF(G187=Constants!$B$3, FALSE(), TRUE())))</f>
        <v/>
      </c>
      <c r="V187" s="99" t="str">
        <f aca="false">IF(ISBLANK($C187),"",IF(H187=Constants!$B$2, TRUE(), IF(H187=Constants!$B$3, FALSE(), TRUE())))</f>
        <v/>
      </c>
      <c r="W187" s="99" t="str">
        <f aca="false">IF(ISBLANK($C187),"",IF(I187=Constants!$B$2, TRUE(), IF(I187=Constants!$B$3, FALSE(), TRUE())))</f>
        <v/>
      </c>
      <c r="X187" s="99" t="str">
        <f aca="false">IF(ISBLANK($C187),"",IF(AND(ISNUMBER(J187),J187&gt;0),INT(J187),0))</f>
        <v/>
      </c>
      <c r="Y187" s="99" t="str">
        <f aca="false">IF(ISBLANK($C187),"",IF(K187=Constants!$B$2, TRUE(), IF(K187=Constants!$B$3, FALSE(), TRUE())))</f>
        <v/>
      </c>
      <c r="Z187" s="100" t="str">
        <f aca="false">IF(ISBLANK($C187),"",IF(AND(ISNUMBER(L187),L187&gt;0),INT(L187),0))</f>
        <v/>
      </c>
      <c r="AA187" s="101" t="str">
        <f aca="false">IF(ISBLANK($C187),"",IF(ISNUMBER(M187), M187, ""))</f>
        <v/>
      </c>
      <c r="AB187" s="101" t="str">
        <f aca="false">IF(ISBLANK($C187),"",IF(ISNUMBER(N187), N187, ""))</f>
        <v/>
      </c>
      <c r="AC187" s="101" t="str">
        <f aca="false">IF(ISBLANK($C187),"",IF(ISNUMBER(O187), O187, ""))</f>
        <v/>
      </c>
      <c r="AD187" s="102" t="str">
        <f aca="false">IF(ISBLANK($C187),"",IF(ISNUMBER(P187), P187, ""))</f>
        <v/>
      </c>
      <c r="AE187" s="102" t="str">
        <f aca="false">IF(ISBLANK($C187),"",IF(ISNUMBER(Q187), Q187, Constants!$B$13))</f>
        <v/>
      </c>
      <c r="AF187" s="99" t="str">
        <f aca="false">IF(ISBLANK($C187),"",IF(R187=Constants!$B$2, TRUE(), IF(R187=Constants!$B$3, FALSE(), FALSE())))</f>
        <v/>
      </c>
      <c r="AG187" s="99" t="str">
        <f aca="false">IF(ISBLANK(C187), "", IF(AF187, Constants!$B$4,IF(COUNTA(G187:P187)=0, Constants!$B$5, Constants!$B$7)))</f>
        <v/>
      </c>
      <c r="AH187" s="99" t="str">
        <f aca="false">IF(ISBLANK($C187), "",IF($AG187=Constants!$B$7,1,$AG187))</f>
        <v/>
      </c>
      <c r="AI187" s="99" t="str">
        <f aca="false">IF($AG187=Constants!$B$7,POWER(Constants!$B$11,X187)*POWER(Constants!$B$12,Z187),"")</f>
        <v/>
      </c>
      <c r="AJ187" s="99" t="str">
        <f aca="false">IF(AND($AG187=Constants!$B$7, U187, V187) ,IF(OR($AA187="",$AC187=""),"",MAX(0, $AC187-$AA187)),"")</f>
        <v/>
      </c>
      <c r="AK187" s="99" t="str">
        <f aca="false">IF(AND($AG187=Constants!$B$7, U187, V187),IF(OR($AA187="",$AC187=""),$AK$6,""),"")</f>
        <v/>
      </c>
      <c r="AL187" s="99" t="str">
        <f aca="false">IF($AG187=Constants!$B$7,IF(AND(U187,V187,W187,Y187),IF($AJ187="",0,IF($AJ$6=0,Constants!$B$9,Constants!$B$9*AJ187/$AJ$6)), 0),"")</f>
        <v/>
      </c>
      <c r="AM187" s="99" t="str">
        <f aca="false">IF(AL187&lt;&gt;"", AL187*AI187,"")</f>
        <v/>
      </c>
      <c r="AN187" s="99" t="str">
        <f aca="false">IF(AND($AG187=Constants!$B$7, U187, V187) ,IF($AB187="", "", IF(OR($AC187="",$AC187=0),"",MAX(0,1-ABS($AC187-$AB187)/$AC187))),"")</f>
        <v/>
      </c>
      <c r="AO187" s="99" t="str">
        <f aca="false">IF(AND($AG187=Constants!$B$7, U187, V187),IF(AND($AA187&lt;&gt;"",$AB187&lt;&gt;"",$AC187=0),$AO$6,""),"")</f>
        <v/>
      </c>
      <c r="AP187" s="99" t="str">
        <f aca="false">IF($AG187=Constants!$B$7 ,IF(AND(U187,V187,W187,Y187,ISNUMBER(AB187)),IF($AN187="",0,IF($AN$6=0,Constants!$B$10,Constants!$B$10*AN187/$AN$6)), 0),"")</f>
        <v/>
      </c>
      <c r="AQ187" s="99" t="str">
        <f aca="false">IF(AP187&lt;&gt;"", AP187*AI187,"")</f>
        <v/>
      </c>
      <c r="AR187" s="99" t="str">
        <f aca="false">IF($AG187=Constants!$B$7,IF($AD187="",0,IF($AR$6=0,Constants!$B$8,Constants!$B$8*AD187/$AR$6)),"")</f>
        <v/>
      </c>
      <c r="AS187" s="99" t="str">
        <f aca="false">IF($AG187&lt;&gt;Constants!$B$7,$AG187,IF(AK187&amp;AO187&lt;&gt;"",Constants!$B$14,AM187+AQ187+AR187))</f>
        <v/>
      </c>
      <c r="AT187" s="99" t="str">
        <f aca="false">IF(ISBLANK($C187),"",IF($AG187=Constants!$B$7,IF(ISNUMBER(AS187),RANK(AS187,$AS$8:$AS$507),Constants!$B$14),$AG187))</f>
        <v/>
      </c>
      <c r="AU187" s="99" t="str">
        <f aca="false">IF(ISBLANK($C187), "",AM187)</f>
        <v/>
      </c>
      <c r="AV187" s="99" t="str">
        <f aca="false">IF(ISBLANK($C187),"",IF($AG187=Constants!$B$7,RANK(AU187,AU$8:AU$507),$AG187))</f>
        <v/>
      </c>
      <c r="AW187" s="99" t="str">
        <f aca="false">IF(ISBLANK($C187), "",AR187)</f>
        <v/>
      </c>
      <c r="AX187" s="99" t="str">
        <f aca="false">IF(ISBLANK($C187),"",IF($AG187=Constants!$B$7,RANK(AW187,AW$8:AW$507),$AG187))</f>
        <v/>
      </c>
      <c r="AY187" s="99" t="str">
        <f aca="false">IF(ISBLANK($C187), "",AE187)</f>
        <v/>
      </c>
      <c r="AZ187" s="99" t="str">
        <f aca="false">IF(ISBLANK($C187),"",
IF($AG187=Constants!$B$7,
  IF(ISNUMBER(AT187),
    COUNTIFS($AT$8:$AT$507,"&lt;"&amp;$AT187)
    + COUNTIFS($AT$8:$AT$507,$AT187,$AV$8:$AV$507,"&lt;"&amp;$AV187)
    + COUNTIFS($AT$8:$AT$507,$AT187,$AV$8:$AV$507,$AV187,$AX$8:$AX$507,"&lt;"&amp;$AX187)
    + COUNTIFS($AT$8:$AT$507,$AT187,$AV$8:$AV$507,$AV187,$AX$8:$AX$507,$AX187,$AY$8:$AY$507,"&lt;"&amp;$AY187)
    + 1,
  Constants!$B$14),
$AG187))</f>
        <v/>
      </c>
      <c r="BA187" s="99" t="str">
        <f aca="false">IF(ISBLANK(C187),"",IF($AG187=Constants!$B$7, IF(ISNUMBER(AT187),AT187-AZ187,Constants!$B$14),$AG187))</f>
        <v/>
      </c>
      <c r="BB187" s="103"/>
      <c r="BC187" s="104" t="str">
        <f aca="false">IF(ISBLANK($C187),"",TRIM(AK187&amp;" "&amp;AO187))</f>
        <v/>
      </c>
      <c r="BD187" s="105" t="str">
        <f aca="false">IF(ISBLANK($C187),"",IF($AG187&lt;&gt;Constants!$B$7,$AG187,AR187))</f>
        <v/>
      </c>
      <c r="BE187" s="105" t="str">
        <f aca="false">IF(ISBLANK($C187),"",IF($AG187&lt;&gt;Constants!$B$7,$AG187,AM187))</f>
        <v/>
      </c>
      <c r="BF187" s="105" t="str">
        <f aca="false">IF(ISBLANK($C187),"",IF($AG187&lt;&gt;Constants!$B$7,$AG187,AQ187))</f>
        <v/>
      </c>
      <c r="BG187" s="106" t="str">
        <f aca="false">IF(ISBLANK($C187),"",IF($AG187&lt;&gt;Constants!$B$7, $AG187 ,AS187))</f>
        <v/>
      </c>
      <c r="BH187" s="107" t="str">
        <f aca="false">IF(ISBLANK($C187),"",IF($AG187&lt;&gt;Constants!$B$7, $AG187 ,AH187))</f>
        <v/>
      </c>
      <c r="BI187" s="105" t="str">
        <f aca="false">IF(ISBLANK(C187),"",BA187)</f>
        <v/>
      </c>
      <c r="BJ187" s="105" t="str">
        <f aca="false">IF(ISBLANK(C187),"",AZ187)</f>
        <v/>
      </c>
      <c r="BK187" s="108" t="str">
        <f aca="false">IF(ISBLANK(C187),"",IFERROR(_xlfn.SWITCH(BJ187, Constants!$B$4, COUNTA($C$8:$C686)+2, Constants!$B$5, COUNTA($C$8:$C686)+1, Constants!$B$6, COUNTA($C$8:$C686)),BJ187))</f>
        <v/>
      </c>
      <c r="BL187" s="5"/>
      <c r="BM187" s="109" t="n">
        <f aca="false">IF(OR(ISNUMBER(BJ187),BJ187="DQ",BJ187="P",BJ187="NS"),
    1,
    0
)</f>
        <v>0</v>
      </c>
      <c r="BN187" s="109" t="n">
        <v>180</v>
      </c>
      <c r="BO187" s="109" t="str">
        <f aca="false">IF(ISBLANK($C187),"",IF(ISNUMBER(BK187),BK187+ROW($B187)/1000,""))</f>
        <v/>
      </c>
      <c r="BP187" s="109" t="str">
        <f aca="false">IF(ISNUMBER(BO187), RANK(BO187,BO$8:BO$507,1), "")</f>
        <v/>
      </c>
      <c r="BQ187" s="109" t="str">
        <f aca="false">IF(ISBLANK($C187),
    "",
    $B187
)</f>
        <v/>
      </c>
      <c r="BR187" s="109" t="str">
        <f aca="false">IF(ISBLANK($C187),
    "",
    $C187
)</f>
        <v/>
      </c>
      <c r="BS187" s="109" t="str">
        <f aca="false">IF(ISBLANK($C187),
    "",
    $D187
)</f>
        <v/>
      </c>
      <c r="BT187" s="110" t="str">
        <f aca="false">BH187</f>
        <v/>
      </c>
      <c r="BU187" s="111" t="str">
        <f aca="false">BG187</f>
        <v/>
      </c>
      <c r="BV187" s="109" t="str">
        <f aca="false">IF(ISBLANK($C187),
    "",
    BJ187
)</f>
        <v/>
      </c>
      <c r="BW187" s="112" t="str">
        <f aca="false">IF(BN187&gt;BM$7,
    "",
    VLOOKUP(BN187,BP$8:BV686,7,FALSE())
)</f>
        <v/>
      </c>
      <c r="BX187" s="113" t="str">
        <f aca="false">IF(BN187&gt;BM$7,
    "",
    VLOOKUP(BN187,BP$8:BV686,2,FALSE())
)</f>
        <v/>
      </c>
      <c r="BY187" s="113" t="str">
        <f aca="false">IF(BN187&gt;BM$7,
    "",
    VLOOKUP(BN187,BP$8:BV686,3,FALSE())
)</f>
        <v/>
      </c>
      <c r="BZ187" s="113" t="str">
        <f aca="false">IF(BN187&gt;BM$7,
    "",
    VLOOKUP(BN187,BP$8:BV686,4,FALSE())
)</f>
        <v/>
      </c>
      <c r="CA187" s="113" t="str">
        <f aca="false">IF(BN187&gt;BM$7,
    "",
    VLOOKUP(BN187,BP$8:BV686,5,FALSE())
)</f>
        <v/>
      </c>
      <c r="CB187" s="114" t="str">
        <f aca="false">IF(BN187&gt;BM$7,
    "",
    VLOOKUP(BN187,BP$8:BV686,6,FALSE())
)</f>
        <v/>
      </c>
      <c r="CC187" s="53"/>
    </row>
    <row r="188" customFormat="false" ht="15.75" hidden="false" customHeight="false" outlineLevel="0" collapsed="false">
      <c r="A188" s="5"/>
      <c r="B188" s="129"/>
      <c r="C188" s="55"/>
      <c r="D188" s="56"/>
      <c r="E188" s="123"/>
      <c r="F188" s="123"/>
      <c r="G188" s="58"/>
      <c r="H188" s="59"/>
      <c r="I188" s="59"/>
      <c r="J188" s="83"/>
      <c r="K188" s="83"/>
      <c r="L188" s="83"/>
      <c r="M188" s="61"/>
      <c r="N188" s="61"/>
      <c r="O188" s="61"/>
      <c r="P188" s="62"/>
      <c r="Q188" s="63"/>
      <c r="R188" s="83"/>
      <c r="S188" s="65"/>
      <c r="T188" s="66"/>
      <c r="U188" s="66" t="str">
        <f aca="false">IF(ISBLANK($C188),"",IF(G188=Constants!$B$2, TRUE(), IF(G188=Constants!$B$3, FALSE(), TRUE())))</f>
        <v/>
      </c>
      <c r="V188" s="66" t="str">
        <f aca="false">IF(ISBLANK($C188),"",IF(H188=Constants!$B$2, TRUE(), IF(H188=Constants!$B$3, FALSE(), TRUE())))</f>
        <v/>
      </c>
      <c r="W188" s="66" t="str">
        <f aca="false">IF(ISBLANK($C188),"",IF(I188=Constants!$B$2, TRUE(), IF(I188=Constants!$B$3, FALSE(), TRUE())))</f>
        <v/>
      </c>
      <c r="X188" s="66" t="str">
        <f aca="false">IF(ISBLANK($C188),"",IF(AND(ISNUMBER(J188),J188&gt;0),INT(J188),0))</f>
        <v/>
      </c>
      <c r="Y188" s="66" t="str">
        <f aca="false">IF(ISBLANK($C188),"",IF(K188=Constants!$B$2, TRUE(), IF(K188=Constants!$B$3, FALSE(), TRUE())))</f>
        <v/>
      </c>
      <c r="Z188" s="66" t="str">
        <f aca="false">IF(ISBLANK($C188),"",IF(AND(ISNUMBER(L188),L188&gt;0),INT(L188),0))</f>
        <v/>
      </c>
      <c r="AA188" s="68" t="str">
        <f aca="false">IF(ISBLANK($C188),"",IF(ISNUMBER(M188), M188, ""))</f>
        <v/>
      </c>
      <c r="AB188" s="68" t="str">
        <f aca="false">IF(ISBLANK($C188),"",IF(ISNUMBER(N188), N188, ""))</f>
        <v/>
      </c>
      <c r="AC188" s="68" t="str">
        <f aca="false">IF(ISBLANK($C188),"",IF(ISNUMBER(O188), O188, ""))</f>
        <v/>
      </c>
      <c r="AD188" s="69" t="str">
        <f aca="false">IF(ISBLANK($C188),"",IF(ISNUMBER(P188), P188, ""))</f>
        <v/>
      </c>
      <c r="AE188" s="69" t="str">
        <f aca="false">IF(ISBLANK($C188),"",IF(ISNUMBER(Q188), Q188, Constants!$B$13))</f>
        <v/>
      </c>
      <c r="AF188" s="66" t="str">
        <f aca="false">IF(ISBLANK($C188),"",IF(R188=Constants!$B$2, TRUE(), IF(R188=Constants!$B$3, FALSE(), FALSE())))</f>
        <v/>
      </c>
      <c r="AG188" s="66" t="str">
        <f aca="false">IF(ISBLANK(C188), "", IF(AF188, Constants!$B$4,IF(COUNTA(G188:P188)=0, Constants!$B$5, Constants!$B$7)))</f>
        <v/>
      </c>
      <c r="AH188" s="66" t="str">
        <f aca="false">IF(ISBLANK($C188), "",IF($AG188=Constants!$B$7,1,$AG188))</f>
        <v/>
      </c>
      <c r="AI188" s="66" t="str">
        <f aca="false">IF($AG188=Constants!$B$7,POWER(Constants!$B$11,X188)*POWER(Constants!$B$12,Z188),"")</f>
        <v/>
      </c>
      <c r="AJ188" s="66" t="str">
        <f aca="false">IF(AND($AG188=Constants!$B$7, U188, V188) ,IF(OR($AA188="",$AC188=""),"",MAX(0, $AC188-$AA188)),"")</f>
        <v/>
      </c>
      <c r="AK188" s="66" t="str">
        <f aca="false">IF(AND($AG188=Constants!$B$7, U188, V188),IF(OR($AA188="",$AC188=""),$AK$6,""),"")</f>
        <v/>
      </c>
      <c r="AL188" s="66" t="str">
        <f aca="false">IF($AG188=Constants!$B$7,IF(AND(U188,V188,W188,Y188),IF($AJ188="",0,IF($AJ$6=0,Constants!$B$9,Constants!$B$9*AJ188/$AJ$6)), 0),"")</f>
        <v/>
      </c>
      <c r="AM188" s="66" t="str">
        <f aca="false">IF(AL188&lt;&gt;"", AL188*AI188,"")</f>
        <v/>
      </c>
      <c r="AN188" s="66" t="str">
        <f aca="false">IF(AND($AG188=Constants!$B$7, U188, V188) ,IF($AB188="", "", IF(OR($AC188="",$AC188=0),"",MAX(0,1-ABS($AC188-$AB188)/$AC188))),"")</f>
        <v/>
      </c>
      <c r="AO188" s="66" t="str">
        <f aca="false">IF(AND($AG188=Constants!$B$7, U188, V188),IF(AND($AA188&lt;&gt;"",$AB188&lt;&gt;"",$AC188=0),$AO$6,""),"")</f>
        <v/>
      </c>
      <c r="AP188" s="66" t="str">
        <f aca="false">IF($AG188=Constants!$B$7 ,IF(AND(U188,V188,W188,Y188,ISNUMBER(AB188)),IF($AN188="",0,IF($AN$6=0,Constants!$B$10,Constants!$B$10*AN188/$AN$6)), 0),"")</f>
        <v/>
      </c>
      <c r="AQ188" s="66" t="str">
        <f aca="false">IF(AP188&lt;&gt;"", AP188*AI188,"")</f>
        <v/>
      </c>
      <c r="AR188" s="66" t="str">
        <f aca="false">IF($AG188=Constants!$B$7,IF($AD188="",0,IF($AR$6=0,Constants!$B$8,Constants!$B$8*AD188/$AR$6)),"")</f>
        <v/>
      </c>
      <c r="AS188" s="66" t="str">
        <f aca="false">IF($AG188&lt;&gt;Constants!$B$7,$AG188,IF(AK188&amp;AO188&lt;&gt;"",Constants!$B$14,AM188+AQ188+AR188))</f>
        <v/>
      </c>
      <c r="AT188" s="66" t="str">
        <f aca="false">IF(ISBLANK($C188),"",IF($AG188=Constants!$B$7,IF(ISNUMBER(AS188),RANK(AS188,$AS$8:$AS$507),Constants!$B$14),$AG188))</f>
        <v/>
      </c>
      <c r="AU188" s="66" t="str">
        <f aca="false">IF(ISBLANK($C188), "",AM188)</f>
        <v/>
      </c>
      <c r="AV188" s="66" t="str">
        <f aca="false">IF(ISBLANK($C188),"",IF($AG188=Constants!$B$7,RANK(AU188,AU$8:AU$507),$AG188))</f>
        <v/>
      </c>
      <c r="AW188" s="66" t="str">
        <f aca="false">IF(ISBLANK($C188), "",AR188)</f>
        <v/>
      </c>
      <c r="AX188" s="66" t="str">
        <f aca="false">IF(ISBLANK($C188),"",IF($AG188=Constants!$B$7,RANK(AW188,AW$8:AW$507),$AG188))</f>
        <v/>
      </c>
      <c r="AY188" s="66" t="str">
        <f aca="false">IF(ISBLANK($C188), "",AE188)</f>
        <v/>
      </c>
      <c r="AZ188" s="66" t="str">
        <f aca="false">IF(ISBLANK($C188),"",
IF($AG188=Constants!$B$7,
  IF(ISNUMBER(AT188),
    COUNTIFS($AT$8:$AT$507,"&lt;"&amp;$AT188)
    + COUNTIFS($AT$8:$AT$507,$AT188,$AV$8:$AV$507,"&lt;"&amp;$AV188)
    + COUNTIFS($AT$8:$AT$507,$AT188,$AV$8:$AV$507,$AV188,$AX$8:$AX$507,"&lt;"&amp;$AX188)
    + COUNTIFS($AT$8:$AT$507,$AT188,$AV$8:$AV$507,$AV188,$AX$8:$AX$507,$AX188,$AY$8:$AY$507,"&lt;"&amp;$AY188)
    + 1,
  Constants!$B$14),
$AG188))</f>
        <v/>
      </c>
      <c r="BA188" s="66" t="str">
        <f aca="false">IF(ISBLANK(C188),"",IF($AG188=Constants!$B$7, IF(ISNUMBER(AT188),AT188-AZ188,Constants!$B$14),$AG188))</f>
        <v/>
      </c>
      <c r="BB188" s="70"/>
      <c r="BC188" s="84" t="str">
        <f aca="false">IF(ISBLANK($C188),"",TRIM(AK188&amp;" "&amp;AO188))</f>
        <v/>
      </c>
      <c r="BD188" s="72" t="str">
        <f aca="false">IF(ISBLANK($C188),"",IF($AG188&lt;&gt;Constants!$B$7,$AG188,AR188))</f>
        <v/>
      </c>
      <c r="BE188" s="72" t="str">
        <f aca="false">IF(ISBLANK($C188),"",IF($AG188&lt;&gt;Constants!$B$7,$AG188,AM188))</f>
        <v/>
      </c>
      <c r="BF188" s="72" t="str">
        <f aca="false">IF(ISBLANK($C188),"",IF($AG188&lt;&gt;Constants!$B$7,$AG188,AQ188))</f>
        <v/>
      </c>
      <c r="BG188" s="73" t="str">
        <f aca="false">IF(ISBLANK($C188),"",IF($AG188&lt;&gt;Constants!$B$7, $AG188 ,AS188))</f>
        <v/>
      </c>
      <c r="BH188" s="74" t="str">
        <f aca="false">IF(ISBLANK($C188),"",IF($AG188&lt;&gt;Constants!$B$7, $AG188 ,AH188))</f>
        <v/>
      </c>
      <c r="BI188" s="72" t="str">
        <f aca="false">IF(ISBLANK(C188),"",BA188)</f>
        <v/>
      </c>
      <c r="BJ188" s="72" t="str">
        <f aca="false">IF(ISBLANK(C188),"",AZ188)</f>
        <v/>
      </c>
      <c r="BK188" s="75" t="str">
        <f aca="false">IF(ISBLANK(C188),"",IFERROR(_xlfn.SWITCH(BJ188, Constants!$B$4, COUNTA($C$8:$C687)+2, Constants!$B$5, COUNTA($C$8:$C687)+1, Constants!$B$6, COUNTA($C$8:$C687)),BJ188))</f>
        <v/>
      </c>
      <c r="BL188" s="5"/>
      <c r="BM188" s="76" t="n">
        <f aca="false">IF(OR(ISNUMBER(BJ188),BJ188="DQ",BJ188="P",BJ188="NS"),
    1,
    0
)</f>
        <v>0</v>
      </c>
      <c r="BN188" s="76" t="n">
        <v>181</v>
      </c>
      <c r="BO188" s="76" t="str">
        <f aca="false">IF(ISBLANK($C188),"",IF(ISNUMBER(BK188),BK188+ROW($B188)/1000,""))</f>
        <v/>
      </c>
      <c r="BP188" s="76" t="str">
        <f aca="false">IF(ISNUMBER(BO188), RANK(BO188,BO$8:BO$507,1), "")</f>
        <v/>
      </c>
      <c r="BQ188" s="76" t="str">
        <f aca="false">IF(ISBLANK($C188),
    "",
    $B188
)</f>
        <v/>
      </c>
      <c r="BR188" s="76" t="str">
        <f aca="false">IF(ISBLANK($C188),
    "",
    $C188
)</f>
        <v/>
      </c>
      <c r="BS188" s="76" t="str">
        <f aca="false">IF(ISBLANK($C188),
    "",
    $D188
)</f>
        <v/>
      </c>
      <c r="BT188" s="77" t="str">
        <f aca="false">BH188</f>
        <v/>
      </c>
      <c r="BU188" s="78" t="str">
        <f aca="false">BG188</f>
        <v/>
      </c>
      <c r="BV188" s="76" t="str">
        <f aca="false">IF(ISBLANK($C188),
    "",
    BJ188
)</f>
        <v/>
      </c>
      <c r="BW188" s="79" t="str">
        <f aca="false">IF(BN188&gt;BM$7,
    "",
    VLOOKUP(BN188,BP$8:BV687,7,FALSE())
)</f>
        <v/>
      </c>
      <c r="BX188" s="80" t="str">
        <f aca="false">IF(BN188&gt;BM$7,
    "",
    VLOOKUP(BN188,BP$8:BV687,2,FALSE())
)</f>
        <v/>
      </c>
      <c r="BY188" s="80" t="str">
        <f aca="false">IF(BN188&gt;BM$7,
    "",
    VLOOKUP(BN188,BP$8:BV687,3,FALSE())
)</f>
        <v/>
      </c>
      <c r="BZ188" s="80" t="str">
        <f aca="false">IF(BN188&gt;BM$7,
    "",
    VLOOKUP(BN188,BP$8:BV687,4,FALSE())
)</f>
        <v/>
      </c>
      <c r="CA188" s="80" t="str">
        <f aca="false">IF(BN188&gt;BM$7,
    "",
    VLOOKUP(BN188,BP$8:BV687,5,FALSE())
)</f>
        <v/>
      </c>
      <c r="CB188" s="81" t="str">
        <f aca="false">IF(BN188&gt;BM$7,
    "",
    VLOOKUP(BN188,BP$8:BV687,6,FALSE())
)</f>
        <v/>
      </c>
      <c r="CC188" s="53"/>
    </row>
    <row r="189" customFormat="false" ht="15.75" hidden="false" customHeight="false" outlineLevel="0" collapsed="false">
      <c r="A189" s="5"/>
      <c r="B189" s="129"/>
      <c r="C189" s="55"/>
      <c r="D189" s="56"/>
      <c r="E189" s="123"/>
      <c r="F189" s="123"/>
      <c r="G189" s="58"/>
      <c r="H189" s="59"/>
      <c r="I189" s="59"/>
      <c r="J189" s="83"/>
      <c r="K189" s="83"/>
      <c r="L189" s="83"/>
      <c r="M189" s="61"/>
      <c r="N189" s="61"/>
      <c r="O189" s="61"/>
      <c r="P189" s="62"/>
      <c r="Q189" s="63"/>
      <c r="R189" s="83"/>
      <c r="S189" s="65"/>
      <c r="T189" s="66"/>
      <c r="U189" s="66" t="str">
        <f aca="false">IF(ISBLANK($C189),"",IF(G189=Constants!$B$2, TRUE(), IF(G189=Constants!$B$3, FALSE(), TRUE())))</f>
        <v/>
      </c>
      <c r="V189" s="66" t="str">
        <f aca="false">IF(ISBLANK($C189),"",IF(H189=Constants!$B$2, TRUE(), IF(H189=Constants!$B$3, FALSE(), TRUE())))</f>
        <v/>
      </c>
      <c r="W189" s="66" t="str">
        <f aca="false">IF(ISBLANK($C189),"",IF(I189=Constants!$B$2, TRUE(), IF(I189=Constants!$B$3, FALSE(), TRUE())))</f>
        <v/>
      </c>
      <c r="X189" s="66" t="str">
        <f aca="false">IF(ISBLANK($C189),"",IF(AND(ISNUMBER(J189),J189&gt;0),INT(J189),0))</f>
        <v/>
      </c>
      <c r="Y189" s="66" t="str">
        <f aca="false">IF(ISBLANK($C189),"",IF(K189=Constants!$B$2, TRUE(), IF(K189=Constants!$B$3, FALSE(), TRUE())))</f>
        <v/>
      </c>
      <c r="Z189" s="66" t="str">
        <f aca="false">IF(ISBLANK($C189),"",IF(AND(ISNUMBER(L189),L189&gt;0),INT(L189),0))</f>
        <v/>
      </c>
      <c r="AA189" s="68" t="str">
        <f aca="false">IF(ISBLANK($C189),"",IF(ISNUMBER(M189), M189, ""))</f>
        <v/>
      </c>
      <c r="AB189" s="68" t="str">
        <f aca="false">IF(ISBLANK($C189),"",IF(ISNUMBER(N189), N189, ""))</f>
        <v/>
      </c>
      <c r="AC189" s="68" t="str">
        <f aca="false">IF(ISBLANK($C189),"",IF(ISNUMBER(O189), O189, ""))</f>
        <v/>
      </c>
      <c r="AD189" s="69" t="str">
        <f aca="false">IF(ISBLANK($C189),"",IF(ISNUMBER(P189), P189, ""))</f>
        <v/>
      </c>
      <c r="AE189" s="69" t="str">
        <f aca="false">IF(ISBLANK($C189),"",IF(ISNUMBER(Q189), Q189, Constants!$B$13))</f>
        <v/>
      </c>
      <c r="AF189" s="66" t="str">
        <f aca="false">IF(ISBLANK($C189),"",IF(R189=Constants!$B$2, TRUE(), IF(R189=Constants!$B$3, FALSE(), FALSE())))</f>
        <v/>
      </c>
      <c r="AG189" s="66" t="str">
        <f aca="false">IF(ISBLANK(C189), "", IF(AF189, Constants!$B$4,IF(COUNTA(G189:P189)=0, Constants!$B$5, Constants!$B$7)))</f>
        <v/>
      </c>
      <c r="AH189" s="66" t="str">
        <f aca="false">IF(ISBLANK($C189), "",IF($AG189=Constants!$B$7,1,$AG189))</f>
        <v/>
      </c>
      <c r="AI189" s="66" t="str">
        <f aca="false">IF($AG189=Constants!$B$7,POWER(Constants!$B$11,X189)*POWER(Constants!$B$12,Z189),"")</f>
        <v/>
      </c>
      <c r="AJ189" s="66" t="str">
        <f aca="false">IF(AND($AG189=Constants!$B$7, U189, V189) ,IF(OR($AA189="",$AC189=""),"",MAX(0, $AC189-$AA189)),"")</f>
        <v/>
      </c>
      <c r="AK189" s="66" t="str">
        <f aca="false">IF(AND($AG189=Constants!$B$7, U189, V189),IF(OR($AA189="",$AC189=""),$AK$6,""),"")</f>
        <v/>
      </c>
      <c r="AL189" s="66" t="str">
        <f aca="false">IF($AG189=Constants!$B$7,IF(AND(U189,V189,W189,Y189),IF($AJ189="",0,IF($AJ$6=0,Constants!$B$9,Constants!$B$9*AJ189/$AJ$6)), 0),"")</f>
        <v/>
      </c>
      <c r="AM189" s="66" t="str">
        <f aca="false">IF(AL189&lt;&gt;"", AL189*AI189,"")</f>
        <v/>
      </c>
      <c r="AN189" s="66" t="str">
        <f aca="false">IF(AND($AG189=Constants!$B$7, U189, V189) ,IF($AB189="", "", IF(OR($AC189="",$AC189=0),"",MAX(0,1-ABS($AC189-$AB189)/$AC189))),"")</f>
        <v/>
      </c>
      <c r="AO189" s="66" t="str">
        <f aca="false">IF(AND($AG189=Constants!$B$7, U189, V189),IF(AND($AA189&lt;&gt;"",$AB189&lt;&gt;"",$AC189=0),$AO$6,""),"")</f>
        <v/>
      </c>
      <c r="AP189" s="66" t="str">
        <f aca="false">IF($AG189=Constants!$B$7 ,IF(AND(U189,V189,W189,Y189,ISNUMBER(AB189)),IF($AN189="",0,IF($AN$6=0,Constants!$B$10,Constants!$B$10*AN189/$AN$6)), 0),"")</f>
        <v/>
      </c>
      <c r="AQ189" s="66" t="str">
        <f aca="false">IF(AP189&lt;&gt;"", AP189*AI189,"")</f>
        <v/>
      </c>
      <c r="AR189" s="66" t="str">
        <f aca="false">IF($AG189=Constants!$B$7,IF($AD189="",0,IF($AR$6=0,Constants!$B$8,Constants!$B$8*AD189/$AR$6)),"")</f>
        <v/>
      </c>
      <c r="AS189" s="66" t="str">
        <f aca="false">IF($AG189&lt;&gt;Constants!$B$7,$AG189,IF(AK189&amp;AO189&lt;&gt;"",Constants!$B$14,AM189+AQ189+AR189))</f>
        <v/>
      </c>
      <c r="AT189" s="66" t="str">
        <f aca="false">IF(ISBLANK($C189),"",IF($AG189=Constants!$B$7,IF(ISNUMBER(AS189),RANK(AS189,$AS$8:$AS$507),Constants!$B$14),$AG189))</f>
        <v/>
      </c>
      <c r="AU189" s="66" t="str">
        <f aca="false">IF(ISBLANK($C189), "",AM189)</f>
        <v/>
      </c>
      <c r="AV189" s="66" t="str">
        <f aca="false">IF(ISBLANK($C189),"",IF($AG189=Constants!$B$7,RANK(AU189,AU$8:AU$507),$AG189))</f>
        <v/>
      </c>
      <c r="AW189" s="66" t="str">
        <f aca="false">IF(ISBLANK($C189), "",AR189)</f>
        <v/>
      </c>
      <c r="AX189" s="66" t="str">
        <f aca="false">IF(ISBLANK($C189),"",IF($AG189=Constants!$B$7,RANK(AW189,AW$8:AW$507),$AG189))</f>
        <v/>
      </c>
      <c r="AY189" s="66" t="str">
        <f aca="false">IF(ISBLANK($C189), "",AE189)</f>
        <v/>
      </c>
      <c r="AZ189" s="66" t="str">
        <f aca="false">IF(ISBLANK($C189),"",
IF($AG189=Constants!$B$7,
  IF(ISNUMBER(AT189),
    COUNTIFS($AT$8:$AT$507,"&lt;"&amp;$AT189)
    + COUNTIFS($AT$8:$AT$507,$AT189,$AV$8:$AV$507,"&lt;"&amp;$AV189)
    + COUNTIFS($AT$8:$AT$507,$AT189,$AV$8:$AV$507,$AV189,$AX$8:$AX$507,"&lt;"&amp;$AX189)
    + COUNTIFS($AT$8:$AT$507,$AT189,$AV$8:$AV$507,$AV189,$AX$8:$AX$507,$AX189,$AY$8:$AY$507,"&lt;"&amp;$AY189)
    + 1,
  Constants!$B$14),
$AG189))</f>
        <v/>
      </c>
      <c r="BA189" s="66" t="str">
        <f aca="false">IF(ISBLANK(C189),"",IF($AG189=Constants!$B$7, IF(ISNUMBER(AT189),AT189-AZ189,Constants!$B$14),$AG189))</f>
        <v/>
      </c>
      <c r="BB189" s="70"/>
      <c r="BC189" s="84" t="str">
        <f aca="false">IF(ISBLANK($C189),"",TRIM(AK189&amp;" "&amp;AO189))</f>
        <v/>
      </c>
      <c r="BD189" s="72" t="str">
        <f aca="false">IF(ISBLANK($C189),"",IF($AG189&lt;&gt;Constants!$B$7,$AG189,AR189))</f>
        <v/>
      </c>
      <c r="BE189" s="72" t="str">
        <f aca="false">IF(ISBLANK($C189),"",IF($AG189&lt;&gt;Constants!$B$7,$AG189,AM189))</f>
        <v/>
      </c>
      <c r="BF189" s="72" t="str">
        <f aca="false">IF(ISBLANK($C189),"",IF($AG189&lt;&gt;Constants!$B$7,$AG189,AQ189))</f>
        <v/>
      </c>
      <c r="BG189" s="73" t="str">
        <f aca="false">IF(ISBLANK($C189),"",IF($AG189&lt;&gt;Constants!$B$7, $AG189 ,AS189))</f>
        <v/>
      </c>
      <c r="BH189" s="74" t="str">
        <f aca="false">IF(ISBLANK($C189),"",IF($AG189&lt;&gt;Constants!$B$7, $AG189 ,AH189))</f>
        <v/>
      </c>
      <c r="BI189" s="72" t="str">
        <f aca="false">IF(ISBLANK(C189),"",BA189)</f>
        <v/>
      </c>
      <c r="BJ189" s="72" t="str">
        <f aca="false">IF(ISBLANK(C189),"",AZ189)</f>
        <v/>
      </c>
      <c r="BK189" s="75" t="str">
        <f aca="false">IF(ISBLANK(C189),"",IFERROR(_xlfn.SWITCH(BJ189, Constants!$B$4, COUNTA($C$8:$C688)+2, Constants!$B$5, COUNTA($C$8:$C688)+1, Constants!$B$6, COUNTA($C$8:$C688)),BJ189))</f>
        <v/>
      </c>
      <c r="BL189" s="5"/>
      <c r="BM189" s="76" t="n">
        <f aca="false">IF(OR(ISNUMBER(BJ189),BJ189="DQ",BJ189="P",BJ189="NS"),
    1,
    0
)</f>
        <v>0</v>
      </c>
      <c r="BN189" s="76" t="n">
        <v>182</v>
      </c>
      <c r="BO189" s="76" t="str">
        <f aca="false">IF(ISBLANK($C189),"",IF(ISNUMBER(BK189),BK189+ROW($B189)/1000,""))</f>
        <v/>
      </c>
      <c r="BP189" s="76" t="str">
        <f aca="false">IF(ISNUMBER(BO189), RANK(BO189,BO$8:BO$507,1), "")</f>
        <v/>
      </c>
      <c r="BQ189" s="76" t="str">
        <f aca="false">IF(ISBLANK($C189),
    "",
    $B189
)</f>
        <v/>
      </c>
      <c r="BR189" s="76" t="str">
        <f aca="false">IF(ISBLANK($C189),
    "",
    $C189
)</f>
        <v/>
      </c>
      <c r="BS189" s="76" t="str">
        <f aca="false">IF(ISBLANK($C189),
    "",
    $D189
)</f>
        <v/>
      </c>
      <c r="BT189" s="77" t="str">
        <f aca="false">BH189</f>
        <v/>
      </c>
      <c r="BU189" s="78" t="str">
        <f aca="false">BG189</f>
        <v/>
      </c>
      <c r="BV189" s="76" t="str">
        <f aca="false">IF(ISBLANK($C189),
    "",
    BJ189
)</f>
        <v/>
      </c>
      <c r="BW189" s="79" t="str">
        <f aca="false">IF(BN189&gt;BM$7,
    "",
    VLOOKUP(BN189,BP$8:BV688,7,FALSE())
)</f>
        <v/>
      </c>
      <c r="BX189" s="80" t="str">
        <f aca="false">IF(BN189&gt;BM$7,
    "",
    VLOOKUP(BN189,BP$8:BV688,2,FALSE())
)</f>
        <v/>
      </c>
      <c r="BY189" s="80" t="str">
        <f aca="false">IF(BN189&gt;BM$7,
    "",
    VLOOKUP(BN189,BP$8:BV688,3,FALSE())
)</f>
        <v/>
      </c>
      <c r="BZ189" s="80" t="str">
        <f aca="false">IF(BN189&gt;BM$7,
    "",
    VLOOKUP(BN189,BP$8:BV688,4,FALSE())
)</f>
        <v/>
      </c>
      <c r="CA189" s="80" t="str">
        <f aca="false">IF(BN189&gt;BM$7,
    "",
    VLOOKUP(BN189,BP$8:BV688,5,FALSE())
)</f>
        <v/>
      </c>
      <c r="CB189" s="81" t="str">
        <f aca="false">IF(BN189&gt;BM$7,
    "",
    VLOOKUP(BN189,BP$8:BV688,6,FALSE())
)</f>
        <v/>
      </c>
      <c r="CC189" s="53"/>
    </row>
    <row r="190" customFormat="false" ht="15.75" hidden="false" customHeight="false" outlineLevel="0" collapsed="false">
      <c r="A190" s="5"/>
      <c r="B190" s="129"/>
      <c r="C190" s="55"/>
      <c r="D190" s="56"/>
      <c r="E190" s="123"/>
      <c r="F190" s="123"/>
      <c r="G190" s="58"/>
      <c r="H190" s="59"/>
      <c r="I190" s="59"/>
      <c r="J190" s="83"/>
      <c r="K190" s="83"/>
      <c r="L190" s="83"/>
      <c r="M190" s="61"/>
      <c r="N190" s="61"/>
      <c r="O190" s="61"/>
      <c r="P190" s="62"/>
      <c r="Q190" s="63"/>
      <c r="R190" s="83"/>
      <c r="S190" s="65"/>
      <c r="T190" s="66"/>
      <c r="U190" s="66" t="str">
        <f aca="false">IF(ISBLANK($C190),"",IF(G190=Constants!$B$2, TRUE(), IF(G190=Constants!$B$3, FALSE(), TRUE())))</f>
        <v/>
      </c>
      <c r="V190" s="66" t="str">
        <f aca="false">IF(ISBLANK($C190),"",IF(H190=Constants!$B$2, TRUE(), IF(H190=Constants!$B$3, FALSE(), TRUE())))</f>
        <v/>
      </c>
      <c r="W190" s="66" t="str">
        <f aca="false">IF(ISBLANK($C190),"",IF(I190=Constants!$B$2, TRUE(), IF(I190=Constants!$B$3, FALSE(), TRUE())))</f>
        <v/>
      </c>
      <c r="X190" s="66" t="str">
        <f aca="false">IF(ISBLANK($C190),"",IF(AND(ISNUMBER(J190),J190&gt;0),INT(J190),0))</f>
        <v/>
      </c>
      <c r="Y190" s="66" t="str">
        <f aca="false">IF(ISBLANK($C190),"",IF(K190=Constants!$B$2, TRUE(), IF(K190=Constants!$B$3, FALSE(), TRUE())))</f>
        <v/>
      </c>
      <c r="Z190" s="66" t="str">
        <f aca="false">IF(ISBLANK($C190),"",IF(AND(ISNUMBER(L190),L190&gt;0),INT(L190),0))</f>
        <v/>
      </c>
      <c r="AA190" s="68" t="str">
        <f aca="false">IF(ISBLANK($C190),"",IF(ISNUMBER(M190), M190, ""))</f>
        <v/>
      </c>
      <c r="AB190" s="68" t="str">
        <f aca="false">IF(ISBLANK($C190),"",IF(ISNUMBER(N190), N190, ""))</f>
        <v/>
      </c>
      <c r="AC190" s="68" t="str">
        <f aca="false">IF(ISBLANK($C190),"",IF(ISNUMBER(O190), O190, ""))</f>
        <v/>
      </c>
      <c r="AD190" s="69" t="str">
        <f aca="false">IF(ISBLANK($C190),"",IF(ISNUMBER(P190), P190, ""))</f>
        <v/>
      </c>
      <c r="AE190" s="69" t="str">
        <f aca="false">IF(ISBLANK($C190),"",IF(ISNUMBER(Q190), Q190, Constants!$B$13))</f>
        <v/>
      </c>
      <c r="AF190" s="66" t="str">
        <f aca="false">IF(ISBLANK($C190),"",IF(R190=Constants!$B$2, TRUE(), IF(R190=Constants!$B$3, FALSE(), FALSE())))</f>
        <v/>
      </c>
      <c r="AG190" s="66" t="str">
        <f aca="false">IF(ISBLANK(C190), "", IF(AF190, Constants!$B$4,IF(COUNTA(G190:P190)=0, Constants!$B$5, Constants!$B$7)))</f>
        <v/>
      </c>
      <c r="AH190" s="66" t="str">
        <f aca="false">IF(ISBLANK($C190), "",IF($AG190=Constants!$B$7,1,$AG190))</f>
        <v/>
      </c>
      <c r="AI190" s="66" t="str">
        <f aca="false">IF($AG190=Constants!$B$7,POWER(Constants!$B$11,X190)*POWER(Constants!$B$12,Z190),"")</f>
        <v/>
      </c>
      <c r="AJ190" s="66" t="str">
        <f aca="false">IF(AND($AG190=Constants!$B$7, U190, V190) ,IF(OR($AA190="",$AC190=""),"",MAX(0, $AC190-$AA190)),"")</f>
        <v/>
      </c>
      <c r="AK190" s="66" t="str">
        <f aca="false">IF(AND($AG190=Constants!$B$7, U190, V190),IF(OR($AA190="",$AC190=""),$AK$6,""),"")</f>
        <v/>
      </c>
      <c r="AL190" s="66" t="str">
        <f aca="false">IF($AG190=Constants!$B$7,IF(AND(U190,V190,W190,Y190),IF($AJ190="",0,IF($AJ$6=0,Constants!$B$9,Constants!$B$9*AJ190/$AJ$6)), 0),"")</f>
        <v/>
      </c>
      <c r="AM190" s="66" t="str">
        <f aca="false">IF(AL190&lt;&gt;"", AL190*AI190,"")</f>
        <v/>
      </c>
      <c r="AN190" s="66" t="str">
        <f aca="false">IF(AND($AG190=Constants!$B$7, U190, V190) ,IF($AB190="", "", IF(OR($AC190="",$AC190=0),"",MAX(0,1-ABS($AC190-$AB190)/$AC190))),"")</f>
        <v/>
      </c>
      <c r="AO190" s="66" t="str">
        <f aca="false">IF(AND($AG190=Constants!$B$7, U190, V190),IF(AND($AA190&lt;&gt;"",$AB190&lt;&gt;"",$AC190=0),$AO$6,""),"")</f>
        <v/>
      </c>
      <c r="AP190" s="66" t="str">
        <f aca="false">IF($AG190=Constants!$B$7 ,IF(AND(U190,V190,W190,Y190,ISNUMBER(AB190)),IF($AN190="",0,IF($AN$6=0,Constants!$B$10,Constants!$B$10*AN190/$AN$6)), 0),"")</f>
        <v/>
      </c>
      <c r="AQ190" s="66" t="str">
        <f aca="false">IF(AP190&lt;&gt;"", AP190*AI190,"")</f>
        <v/>
      </c>
      <c r="AR190" s="66" t="str">
        <f aca="false">IF($AG190=Constants!$B$7,IF($AD190="",0,IF($AR$6=0,Constants!$B$8,Constants!$B$8*AD190/$AR$6)),"")</f>
        <v/>
      </c>
      <c r="AS190" s="66" t="str">
        <f aca="false">IF($AG190&lt;&gt;Constants!$B$7,$AG190,IF(AK190&amp;AO190&lt;&gt;"",Constants!$B$14,AM190+AQ190+AR190))</f>
        <v/>
      </c>
      <c r="AT190" s="66" t="str">
        <f aca="false">IF(ISBLANK($C190),"",IF($AG190=Constants!$B$7,IF(ISNUMBER(AS190),RANK(AS190,$AS$8:$AS$507),Constants!$B$14),$AG190))</f>
        <v/>
      </c>
      <c r="AU190" s="66" t="str">
        <f aca="false">IF(ISBLANK($C190), "",AM190)</f>
        <v/>
      </c>
      <c r="AV190" s="66" t="str">
        <f aca="false">IF(ISBLANK($C190),"",IF($AG190=Constants!$B$7,RANK(AU190,AU$8:AU$507),$AG190))</f>
        <v/>
      </c>
      <c r="AW190" s="66" t="str">
        <f aca="false">IF(ISBLANK($C190), "",AR190)</f>
        <v/>
      </c>
      <c r="AX190" s="66" t="str">
        <f aca="false">IF(ISBLANK($C190),"",IF($AG190=Constants!$B$7,RANK(AW190,AW$8:AW$507),$AG190))</f>
        <v/>
      </c>
      <c r="AY190" s="66" t="str">
        <f aca="false">IF(ISBLANK($C190), "",AE190)</f>
        <v/>
      </c>
      <c r="AZ190" s="66" t="str">
        <f aca="false">IF(ISBLANK($C190),"",
IF($AG190=Constants!$B$7,
  IF(ISNUMBER(AT190),
    COUNTIFS($AT$8:$AT$507,"&lt;"&amp;$AT190)
    + COUNTIFS($AT$8:$AT$507,$AT190,$AV$8:$AV$507,"&lt;"&amp;$AV190)
    + COUNTIFS($AT$8:$AT$507,$AT190,$AV$8:$AV$507,$AV190,$AX$8:$AX$507,"&lt;"&amp;$AX190)
    + COUNTIFS($AT$8:$AT$507,$AT190,$AV$8:$AV$507,$AV190,$AX$8:$AX$507,$AX190,$AY$8:$AY$507,"&lt;"&amp;$AY190)
    + 1,
  Constants!$B$14),
$AG190))</f>
        <v/>
      </c>
      <c r="BA190" s="66" t="str">
        <f aca="false">IF(ISBLANK(C190),"",IF($AG190=Constants!$B$7, IF(ISNUMBER(AT190),AT190-AZ190,Constants!$B$14),$AG190))</f>
        <v/>
      </c>
      <c r="BB190" s="70"/>
      <c r="BC190" s="84" t="str">
        <f aca="false">IF(ISBLANK($C190),"",TRIM(AK190&amp;" "&amp;AO190))</f>
        <v/>
      </c>
      <c r="BD190" s="72" t="str">
        <f aca="false">IF(ISBLANK($C190),"",IF($AG190&lt;&gt;Constants!$B$7,$AG190,AR190))</f>
        <v/>
      </c>
      <c r="BE190" s="72" t="str">
        <f aca="false">IF(ISBLANK($C190),"",IF($AG190&lt;&gt;Constants!$B$7,$AG190,AM190))</f>
        <v/>
      </c>
      <c r="BF190" s="72" t="str">
        <f aca="false">IF(ISBLANK($C190),"",IF($AG190&lt;&gt;Constants!$B$7,$AG190,AQ190))</f>
        <v/>
      </c>
      <c r="BG190" s="73" t="str">
        <f aca="false">IF(ISBLANK($C190),"",IF($AG190&lt;&gt;Constants!$B$7, $AG190 ,AS190))</f>
        <v/>
      </c>
      <c r="BH190" s="74" t="str">
        <f aca="false">IF(ISBLANK($C190),"",IF($AG190&lt;&gt;Constants!$B$7, $AG190 ,AH190))</f>
        <v/>
      </c>
      <c r="BI190" s="72" t="str">
        <f aca="false">IF(ISBLANK(C190),"",BA190)</f>
        <v/>
      </c>
      <c r="BJ190" s="72" t="str">
        <f aca="false">IF(ISBLANK(C190),"",AZ190)</f>
        <v/>
      </c>
      <c r="BK190" s="75" t="str">
        <f aca="false">IF(ISBLANK(C190),"",IFERROR(_xlfn.SWITCH(BJ190, Constants!$B$4, COUNTA($C$8:$C689)+2, Constants!$B$5, COUNTA($C$8:$C689)+1, Constants!$B$6, COUNTA($C$8:$C689)),BJ190))</f>
        <v/>
      </c>
      <c r="BL190" s="5"/>
      <c r="BM190" s="76" t="n">
        <f aca="false">IF(OR(ISNUMBER(BJ190),BJ190="DQ",BJ190="P",BJ190="NS"),
    1,
    0
)</f>
        <v>0</v>
      </c>
      <c r="BN190" s="76" t="n">
        <v>183</v>
      </c>
      <c r="BO190" s="76" t="str">
        <f aca="false">IF(ISBLANK($C190),"",IF(ISNUMBER(BK190),BK190+ROW($B190)/1000,""))</f>
        <v/>
      </c>
      <c r="BP190" s="76" t="str">
        <f aca="false">IF(ISNUMBER(BO190), RANK(BO190,BO$8:BO$507,1), "")</f>
        <v/>
      </c>
      <c r="BQ190" s="76" t="str">
        <f aca="false">IF(ISBLANK($C190),
    "",
    $B190
)</f>
        <v/>
      </c>
      <c r="BR190" s="76" t="str">
        <f aca="false">IF(ISBLANK($C190),
    "",
    $C190
)</f>
        <v/>
      </c>
      <c r="BS190" s="76" t="str">
        <f aca="false">IF(ISBLANK($C190),
    "",
    $D190
)</f>
        <v/>
      </c>
      <c r="BT190" s="77" t="str">
        <f aca="false">BH190</f>
        <v/>
      </c>
      <c r="BU190" s="78" t="str">
        <f aca="false">BG190</f>
        <v/>
      </c>
      <c r="BV190" s="76" t="str">
        <f aca="false">IF(ISBLANK($C190),
    "",
    BJ190
)</f>
        <v/>
      </c>
      <c r="BW190" s="79" t="str">
        <f aca="false">IF(BN190&gt;BM$7,
    "",
    VLOOKUP(BN190,BP$8:BV689,7,FALSE())
)</f>
        <v/>
      </c>
      <c r="BX190" s="80" t="str">
        <f aca="false">IF(BN190&gt;BM$7,
    "",
    VLOOKUP(BN190,BP$8:BV689,2,FALSE())
)</f>
        <v/>
      </c>
      <c r="BY190" s="80" t="str">
        <f aca="false">IF(BN190&gt;BM$7,
    "",
    VLOOKUP(BN190,BP$8:BV689,3,FALSE())
)</f>
        <v/>
      </c>
      <c r="BZ190" s="80" t="str">
        <f aca="false">IF(BN190&gt;BM$7,
    "",
    VLOOKUP(BN190,BP$8:BV689,4,FALSE())
)</f>
        <v/>
      </c>
      <c r="CA190" s="80" t="str">
        <f aca="false">IF(BN190&gt;BM$7,
    "",
    VLOOKUP(BN190,BP$8:BV689,5,FALSE())
)</f>
        <v/>
      </c>
      <c r="CB190" s="81" t="str">
        <f aca="false">IF(BN190&gt;BM$7,
    "",
    VLOOKUP(BN190,BP$8:BV689,6,FALSE())
)</f>
        <v/>
      </c>
      <c r="CC190" s="53"/>
    </row>
    <row r="191" customFormat="false" ht="15.75" hidden="false" customHeight="false" outlineLevel="0" collapsed="false">
      <c r="A191" s="5"/>
      <c r="B191" s="125"/>
      <c r="C191" s="126"/>
      <c r="D191" s="115"/>
      <c r="E191" s="119"/>
      <c r="F191" s="119"/>
      <c r="G191" s="91"/>
      <c r="H191" s="92"/>
      <c r="I191" s="92"/>
      <c r="J191" s="128"/>
      <c r="K191" s="128"/>
      <c r="L191" s="128"/>
      <c r="M191" s="94"/>
      <c r="N191" s="94"/>
      <c r="O191" s="94"/>
      <c r="P191" s="95"/>
      <c r="Q191" s="96"/>
      <c r="R191" s="128"/>
      <c r="S191" s="98"/>
      <c r="T191" s="99"/>
      <c r="U191" s="99" t="str">
        <f aca="false">IF(ISBLANK($C191),"",IF(G191=Constants!$B$2, TRUE(), IF(G191=Constants!$B$3, FALSE(), TRUE())))</f>
        <v/>
      </c>
      <c r="V191" s="99" t="str">
        <f aca="false">IF(ISBLANK($C191),"",IF(H191=Constants!$B$2, TRUE(), IF(H191=Constants!$B$3, FALSE(), TRUE())))</f>
        <v/>
      </c>
      <c r="W191" s="99" t="str">
        <f aca="false">IF(ISBLANK($C191),"",IF(I191=Constants!$B$2, TRUE(), IF(I191=Constants!$B$3, FALSE(), TRUE())))</f>
        <v/>
      </c>
      <c r="X191" s="99" t="str">
        <f aca="false">IF(ISBLANK($C191),"",IF(AND(ISNUMBER(J191),J191&gt;0),INT(J191),0))</f>
        <v/>
      </c>
      <c r="Y191" s="99" t="str">
        <f aca="false">IF(ISBLANK($C191),"",IF(K191=Constants!$B$2, TRUE(), IF(K191=Constants!$B$3, FALSE(), TRUE())))</f>
        <v/>
      </c>
      <c r="Z191" s="100" t="str">
        <f aca="false">IF(ISBLANK($C191),"",IF(AND(ISNUMBER(L191),L191&gt;0),INT(L191),0))</f>
        <v/>
      </c>
      <c r="AA191" s="101" t="str">
        <f aca="false">IF(ISBLANK($C191),"",IF(ISNUMBER(M191), M191, ""))</f>
        <v/>
      </c>
      <c r="AB191" s="101" t="str">
        <f aca="false">IF(ISBLANK($C191),"",IF(ISNUMBER(N191), N191, ""))</f>
        <v/>
      </c>
      <c r="AC191" s="101" t="str">
        <f aca="false">IF(ISBLANK($C191),"",IF(ISNUMBER(O191), O191, ""))</f>
        <v/>
      </c>
      <c r="AD191" s="102" t="str">
        <f aca="false">IF(ISBLANK($C191),"",IF(ISNUMBER(P191), P191, ""))</f>
        <v/>
      </c>
      <c r="AE191" s="102" t="str">
        <f aca="false">IF(ISBLANK($C191),"",IF(ISNUMBER(Q191), Q191, Constants!$B$13))</f>
        <v/>
      </c>
      <c r="AF191" s="99" t="str">
        <f aca="false">IF(ISBLANK($C191),"",IF(R191=Constants!$B$2, TRUE(), IF(R191=Constants!$B$3, FALSE(), FALSE())))</f>
        <v/>
      </c>
      <c r="AG191" s="99" t="str">
        <f aca="false">IF(ISBLANK(C191), "", IF(AF191, Constants!$B$4,IF(COUNTA(G191:P191)=0, Constants!$B$5, Constants!$B$7)))</f>
        <v/>
      </c>
      <c r="AH191" s="99" t="str">
        <f aca="false">IF(ISBLANK($C191), "",IF($AG191=Constants!$B$7,1,$AG191))</f>
        <v/>
      </c>
      <c r="AI191" s="99" t="str">
        <f aca="false">IF($AG191=Constants!$B$7,POWER(Constants!$B$11,X191)*POWER(Constants!$B$12,Z191),"")</f>
        <v/>
      </c>
      <c r="AJ191" s="99" t="str">
        <f aca="false">IF(AND($AG191=Constants!$B$7, U191, V191) ,IF(OR($AA191="",$AC191=""),"",MAX(0, $AC191-$AA191)),"")</f>
        <v/>
      </c>
      <c r="AK191" s="99" t="str">
        <f aca="false">IF(AND($AG191=Constants!$B$7, U191, V191),IF(OR($AA191="",$AC191=""),$AK$6,""),"")</f>
        <v/>
      </c>
      <c r="AL191" s="99" t="str">
        <f aca="false">IF($AG191=Constants!$B$7,IF(AND(U191,V191,W191,Y191),IF($AJ191="",0,IF($AJ$6=0,Constants!$B$9,Constants!$B$9*AJ191/$AJ$6)), 0),"")</f>
        <v/>
      </c>
      <c r="AM191" s="99" t="str">
        <f aca="false">IF(AL191&lt;&gt;"", AL191*AI191,"")</f>
        <v/>
      </c>
      <c r="AN191" s="99" t="str">
        <f aca="false">IF(AND($AG191=Constants!$B$7, U191, V191) ,IF($AB191="", "", IF(OR($AC191="",$AC191=0),"",MAX(0,1-ABS($AC191-$AB191)/$AC191))),"")</f>
        <v/>
      </c>
      <c r="AO191" s="99" t="str">
        <f aca="false">IF(AND($AG191=Constants!$B$7, U191, V191),IF(AND($AA191&lt;&gt;"",$AB191&lt;&gt;"",$AC191=0),$AO$6,""),"")</f>
        <v/>
      </c>
      <c r="AP191" s="99" t="str">
        <f aca="false">IF($AG191=Constants!$B$7 ,IF(AND(U191,V191,W191,Y191,ISNUMBER(AB191)),IF($AN191="",0,IF($AN$6=0,Constants!$B$10,Constants!$B$10*AN191/$AN$6)), 0),"")</f>
        <v/>
      </c>
      <c r="AQ191" s="99" t="str">
        <f aca="false">IF(AP191&lt;&gt;"", AP191*AI191,"")</f>
        <v/>
      </c>
      <c r="AR191" s="99" t="str">
        <f aca="false">IF($AG191=Constants!$B$7,IF($AD191="",0,IF($AR$6=0,Constants!$B$8,Constants!$B$8*AD191/$AR$6)),"")</f>
        <v/>
      </c>
      <c r="AS191" s="99" t="str">
        <f aca="false">IF($AG191&lt;&gt;Constants!$B$7,$AG191,IF(AK191&amp;AO191&lt;&gt;"",Constants!$B$14,AM191+AQ191+AR191))</f>
        <v/>
      </c>
      <c r="AT191" s="99" t="str">
        <f aca="false">IF(ISBLANK($C191),"",IF($AG191=Constants!$B$7,IF(ISNUMBER(AS191),RANK(AS191,$AS$8:$AS$507),Constants!$B$14),$AG191))</f>
        <v/>
      </c>
      <c r="AU191" s="99" t="str">
        <f aca="false">IF(ISBLANK($C191), "",AM191)</f>
        <v/>
      </c>
      <c r="AV191" s="99" t="str">
        <f aca="false">IF(ISBLANK($C191),"",IF($AG191=Constants!$B$7,RANK(AU191,AU$8:AU$507),$AG191))</f>
        <v/>
      </c>
      <c r="AW191" s="99" t="str">
        <f aca="false">IF(ISBLANK($C191), "",AR191)</f>
        <v/>
      </c>
      <c r="AX191" s="99" t="str">
        <f aca="false">IF(ISBLANK($C191),"",IF($AG191=Constants!$B$7,RANK(AW191,AW$8:AW$507),$AG191))</f>
        <v/>
      </c>
      <c r="AY191" s="99" t="str">
        <f aca="false">IF(ISBLANK($C191), "",AE191)</f>
        <v/>
      </c>
      <c r="AZ191" s="99" t="str">
        <f aca="false">IF(ISBLANK($C191),"",
IF($AG191=Constants!$B$7,
  IF(ISNUMBER(AT191),
    COUNTIFS($AT$8:$AT$507,"&lt;"&amp;$AT191)
    + COUNTIFS($AT$8:$AT$507,$AT191,$AV$8:$AV$507,"&lt;"&amp;$AV191)
    + COUNTIFS($AT$8:$AT$507,$AT191,$AV$8:$AV$507,$AV191,$AX$8:$AX$507,"&lt;"&amp;$AX191)
    + COUNTIFS($AT$8:$AT$507,$AT191,$AV$8:$AV$507,$AV191,$AX$8:$AX$507,$AX191,$AY$8:$AY$507,"&lt;"&amp;$AY191)
    + 1,
  Constants!$B$14),
$AG191))</f>
        <v/>
      </c>
      <c r="BA191" s="99" t="str">
        <f aca="false">IF(ISBLANK(C191),"",IF($AG191=Constants!$B$7, IF(ISNUMBER(AT191),AT191-AZ191,Constants!$B$14),$AG191))</f>
        <v/>
      </c>
      <c r="BB191" s="103"/>
      <c r="BC191" s="104" t="str">
        <f aca="false">IF(ISBLANK($C191),"",TRIM(AK191&amp;" "&amp;AO191))</f>
        <v/>
      </c>
      <c r="BD191" s="105" t="str">
        <f aca="false">IF(ISBLANK($C191),"",IF($AG191&lt;&gt;Constants!$B$7,$AG191,AR191))</f>
        <v/>
      </c>
      <c r="BE191" s="105" t="str">
        <f aca="false">IF(ISBLANK($C191),"",IF($AG191&lt;&gt;Constants!$B$7,$AG191,AM191))</f>
        <v/>
      </c>
      <c r="BF191" s="105" t="str">
        <f aca="false">IF(ISBLANK($C191),"",IF($AG191&lt;&gt;Constants!$B$7,$AG191,AQ191))</f>
        <v/>
      </c>
      <c r="BG191" s="106" t="str">
        <f aca="false">IF(ISBLANK($C191),"",IF($AG191&lt;&gt;Constants!$B$7, $AG191 ,AS191))</f>
        <v/>
      </c>
      <c r="BH191" s="107" t="str">
        <f aca="false">IF(ISBLANK($C191),"",IF($AG191&lt;&gt;Constants!$B$7, $AG191 ,AH191))</f>
        <v/>
      </c>
      <c r="BI191" s="105" t="str">
        <f aca="false">IF(ISBLANK(C191),"",BA191)</f>
        <v/>
      </c>
      <c r="BJ191" s="105" t="str">
        <f aca="false">IF(ISBLANK(C191),"",AZ191)</f>
        <v/>
      </c>
      <c r="BK191" s="108" t="str">
        <f aca="false">IF(ISBLANK(C191),"",IFERROR(_xlfn.SWITCH(BJ191, Constants!$B$4, COUNTA($C$8:$C690)+2, Constants!$B$5, COUNTA($C$8:$C690)+1, Constants!$B$6, COUNTA($C$8:$C690)),BJ191))</f>
        <v/>
      </c>
      <c r="BL191" s="5"/>
      <c r="BM191" s="109" t="n">
        <f aca="false">IF(OR(ISNUMBER(BJ191),BJ191="DQ",BJ191="P",BJ191="NS"),
    1,
    0
)</f>
        <v>0</v>
      </c>
      <c r="BN191" s="109" t="n">
        <v>184</v>
      </c>
      <c r="BO191" s="109" t="str">
        <f aca="false">IF(ISBLANK($C191),"",IF(ISNUMBER(BK191),BK191+ROW($B191)/1000,""))</f>
        <v/>
      </c>
      <c r="BP191" s="109" t="str">
        <f aca="false">IF(ISNUMBER(BO191), RANK(BO191,BO$8:BO$507,1), "")</f>
        <v/>
      </c>
      <c r="BQ191" s="109" t="str">
        <f aca="false">IF(ISBLANK($C191),
    "",
    $B191
)</f>
        <v/>
      </c>
      <c r="BR191" s="109" t="str">
        <f aca="false">IF(ISBLANK($C191),
    "",
    $C191
)</f>
        <v/>
      </c>
      <c r="BS191" s="109" t="str">
        <f aca="false">IF(ISBLANK($C191),
    "",
    $D191
)</f>
        <v/>
      </c>
      <c r="BT191" s="110" t="str">
        <f aca="false">BH191</f>
        <v/>
      </c>
      <c r="BU191" s="111" t="str">
        <f aca="false">BG191</f>
        <v/>
      </c>
      <c r="BV191" s="109" t="str">
        <f aca="false">IF(ISBLANK($C191),
    "",
    BJ191
)</f>
        <v/>
      </c>
      <c r="BW191" s="112" t="str">
        <f aca="false">IF(BN191&gt;BM$7,
    "",
    VLOOKUP(BN191,BP$8:BV690,7,FALSE())
)</f>
        <v/>
      </c>
      <c r="BX191" s="113" t="str">
        <f aca="false">IF(BN191&gt;BM$7,
    "",
    VLOOKUP(BN191,BP$8:BV690,2,FALSE())
)</f>
        <v/>
      </c>
      <c r="BY191" s="113" t="str">
        <f aca="false">IF(BN191&gt;BM$7,
    "",
    VLOOKUP(BN191,BP$8:BV690,3,FALSE())
)</f>
        <v/>
      </c>
      <c r="BZ191" s="113" t="str">
        <f aca="false">IF(BN191&gt;BM$7,
    "",
    VLOOKUP(BN191,BP$8:BV690,4,FALSE())
)</f>
        <v/>
      </c>
      <c r="CA191" s="113" t="str">
        <f aca="false">IF(BN191&gt;BM$7,
    "",
    VLOOKUP(BN191,BP$8:BV690,5,FALSE())
)</f>
        <v/>
      </c>
      <c r="CB191" s="114" t="str">
        <f aca="false">IF(BN191&gt;BM$7,
    "",
    VLOOKUP(BN191,BP$8:BV690,6,FALSE())
)</f>
        <v/>
      </c>
      <c r="CC191" s="53"/>
    </row>
    <row r="192" customFormat="false" ht="15.75" hidden="false" customHeight="false" outlineLevel="0" collapsed="false">
      <c r="A192" s="5"/>
      <c r="B192" s="125"/>
      <c r="C192" s="126"/>
      <c r="D192" s="115"/>
      <c r="E192" s="119"/>
      <c r="F192" s="119"/>
      <c r="G192" s="91"/>
      <c r="H192" s="92"/>
      <c r="I192" s="92"/>
      <c r="J192" s="128"/>
      <c r="K192" s="128"/>
      <c r="L192" s="128"/>
      <c r="M192" s="94"/>
      <c r="N192" s="94"/>
      <c r="O192" s="94"/>
      <c r="P192" s="95"/>
      <c r="Q192" s="96"/>
      <c r="R192" s="128"/>
      <c r="S192" s="98"/>
      <c r="T192" s="99"/>
      <c r="U192" s="99" t="str">
        <f aca="false">IF(ISBLANK($C192),"",IF(G192=Constants!$B$2, TRUE(), IF(G192=Constants!$B$3, FALSE(), TRUE())))</f>
        <v/>
      </c>
      <c r="V192" s="99" t="str">
        <f aca="false">IF(ISBLANK($C192),"",IF(H192=Constants!$B$2, TRUE(), IF(H192=Constants!$B$3, FALSE(), TRUE())))</f>
        <v/>
      </c>
      <c r="W192" s="99" t="str">
        <f aca="false">IF(ISBLANK($C192),"",IF(I192=Constants!$B$2, TRUE(), IF(I192=Constants!$B$3, FALSE(), TRUE())))</f>
        <v/>
      </c>
      <c r="X192" s="99" t="str">
        <f aca="false">IF(ISBLANK($C192),"",IF(AND(ISNUMBER(J192),J192&gt;0),INT(J192),0))</f>
        <v/>
      </c>
      <c r="Y192" s="99" t="str">
        <f aca="false">IF(ISBLANK($C192),"",IF(K192=Constants!$B$2, TRUE(), IF(K192=Constants!$B$3, FALSE(), TRUE())))</f>
        <v/>
      </c>
      <c r="Z192" s="100" t="str">
        <f aca="false">IF(ISBLANK($C192),"",IF(AND(ISNUMBER(L192),L192&gt;0),INT(L192),0))</f>
        <v/>
      </c>
      <c r="AA192" s="101" t="str">
        <f aca="false">IF(ISBLANK($C192),"",IF(ISNUMBER(M192), M192, ""))</f>
        <v/>
      </c>
      <c r="AB192" s="101" t="str">
        <f aca="false">IF(ISBLANK($C192),"",IF(ISNUMBER(N192), N192, ""))</f>
        <v/>
      </c>
      <c r="AC192" s="101" t="str">
        <f aca="false">IF(ISBLANK($C192),"",IF(ISNUMBER(O192), O192, ""))</f>
        <v/>
      </c>
      <c r="AD192" s="102" t="str">
        <f aca="false">IF(ISBLANK($C192),"",IF(ISNUMBER(P192), P192, ""))</f>
        <v/>
      </c>
      <c r="AE192" s="102" t="str">
        <f aca="false">IF(ISBLANK($C192),"",IF(ISNUMBER(Q192), Q192, Constants!$B$13))</f>
        <v/>
      </c>
      <c r="AF192" s="99" t="str">
        <f aca="false">IF(ISBLANK($C192),"",IF(R192=Constants!$B$2, TRUE(), IF(R192=Constants!$B$3, FALSE(), FALSE())))</f>
        <v/>
      </c>
      <c r="AG192" s="99" t="str">
        <f aca="false">IF(ISBLANK(C192), "", IF(AF192, Constants!$B$4,IF(COUNTA(G192:P192)=0, Constants!$B$5, Constants!$B$7)))</f>
        <v/>
      </c>
      <c r="AH192" s="99" t="str">
        <f aca="false">IF(ISBLANK($C192), "",IF($AG192=Constants!$B$7,1,$AG192))</f>
        <v/>
      </c>
      <c r="AI192" s="99" t="str">
        <f aca="false">IF($AG192=Constants!$B$7,POWER(Constants!$B$11,X192)*POWER(Constants!$B$12,Z192),"")</f>
        <v/>
      </c>
      <c r="AJ192" s="99" t="str">
        <f aca="false">IF(AND($AG192=Constants!$B$7, U192, V192) ,IF(OR($AA192="",$AC192=""),"",MAX(0, $AC192-$AA192)),"")</f>
        <v/>
      </c>
      <c r="AK192" s="99" t="str">
        <f aca="false">IF(AND($AG192=Constants!$B$7, U192, V192),IF(OR($AA192="",$AC192=""),$AK$6,""),"")</f>
        <v/>
      </c>
      <c r="AL192" s="99" t="str">
        <f aca="false">IF($AG192=Constants!$B$7,IF(AND(U192,V192,W192,Y192),IF($AJ192="",0,IF($AJ$6=0,Constants!$B$9,Constants!$B$9*AJ192/$AJ$6)), 0),"")</f>
        <v/>
      </c>
      <c r="AM192" s="99" t="str">
        <f aca="false">IF(AL192&lt;&gt;"", AL192*AI192,"")</f>
        <v/>
      </c>
      <c r="AN192" s="99" t="str">
        <f aca="false">IF(AND($AG192=Constants!$B$7, U192, V192) ,IF($AB192="", "", IF(OR($AC192="",$AC192=0),"",MAX(0,1-ABS($AC192-$AB192)/$AC192))),"")</f>
        <v/>
      </c>
      <c r="AO192" s="99" t="str">
        <f aca="false">IF(AND($AG192=Constants!$B$7, U192, V192),IF(AND($AA192&lt;&gt;"",$AB192&lt;&gt;"",$AC192=0),$AO$6,""),"")</f>
        <v/>
      </c>
      <c r="AP192" s="99" t="str">
        <f aca="false">IF($AG192=Constants!$B$7 ,IF(AND(U192,V192,W192,Y192,ISNUMBER(AB192)),IF($AN192="",0,IF($AN$6=0,Constants!$B$10,Constants!$B$10*AN192/$AN$6)), 0),"")</f>
        <v/>
      </c>
      <c r="AQ192" s="99" t="str">
        <f aca="false">IF(AP192&lt;&gt;"", AP192*AI192,"")</f>
        <v/>
      </c>
      <c r="AR192" s="99" t="str">
        <f aca="false">IF($AG192=Constants!$B$7,IF($AD192="",0,IF($AR$6=0,Constants!$B$8,Constants!$B$8*AD192/$AR$6)),"")</f>
        <v/>
      </c>
      <c r="AS192" s="99" t="str">
        <f aca="false">IF($AG192&lt;&gt;Constants!$B$7,$AG192,IF(AK192&amp;AO192&lt;&gt;"",Constants!$B$14,AM192+AQ192+AR192))</f>
        <v/>
      </c>
      <c r="AT192" s="99" t="str">
        <f aca="false">IF(ISBLANK($C192),"",IF($AG192=Constants!$B$7,IF(ISNUMBER(AS192),RANK(AS192,$AS$8:$AS$507),Constants!$B$14),$AG192))</f>
        <v/>
      </c>
      <c r="AU192" s="99" t="str">
        <f aca="false">IF(ISBLANK($C192), "",AM192)</f>
        <v/>
      </c>
      <c r="AV192" s="99" t="str">
        <f aca="false">IF(ISBLANK($C192),"",IF($AG192=Constants!$B$7,RANK(AU192,AU$8:AU$507),$AG192))</f>
        <v/>
      </c>
      <c r="AW192" s="99" t="str">
        <f aca="false">IF(ISBLANK($C192), "",AR192)</f>
        <v/>
      </c>
      <c r="AX192" s="99" t="str">
        <f aca="false">IF(ISBLANK($C192),"",IF($AG192=Constants!$B$7,RANK(AW192,AW$8:AW$507),$AG192))</f>
        <v/>
      </c>
      <c r="AY192" s="99" t="str">
        <f aca="false">IF(ISBLANK($C192), "",AE192)</f>
        <v/>
      </c>
      <c r="AZ192" s="99" t="str">
        <f aca="false">IF(ISBLANK($C192),"",
IF($AG192=Constants!$B$7,
  IF(ISNUMBER(AT192),
    COUNTIFS($AT$8:$AT$507,"&lt;"&amp;$AT192)
    + COUNTIFS($AT$8:$AT$507,$AT192,$AV$8:$AV$507,"&lt;"&amp;$AV192)
    + COUNTIFS($AT$8:$AT$507,$AT192,$AV$8:$AV$507,$AV192,$AX$8:$AX$507,"&lt;"&amp;$AX192)
    + COUNTIFS($AT$8:$AT$507,$AT192,$AV$8:$AV$507,$AV192,$AX$8:$AX$507,$AX192,$AY$8:$AY$507,"&lt;"&amp;$AY192)
    + 1,
  Constants!$B$14),
$AG192))</f>
        <v/>
      </c>
      <c r="BA192" s="99" t="str">
        <f aca="false">IF(ISBLANK(C192),"",IF($AG192=Constants!$B$7, IF(ISNUMBER(AT192),AT192-AZ192,Constants!$B$14),$AG192))</f>
        <v/>
      </c>
      <c r="BB192" s="103"/>
      <c r="BC192" s="104" t="str">
        <f aca="false">IF(ISBLANK($C192),"",TRIM(AK192&amp;" "&amp;AO192))</f>
        <v/>
      </c>
      <c r="BD192" s="105" t="str">
        <f aca="false">IF(ISBLANK($C192),"",IF($AG192&lt;&gt;Constants!$B$7,$AG192,AR192))</f>
        <v/>
      </c>
      <c r="BE192" s="105" t="str">
        <f aca="false">IF(ISBLANK($C192),"",IF($AG192&lt;&gt;Constants!$B$7,$AG192,AM192))</f>
        <v/>
      </c>
      <c r="BF192" s="105" t="str">
        <f aca="false">IF(ISBLANK($C192),"",IF($AG192&lt;&gt;Constants!$B$7,$AG192,AQ192))</f>
        <v/>
      </c>
      <c r="BG192" s="106" t="str">
        <f aca="false">IF(ISBLANK($C192),"",IF($AG192&lt;&gt;Constants!$B$7, $AG192 ,AS192))</f>
        <v/>
      </c>
      <c r="BH192" s="107" t="str">
        <f aca="false">IF(ISBLANK($C192),"",IF($AG192&lt;&gt;Constants!$B$7, $AG192 ,AH192))</f>
        <v/>
      </c>
      <c r="BI192" s="105" t="str">
        <f aca="false">IF(ISBLANK(C192),"",BA192)</f>
        <v/>
      </c>
      <c r="BJ192" s="105" t="str">
        <f aca="false">IF(ISBLANK(C192),"",AZ192)</f>
        <v/>
      </c>
      <c r="BK192" s="108" t="str">
        <f aca="false">IF(ISBLANK(C192),"",IFERROR(_xlfn.SWITCH(BJ192, Constants!$B$4, COUNTA($C$8:$C691)+2, Constants!$B$5, COUNTA($C$8:$C691)+1, Constants!$B$6, COUNTA($C$8:$C691)),BJ192))</f>
        <v/>
      </c>
      <c r="BL192" s="5"/>
      <c r="BM192" s="109" t="n">
        <f aca="false">IF(OR(ISNUMBER(BJ192),BJ192="DQ",BJ192="P",BJ192="NS"),
    1,
    0
)</f>
        <v>0</v>
      </c>
      <c r="BN192" s="109" t="n">
        <v>185</v>
      </c>
      <c r="BO192" s="109" t="str">
        <f aca="false">IF(ISBLANK($C192),"",IF(ISNUMBER(BK192),BK192+ROW($B192)/1000,""))</f>
        <v/>
      </c>
      <c r="BP192" s="109" t="str">
        <f aca="false">IF(ISNUMBER(BO192), RANK(BO192,BO$8:BO$507,1), "")</f>
        <v/>
      </c>
      <c r="BQ192" s="109" t="str">
        <f aca="false">IF(ISBLANK($C192),
    "",
    $B192
)</f>
        <v/>
      </c>
      <c r="BR192" s="109" t="str">
        <f aca="false">IF(ISBLANK($C192),
    "",
    $C192
)</f>
        <v/>
      </c>
      <c r="BS192" s="109" t="str">
        <f aca="false">IF(ISBLANK($C192),
    "",
    $D192
)</f>
        <v/>
      </c>
      <c r="BT192" s="110" t="str">
        <f aca="false">BH192</f>
        <v/>
      </c>
      <c r="BU192" s="111" t="str">
        <f aca="false">BG192</f>
        <v/>
      </c>
      <c r="BV192" s="109" t="str">
        <f aca="false">IF(ISBLANK($C192),
    "",
    BJ192
)</f>
        <v/>
      </c>
      <c r="BW192" s="112" t="str">
        <f aca="false">IF(BN192&gt;BM$7,
    "",
    VLOOKUP(BN192,BP$8:BV691,7,FALSE())
)</f>
        <v/>
      </c>
      <c r="BX192" s="113" t="str">
        <f aca="false">IF(BN192&gt;BM$7,
    "",
    VLOOKUP(BN192,BP$8:BV691,2,FALSE())
)</f>
        <v/>
      </c>
      <c r="BY192" s="113" t="str">
        <f aca="false">IF(BN192&gt;BM$7,
    "",
    VLOOKUP(BN192,BP$8:BV691,3,FALSE())
)</f>
        <v/>
      </c>
      <c r="BZ192" s="113" t="str">
        <f aca="false">IF(BN192&gt;BM$7,
    "",
    VLOOKUP(BN192,BP$8:BV691,4,FALSE())
)</f>
        <v/>
      </c>
      <c r="CA192" s="113" t="str">
        <f aca="false">IF(BN192&gt;BM$7,
    "",
    VLOOKUP(BN192,BP$8:BV691,5,FALSE())
)</f>
        <v/>
      </c>
      <c r="CB192" s="114" t="str">
        <f aca="false">IF(BN192&gt;BM$7,
    "",
    VLOOKUP(BN192,BP$8:BV691,6,FALSE())
)</f>
        <v/>
      </c>
      <c r="CC192" s="53"/>
    </row>
    <row r="193" customFormat="false" ht="15.75" hidden="false" customHeight="false" outlineLevel="0" collapsed="false">
      <c r="A193" s="5"/>
      <c r="B193" s="125"/>
      <c r="C193" s="126"/>
      <c r="D193" s="115"/>
      <c r="E193" s="119"/>
      <c r="F193" s="119"/>
      <c r="G193" s="91"/>
      <c r="H193" s="92"/>
      <c r="I193" s="92"/>
      <c r="J193" s="128"/>
      <c r="K193" s="128"/>
      <c r="L193" s="128"/>
      <c r="M193" s="94"/>
      <c r="N193" s="94"/>
      <c r="O193" s="94"/>
      <c r="P193" s="95"/>
      <c r="Q193" s="96"/>
      <c r="R193" s="128"/>
      <c r="S193" s="98"/>
      <c r="T193" s="99"/>
      <c r="U193" s="99" t="str">
        <f aca="false">IF(ISBLANK($C193),"",IF(G193=Constants!$B$2, TRUE(), IF(G193=Constants!$B$3, FALSE(), TRUE())))</f>
        <v/>
      </c>
      <c r="V193" s="99" t="str">
        <f aca="false">IF(ISBLANK($C193),"",IF(H193=Constants!$B$2, TRUE(), IF(H193=Constants!$B$3, FALSE(), TRUE())))</f>
        <v/>
      </c>
      <c r="W193" s="99" t="str">
        <f aca="false">IF(ISBLANK($C193),"",IF(I193=Constants!$B$2, TRUE(), IF(I193=Constants!$B$3, FALSE(), TRUE())))</f>
        <v/>
      </c>
      <c r="X193" s="99" t="str">
        <f aca="false">IF(ISBLANK($C193),"",IF(AND(ISNUMBER(J193),J193&gt;0),INT(J193),0))</f>
        <v/>
      </c>
      <c r="Y193" s="99" t="str">
        <f aca="false">IF(ISBLANK($C193),"",IF(K193=Constants!$B$2, TRUE(), IF(K193=Constants!$B$3, FALSE(), TRUE())))</f>
        <v/>
      </c>
      <c r="Z193" s="100" t="str">
        <f aca="false">IF(ISBLANK($C193),"",IF(AND(ISNUMBER(L193),L193&gt;0),INT(L193),0))</f>
        <v/>
      </c>
      <c r="AA193" s="101" t="str">
        <f aca="false">IF(ISBLANK($C193),"",IF(ISNUMBER(M193), M193, ""))</f>
        <v/>
      </c>
      <c r="AB193" s="101" t="str">
        <f aca="false">IF(ISBLANK($C193),"",IF(ISNUMBER(N193), N193, ""))</f>
        <v/>
      </c>
      <c r="AC193" s="101" t="str">
        <f aca="false">IF(ISBLANK($C193),"",IF(ISNUMBER(O193), O193, ""))</f>
        <v/>
      </c>
      <c r="AD193" s="102" t="str">
        <f aca="false">IF(ISBLANK($C193),"",IF(ISNUMBER(P193), P193, ""))</f>
        <v/>
      </c>
      <c r="AE193" s="102" t="str">
        <f aca="false">IF(ISBLANK($C193),"",IF(ISNUMBER(Q193), Q193, Constants!$B$13))</f>
        <v/>
      </c>
      <c r="AF193" s="99" t="str">
        <f aca="false">IF(ISBLANK($C193),"",IF(R193=Constants!$B$2, TRUE(), IF(R193=Constants!$B$3, FALSE(), FALSE())))</f>
        <v/>
      </c>
      <c r="AG193" s="99" t="str">
        <f aca="false">IF(ISBLANK(C193), "", IF(AF193, Constants!$B$4,IF(COUNTA(G193:P193)=0, Constants!$B$5, Constants!$B$7)))</f>
        <v/>
      </c>
      <c r="AH193" s="99" t="str">
        <f aca="false">IF(ISBLANK($C193), "",IF($AG193=Constants!$B$7,1,$AG193))</f>
        <v/>
      </c>
      <c r="AI193" s="99" t="str">
        <f aca="false">IF($AG193=Constants!$B$7,POWER(Constants!$B$11,X193)*POWER(Constants!$B$12,Z193),"")</f>
        <v/>
      </c>
      <c r="AJ193" s="99" t="str">
        <f aca="false">IF(AND($AG193=Constants!$B$7, U193, V193) ,IF(OR($AA193="",$AC193=""),"",MAX(0, $AC193-$AA193)),"")</f>
        <v/>
      </c>
      <c r="AK193" s="99" t="str">
        <f aca="false">IF(AND($AG193=Constants!$B$7, U193, V193),IF(OR($AA193="",$AC193=""),$AK$6,""),"")</f>
        <v/>
      </c>
      <c r="AL193" s="99" t="str">
        <f aca="false">IF($AG193=Constants!$B$7,IF(AND(U193,V193,W193,Y193),IF($AJ193="",0,IF($AJ$6=0,Constants!$B$9,Constants!$B$9*AJ193/$AJ$6)), 0),"")</f>
        <v/>
      </c>
      <c r="AM193" s="99" t="str">
        <f aca="false">IF(AL193&lt;&gt;"", AL193*AI193,"")</f>
        <v/>
      </c>
      <c r="AN193" s="99" t="str">
        <f aca="false">IF(AND($AG193=Constants!$B$7, U193, V193) ,IF($AB193="", "", IF(OR($AC193="",$AC193=0),"",MAX(0,1-ABS($AC193-$AB193)/$AC193))),"")</f>
        <v/>
      </c>
      <c r="AO193" s="99" t="str">
        <f aca="false">IF(AND($AG193=Constants!$B$7, U193, V193),IF(AND($AA193&lt;&gt;"",$AB193&lt;&gt;"",$AC193=0),$AO$6,""),"")</f>
        <v/>
      </c>
      <c r="AP193" s="99" t="str">
        <f aca="false">IF($AG193=Constants!$B$7 ,IF(AND(U193,V193,W193,Y193,ISNUMBER(AB193)),IF($AN193="",0,IF($AN$6=0,Constants!$B$10,Constants!$B$10*AN193/$AN$6)), 0),"")</f>
        <v/>
      </c>
      <c r="AQ193" s="99" t="str">
        <f aca="false">IF(AP193&lt;&gt;"", AP193*AI193,"")</f>
        <v/>
      </c>
      <c r="AR193" s="99" t="str">
        <f aca="false">IF($AG193=Constants!$B$7,IF($AD193="",0,IF($AR$6=0,Constants!$B$8,Constants!$B$8*AD193/$AR$6)),"")</f>
        <v/>
      </c>
      <c r="AS193" s="99" t="str">
        <f aca="false">IF($AG193&lt;&gt;Constants!$B$7,$AG193,IF(AK193&amp;AO193&lt;&gt;"",Constants!$B$14,AM193+AQ193+AR193))</f>
        <v/>
      </c>
      <c r="AT193" s="99" t="str">
        <f aca="false">IF(ISBLANK($C193),"",IF($AG193=Constants!$B$7,IF(ISNUMBER(AS193),RANK(AS193,$AS$8:$AS$507),Constants!$B$14),$AG193))</f>
        <v/>
      </c>
      <c r="AU193" s="99" t="str">
        <f aca="false">IF(ISBLANK($C193), "",AM193)</f>
        <v/>
      </c>
      <c r="AV193" s="99" t="str">
        <f aca="false">IF(ISBLANK($C193),"",IF($AG193=Constants!$B$7,RANK(AU193,AU$8:AU$507),$AG193))</f>
        <v/>
      </c>
      <c r="AW193" s="99" t="str">
        <f aca="false">IF(ISBLANK($C193), "",AR193)</f>
        <v/>
      </c>
      <c r="AX193" s="99" t="str">
        <f aca="false">IF(ISBLANK($C193),"",IF($AG193=Constants!$B$7,RANK(AW193,AW$8:AW$507),$AG193))</f>
        <v/>
      </c>
      <c r="AY193" s="99" t="str">
        <f aca="false">IF(ISBLANK($C193), "",AE193)</f>
        <v/>
      </c>
      <c r="AZ193" s="99" t="str">
        <f aca="false">IF(ISBLANK($C193),"",
IF($AG193=Constants!$B$7,
  IF(ISNUMBER(AT193),
    COUNTIFS($AT$8:$AT$507,"&lt;"&amp;$AT193)
    + COUNTIFS($AT$8:$AT$507,$AT193,$AV$8:$AV$507,"&lt;"&amp;$AV193)
    + COUNTIFS($AT$8:$AT$507,$AT193,$AV$8:$AV$507,$AV193,$AX$8:$AX$507,"&lt;"&amp;$AX193)
    + COUNTIFS($AT$8:$AT$507,$AT193,$AV$8:$AV$507,$AV193,$AX$8:$AX$507,$AX193,$AY$8:$AY$507,"&lt;"&amp;$AY193)
    + 1,
  Constants!$B$14),
$AG193))</f>
        <v/>
      </c>
      <c r="BA193" s="99" t="str">
        <f aca="false">IF(ISBLANK(C193),"",IF($AG193=Constants!$B$7, IF(ISNUMBER(AT193),AT193-AZ193,Constants!$B$14),$AG193))</f>
        <v/>
      </c>
      <c r="BB193" s="103"/>
      <c r="BC193" s="104" t="str">
        <f aca="false">IF(ISBLANK($C193),"",TRIM(AK193&amp;" "&amp;AO193))</f>
        <v/>
      </c>
      <c r="BD193" s="105" t="str">
        <f aca="false">IF(ISBLANK($C193),"",IF($AG193&lt;&gt;Constants!$B$7,$AG193,AR193))</f>
        <v/>
      </c>
      <c r="BE193" s="105" t="str">
        <f aca="false">IF(ISBLANK($C193),"",IF($AG193&lt;&gt;Constants!$B$7,$AG193,AM193))</f>
        <v/>
      </c>
      <c r="BF193" s="105" t="str">
        <f aca="false">IF(ISBLANK($C193),"",IF($AG193&lt;&gt;Constants!$B$7,$AG193,AQ193))</f>
        <v/>
      </c>
      <c r="BG193" s="106" t="str">
        <f aca="false">IF(ISBLANK($C193),"",IF($AG193&lt;&gt;Constants!$B$7, $AG193 ,AS193))</f>
        <v/>
      </c>
      <c r="BH193" s="107" t="str">
        <f aca="false">IF(ISBLANK($C193),"",IF($AG193&lt;&gt;Constants!$B$7, $AG193 ,AH193))</f>
        <v/>
      </c>
      <c r="BI193" s="105" t="str">
        <f aca="false">IF(ISBLANK(C193),"",BA193)</f>
        <v/>
      </c>
      <c r="BJ193" s="105" t="str">
        <f aca="false">IF(ISBLANK(C193),"",AZ193)</f>
        <v/>
      </c>
      <c r="BK193" s="108" t="str">
        <f aca="false">IF(ISBLANK(C193),"",IFERROR(_xlfn.SWITCH(BJ193, Constants!$B$4, COUNTA($C$8:$C692)+2, Constants!$B$5, COUNTA($C$8:$C692)+1, Constants!$B$6, COUNTA($C$8:$C692)),BJ193))</f>
        <v/>
      </c>
      <c r="BL193" s="5"/>
      <c r="BM193" s="109" t="n">
        <f aca="false">IF(OR(ISNUMBER(BJ193),BJ193="DQ",BJ193="P",BJ193="NS"),
    1,
    0
)</f>
        <v>0</v>
      </c>
      <c r="BN193" s="109" t="n">
        <v>186</v>
      </c>
      <c r="BO193" s="109" t="str">
        <f aca="false">IF(ISBLANK($C193),"",IF(ISNUMBER(BK193),BK193+ROW($B193)/1000,""))</f>
        <v/>
      </c>
      <c r="BP193" s="109" t="str">
        <f aca="false">IF(ISNUMBER(BO193), RANK(BO193,BO$8:BO$507,1), "")</f>
        <v/>
      </c>
      <c r="BQ193" s="109" t="str">
        <f aca="false">IF(ISBLANK($C193),
    "",
    $B193
)</f>
        <v/>
      </c>
      <c r="BR193" s="109" t="str">
        <f aca="false">IF(ISBLANK($C193),
    "",
    $C193
)</f>
        <v/>
      </c>
      <c r="BS193" s="109" t="str">
        <f aca="false">IF(ISBLANK($C193),
    "",
    $D193
)</f>
        <v/>
      </c>
      <c r="BT193" s="110" t="str">
        <f aca="false">BH193</f>
        <v/>
      </c>
      <c r="BU193" s="111" t="str">
        <f aca="false">BG193</f>
        <v/>
      </c>
      <c r="BV193" s="109" t="str">
        <f aca="false">IF(ISBLANK($C193),
    "",
    BJ193
)</f>
        <v/>
      </c>
      <c r="BW193" s="112" t="str">
        <f aca="false">IF(BN193&gt;BM$7,
    "",
    VLOOKUP(BN193,BP$8:BV692,7,FALSE())
)</f>
        <v/>
      </c>
      <c r="BX193" s="113" t="str">
        <f aca="false">IF(BN193&gt;BM$7,
    "",
    VLOOKUP(BN193,BP$8:BV692,2,FALSE())
)</f>
        <v/>
      </c>
      <c r="BY193" s="113" t="str">
        <f aca="false">IF(BN193&gt;BM$7,
    "",
    VLOOKUP(BN193,BP$8:BV692,3,FALSE())
)</f>
        <v/>
      </c>
      <c r="BZ193" s="113" t="str">
        <f aca="false">IF(BN193&gt;BM$7,
    "",
    VLOOKUP(BN193,BP$8:BV692,4,FALSE())
)</f>
        <v/>
      </c>
      <c r="CA193" s="113" t="str">
        <f aca="false">IF(BN193&gt;BM$7,
    "",
    VLOOKUP(BN193,BP$8:BV692,5,FALSE())
)</f>
        <v/>
      </c>
      <c r="CB193" s="114" t="str">
        <f aca="false">IF(BN193&gt;BM$7,
    "",
    VLOOKUP(BN193,BP$8:BV692,6,FALSE())
)</f>
        <v/>
      </c>
      <c r="CC193" s="53"/>
    </row>
    <row r="194" customFormat="false" ht="15.75" hidden="false" customHeight="false" outlineLevel="0" collapsed="false">
      <c r="A194" s="5"/>
      <c r="B194" s="129"/>
      <c r="C194" s="55"/>
      <c r="D194" s="56"/>
      <c r="E194" s="123"/>
      <c r="F194" s="123"/>
      <c r="G194" s="58"/>
      <c r="H194" s="59"/>
      <c r="I194" s="59"/>
      <c r="J194" s="83"/>
      <c r="K194" s="83"/>
      <c r="L194" s="83"/>
      <c r="M194" s="61"/>
      <c r="N194" s="61"/>
      <c r="O194" s="61"/>
      <c r="P194" s="62"/>
      <c r="Q194" s="63"/>
      <c r="R194" s="83"/>
      <c r="S194" s="65"/>
      <c r="T194" s="66"/>
      <c r="U194" s="66" t="str">
        <f aca="false">IF(ISBLANK($C194),"",IF(G194=Constants!$B$2, TRUE(), IF(G194=Constants!$B$3, FALSE(), TRUE())))</f>
        <v/>
      </c>
      <c r="V194" s="66" t="str">
        <f aca="false">IF(ISBLANK($C194),"",IF(H194=Constants!$B$2, TRUE(), IF(H194=Constants!$B$3, FALSE(), TRUE())))</f>
        <v/>
      </c>
      <c r="W194" s="66" t="str">
        <f aca="false">IF(ISBLANK($C194),"",IF(I194=Constants!$B$2, TRUE(), IF(I194=Constants!$B$3, FALSE(), TRUE())))</f>
        <v/>
      </c>
      <c r="X194" s="66" t="str">
        <f aca="false">IF(ISBLANK($C194),"",IF(AND(ISNUMBER(J194),J194&gt;0),INT(J194),0))</f>
        <v/>
      </c>
      <c r="Y194" s="66" t="str">
        <f aca="false">IF(ISBLANK($C194),"",IF(K194=Constants!$B$2, TRUE(), IF(K194=Constants!$B$3, FALSE(), TRUE())))</f>
        <v/>
      </c>
      <c r="Z194" s="66" t="str">
        <f aca="false">IF(ISBLANK($C194),"",IF(AND(ISNUMBER(L194),L194&gt;0),INT(L194),0))</f>
        <v/>
      </c>
      <c r="AA194" s="68" t="str">
        <f aca="false">IF(ISBLANK($C194),"",IF(ISNUMBER(M194), M194, ""))</f>
        <v/>
      </c>
      <c r="AB194" s="68" t="str">
        <f aca="false">IF(ISBLANK($C194),"",IF(ISNUMBER(N194), N194, ""))</f>
        <v/>
      </c>
      <c r="AC194" s="68" t="str">
        <f aca="false">IF(ISBLANK($C194),"",IF(ISNUMBER(O194), O194, ""))</f>
        <v/>
      </c>
      <c r="AD194" s="69" t="str">
        <f aca="false">IF(ISBLANK($C194),"",IF(ISNUMBER(P194), P194, ""))</f>
        <v/>
      </c>
      <c r="AE194" s="69" t="str">
        <f aca="false">IF(ISBLANK($C194),"",IF(ISNUMBER(Q194), Q194, Constants!$B$13))</f>
        <v/>
      </c>
      <c r="AF194" s="66" t="str">
        <f aca="false">IF(ISBLANK($C194),"",IF(R194=Constants!$B$2, TRUE(), IF(R194=Constants!$B$3, FALSE(), FALSE())))</f>
        <v/>
      </c>
      <c r="AG194" s="66" t="str">
        <f aca="false">IF(ISBLANK(C194), "", IF(AF194, Constants!$B$4,IF(COUNTA(G194:P194)=0, Constants!$B$5, Constants!$B$7)))</f>
        <v/>
      </c>
      <c r="AH194" s="66" t="str">
        <f aca="false">IF(ISBLANK($C194), "",IF($AG194=Constants!$B$7,1,$AG194))</f>
        <v/>
      </c>
      <c r="AI194" s="66" t="str">
        <f aca="false">IF($AG194=Constants!$B$7,POWER(Constants!$B$11,X194)*POWER(Constants!$B$12,Z194),"")</f>
        <v/>
      </c>
      <c r="AJ194" s="66" t="str">
        <f aca="false">IF(AND($AG194=Constants!$B$7, U194, V194) ,IF(OR($AA194="",$AC194=""),"",MAX(0, $AC194-$AA194)),"")</f>
        <v/>
      </c>
      <c r="AK194" s="66" t="str">
        <f aca="false">IF(AND($AG194=Constants!$B$7, U194, V194),IF(OR($AA194="",$AC194=""),$AK$6,""),"")</f>
        <v/>
      </c>
      <c r="AL194" s="66" t="str">
        <f aca="false">IF($AG194=Constants!$B$7,IF(AND(U194,V194,W194,Y194),IF($AJ194="",0,IF($AJ$6=0,Constants!$B$9,Constants!$B$9*AJ194/$AJ$6)), 0),"")</f>
        <v/>
      </c>
      <c r="AM194" s="66" t="str">
        <f aca="false">IF(AL194&lt;&gt;"", AL194*AI194,"")</f>
        <v/>
      </c>
      <c r="AN194" s="66" t="str">
        <f aca="false">IF(AND($AG194=Constants!$B$7, U194, V194) ,IF($AB194="", "", IF(OR($AC194="",$AC194=0),"",MAX(0,1-ABS($AC194-$AB194)/$AC194))),"")</f>
        <v/>
      </c>
      <c r="AO194" s="66" t="str">
        <f aca="false">IF(AND($AG194=Constants!$B$7, U194, V194),IF(AND($AA194&lt;&gt;"",$AB194&lt;&gt;"",$AC194=0),$AO$6,""),"")</f>
        <v/>
      </c>
      <c r="AP194" s="66" t="str">
        <f aca="false">IF($AG194=Constants!$B$7 ,IF(AND(U194,V194,W194,Y194,ISNUMBER(AB194)),IF($AN194="",0,IF($AN$6=0,Constants!$B$10,Constants!$B$10*AN194/$AN$6)), 0),"")</f>
        <v/>
      </c>
      <c r="AQ194" s="66" t="str">
        <f aca="false">IF(AP194&lt;&gt;"", AP194*AI194,"")</f>
        <v/>
      </c>
      <c r="AR194" s="66" t="str">
        <f aca="false">IF($AG194=Constants!$B$7,IF($AD194="",0,IF($AR$6=0,Constants!$B$8,Constants!$B$8*AD194/$AR$6)),"")</f>
        <v/>
      </c>
      <c r="AS194" s="66" t="str">
        <f aca="false">IF($AG194&lt;&gt;Constants!$B$7,$AG194,IF(AK194&amp;AO194&lt;&gt;"",Constants!$B$14,AM194+AQ194+AR194))</f>
        <v/>
      </c>
      <c r="AT194" s="66" t="str">
        <f aca="false">IF(ISBLANK($C194),"",IF($AG194=Constants!$B$7,IF(ISNUMBER(AS194),RANK(AS194,$AS$8:$AS$507),Constants!$B$14),$AG194))</f>
        <v/>
      </c>
      <c r="AU194" s="66" t="str">
        <f aca="false">IF(ISBLANK($C194), "",AM194)</f>
        <v/>
      </c>
      <c r="AV194" s="66" t="str">
        <f aca="false">IF(ISBLANK($C194),"",IF($AG194=Constants!$B$7,RANK(AU194,AU$8:AU$507),$AG194))</f>
        <v/>
      </c>
      <c r="AW194" s="66" t="str">
        <f aca="false">IF(ISBLANK($C194), "",AR194)</f>
        <v/>
      </c>
      <c r="AX194" s="66" t="str">
        <f aca="false">IF(ISBLANK($C194),"",IF($AG194=Constants!$B$7,RANK(AW194,AW$8:AW$507),$AG194))</f>
        <v/>
      </c>
      <c r="AY194" s="66" t="str">
        <f aca="false">IF(ISBLANK($C194), "",AE194)</f>
        <v/>
      </c>
      <c r="AZ194" s="66" t="str">
        <f aca="false">IF(ISBLANK($C194),"",
IF($AG194=Constants!$B$7,
  IF(ISNUMBER(AT194),
    COUNTIFS($AT$8:$AT$507,"&lt;"&amp;$AT194)
    + COUNTIFS($AT$8:$AT$507,$AT194,$AV$8:$AV$507,"&lt;"&amp;$AV194)
    + COUNTIFS($AT$8:$AT$507,$AT194,$AV$8:$AV$507,$AV194,$AX$8:$AX$507,"&lt;"&amp;$AX194)
    + COUNTIFS($AT$8:$AT$507,$AT194,$AV$8:$AV$507,$AV194,$AX$8:$AX$507,$AX194,$AY$8:$AY$507,"&lt;"&amp;$AY194)
    + 1,
  Constants!$B$14),
$AG194))</f>
        <v/>
      </c>
      <c r="BA194" s="66" t="str">
        <f aca="false">IF(ISBLANK(C194),"",IF($AG194=Constants!$B$7, IF(ISNUMBER(AT194),AT194-AZ194,Constants!$B$14),$AG194))</f>
        <v/>
      </c>
      <c r="BB194" s="70"/>
      <c r="BC194" s="84" t="str">
        <f aca="false">IF(ISBLANK($C194),"",TRIM(AK194&amp;" "&amp;AO194))</f>
        <v/>
      </c>
      <c r="BD194" s="72" t="str">
        <f aca="false">IF(ISBLANK($C194),"",IF($AG194&lt;&gt;Constants!$B$7,$AG194,AR194))</f>
        <v/>
      </c>
      <c r="BE194" s="72" t="str">
        <f aca="false">IF(ISBLANK($C194),"",IF($AG194&lt;&gt;Constants!$B$7,$AG194,AM194))</f>
        <v/>
      </c>
      <c r="BF194" s="72" t="str">
        <f aca="false">IF(ISBLANK($C194),"",IF($AG194&lt;&gt;Constants!$B$7,$AG194,AQ194))</f>
        <v/>
      </c>
      <c r="BG194" s="73" t="str">
        <f aca="false">IF(ISBLANK($C194),"",IF($AG194&lt;&gt;Constants!$B$7, $AG194 ,AS194))</f>
        <v/>
      </c>
      <c r="BH194" s="74" t="str">
        <f aca="false">IF(ISBLANK($C194),"",IF($AG194&lt;&gt;Constants!$B$7, $AG194 ,AH194))</f>
        <v/>
      </c>
      <c r="BI194" s="72" t="str">
        <f aca="false">IF(ISBLANK(C194),"",BA194)</f>
        <v/>
      </c>
      <c r="BJ194" s="72" t="str">
        <f aca="false">IF(ISBLANK(C194),"",AZ194)</f>
        <v/>
      </c>
      <c r="BK194" s="75" t="str">
        <f aca="false">IF(ISBLANK(C194),"",IFERROR(_xlfn.SWITCH(BJ194, Constants!$B$4, COUNTA($C$8:$C693)+2, Constants!$B$5, COUNTA($C$8:$C693)+1, Constants!$B$6, COUNTA($C$8:$C693)),BJ194))</f>
        <v/>
      </c>
      <c r="BL194" s="5"/>
      <c r="BM194" s="76" t="n">
        <f aca="false">IF(OR(ISNUMBER(BJ194),BJ194="DQ",BJ194="P",BJ194="NS"),
    1,
    0
)</f>
        <v>0</v>
      </c>
      <c r="BN194" s="76" t="n">
        <v>187</v>
      </c>
      <c r="BO194" s="76" t="str">
        <f aca="false">IF(ISBLANK($C194),"",IF(ISNUMBER(BK194),BK194+ROW($B194)/1000,""))</f>
        <v/>
      </c>
      <c r="BP194" s="76" t="str">
        <f aca="false">IF(ISNUMBER(BO194), RANK(BO194,BO$8:BO$507,1), "")</f>
        <v/>
      </c>
      <c r="BQ194" s="76" t="str">
        <f aca="false">IF(ISBLANK($C194),
    "",
    $B194
)</f>
        <v/>
      </c>
      <c r="BR194" s="76" t="str">
        <f aca="false">IF(ISBLANK($C194),
    "",
    $C194
)</f>
        <v/>
      </c>
      <c r="BS194" s="76" t="str">
        <f aca="false">IF(ISBLANK($C194),
    "",
    $D194
)</f>
        <v/>
      </c>
      <c r="BT194" s="77" t="str">
        <f aca="false">BH194</f>
        <v/>
      </c>
      <c r="BU194" s="78" t="str">
        <f aca="false">BG194</f>
        <v/>
      </c>
      <c r="BV194" s="76" t="str">
        <f aca="false">IF(ISBLANK($C194),
    "",
    BJ194
)</f>
        <v/>
      </c>
      <c r="BW194" s="79" t="str">
        <f aca="false">IF(BN194&gt;BM$7,
    "",
    VLOOKUP(BN194,BP$8:BV693,7,FALSE())
)</f>
        <v/>
      </c>
      <c r="BX194" s="80" t="str">
        <f aca="false">IF(BN194&gt;BM$7,
    "",
    VLOOKUP(BN194,BP$8:BV693,2,FALSE())
)</f>
        <v/>
      </c>
      <c r="BY194" s="80" t="str">
        <f aca="false">IF(BN194&gt;BM$7,
    "",
    VLOOKUP(BN194,BP$8:BV693,3,FALSE())
)</f>
        <v/>
      </c>
      <c r="BZ194" s="80" t="str">
        <f aca="false">IF(BN194&gt;BM$7,
    "",
    VLOOKUP(BN194,BP$8:BV693,4,FALSE())
)</f>
        <v/>
      </c>
      <c r="CA194" s="80" t="str">
        <f aca="false">IF(BN194&gt;BM$7,
    "",
    VLOOKUP(BN194,BP$8:BV693,5,FALSE())
)</f>
        <v/>
      </c>
      <c r="CB194" s="81" t="str">
        <f aca="false">IF(BN194&gt;BM$7,
    "",
    VLOOKUP(BN194,BP$8:BV693,6,FALSE())
)</f>
        <v/>
      </c>
      <c r="CC194" s="53"/>
    </row>
    <row r="195" customFormat="false" ht="15.75" hidden="false" customHeight="false" outlineLevel="0" collapsed="false">
      <c r="A195" s="5"/>
      <c r="B195" s="129"/>
      <c r="C195" s="55"/>
      <c r="D195" s="56"/>
      <c r="E195" s="123"/>
      <c r="F195" s="123"/>
      <c r="G195" s="58"/>
      <c r="H195" s="59"/>
      <c r="I195" s="59"/>
      <c r="J195" s="83"/>
      <c r="K195" s="83"/>
      <c r="L195" s="83"/>
      <c r="M195" s="61"/>
      <c r="N195" s="61"/>
      <c r="O195" s="61"/>
      <c r="P195" s="62"/>
      <c r="Q195" s="63"/>
      <c r="R195" s="83"/>
      <c r="S195" s="65"/>
      <c r="T195" s="66"/>
      <c r="U195" s="66" t="str">
        <f aca="false">IF(ISBLANK($C195),"",IF(G195=Constants!$B$2, TRUE(), IF(G195=Constants!$B$3, FALSE(), TRUE())))</f>
        <v/>
      </c>
      <c r="V195" s="66" t="str">
        <f aca="false">IF(ISBLANK($C195),"",IF(H195=Constants!$B$2, TRUE(), IF(H195=Constants!$B$3, FALSE(), TRUE())))</f>
        <v/>
      </c>
      <c r="W195" s="66" t="str">
        <f aca="false">IF(ISBLANK($C195),"",IF(I195=Constants!$B$2, TRUE(), IF(I195=Constants!$B$3, FALSE(), TRUE())))</f>
        <v/>
      </c>
      <c r="X195" s="66" t="str">
        <f aca="false">IF(ISBLANK($C195),"",IF(AND(ISNUMBER(J195),J195&gt;0),INT(J195),0))</f>
        <v/>
      </c>
      <c r="Y195" s="66" t="str">
        <f aca="false">IF(ISBLANK($C195),"",IF(K195=Constants!$B$2, TRUE(), IF(K195=Constants!$B$3, FALSE(), TRUE())))</f>
        <v/>
      </c>
      <c r="Z195" s="66" t="str">
        <f aca="false">IF(ISBLANK($C195),"",IF(AND(ISNUMBER(L195),L195&gt;0),INT(L195),0))</f>
        <v/>
      </c>
      <c r="AA195" s="68" t="str">
        <f aca="false">IF(ISBLANK($C195),"",IF(ISNUMBER(M195), M195, ""))</f>
        <v/>
      </c>
      <c r="AB195" s="68" t="str">
        <f aca="false">IF(ISBLANK($C195),"",IF(ISNUMBER(N195), N195, ""))</f>
        <v/>
      </c>
      <c r="AC195" s="68" t="str">
        <f aca="false">IF(ISBLANK($C195),"",IF(ISNUMBER(O195), O195, ""))</f>
        <v/>
      </c>
      <c r="AD195" s="69" t="str">
        <f aca="false">IF(ISBLANK($C195),"",IF(ISNUMBER(P195), P195, ""))</f>
        <v/>
      </c>
      <c r="AE195" s="69" t="str">
        <f aca="false">IF(ISBLANK($C195),"",IF(ISNUMBER(Q195), Q195, Constants!$B$13))</f>
        <v/>
      </c>
      <c r="AF195" s="66" t="str">
        <f aca="false">IF(ISBLANK($C195),"",IF(R195=Constants!$B$2, TRUE(), IF(R195=Constants!$B$3, FALSE(), FALSE())))</f>
        <v/>
      </c>
      <c r="AG195" s="66" t="str">
        <f aca="false">IF(ISBLANK(C195), "", IF(AF195, Constants!$B$4,IF(COUNTA(G195:P195)=0, Constants!$B$5, Constants!$B$7)))</f>
        <v/>
      </c>
      <c r="AH195" s="66" t="str">
        <f aca="false">IF(ISBLANK($C195), "",IF($AG195=Constants!$B$7,1,$AG195))</f>
        <v/>
      </c>
      <c r="AI195" s="66" t="str">
        <f aca="false">IF($AG195=Constants!$B$7,POWER(Constants!$B$11,X195)*POWER(Constants!$B$12,Z195),"")</f>
        <v/>
      </c>
      <c r="AJ195" s="66" t="str">
        <f aca="false">IF(AND($AG195=Constants!$B$7, U195, V195) ,IF(OR($AA195="",$AC195=""),"",MAX(0, $AC195-$AA195)),"")</f>
        <v/>
      </c>
      <c r="AK195" s="66" t="str">
        <f aca="false">IF(AND($AG195=Constants!$B$7, U195, V195),IF(OR($AA195="",$AC195=""),$AK$6,""),"")</f>
        <v/>
      </c>
      <c r="AL195" s="66" t="str">
        <f aca="false">IF($AG195=Constants!$B$7,IF(AND(U195,V195,W195,Y195),IF($AJ195="",0,IF($AJ$6=0,Constants!$B$9,Constants!$B$9*AJ195/$AJ$6)), 0),"")</f>
        <v/>
      </c>
      <c r="AM195" s="66" t="str">
        <f aca="false">IF(AL195&lt;&gt;"", AL195*AI195,"")</f>
        <v/>
      </c>
      <c r="AN195" s="66" t="str">
        <f aca="false">IF(AND($AG195=Constants!$B$7, U195, V195) ,IF($AB195="", "", IF(OR($AC195="",$AC195=0),"",MAX(0,1-ABS($AC195-$AB195)/$AC195))),"")</f>
        <v/>
      </c>
      <c r="AO195" s="66" t="str">
        <f aca="false">IF(AND($AG195=Constants!$B$7, U195, V195),IF(AND($AA195&lt;&gt;"",$AB195&lt;&gt;"",$AC195=0),$AO$6,""),"")</f>
        <v/>
      </c>
      <c r="AP195" s="66" t="str">
        <f aca="false">IF($AG195=Constants!$B$7 ,IF(AND(U195,V195,W195,Y195,ISNUMBER(AB195)),IF($AN195="",0,IF($AN$6=0,Constants!$B$10,Constants!$B$10*AN195/$AN$6)), 0),"")</f>
        <v/>
      </c>
      <c r="AQ195" s="66" t="str">
        <f aca="false">IF(AP195&lt;&gt;"", AP195*AI195,"")</f>
        <v/>
      </c>
      <c r="AR195" s="66" t="str">
        <f aca="false">IF($AG195=Constants!$B$7,IF($AD195="",0,IF($AR$6=0,Constants!$B$8,Constants!$B$8*AD195/$AR$6)),"")</f>
        <v/>
      </c>
      <c r="AS195" s="66" t="str">
        <f aca="false">IF($AG195&lt;&gt;Constants!$B$7,$AG195,IF(AK195&amp;AO195&lt;&gt;"",Constants!$B$14,AM195+AQ195+AR195))</f>
        <v/>
      </c>
      <c r="AT195" s="66" t="str">
        <f aca="false">IF(ISBLANK($C195),"",IF($AG195=Constants!$B$7,IF(ISNUMBER(AS195),RANK(AS195,$AS$8:$AS$507),Constants!$B$14),$AG195))</f>
        <v/>
      </c>
      <c r="AU195" s="66" t="str">
        <f aca="false">IF(ISBLANK($C195), "",AM195)</f>
        <v/>
      </c>
      <c r="AV195" s="66" t="str">
        <f aca="false">IF(ISBLANK($C195),"",IF($AG195=Constants!$B$7,RANK(AU195,AU$8:AU$507),$AG195))</f>
        <v/>
      </c>
      <c r="AW195" s="66" t="str">
        <f aca="false">IF(ISBLANK($C195), "",AR195)</f>
        <v/>
      </c>
      <c r="AX195" s="66" t="str">
        <f aca="false">IF(ISBLANK($C195),"",IF($AG195=Constants!$B$7,RANK(AW195,AW$8:AW$507),$AG195))</f>
        <v/>
      </c>
      <c r="AY195" s="66" t="str">
        <f aca="false">IF(ISBLANK($C195), "",AE195)</f>
        <v/>
      </c>
      <c r="AZ195" s="66" t="str">
        <f aca="false">IF(ISBLANK($C195),"",
IF($AG195=Constants!$B$7,
  IF(ISNUMBER(AT195),
    COUNTIFS($AT$8:$AT$507,"&lt;"&amp;$AT195)
    + COUNTIFS($AT$8:$AT$507,$AT195,$AV$8:$AV$507,"&lt;"&amp;$AV195)
    + COUNTIFS($AT$8:$AT$507,$AT195,$AV$8:$AV$507,$AV195,$AX$8:$AX$507,"&lt;"&amp;$AX195)
    + COUNTIFS($AT$8:$AT$507,$AT195,$AV$8:$AV$507,$AV195,$AX$8:$AX$507,$AX195,$AY$8:$AY$507,"&lt;"&amp;$AY195)
    + 1,
  Constants!$B$14),
$AG195))</f>
        <v/>
      </c>
      <c r="BA195" s="66" t="str">
        <f aca="false">IF(ISBLANK(C195),"",IF($AG195=Constants!$B$7, IF(ISNUMBER(AT195),AT195-AZ195,Constants!$B$14),$AG195))</f>
        <v/>
      </c>
      <c r="BB195" s="70"/>
      <c r="BC195" s="84" t="str">
        <f aca="false">IF(ISBLANK($C195),"",TRIM(AK195&amp;" "&amp;AO195))</f>
        <v/>
      </c>
      <c r="BD195" s="72" t="str">
        <f aca="false">IF(ISBLANK($C195),"",IF($AG195&lt;&gt;Constants!$B$7,$AG195,AR195))</f>
        <v/>
      </c>
      <c r="BE195" s="72" t="str">
        <f aca="false">IF(ISBLANK($C195),"",IF($AG195&lt;&gt;Constants!$B$7,$AG195,AM195))</f>
        <v/>
      </c>
      <c r="BF195" s="72" t="str">
        <f aca="false">IF(ISBLANK($C195),"",IF($AG195&lt;&gt;Constants!$B$7,$AG195,AQ195))</f>
        <v/>
      </c>
      <c r="BG195" s="73" t="str">
        <f aca="false">IF(ISBLANK($C195),"",IF($AG195&lt;&gt;Constants!$B$7, $AG195 ,AS195))</f>
        <v/>
      </c>
      <c r="BH195" s="74" t="str">
        <f aca="false">IF(ISBLANK($C195),"",IF($AG195&lt;&gt;Constants!$B$7, $AG195 ,AH195))</f>
        <v/>
      </c>
      <c r="BI195" s="72" t="str">
        <f aca="false">IF(ISBLANK(C195),"",BA195)</f>
        <v/>
      </c>
      <c r="BJ195" s="72" t="str">
        <f aca="false">IF(ISBLANK(C195),"",AZ195)</f>
        <v/>
      </c>
      <c r="BK195" s="75" t="str">
        <f aca="false">IF(ISBLANK(C195),"",IFERROR(_xlfn.SWITCH(BJ195, Constants!$B$4, COUNTA($C$8:$C694)+2, Constants!$B$5, COUNTA($C$8:$C694)+1, Constants!$B$6, COUNTA($C$8:$C694)),BJ195))</f>
        <v/>
      </c>
      <c r="BL195" s="5"/>
      <c r="BM195" s="76" t="n">
        <f aca="false">IF(OR(ISNUMBER(BJ195),BJ195="DQ",BJ195="P",BJ195="NS"),
    1,
    0
)</f>
        <v>0</v>
      </c>
      <c r="BN195" s="76" t="n">
        <v>188</v>
      </c>
      <c r="BO195" s="76" t="str">
        <f aca="false">IF(ISBLANK($C195),"",IF(ISNUMBER(BK195),BK195+ROW($B195)/1000,""))</f>
        <v/>
      </c>
      <c r="BP195" s="76" t="str">
        <f aca="false">IF(ISNUMBER(BO195), RANK(BO195,BO$8:BO$507,1), "")</f>
        <v/>
      </c>
      <c r="BQ195" s="76" t="str">
        <f aca="false">IF(ISBLANK($C195),
    "",
    $B195
)</f>
        <v/>
      </c>
      <c r="BR195" s="76" t="str">
        <f aca="false">IF(ISBLANK($C195),
    "",
    $C195
)</f>
        <v/>
      </c>
      <c r="BS195" s="76" t="str">
        <f aca="false">IF(ISBLANK($C195),
    "",
    $D195
)</f>
        <v/>
      </c>
      <c r="BT195" s="77" t="str">
        <f aca="false">BH195</f>
        <v/>
      </c>
      <c r="BU195" s="78" t="str">
        <f aca="false">BG195</f>
        <v/>
      </c>
      <c r="BV195" s="76" t="str">
        <f aca="false">IF(ISBLANK($C195),
    "",
    BJ195
)</f>
        <v/>
      </c>
      <c r="BW195" s="79" t="str">
        <f aca="false">IF(BN195&gt;BM$7,
    "",
    VLOOKUP(BN195,BP$8:BV694,7,FALSE())
)</f>
        <v/>
      </c>
      <c r="BX195" s="80" t="str">
        <f aca="false">IF(BN195&gt;BM$7,
    "",
    VLOOKUP(BN195,BP$8:BV694,2,FALSE())
)</f>
        <v/>
      </c>
      <c r="BY195" s="80" t="str">
        <f aca="false">IF(BN195&gt;BM$7,
    "",
    VLOOKUP(BN195,BP$8:BV694,3,FALSE())
)</f>
        <v/>
      </c>
      <c r="BZ195" s="80" t="str">
        <f aca="false">IF(BN195&gt;BM$7,
    "",
    VLOOKUP(BN195,BP$8:BV694,4,FALSE())
)</f>
        <v/>
      </c>
      <c r="CA195" s="80" t="str">
        <f aca="false">IF(BN195&gt;BM$7,
    "",
    VLOOKUP(BN195,BP$8:BV694,5,FALSE())
)</f>
        <v/>
      </c>
      <c r="CB195" s="81" t="str">
        <f aca="false">IF(BN195&gt;BM$7,
    "",
    VLOOKUP(BN195,BP$8:BV694,6,FALSE())
)</f>
        <v/>
      </c>
      <c r="CC195" s="53"/>
    </row>
    <row r="196" customFormat="false" ht="15.75" hidden="false" customHeight="false" outlineLevel="0" collapsed="false">
      <c r="A196" s="5"/>
      <c r="B196" s="129"/>
      <c r="C196" s="55"/>
      <c r="D196" s="56"/>
      <c r="E196" s="123"/>
      <c r="F196" s="123"/>
      <c r="G196" s="58"/>
      <c r="H196" s="59"/>
      <c r="I196" s="59"/>
      <c r="J196" s="83"/>
      <c r="K196" s="83"/>
      <c r="L196" s="83"/>
      <c r="M196" s="61"/>
      <c r="N196" s="61"/>
      <c r="O196" s="61"/>
      <c r="P196" s="62"/>
      <c r="Q196" s="63"/>
      <c r="R196" s="83"/>
      <c r="S196" s="65"/>
      <c r="T196" s="66"/>
      <c r="U196" s="66" t="str">
        <f aca="false">IF(ISBLANK($C196),"",IF(G196=Constants!$B$2, TRUE(), IF(G196=Constants!$B$3, FALSE(), TRUE())))</f>
        <v/>
      </c>
      <c r="V196" s="66" t="str">
        <f aca="false">IF(ISBLANK($C196),"",IF(H196=Constants!$B$2, TRUE(), IF(H196=Constants!$B$3, FALSE(), TRUE())))</f>
        <v/>
      </c>
      <c r="W196" s="66" t="str">
        <f aca="false">IF(ISBLANK($C196),"",IF(I196=Constants!$B$2, TRUE(), IF(I196=Constants!$B$3, FALSE(), TRUE())))</f>
        <v/>
      </c>
      <c r="X196" s="66" t="str">
        <f aca="false">IF(ISBLANK($C196),"",IF(AND(ISNUMBER(J196),J196&gt;0),INT(J196),0))</f>
        <v/>
      </c>
      <c r="Y196" s="66" t="str">
        <f aca="false">IF(ISBLANK($C196),"",IF(K196=Constants!$B$2, TRUE(), IF(K196=Constants!$B$3, FALSE(), TRUE())))</f>
        <v/>
      </c>
      <c r="Z196" s="66" t="str">
        <f aca="false">IF(ISBLANK($C196),"",IF(AND(ISNUMBER(L196),L196&gt;0),INT(L196),0))</f>
        <v/>
      </c>
      <c r="AA196" s="68" t="str">
        <f aca="false">IF(ISBLANK($C196),"",IF(ISNUMBER(M196), M196, ""))</f>
        <v/>
      </c>
      <c r="AB196" s="68" t="str">
        <f aca="false">IF(ISBLANK($C196),"",IF(ISNUMBER(N196), N196, ""))</f>
        <v/>
      </c>
      <c r="AC196" s="68" t="str">
        <f aca="false">IF(ISBLANK($C196),"",IF(ISNUMBER(O196), O196, ""))</f>
        <v/>
      </c>
      <c r="AD196" s="69" t="str">
        <f aca="false">IF(ISBLANK($C196),"",IF(ISNUMBER(P196), P196, ""))</f>
        <v/>
      </c>
      <c r="AE196" s="69" t="str">
        <f aca="false">IF(ISBLANK($C196),"",IF(ISNUMBER(Q196), Q196, Constants!$B$13))</f>
        <v/>
      </c>
      <c r="AF196" s="66" t="str">
        <f aca="false">IF(ISBLANK($C196),"",IF(R196=Constants!$B$2, TRUE(), IF(R196=Constants!$B$3, FALSE(), FALSE())))</f>
        <v/>
      </c>
      <c r="AG196" s="66" t="str">
        <f aca="false">IF(ISBLANK(C196), "", IF(AF196, Constants!$B$4,IF(COUNTA(G196:P196)=0, Constants!$B$5, Constants!$B$7)))</f>
        <v/>
      </c>
      <c r="AH196" s="66" t="str">
        <f aca="false">IF(ISBLANK($C196), "",IF($AG196=Constants!$B$7,1,$AG196))</f>
        <v/>
      </c>
      <c r="AI196" s="66" t="str">
        <f aca="false">IF($AG196=Constants!$B$7,POWER(Constants!$B$11,X196)*POWER(Constants!$B$12,Z196),"")</f>
        <v/>
      </c>
      <c r="AJ196" s="66" t="str">
        <f aca="false">IF(AND($AG196=Constants!$B$7, U196, V196) ,IF(OR($AA196="",$AC196=""),"",MAX(0, $AC196-$AA196)),"")</f>
        <v/>
      </c>
      <c r="AK196" s="66" t="str">
        <f aca="false">IF(AND($AG196=Constants!$B$7, U196, V196),IF(OR($AA196="",$AC196=""),$AK$6,""),"")</f>
        <v/>
      </c>
      <c r="AL196" s="66" t="str">
        <f aca="false">IF($AG196=Constants!$B$7,IF(AND(U196,V196,W196,Y196),IF($AJ196="",0,IF($AJ$6=0,Constants!$B$9,Constants!$B$9*AJ196/$AJ$6)), 0),"")</f>
        <v/>
      </c>
      <c r="AM196" s="66" t="str">
        <f aca="false">IF(AL196&lt;&gt;"", AL196*AI196,"")</f>
        <v/>
      </c>
      <c r="AN196" s="66" t="str">
        <f aca="false">IF(AND($AG196=Constants!$B$7, U196, V196) ,IF($AB196="", "", IF(OR($AC196="",$AC196=0),"",MAX(0,1-ABS($AC196-$AB196)/$AC196))),"")</f>
        <v/>
      </c>
      <c r="AO196" s="66" t="str">
        <f aca="false">IF(AND($AG196=Constants!$B$7, U196, V196),IF(AND($AA196&lt;&gt;"",$AB196&lt;&gt;"",$AC196=0),$AO$6,""),"")</f>
        <v/>
      </c>
      <c r="AP196" s="66" t="str">
        <f aca="false">IF($AG196=Constants!$B$7 ,IF(AND(U196,V196,W196,Y196,ISNUMBER(AB196)),IF($AN196="",0,IF($AN$6=0,Constants!$B$10,Constants!$B$10*AN196/$AN$6)), 0),"")</f>
        <v/>
      </c>
      <c r="AQ196" s="66" t="str">
        <f aca="false">IF(AP196&lt;&gt;"", AP196*AI196,"")</f>
        <v/>
      </c>
      <c r="AR196" s="66" t="str">
        <f aca="false">IF($AG196=Constants!$B$7,IF($AD196="",0,IF($AR$6=0,Constants!$B$8,Constants!$B$8*AD196/$AR$6)),"")</f>
        <v/>
      </c>
      <c r="AS196" s="66" t="str">
        <f aca="false">IF($AG196&lt;&gt;Constants!$B$7,$AG196,IF(AK196&amp;AO196&lt;&gt;"",Constants!$B$14,AM196+AQ196+AR196))</f>
        <v/>
      </c>
      <c r="AT196" s="66" t="str">
        <f aca="false">IF(ISBLANK($C196),"",IF($AG196=Constants!$B$7,IF(ISNUMBER(AS196),RANK(AS196,$AS$8:$AS$507),Constants!$B$14),$AG196))</f>
        <v/>
      </c>
      <c r="AU196" s="66" t="str">
        <f aca="false">IF(ISBLANK($C196), "",AM196)</f>
        <v/>
      </c>
      <c r="AV196" s="66" t="str">
        <f aca="false">IF(ISBLANK($C196),"",IF($AG196=Constants!$B$7,RANK(AU196,AU$8:AU$507),$AG196))</f>
        <v/>
      </c>
      <c r="AW196" s="66" t="str">
        <f aca="false">IF(ISBLANK($C196), "",AR196)</f>
        <v/>
      </c>
      <c r="AX196" s="66" t="str">
        <f aca="false">IF(ISBLANK($C196),"",IF($AG196=Constants!$B$7,RANK(AW196,AW$8:AW$507),$AG196))</f>
        <v/>
      </c>
      <c r="AY196" s="66" t="str">
        <f aca="false">IF(ISBLANK($C196), "",AE196)</f>
        <v/>
      </c>
      <c r="AZ196" s="66" t="str">
        <f aca="false">IF(ISBLANK($C196),"",
IF($AG196=Constants!$B$7,
  IF(ISNUMBER(AT196),
    COUNTIFS($AT$8:$AT$507,"&lt;"&amp;$AT196)
    + COUNTIFS($AT$8:$AT$507,$AT196,$AV$8:$AV$507,"&lt;"&amp;$AV196)
    + COUNTIFS($AT$8:$AT$507,$AT196,$AV$8:$AV$507,$AV196,$AX$8:$AX$507,"&lt;"&amp;$AX196)
    + COUNTIFS($AT$8:$AT$507,$AT196,$AV$8:$AV$507,$AV196,$AX$8:$AX$507,$AX196,$AY$8:$AY$507,"&lt;"&amp;$AY196)
    + 1,
  Constants!$B$14),
$AG196))</f>
        <v/>
      </c>
      <c r="BA196" s="66" t="str">
        <f aca="false">IF(ISBLANK(C196),"",IF($AG196=Constants!$B$7, IF(ISNUMBER(AT196),AT196-AZ196,Constants!$B$14),$AG196))</f>
        <v/>
      </c>
      <c r="BB196" s="70"/>
      <c r="BC196" s="84" t="str">
        <f aca="false">IF(ISBLANK($C196),"",TRIM(AK196&amp;" "&amp;AO196))</f>
        <v/>
      </c>
      <c r="BD196" s="72" t="str">
        <f aca="false">IF(ISBLANK($C196),"",IF($AG196&lt;&gt;Constants!$B$7,$AG196,AR196))</f>
        <v/>
      </c>
      <c r="BE196" s="72" t="str">
        <f aca="false">IF(ISBLANK($C196),"",IF($AG196&lt;&gt;Constants!$B$7,$AG196,AM196))</f>
        <v/>
      </c>
      <c r="BF196" s="72" t="str">
        <f aca="false">IF(ISBLANK($C196),"",IF($AG196&lt;&gt;Constants!$B$7,$AG196,AQ196))</f>
        <v/>
      </c>
      <c r="BG196" s="73" t="str">
        <f aca="false">IF(ISBLANK($C196),"",IF($AG196&lt;&gt;Constants!$B$7, $AG196 ,AS196))</f>
        <v/>
      </c>
      <c r="BH196" s="74" t="str">
        <f aca="false">IF(ISBLANK($C196),"",IF($AG196&lt;&gt;Constants!$B$7, $AG196 ,AH196))</f>
        <v/>
      </c>
      <c r="BI196" s="72" t="str">
        <f aca="false">IF(ISBLANK(C196),"",BA196)</f>
        <v/>
      </c>
      <c r="BJ196" s="72" t="str">
        <f aca="false">IF(ISBLANK(C196),"",AZ196)</f>
        <v/>
      </c>
      <c r="BK196" s="75" t="str">
        <f aca="false">IF(ISBLANK(C196),"",IFERROR(_xlfn.SWITCH(BJ196, Constants!$B$4, COUNTA($C$8:$C695)+2, Constants!$B$5, COUNTA($C$8:$C695)+1, Constants!$B$6, COUNTA($C$8:$C695)),BJ196))</f>
        <v/>
      </c>
      <c r="BL196" s="5"/>
      <c r="BM196" s="76" t="n">
        <f aca="false">IF(OR(ISNUMBER(BJ196),BJ196="DQ",BJ196="P",BJ196="NS"),
    1,
    0
)</f>
        <v>0</v>
      </c>
      <c r="BN196" s="76" t="n">
        <v>189</v>
      </c>
      <c r="BO196" s="76" t="str">
        <f aca="false">IF(ISBLANK($C196),"",IF(ISNUMBER(BK196),BK196+ROW($B196)/1000,""))</f>
        <v/>
      </c>
      <c r="BP196" s="76" t="str">
        <f aca="false">IF(ISNUMBER(BO196), RANK(BO196,BO$8:BO$507,1), "")</f>
        <v/>
      </c>
      <c r="BQ196" s="76" t="str">
        <f aca="false">IF(ISBLANK($C196),
    "",
    $B196
)</f>
        <v/>
      </c>
      <c r="BR196" s="76" t="str">
        <f aca="false">IF(ISBLANK($C196),
    "",
    $C196
)</f>
        <v/>
      </c>
      <c r="BS196" s="76" t="str">
        <f aca="false">IF(ISBLANK($C196),
    "",
    $D196
)</f>
        <v/>
      </c>
      <c r="BT196" s="77" t="str">
        <f aca="false">BH196</f>
        <v/>
      </c>
      <c r="BU196" s="78" t="str">
        <f aca="false">BG196</f>
        <v/>
      </c>
      <c r="BV196" s="76" t="str">
        <f aca="false">IF(ISBLANK($C196),
    "",
    BJ196
)</f>
        <v/>
      </c>
      <c r="BW196" s="79" t="str">
        <f aca="false">IF(BN196&gt;BM$7,
    "",
    VLOOKUP(BN196,BP$8:BV695,7,FALSE())
)</f>
        <v/>
      </c>
      <c r="BX196" s="80" t="str">
        <f aca="false">IF(BN196&gt;BM$7,
    "",
    VLOOKUP(BN196,BP$8:BV695,2,FALSE())
)</f>
        <v/>
      </c>
      <c r="BY196" s="80" t="str">
        <f aca="false">IF(BN196&gt;BM$7,
    "",
    VLOOKUP(BN196,BP$8:BV695,3,FALSE())
)</f>
        <v/>
      </c>
      <c r="BZ196" s="80" t="str">
        <f aca="false">IF(BN196&gt;BM$7,
    "",
    VLOOKUP(BN196,BP$8:BV695,4,FALSE())
)</f>
        <v/>
      </c>
      <c r="CA196" s="80" t="str">
        <f aca="false">IF(BN196&gt;BM$7,
    "",
    VLOOKUP(BN196,BP$8:BV695,5,FALSE())
)</f>
        <v/>
      </c>
      <c r="CB196" s="81" t="str">
        <f aca="false">IF(BN196&gt;BM$7,
    "",
    VLOOKUP(BN196,BP$8:BV695,6,FALSE())
)</f>
        <v/>
      </c>
      <c r="CC196" s="53"/>
    </row>
    <row r="197" customFormat="false" ht="15.75" hidden="false" customHeight="false" outlineLevel="0" collapsed="false">
      <c r="A197" s="5"/>
      <c r="B197" s="125"/>
      <c r="C197" s="126"/>
      <c r="D197" s="115"/>
      <c r="E197" s="119"/>
      <c r="F197" s="119"/>
      <c r="G197" s="91"/>
      <c r="H197" s="92"/>
      <c r="I197" s="92"/>
      <c r="J197" s="128"/>
      <c r="K197" s="128"/>
      <c r="L197" s="128"/>
      <c r="M197" s="94"/>
      <c r="N197" s="94"/>
      <c r="O197" s="94"/>
      <c r="P197" s="95"/>
      <c r="Q197" s="96"/>
      <c r="R197" s="128"/>
      <c r="S197" s="98"/>
      <c r="T197" s="99"/>
      <c r="U197" s="99" t="str">
        <f aca="false">IF(ISBLANK($C197),"",IF(G197=Constants!$B$2, TRUE(), IF(G197=Constants!$B$3, FALSE(), TRUE())))</f>
        <v/>
      </c>
      <c r="V197" s="99" t="str">
        <f aca="false">IF(ISBLANK($C197),"",IF(H197=Constants!$B$2, TRUE(), IF(H197=Constants!$B$3, FALSE(), TRUE())))</f>
        <v/>
      </c>
      <c r="W197" s="99" t="str">
        <f aca="false">IF(ISBLANK($C197),"",IF(I197=Constants!$B$2, TRUE(), IF(I197=Constants!$B$3, FALSE(), TRUE())))</f>
        <v/>
      </c>
      <c r="X197" s="99" t="str">
        <f aca="false">IF(ISBLANK($C197),"",IF(AND(ISNUMBER(J197),J197&gt;0),INT(J197),0))</f>
        <v/>
      </c>
      <c r="Y197" s="99" t="str">
        <f aca="false">IF(ISBLANK($C197),"",IF(K197=Constants!$B$2, TRUE(), IF(K197=Constants!$B$3, FALSE(), TRUE())))</f>
        <v/>
      </c>
      <c r="Z197" s="100" t="str">
        <f aca="false">IF(ISBLANK($C197),"",IF(AND(ISNUMBER(L197),L197&gt;0),INT(L197),0))</f>
        <v/>
      </c>
      <c r="AA197" s="101" t="str">
        <f aca="false">IF(ISBLANK($C197),"",IF(ISNUMBER(M197), M197, ""))</f>
        <v/>
      </c>
      <c r="AB197" s="101" t="str">
        <f aca="false">IF(ISBLANK($C197),"",IF(ISNUMBER(N197), N197, ""))</f>
        <v/>
      </c>
      <c r="AC197" s="101" t="str">
        <f aca="false">IF(ISBLANK($C197),"",IF(ISNUMBER(O197), O197, ""))</f>
        <v/>
      </c>
      <c r="AD197" s="102" t="str">
        <f aca="false">IF(ISBLANK($C197),"",IF(ISNUMBER(P197), P197, ""))</f>
        <v/>
      </c>
      <c r="AE197" s="102" t="str">
        <f aca="false">IF(ISBLANK($C197),"",IF(ISNUMBER(Q197), Q197, Constants!$B$13))</f>
        <v/>
      </c>
      <c r="AF197" s="99" t="str">
        <f aca="false">IF(ISBLANK($C197),"",IF(R197=Constants!$B$2, TRUE(), IF(R197=Constants!$B$3, FALSE(), FALSE())))</f>
        <v/>
      </c>
      <c r="AG197" s="99" t="str">
        <f aca="false">IF(ISBLANK(C197), "", IF(AF197, Constants!$B$4,IF(COUNTA(G197:P197)=0, Constants!$B$5, Constants!$B$7)))</f>
        <v/>
      </c>
      <c r="AH197" s="99" t="str">
        <f aca="false">IF(ISBLANK($C197), "",IF($AG197=Constants!$B$7,1,$AG197))</f>
        <v/>
      </c>
      <c r="AI197" s="99" t="str">
        <f aca="false">IF($AG197=Constants!$B$7,POWER(Constants!$B$11,X197)*POWER(Constants!$B$12,Z197),"")</f>
        <v/>
      </c>
      <c r="AJ197" s="99" t="str">
        <f aca="false">IF(AND($AG197=Constants!$B$7, U197, V197) ,IF(OR($AA197="",$AC197=""),"",MAX(0, $AC197-$AA197)),"")</f>
        <v/>
      </c>
      <c r="AK197" s="99" t="str">
        <f aca="false">IF(AND($AG197=Constants!$B$7, U197, V197),IF(OR($AA197="",$AC197=""),$AK$6,""),"")</f>
        <v/>
      </c>
      <c r="AL197" s="99" t="str">
        <f aca="false">IF($AG197=Constants!$B$7,IF(AND(U197,V197,W197,Y197),IF($AJ197="",0,IF($AJ$6=0,Constants!$B$9,Constants!$B$9*AJ197/$AJ$6)), 0),"")</f>
        <v/>
      </c>
      <c r="AM197" s="99" t="str">
        <f aca="false">IF(AL197&lt;&gt;"", AL197*AI197,"")</f>
        <v/>
      </c>
      <c r="AN197" s="99" t="str">
        <f aca="false">IF(AND($AG197=Constants!$B$7, U197, V197) ,IF($AB197="", "", IF(OR($AC197="",$AC197=0),"",MAX(0,1-ABS($AC197-$AB197)/$AC197))),"")</f>
        <v/>
      </c>
      <c r="AO197" s="99" t="str">
        <f aca="false">IF(AND($AG197=Constants!$B$7, U197, V197),IF(AND($AA197&lt;&gt;"",$AB197&lt;&gt;"",$AC197=0),$AO$6,""),"")</f>
        <v/>
      </c>
      <c r="AP197" s="99" t="str">
        <f aca="false">IF($AG197=Constants!$B$7 ,IF(AND(U197,V197,W197,Y197,ISNUMBER(AB197)),IF($AN197="",0,IF($AN$6=0,Constants!$B$10,Constants!$B$10*AN197/$AN$6)), 0),"")</f>
        <v/>
      </c>
      <c r="AQ197" s="99" t="str">
        <f aca="false">IF(AP197&lt;&gt;"", AP197*AI197,"")</f>
        <v/>
      </c>
      <c r="AR197" s="99" t="str">
        <f aca="false">IF($AG197=Constants!$B$7,IF($AD197="",0,IF($AR$6=0,Constants!$B$8,Constants!$B$8*AD197/$AR$6)),"")</f>
        <v/>
      </c>
      <c r="AS197" s="99" t="str">
        <f aca="false">IF($AG197&lt;&gt;Constants!$B$7,$AG197,IF(AK197&amp;AO197&lt;&gt;"",Constants!$B$14,AM197+AQ197+AR197))</f>
        <v/>
      </c>
      <c r="AT197" s="99" t="str">
        <f aca="false">IF(ISBLANK($C197),"",IF($AG197=Constants!$B$7,IF(ISNUMBER(AS197),RANK(AS197,$AS$8:$AS$507),Constants!$B$14),$AG197))</f>
        <v/>
      </c>
      <c r="AU197" s="99" t="str">
        <f aca="false">IF(ISBLANK($C197), "",AM197)</f>
        <v/>
      </c>
      <c r="AV197" s="99" t="str">
        <f aca="false">IF(ISBLANK($C197),"",IF($AG197=Constants!$B$7,RANK(AU197,AU$8:AU$507),$AG197))</f>
        <v/>
      </c>
      <c r="AW197" s="99" t="str">
        <f aca="false">IF(ISBLANK($C197), "",AR197)</f>
        <v/>
      </c>
      <c r="AX197" s="99" t="str">
        <f aca="false">IF(ISBLANK($C197),"",IF($AG197=Constants!$B$7,RANK(AW197,AW$8:AW$507),$AG197))</f>
        <v/>
      </c>
      <c r="AY197" s="99" t="str">
        <f aca="false">IF(ISBLANK($C197), "",AE197)</f>
        <v/>
      </c>
      <c r="AZ197" s="99" t="str">
        <f aca="false">IF(ISBLANK($C197),"",
IF($AG197=Constants!$B$7,
  IF(ISNUMBER(AT197),
    COUNTIFS($AT$8:$AT$507,"&lt;"&amp;$AT197)
    + COUNTIFS($AT$8:$AT$507,$AT197,$AV$8:$AV$507,"&lt;"&amp;$AV197)
    + COUNTIFS($AT$8:$AT$507,$AT197,$AV$8:$AV$507,$AV197,$AX$8:$AX$507,"&lt;"&amp;$AX197)
    + COUNTIFS($AT$8:$AT$507,$AT197,$AV$8:$AV$507,$AV197,$AX$8:$AX$507,$AX197,$AY$8:$AY$507,"&lt;"&amp;$AY197)
    + 1,
  Constants!$B$14),
$AG197))</f>
        <v/>
      </c>
      <c r="BA197" s="99" t="str">
        <f aca="false">IF(ISBLANK(C197),"",IF($AG197=Constants!$B$7, IF(ISNUMBER(AT197),AT197-AZ197,Constants!$B$14),$AG197))</f>
        <v/>
      </c>
      <c r="BB197" s="103"/>
      <c r="BC197" s="104" t="str">
        <f aca="false">IF(ISBLANK($C197),"",TRIM(AK197&amp;" "&amp;AO197))</f>
        <v/>
      </c>
      <c r="BD197" s="105" t="str">
        <f aca="false">IF(ISBLANK($C197),"",IF($AG197&lt;&gt;Constants!$B$7,$AG197,AR197))</f>
        <v/>
      </c>
      <c r="BE197" s="105" t="str">
        <f aca="false">IF(ISBLANK($C197),"",IF($AG197&lt;&gt;Constants!$B$7,$AG197,AM197))</f>
        <v/>
      </c>
      <c r="BF197" s="105" t="str">
        <f aca="false">IF(ISBLANK($C197),"",IF($AG197&lt;&gt;Constants!$B$7,$AG197,AQ197))</f>
        <v/>
      </c>
      <c r="BG197" s="106" t="str">
        <f aca="false">IF(ISBLANK($C197),"",IF($AG197&lt;&gt;Constants!$B$7, $AG197 ,AS197))</f>
        <v/>
      </c>
      <c r="BH197" s="107" t="str">
        <f aca="false">IF(ISBLANK($C197),"",IF($AG197&lt;&gt;Constants!$B$7, $AG197 ,AH197))</f>
        <v/>
      </c>
      <c r="BI197" s="105" t="str">
        <f aca="false">IF(ISBLANK(C197),"",BA197)</f>
        <v/>
      </c>
      <c r="BJ197" s="105" t="str">
        <f aca="false">IF(ISBLANK(C197),"",AZ197)</f>
        <v/>
      </c>
      <c r="BK197" s="108" t="str">
        <f aca="false">IF(ISBLANK(C197),"",IFERROR(_xlfn.SWITCH(BJ197, Constants!$B$4, COUNTA($C$8:$C696)+2, Constants!$B$5, COUNTA($C$8:$C696)+1, Constants!$B$6, COUNTA($C$8:$C696)),BJ197))</f>
        <v/>
      </c>
      <c r="BL197" s="5"/>
      <c r="BM197" s="109" t="n">
        <f aca="false">IF(OR(ISNUMBER(BJ197),BJ197="DQ",BJ197="P",BJ197="NS"),
    1,
    0
)</f>
        <v>0</v>
      </c>
      <c r="BN197" s="109" t="n">
        <v>190</v>
      </c>
      <c r="BO197" s="109" t="str">
        <f aca="false">IF(ISBLANK($C197),"",IF(ISNUMBER(BK197),BK197+ROW($B197)/1000,""))</f>
        <v/>
      </c>
      <c r="BP197" s="109" t="str">
        <f aca="false">IF(ISNUMBER(BO197), RANK(BO197,BO$8:BO$507,1), "")</f>
        <v/>
      </c>
      <c r="BQ197" s="109" t="str">
        <f aca="false">IF(ISBLANK($C197),
    "",
    $B197
)</f>
        <v/>
      </c>
      <c r="BR197" s="109" t="str">
        <f aca="false">IF(ISBLANK($C197),
    "",
    $C197
)</f>
        <v/>
      </c>
      <c r="BS197" s="109" t="str">
        <f aca="false">IF(ISBLANK($C197),
    "",
    $D197
)</f>
        <v/>
      </c>
      <c r="BT197" s="110" t="str">
        <f aca="false">BH197</f>
        <v/>
      </c>
      <c r="BU197" s="111" t="str">
        <f aca="false">BG197</f>
        <v/>
      </c>
      <c r="BV197" s="109" t="str">
        <f aca="false">IF(ISBLANK($C197),
    "",
    BJ197
)</f>
        <v/>
      </c>
      <c r="BW197" s="112" t="str">
        <f aca="false">IF(BN197&gt;BM$7,
    "",
    VLOOKUP(BN197,BP$8:BV696,7,FALSE())
)</f>
        <v/>
      </c>
      <c r="BX197" s="113" t="str">
        <f aca="false">IF(BN197&gt;BM$7,
    "",
    VLOOKUP(BN197,BP$8:BV696,2,FALSE())
)</f>
        <v/>
      </c>
      <c r="BY197" s="113" t="str">
        <f aca="false">IF(BN197&gt;BM$7,
    "",
    VLOOKUP(BN197,BP$8:BV696,3,FALSE())
)</f>
        <v/>
      </c>
      <c r="BZ197" s="113" t="str">
        <f aca="false">IF(BN197&gt;BM$7,
    "",
    VLOOKUP(BN197,BP$8:BV696,4,FALSE())
)</f>
        <v/>
      </c>
      <c r="CA197" s="113" t="str">
        <f aca="false">IF(BN197&gt;BM$7,
    "",
    VLOOKUP(BN197,BP$8:BV696,5,FALSE())
)</f>
        <v/>
      </c>
      <c r="CB197" s="114" t="str">
        <f aca="false">IF(BN197&gt;BM$7,
    "",
    VLOOKUP(BN197,BP$8:BV696,6,FALSE())
)</f>
        <v/>
      </c>
      <c r="CC197" s="53"/>
    </row>
    <row r="198" customFormat="false" ht="15.75" hidden="false" customHeight="false" outlineLevel="0" collapsed="false">
      <c r="A198" s="5"/>
      <c r="B198" s="125"/>
      <c r="C198" s="126"/>
      <c r="D198" s="115"/>
      <c r="E198" s="119"/>
      <c r="F198" s="119"/>
      <c r="G198" s="91"/>
      <c r="H198" s="92"/>
      <c r="I198" s="92"/>
      <c r="J198" s="128"/>
      <c r="K198" s="128"/>
      <c r="L198" s="128"/>
      <c r="M198" s="94"/>
      <c r="N198" s="94"/>
      <c r="O198" s="94"/>
      <c r="P198" s="95"/>
      <c r="Q198" s="96"/>
      <c r="R198" s="128"/>
      <c r="S198" s="98"/>
      <c r="T198" s="99"/>
      <c r="U198" s="99" t="str">
        <f aca="false">IF(ISBLANK($C198),"",IF(G198=Constants!$B$2, TRUE(), IF(G198=Constants!$B$3, FALSE(), TRUE())))</f>
        <v/>
      </c>
      <c r="V198" s="99" t="str">
        <f aca="false">IF(ISBLANK($C198),"",IF(H198=Constants!$B$2, TRUE(), IF(H198=Constants!$B$3, FALSE(), TRUE())))</f>
        <v/>
      </c>
      <c r="W198" s="99" t="str">
        <f aca="false">IF(ISBLANK($C198),"",IF(I198=Constants!$B$2, TRUE(), IF(I198=Constants!$B$3, FALSE(), TRUE())))</f>
        <v/>
      </c>
      <c r="X198" s="99" t="str">
        <f aca="false">IF(ISBLANK($C198),"",IF(AND(ISNUMBER(J198),J198&gt;0),INT(J198),0))</f>
        <v/>
      </c>
      <c r="Y198" s="99" t="str">
        <f aca="false">IF(ISBLANK($C198),"",IF(K198=Constants!$B$2, TRUE(), IF(K198=Constants!$B$3, FALSE(), TRUE())))</f>
        <v/>
      </c>
      <c r="Z198" s="100" t="str">
        <f aca="false">IF(ISBLANK($C198),"",IF(AND(ISNUMBER(L198),L198&gt;0),INT(L198),0))</f>
        <v/>
      </c>
      <c r="AA198" s="101" t="str">
        <f aca="false">IF(ISBLANK($C198),"",IF(ISNUMBER(M198), M198, ""))</f>
        <v/>
      </c>
      <c r="AB198" s="101" t="str">
        <f aca="false">IF(ISBLANK($C198),"",IF(ISNUMBER(N198), N198, ""))</f>
        <v/>
      </c>
      <c r="AC198" s="101" t="str">
        <f aca="false">IF(ISBLANK($C198),"",IF(ISNUMBER(O198), O198, ""))</f>
        <v/>
      </c>
      <c r="AD198" s="102" t="str">
        <f aca="false">IF(ISBLANK($C198),"",IF(ISNUMBER(P198), P198, ""))</f>
        <v/>
      </c>
      <c r="AE198" s="102" t="str">
        <f aca="false">IF(ISBLANK($C198),"",IF(ISNUMBER(Q198), Q198, Constants!$B$13))</f>
        <v/>
      </c>
      <c r="AF198" s="99" t="str">
        <f aca="false">IF(ISBLANK($C198),"",IF(R198=Constants!$B$2, TRUE(), IF(R198=Constants!$B$3, FALSE(), FALSE())))</f>
        <v/>
      </c>
      <c r="AG198" s="99" t="str">
        <f aca="false">IF(ISBLANK(C198), "", IF(AF198, Constants!$B$4,IF(COUNTA(G198:P198)=0, Constants!$B$5, Constants!$B$7)))</f>
        <v/>
      </c>
      <c r="AH198" s="99" t="str">
        <f aca="false">IF(ISBLANK($C198), "",IF($AG198=Constants!$B$7,1,$AG198))</f>
        <v/>
      </c>
      <c r="AI198" s="99" t="str">
        <f aca="false">IF($AG198=Constants!$B$7,POWER(Constants!$B$11,X198)*POWER(Constants!$B$12,Z198),"")</f>
        <v/>
      </c>
      <c r="AJ198" s="99" t="str">
        <f aca="false">IF(AND($AG198=Constants!$B$7, U198, V198) ,IF(OR($AA198="",$AC198=""),"",MAX(0, $AC198-$AA198)),"")</f>
        <v/>
      </c>
      <c r="AK198" s="99" t="str">
        <f aca="false">IF(AND($AG198=Constants!$B$7, U198, V198),IF(OR($AA198="",$AC198=""),$AK$6,""),"")</f>
        <v/>
      </c>
      <c r="AL198" s="99" t="str">
        <f aca="false">IF($AG198=Constants!$B$7,IF(AND(U198,V198,W198,Y198),IF($AJ198="",0,IF($AJ$6=0,Constants!$B$9,Constants!$B$9*AJ198/$AJ$6)), 0),"")</f>
        <v/>
      </c>
      <c r="AM198" s="99" t="str">
        <f aca="false">IF(AL198&lt;&gt;"", AL198*AI198,"")</f>
        <v/>
      </c>
      <c r="AN198" s="99" t="str">
        <f aca="false">IF(AND($AG198=Constants!$B$7, U198, V198) ,IF($AB198="", "", IF(OR($AC198="",$AC198=0),"",MAX(0,1-ABS($AC198-$AB198)/$AC198))),"")</f>
        <v/>
      </c>
      <c r="AO198" s="99" t="str">
        <f aca="false">IF(AND($AG198=Constants!$B$7, U198, V198),IF(AND($AA198&lt;&gt;"",$AB198&lt;&gt;"",$AC198=0),$AO$6,""),"")</f>
        <v/>
      </c>
      <c r="AP198" s="99" t="str">
        <f aca="false">IF($AG198=Constants!$B$7 ,IF(AND(U198,V198,W198,Y198,ISNUMBER(AB198)),IF($AN198="",0,IF($AN$6=0,Constants!$B$10,Constants!$B$10*AN198/$AN$6)), 0),"")</f>
        <v/>
      </c>
      <c r="AQ198" s="99" t="str">
        <f aca="false">IF(AP198&lt;&gt;"", AP198*AI198,"")</f>
        <v/>
      </c>
      <c r="AR198" s="99" t="str">
        <f aca="false">IF($AG198=Constants!$B$7,IF($AD198="",0,IF($AR$6=0,Constants!$B$8,Constants!$B$8*AD198/$AR$6)),"")</f>
        <v/>
      </c>
      <c r="AS198" s="99" t="str">
        <f aca="false">IF($AG198&lt;&gt;Constants!$B$7,$AG198,IF(AK198&amp;AO198&lt;&gt;"",Constants!$B$14,AM198+AQ198+AR198))</f>
        <v/>
      </c>
      <c r="AT198" s="99" t="str">
        <f aca="false">IF(ISBLANK($C198),"",IF($AG198=Constants!$B$7,IF(ISNUMBER(AS198),RANK(AS198,$AS$8:$AS$507),Constants!$B$14),$AG198))</f>
        <v/>
      </c>
      <c r="AU198" s="99" t="str">
        <f aca="false">IF(ISBLANK($C198), "",AM198)</f>
        <v/>
      </c>
      <c r="AV198" s="99" t="str">
        <f aca="false">IF(ISBLANK($C198),"",IF($AG198=Constants!$B$7,RANK(AU198,AU$8:AU$507),$AG198))</f>
        <v/>
      </c>
      <c r="AW198" s="99" t="str">
        <f aca="false">IF(ISBLANK($C198), "",AR198)</f>
        <v/>
      </c>
      <c r="AX198" s="99" t="str">
        <f aca="false">IF(ISBLANK($C198),"",IF($AG198=Constants!$B$7,RANK(AW198,AW$8:AW$507),$AG198))</f>
        <v/>
      </c>
      <c r="AY198" s="99" t="str">
        <f aca="false">IF(ISBLANK($C198), "",AE198)</f>
        <v/>
      </c>
      <c r="AZ198" s="99" t="str">
        <f aca="false">IF(ISBLANK($C198),"",
IF($AG198=Constants!$B$7,
  IF(ISNUMBER(AT198),
    COUNTIFS($AT$8:$AT$507,"&lt;"&amp;$AT198)
    + COUNTIFS($AT$8:$AT$507,$AT198,$AV$8:$AV$507,"&lt;"&amp;$AV198)
    + COUNTIFS($AT$8:$AT$507,$AT198,$AV$8:$AV$507,$AV198,$AX$8:$AX$507,"&lt;"&amp;$AX198)
    + COUNTIFS($AT$8:$AT$507,$AT198,$AV$8:$AV$507,$AV198,$AX$8:$AX$507,$AX198,$AY$8:$AY$507,"&lt;"&amp;$AY198)
    + 1,
  Constants!$B$14),
$AG198))</f>
        <v/>
      </c>
      <c r="BA198" s="99" t="str">
        <f aca="false">IF(ISBLANK(C198),"",IF($AG198=Constants!$B$7, IF(ISNUMBER(AT198),AT198-AZ198,Constants!$B$14),$AG198))</f>
        <v/>
      </c>
      <c r="BB198" s="103"/>
      <c r="BC198" s="104" t="str">
        <f aca="false">IF(ISBLANK($C198),"",TRIM(AK198&amp;" "&amp;AO198))</f>
        <v/>
      </c>
      <c r="BD198" s="105" t="str">
        <f aca="false">IF(ISBLANK($C198),"",IF($AG198&lt;&gt;Constants!$B$7,$AG198,AR198))</f>
        <v/>
      </c>
      <c r="BE198" s="105" t="str">
        <f aca="false">IF(ISBLANK($C198),"",IF($AG198&lt;&gt;Constants!$B$7,$AG198,AM198))</f>
        <v/>
      </c>
      <c r="BF198" s="105" t="str">
        <f aca="false">IF(ISBLANK($C198),"",IF($AG198&lt;&gt;Constants!$B$7,$AG198,AQ198))</f>
        <v/>
      </c>
      <c r="BG198" s="106" t="str">
        <f aca="false">IF(ISBLANK($C198),"",IF($AG198&lt;&gt;Constants!$B$7, $AG198 ,AS198))</f>
        <v/>
      </c>
      <c r="BH198" s="107" t="str">
        <f aca="false">IF(ISBLANK($C198),"",IF($AG198&lt;&gt;Constants!$B$7, $AG198 ,AH198))</f>
        <v/>
      </c>
      <c r="BI198" s="105" t="str">
        <f aca="false">IF(ISBLANK(C198),"",BA198)</f>
        <v/>
      </c>
      <c r="BJ198" s="105" t="str">
        <f aca="false">IF(ISBLANK(C198),"",AZ198)</f>
        <v/>
      </c>
      <c r="BK198" s="108" t="str">
        <f aca="false">IF(ISBLANK(C198),"",IFERROR(_xlfn.SWITCH(BJ198, Constants!$B$4, COUNTA($C$8:$C697)+2, Constants!$B$5, COUNTA($C$8:$C697)+1, Constants!$B$6, COUNTA($C$8:$C697)),BJ198))</f>
        <v/>
      </c>
      <c r="BL198" s="5"/>
      <c r="BM198" s="109" t="n">
        <f aca="false">IF(OR(ISNUMBER(BJ198),BJ198="DQ",BJ198="P",BJ198="NS"),
    1,
    0
)</f>
        <v>0</v>
      </c>
      <c r="BN198" s="109" t="n">
        <v>191</v>
      </c>
      <c r="BO198" s="109" t="str">
        <f aca="false">IF(ISBLANK($C198),"",IF(ISNUMBER(BK198),BK198+ROW($B198)/1000,""))</f>
        <v/>
      </c>
      <c r="BP198" s="109" t="str">
        <f aca="false">IF(ISNUMBER(BO198), RANK(BO198,BO$8:BO$507,1), "")</f>
        <v/>
      </c>
      <c r="BQ198" s="109" t="str">
        <f aca="false">IF(ISBLANK($C198),
    "",
    $B198
)</f>
        <v/>
      </c>
      <c r="BR198" s="109" t="str">
        <f aca="false">IF(ISBLANK($C198),
    "",
    $C198
)</f>
        <v/>
      </c>
      <c r="BS198" s="109" t="str">
        <f aca="false">IF(ISBLANK($C198),
    "",
    $D198
)</f>
        <v/>
      </c>
      <c r="BT198" s="110" t="str">
        <f aca="false">BH198</f>
        <v/>
      </c>
      <c r="BU198" s="111" t="str">
        <f aca="false">BG198</f>
        <v/>
      </c>
      <c r="BV198" s="109" t="str">
        <f aca="false">IF(ISBLANK($C198),
    "",
    BJ198
)</f>
        <v/>
      </c>
      <c r="BW198" s="112" t="str">
        <f aca="false">IF(BN198&gt;BM$7,
    "",
    VLOOKUP(BN198,BP$8:BV697,7,FALSE())
)</f>
        <v/>
      </c>
      <c r="BX198" s="113" t="str">
        <f aca="false">IF(BN198&gt;BM$7,
    "",
    VLOOKUP(BN198,BP$8:BV697,2,FALSE())
)</f>
        <v/>
      </c>
      <c r="BY198" s="113" t="str">
        <f aca="false">IF(BN198&gt;BM$7,
    "",
    VLOOKUP(BN198,BP$8:BV697,3,FALSE())
)</f>
        <v/>
      </c>
      <c r="BZ198" s="113" t="str">
        <f aca="false">IF(BN198&gt;BM$7,
    "",
    VLOOKUP(BN198,BP$8:BV697,4,FALSE())
)</f>
        <v/>
      </c>
      <c r="CA198" s="113" t="str">
        <f aca="false">IF(BN198&gt;BM$7,
    "",
    VLOOKUP(BN198,BP$8:BV697,5,FALSE())
)</f>
        <v/>
      </c>
      <c r="CB198" s="114" t="str">
        <f aca="false">IF(BN198&gt;BM$7,
    "",
    VLOOKUP(BN198,BP$8:BV697,6,FALSE())
)</f>
        <v/>
      </c>
      <c r="CC198" s="53"/>
    </row>
    <row r="199" customFormat="false" ht="15.75" hidden="false" customHeight="false" outlineLevel="0" collapsed="false">
      <c r="A199" s="5"/>
      <c r="B199" s="125"/>
      <c r="C199" s="126"/>
      <c r="D199" s="115"/>
      <c r="E199" s="119"/>
      <c r="F199" s="119"/>
      <c r="G199" s="91"/>
      <c r="H199" s="92"/>
      <c r="I199" s="92"/>
      <c r="J199" s="128"/>
      <c r="K199" s="128"/>
      <c r="L199" s="128"/>
      <c r="M199" s="94"/>
      <c r="N199" s="94"/>
      <c r="O199" s="94"/>
      <c r="P199" s="95"/>
      <c r="Q199" s="96"/>
      <c r="R199" s="128"/>
      <c r="S199" s="98"/>
      <c r="T199" s="99"/>
      <c r="U199" s="99" t="str">
        <f aca="false">IF(ISBLANK($C199),"",IF(G199=Constants!$B$2, TRUE(), IF(G199=Constants!$B$3, FALSE(), TRUE())))</f>
        <v/>
      </c>
      <c r="V199" s="99" t="str">
        <f aca="false">IF(ISBLANK($C199),"",IF(H199=Constants!$B$2, TRUE(), IF(H199=Constants!$B$3, FALSE(), TRUE())))</f>
        <v/>
      </c>
      <c r="W199" s="99" t="str">
        <f aca="false">IF(ISBLANK($C199),"",IF(I199=Constants!$B$2, TRUE(), IF(I199=Constants!$B$3, FALSE(), TRUE())))</f>
        <v/>
      </c>
      <c r="X199" s="99" t="str">
        <f aca="false">IF(ISBLANK($C199),"",IF(AND(ISNUMBER(J199),J199&gt;0),INT(J199),0))</f>
        <v/>
      </c>
      <c r="Y199" s="99" t="str">
        <f aca="false">IF(ISBLANK($C199),"",IF(K199=Constants!$B$2, TRUE(), IF(K199=Constants!$B$3, FALSE(), TRUE())))</f>
        <v/>
      </c>
      <c r="Z199" s="100" t="str">
        <f aca="false">IF(ISBLANK($C199),"",IF(AND(ISNUMBER(L199),L199&gt;0),INT(L199),0))</f>
        <v/>
      </c>
      <c r="AA199" s="101" t="str">
        <f aca="false">IF(ISBLANK($C199),"",IF(ISNUMBER(M199), M199, ""))</f>
        <v/>
      </c>
      <c r="AB199" s="101" t="str">
        <f aca="false">IF(ISBLANK($C199),"",IF(ISNUMBER(N199), N199, ""))</f>
        <v/>
      </c>
      <c r="AC199" s="101" t="str">
        <f aca="false">IF(ISBLANK($C199),"",IF(ISNUMBER(O199), O199, ""))</f>
        <v/>
      </c>
      <c r="AD199" s="102" t="str">
        <f aca="false">IF(ISBLANK($C199),"",IF(ISNUMBER(P199), P199, ""))</f>
        <v/>
      </c>
      <c r="AE199" s="102" t="str">
        <f aca="false">IF(ISBLANK($C199),"",IF(ISNUMBER(Q199), Q199, Constants!$B$13))</f>
        <v/>
      </c>
      <c r="AF199" s="99" t="str">
        <f aca="false">IF(ISBLANK($C199),"",IF(R199=Constants!$B$2, TRUE(), IF(R199=Constants!$B$3, FALSE(), FALSE())))</f>
        <v/>
      </c>
      <c r="AG199" s="99" t="str">
        <f aca="false">IF(ISBLANK(C199), "", IF(AF199, Constants!$B$4,IF(COUNTA(G199:P199)=0, Constants!$B$5, Constants!$B$7)))</f>
        <v/>
      </c>
      <c r="AH199" s="99" t="str">
        <f aca="false">IF(ISBLANK($C199), "",IF($AG199=Constants!$B$7,1,$AG199))</f>
        <v/>
      </c>
      <c r="AI199" s="99" t="str">
        <f aca="false">IF($AG199=Constants!$B$7,POWER(Constants!$B$11,X199)*POWER(Constants!$B$12,Z199),"")</f>
        <v/>
      </c>
      <c r="AJ199" s="99" t="str">
        <f aca="false">IF(AND($AG199=Constants!$B$7, U199, V199) ,IF(OR($AA199="",$AC199=""),"",MAX(0, $AC199-$AA199)),"")</f>
        <v/>
      </c>
      <c r="AK199" s="99" t="str">
        <f aca="false">IF(AND($AG199=Constants!$B$7, U199, V199),IF(OR($AA199="",$AC199=""),$AK$6,""),"")</f>
        <v/>
      </c>
      <c r="AL199" s="99" t="str">
        <f aca="false">IF($AG199=Constants!$B$7,IF(AND(U199,V199,W199,Y199),IF($AJ199="",0,IF($AJ$6=0,Constants!$B$9,Constants!$B$9*AJ199/$AJ$6)), 0),"")</f>
        <v/>
      </c>
      <c r="AM199" s="99" t="str">
        <f aca="false">IF(AL199&lt;&gt;"", AL199*AI199,"")</f>
        <v/>
      </c>
      <c r="AN199" s="99" t="str">
        <f aca="false">IF(AND($AG199=Constants!$B$7, U199, V199) ,IF($AB199="", "", IF(OR($AC199="",$AC199=0),"",MAX(0,1-ABS($AC199-$AB199)/$AC199))),"")</f>
        <v/>
      </c>
      <c r="AO199" s="99" t="str">
        <f aca="false">IF(AND($AG199=Constants!$B$7, U199, V199),IF(AND($AA199&lt;&gt;"",$AB199&lt;&gt;"",$AC199=0),$AO$6,""),"")</f>
        <v/>
      </c>
      <c r="AP199" s="99" t="str">
        <f aca="false">IF($AG199=Constants!$B$7 ,IF(AND(U199,V199,W199,Y199,ISNUMBER(AB199)),IF($AN199="",0,IF($AN$6=0,Constants!$B$10,Constants!$B$10*AN199/$AN$6)), 0),"")</f>
        <v/>
      </c>
      <c r="AQ199" s="99" t="str">
        <f aca="false">IF(AP199&lt;&gt;"", AP199*AI199,"")</f>
        <v/>
      </c>
      <c r="AR199" s="99" t="str">
        <f aca="false">IF($AG199=Constants!$B$7,IF($AD199="",0,IF($AR$6=0,Constants!$B$8,Constants!$B$8*AD199/$AR$6)),"")</f>
        <v/>
      </c>
      <c r="AS199" s="99" t="str">
        <f aca="false">IF($AG199&lt;&gt;Constants!$B$7,$AG199,IF(AK199&amp;AO199&lt;&gt;"",Constants!$B$14,AM199+AQ199+AR199))</f>
        <v/>
      </c>
      <c r="AT199" s="99" t="str">
        <f aca="false">IF(ISBLANK($C199),"",IF($AG199=Constants!$B$7,IF(ISNUMBER(AS199),RANK(AS199,$AS$8:$AS$507),Constants!$B$14),$AG199))</f>
        <v/>
      </c>
      <c r="AU199" s="99" t="str">
        <f aca="false">IF(ISBLANK($C199), "",AM199)</f>
        <v/>
      </c>
      <c r="AV199" s="99" t="str">
        <f aca="false">IF(ISBLANK($C199),"",IF($AG199=Constants!$B$7,RANK(AU199,AU$8:AU$507),$AG199))</f>
        <v/>
      </c>
      <c r="AW199" s="99" t="str">
        <f aca="false">IF(ISBLANK($C199), "",AR199)</f>
        <v/>
      </c>
      <c r="AX199" s="99" t="str">
        <f aca="false">IF(ISBLANK($C199),"",IF($AG199=Constants!$B$7,RANK(AW199,AW$8:AW$507),$AG199))</f>
        <v/>
      </c>
      <c r="AY199" s="99" t="str">
        <f aca="false">IF(ISBLANK($C199), "",AE199)</f>
        <v/>
      </c>
      <c r="AZ199" s="99" t="str">
        <f aca="false">IF(ISBLANK($C199),"",
IF($AG199=Constants!$B$7,
  IF(ISNUMBER(AT199),
    COUNTIFS($AT$8:$AT$507,"&lt;"&amp;$AT199)
    + COUNTIFS($AT$8:$AT$507,$AT199,$AV$8:$AV$507,"&lt;"&amp;$AV199)
    + COUNTIFS($AT$8:$AT$507,$AT199,$AV$8:$AV$507,$AV199,$AX$8:$AX$507,"&lt;"&amp;$AX199)
    + COUNTIFS($AT$8:$AT$507,$AT199,$AV$8:$AV$507,$AV199,$AX$8:$AX$507,$AX199,$AY$8:$AY$507,"&lt;"&amp;$AY199)
    + 1,
  Constants!$B$14),
$AG199))</f>
        <v/>
      </c>
      <c r="BA199" s="99" t="str">
        <f aca="false">IF(ISBLANK(C199),"",IF($AG199=Constants!$B$7, IF(ISNUMBER(AT199),AT199-AZ199,Constants!$B$14),$AG199))</f>
        <v/>
      </c>
      <c r="BB199" s="103"/>
      <c r="BC199" s="104" t="str">
        <f aca="false">IF(ISBLANK($C199),"",TRIM(AK199&amp;" "&amp;AO199))</f>
        <v/>
      </c>
      <c r="BD199" s="105" t="str">
        <f aca="false">IF(ISBLANK($C199),"",IF($AG199&lt;&gt;Constants!$B$7,$AG199,AR199))</f>
        <v/>
      </c>
      <c r="BE199" s="105" t="str">
        <f aca="false">IF(ISBLANK($C199),"",IF($AG199&lt;&gt;Constants!$B$7,$AG199,AM199))</f>
        <v/>
      </c>
      <c r="BF199" s="105" t="str">
        <f aca="false">IF(ISBLANK($C199),"",IF($AG199&lt;&gt;Constants!$B$7,$AG199,AQ199))</f>
        <v/>
      </c>
      <c r="BG199" s="106" t="str">
        <f aca="false">IF(ISBLANK($C199),"",IF($AG199&lt;&gt;Constants!$B$7, $AG199 ,AS199))</f>
        <v/>
      </c>
      <c r="BH199" s="107" t="str">
        <f aca="false">IF(ISBLANK($C199),"",IF($AG199&lt;&gt;Constants!$B$7, $AG199 ,AH199))</f>
        <v/>
      </c>
      <c r="BI199" s="105" t="str">
        <f aca="false">IF(ISBLANK(C199),"",BA199)</f>
        <v/>
      </c>
      <c r="BJ199" s="105" t="str">
        <f aca="false">IF(ISBLANK(C199),"",AZ199)</f>
        <v/>
      </c>
      <c r="BK199" s="108" t="str">
        <f aca="false">IF(ISBLANK(C199),"",IFERROR(_xlfn.SWITCH(BJ199, Constants!$B$4, COUNTA($C$8:$C698)+2, Constants!$B$5, COUNTA($C$8:$C698)+1, Constants!$B$6, COUNTA($C$8:$C698)),BJ199))</f>
        <v/>
      </c>
      <c r="BL199" s="5"/>
      <c r="BM199" s="109" t="n">
        <f aca="false">IF(OR(ISNUMBER(BJ199),BJ199="DQ",BJ199="P",BJ199="NS"),
    1,
    0
)</f>
        <v>0</v>
      </c>
      <c r="BN199" s="109" t="n">
        <v>192</v>
      </c>
      <c r="BO199" s="109" t="str">
        <f aca="false">IF(ISBLANK($C199),"",IF(ISNUMBER(BK199),BK199+ROW($B199)/1000,""))</f>
        <v/>
      </c>
      <c r="BP199" s="109" t="str">
        <f aca="false">IF(ISNUMBER(BO199), RANK(BO199,BO$8:BO$507,1), "")</f>
        <v/>
      </c>
      <c r="BQ199" s="109" t="str">
        <f aca="false">IF(ISBLANK($C199),
    "",
    $B199
)</f>
        <v/>
      </c>
      <c r="BR199" s="109" t="str">
        <f aca="false">IF(ISBLANK($C199),
    "",
    $C199
)</f>
        <v/>
      </c>
      <c r="BS199" s="109" t="str">
        <f aca="false">IF(ISBLANK($C199),
    "",
    $D199
)</f>
        <v/>
      </c>
      <c r="BT199" s="110" t="str">
        <f aca="false">BH199</f>
        <v/>
      </c>
      <c r="BU199" s="111" t="str">
        <f aca="false">BG199</f>
        <v/>
      </c>
      <c r="BV199" s="109" t="str">
        <f aca="false">IF(ISBLANK($C199),
    "",
    BJ199
)</f>
        <v/>
      </c>
      <c r="BW199" s="112" t="str">
        <f aca="false">IF(BN199&gt;BM$7,
    "",
    VLOOKUP(BN199,BP$8:BV698,7,FALSE())
)</f>
        <v/>
      </c>
      <c r="BX199" s="113" t="str">
        <f aca="false">IF(BN199&gt;BM$7,
    "",
    VLOOKUP(BN199,BP$8:BV698,2,FALSE())
)</f>
        <v/>
      </c>
      <c r="BY199" s="113" t="str">
        <f aca="false">IF(BN199&gt;BM$7,
    "",
    VLOOKUP(BN199,BP$8:BV698,3,FALSE())
)</f>
        <v/>
      </c>
      <c r="BZ199" s="113" t="str">
        <f aca="false">IF(BN199&gt;BM$7,
    "",
    VLOOKUP(BN199,BP$8:BV698,4,FALSE())
)</f>
        <v/>
      </c>
      <c r="CA199" s="113" t="str">
        <f aca="false">IF(BN199&gt;BM$7,
    "",
    VLOOKUP(BN199,BP$8:BV698,5,FALSE())
)</f>
        <v/>
      </c>
      <c r="CB199" s="114" t="str">
        <f aca="false">IF(BN199&gt;BM$7,
    "",
    VLOOKUP(BN199,BP$8:BV698,6,FALSE())
)</f>
        <v/>
      </c>
      <c r="CC199" s="53"/>
    </row>
    <row r="200" customFormat="false" ht="15.75" hidden="false" customHeight="false" outlineLevel="0" collapsed="false">
      <c r="A200" s="5"/>
      <c r="B200" s="129"/>
      <c r="C200" s="55"/>
      <c r="D200" s="56"/>
      <c r="E200" s="123"/>
      <c r="F200" s="123"/>
      <c r="G200" s="58"/>
      <c r="H200" s="59"/>
      <c r="I200" s="59"/>
      <c r="J200" s="83"/>
      <c r="K200" s="83"/>
      <c r="L200" s="83"/>
      <c r="M200" s="61"/>
      <c r="N200" s="61"/>
      <c r="O200" s="61"/>
      <c r="P200" s="62"/>
      <c r="Q200" s="63"/>
      <c r="R200" s="83"/>
      <c r="S200" s="65"/>
      <c r="T200" s="66"/>
      <c r="U200" s="66" t="str">
        <f aca="false">IF(ISBLANK($C200),"",IF(G200=Constants!$B$2, TRUE(), IF(G200=Constants!$B$3, FALSE(), TRUE())))</f>
        <v/>
      </c>
      <c r="V200" s="66" t="str">
        <f aca="false">IF(ISBLANK($C200),"",IF(H200=Constants!$B$2, TRUE(), IF(H200=Constants!$B$3, FALSE(), TRUE())))</f>
        <v/>
      </c>
      <c r="W200" s="66" t="str">
        <f aca="false">IF(ISBLANK($C200),"",IF(I200=Constants!$B$2, TRUE(), IF(I200=Constants!$B$3, FALSE(), TRUE())))</f>
        <v/>
      </c>
      <c r="X200" s="66" t="str">
        <f aca="false">IF(ISBLANK($C200),"",IF(AND(ISNUMBER(J200),J200&gt;0),INT(J200),0))</f>
        <v/>
      </c>
      <c r="Y200" s="66" t="str">
        <f aca="false">IF(ISBLANK($C200),"",IF(K200=Constants!$B$2, TRUE(), IF(K200=Constants!$B$3, FALSE(), TRUE())))</f>
        <v/>
      </c>
      <c r="Z200" s="66" t="str">
        <f aca="false">IF(ISBLANK($C200),"",IF(AND(ISNUMBER(L200),L200&gt;0),INT(L200),0))</f>
        <v/>
      </c>
      <c r="AA200" s="68" t="str">
        <f aca="false">IF(ISBLANK($C200),"",IF(ISNUMBER(M200), M200, ""))</f>
        <v/>
      </c>
      <c r="AB200" s="68" t="str">
        <f aca="false">IF(ISBLANK($C200),"",IF(ISNUMBER(N200), N200, ""))</f>
        <v/>
      </c>
      <c r="AC200" s="68" t="str">
        <f aca="false">IF(ISBLANK($C200),"",IF(ISNUMBER(O200), O200, ""))</f>
        <v/>
      </c>
      <c r="AD200" s="69" t="str">
        <f aca="false">IF(ISBLANK($C200),"",IF(ISNUMBER(P200), P200, ""))</f>
        <v/>
      </c>
      <c r="AE200" s="69" t="str">
        <f aca="false">IF(ISBLANK($C200),"",IF(ISNUMBER(Q200), Q200, Constants!$B$13))</f>
        <v/>
      </c>
      <c r="AF200" s="66" t="str">
        <f aca="false">IF(ISBLANK($C200),"",IF(R200=Constants!$B$2, TRUE(), IF(R200=Constants!$B$3, FALSE(), FALSE())))</f>
        <v/>
      </c>
      <c r="AG200" s="66" t="str">
        <f aca="false">IF(ISBLANK(C200), "", IF(AF200, Constants!$B$4,IF(COUNTA(G200:P200)=0, Constants!$B$5, Constants!$B$7)))</f>
        <v/>
      </c>
      <c r="AH200" s="66" t="str">
        <f aca="false">IF(ISBLANK($C200), "",IF($AG200=Constants!$B$7,1,$AG200))</f>
        <v/>
      </c>
      <c r="AI200" s="66" t="str">
        <f aca="false">IF($AG200=Constants!$B$7,POWER(Constants!$B$11,X200)*POWER(Constants!$B$12,Z200),"")</f>
        <v/>
      </c>
      <c r="AJ200" s="66" t="str">
        <f aca="false">IF(AND($AG200=Constants!$B$7, U200, V200) ,IF(OR($AA200="",$AC200=""),"",MAX(0, $AC200-$AA200)),"")</f>
        <v/>
      </c>
      <c r="AK200" s="66" t="str">
        <f aca="false">IF(AND($AG200=Constants!$B$7, U200, V200),IF(OR($AA200="",$AC200=""),$AK$6,""),"")</f>
        <v/>
      </c>
      <c r="AL200" s="66" t="str">
        <f aca="false">IF($AG200=Constants!$B$7,IF(AND(U200,V200,W200,Y200),IF($AJ200="",0,IF($AJ$6=0,Constants!$B$9,Constants!$B$9*AJ200/$AJ$6)), 0),"")</f>
        <v/>
      </c>
      <c r="AM200" s="66" t="str">
        <f aca="false">IF(AL200&lt;&gt;"", AL200*AI200,"")</f>
        <v/>
      </c>
      <c r="AN200" s="66" t="str">
        <f aca="false">IF(AND($AG200=Constants!$B$7, U200, V200) ,IF($AB200="", "", IF(OR($AC200="",$AC200=0),"",MAX(0,1-ABS($AC200-$AB200)/$AC200))),"")</f>
        <v/>
      </c>
      <c r="AO200" s="66" t="str">
        <f aca="false">IF(AND($AG200=Constants!$B$7, U200, V200),IF(AND($AA200&lt;&gt;"",$AB200&lt;&gt;"",$AC200=0),$AO$6,""),"")</f>
        <v/>
      </c>
      <c r="AP200" s="66" t="str">
        <f aca="false">IF($AG200=Constants!$B$7 ,IF(AND(U200,V200,W200,Y200,ISNUMBER(AB200)),IF($AN200="",0,IF($AN$6=0,Constants!$B$10,Constants!$B$10*AN200/$AN$6)), 0),"")</f>
        <v/>
      </c>
      <c r="AQ200" s="66" t="str">
        <f aca="false">IF(AP200&lt;&gt;"", AP200*AI200,"")</f>
        <v/>
      </c>
      <c r="AR200" s="66" t="str">
        <f aca="false">IF($AG200=Constants!$B$7,IF($AD200="",0,IF($AR$6=0,Constants!$B$8,Constants!$B$8*AD200/$AR$6)),"")</f>
        <v/>
      </c>
      <c r="AS200" s="66" t="str">
        <f aca="false">IF($AG200&lt;&gt;Constants!$B$7,$AG200,IF(AK200&amp;AO200&lt;&gt;"",Constants!$B$14,AM200+AQ200+AR200))</f>
        <v/>
      </c>
      <c r="AT200" s="66" t="str">
        <f aca="false">IF(ISBLANK($C200),"",IF($AG200=Constants!$B$7,IF(ISNUMBER(AS200),RANK(AS200,$AS$8:$AS$507),Constants!$B$14),$AG200))</f>
        <v/>
      </c>
      <c r="AU200" s="66" t="str">
        <f aca="false">IF(ISBLANK($C200), "",AM200)</f>
        <v/>
      </c>
      <c r="AV200" s="66" t="str">
        <f aca="false">IF(ISBLANK($C200),"",IF($AG200=Constants!$B$7,RANK(AU200,AU$8:AU$507),$AG200))</f>
        <v/>
      </c>
      <c r="AW200" s="66" t="str">
        <f aca="false">IF(ISBLANK($C200), "",AR200)</f>
        <v/>
      </c>
      <c r="AX200" s="66" t="str">
        <f aca="false">IF(ISBLANK($C200),"",IF($AG200=Constants!$B$7,RANK(AW200,AW$8:AW$507),$AG200))</f>
        <v/>
      </c>
      <c r="AY200" s="66" t="str">
        <f aca="false">IF(ISBLANK($C200), "",AE200)</f>
        <v/>
      </c>
      <c r="AZ200" s="66" t="str">
        <f aca="false">IF(ISBLANK($C200),"",
IF($AG200=Constants!$B$7,
  IF(ISNUMBER(AT200),
    COUNTIFS($AT$8:$AT$507,"&lt;"&amp;$AT200)
    + COUNTIFS($AT$8:$AT$507,$AT200,$AV$8:$AV$507,"&lt;"&amp;$AV200)
    + COUNTIFS($AT$8:$AT$507,$AT200,$AV$8:$AV$507,$AV200,$AX$8:$AX$507,"&lt;"&amp;$AX200)
    + COUNTIFS($AT$8:$AT$507,$AT200,$AV$8:$AV$507,$AV200,$AX$8:$AX$507,$AX200,$AY$8:$AY$507,"&lt;"&amp;$AY200)
    + 1,
  Constants!$B$14),
$AG200))</f>
        <v/>
      </c>
      <c r="BA200" s="66" t="str">
        <f aca="false">IF(ISBLANK(C200),"",IF($AG200=Constants!$B$7, IF(ISNUMBER(AT200),AT200-AZ200,Constants!$B$14),$AG200))</f>
        <v/>
      </c>
      <c r="BB200" s="70"/>
      <c r="BC200" s="84" t="str">
        <f aca="false">IF(ISBLANK($C200),"",TRIM(AK200&amp;" "&amp;AO200))</f>
        <v/>
      </c>
      <c r="BD200" s="72" t="str">
        <f aca="false">IF(ISBLANK($C200),"",IF($AG200&lt;&gt;Constants!$B$7,$AG200,AR200))</f>
        <v/>
      </c>
      <c r="BE200" s="72" t="str">
        <f aca="false">IF(ISBLANK($C200),"",IF($AG200&lt;&gt;Constants!$B$7,$AG200,AM200))</f>
        <v/>
      </c>
      <c r="BF200" s="72" t="str">
        <f aca="false">IF(ISBLANK($C200),"",IF($AG200&lt;&gt;Constants!$B$7,$AG200,AQ200))</f>
        <v/>
      </c>
      <c r="BG200" s="73" t="str">
        <f aca="false">IF(ISBLANK($C200),"",IF($AG200&lt;&gt;Constants!$B$7, $AG200 ,AS200))</f>
        <v/>
      </c>
      <c r="BH200" s="74" t="str">
        <f aca="false">IF(ISBLANK($C200),"",IF($AG200&lt;&gt;Constants!$B$7, $AG200 ,AH200))</f>
        <v/>
      </c>
      <c r="BI200" s="72" t="str">
        <f aca="false">IF(ISBLANK(C200),"",BA200)</f>
        <v/>
      </c>
      <c r="BJ200" s="72" t="str">
        <f aca="false">IF(ISBLANK(C200),"",AZ200)</f>
        <v/>
      </c>
      <c r="BK200" s="75" t="str">
        <f aca="false">IF(ISBLANK(C200),"",IFERROR(_xlfn.SWITCH(BJ200, Constants!$B$4, COUNTA($C$8:$C699)+2, Constants!$B$5, COUNTA($C$8:$C699)+1, Constants!$B$6, COUNTA($C$8:$C699)),BJ200))</f>
        <v/>
      </c>
      <c r="BL200" s="5"/>
      <c r="BM200" s="76" t="n">
        <f aca="false">IF(OR(ISNUMBER(BJ200),BJ200="DQ",BJ200="P",BJ200="NS"),
    1,
    0
)</f>
        <v>0</v>
      </c>
      <c r="BN200" s="76" t="n">
        <v>193</v>
      </c>
      <c r="BO200" s="76" t="str">
        <f aca="false">IF(ISBLANK($C200),"",IF(ISNUMBER(BK200),BK200+ROW($B200)/1000,""))</f>
        <v/>
      </c>
      <c r="BP200" s="76" t="str">
        <f aca="false">IF(ISNUMBER(BO200), RANK(BO200,BO$8:BO$507,1), "")</f>
        <v/>
      </c>
      <c r="BQ200" s="76" t="str">
        <f aca="false">IF(ISBLANK($C200),
    "",
    $B200
)</f>
        <v/>
      </c>
      <c r="BR200" s="76" t="str">
        <f aca="false">IF(ISBLANK($C200),
    "",
    $C200
)</f>
        <v/>
      </c>
      <c r="BS200" s="76" t="str">
        <f aca="false">IF(ISBLANK($C200),
    "",
    $D200
)</f>
        <v/>
      </c>
      <c r="BT200" s="77" t="str">
        <f aca="false">BH200</f>
        <v/>
      </c>
      <c r="BU200" s="78" t="str">
        <f aca="false">BG200</f>
        <v/>
      </c>
      <c r="BV200" s="76" t="str">
        <f aca="false">IF(ISBLANK($C200),
    "",
    BJ200
)</f>
        <v/>
      </c>
      <c r="BW200" s="79" t="str">
        <f aca="false">IF(BN200&gt;BM$7,
    "",
    VLOOKUP(BN200,BP$8:BV699,7,FALSE())
)</f>
        <v/>
      </c>
      <c r="BX200" s="80" t="str">
        <f aca="false">IF(BN200&gt;BM$7,
    "",
    VLOOKUP(BN200,BP$8:BV699,2,FALSE())
)</f>
        <v/>
      </c>
      <c r="BY200" s="80" t="str">
        <f aca="false">IF(BN200&gt;BM$7,
    "",
    VLOOKUP(BN200,BP$8:BV699,3,FALSE())
)</f>
        <v/>
      </c>
      <c r="BZ200" s="80" t="str">
        <f aca="false">IF(BN200&gt;BM$7,
    "",
    VLOOKUP(BN200,BP$8:BV699,4,FALSE())
)</f>
        <v/>
      </c>
      <c r="CA200" s="80" t="str">
        <f aca="false">IF(BN200&gt;BM$7,
    "",
    VLOOKUP(BN200,BP$8:BV699,5,FALSE())
)</f>
        <v/>
      </c>
      <c r="CB200" s="81" t="str">
        <f aca="false">IF(BN200&gt;BM$7,
    "",
    VLOOKUP(BN200,BP$8:BV699,6,FALSE())
)</f>
        <v/>
      </c>
      <c r="CC200" s="53"/>
    </row>
    <row r="201" customFormat="false" ht="15.75" hidden="false" customHeight="false" outlineLevel="0" collapsed="false">
      <c r="A201" s="5"/>
      <c r="B201" s="129"/>
      <c r="C201" s="55"/>
      <c r="D201" s="56"/>
      <c r="E201" s="123"/>
      <c r="F201" s="123"/>
      <c r="G201" s="58"/>
      <c r="H201" s="59"/>
      <c r="I201" s="59"/>
      <c r="J201" s="83"/>
      <c r="K201" s="83"/>
      <c r="L201" s="83"/>
      <c r="M201" s="61"/>
      <c r="N201" s="61"/>
      <c r="O201" s="61"/>
      <c r="P201" s="62"/>
      <c r="Q201" s="63"/>
      <c r="R201" s="83"/>
      <c r="S201" s="65"/>
      <c r="T201" s="66"/>
      <c r="U201" s="66" t="str">
        <f aca="false">IF(ISBLANK($C201),"",IF(G201=Constants!$B$2, TRUE(), IF(G201=Constants!$B$3, FALSE(), TRUE())))</f>
        <v/>
      </c>
      <c r="V201" s="66" t="str">
        <f aca="false">IF(ISBLANK($C201),"",IF(H201=Constants!$B$2, TRUE(), IF(H201=Constants!$B$3, FALSE(), TRUE())))</f>
        <v/>
      </c>
      <c r="W201" s="66" t="str">
        <f aca="false">IF(ISBLANK($C201),"",IF(I201=Constants!$B$2, TRUE(), IF(I201=Constants!$B$3, FALSE(), TRUE())))</f>
        <v/>
      </c>
      <c r="X201" s="66" t="str">
        <f aca="false">IF(ISBLANK($C201),"",IF(AND(ISNUMBER(J201),J201&gt;0),INT(J201),0))</f>
        <v/>
      </c>
      <c r="Y201" s="66" t="str">
        <f aca="false">IF(ISBLANK($C201),"",IF(K201=Constants!$B$2, TRUE(), IF(K201=Constants!$B$3, FALSE(), TRUE())))</f>
        <v/>
      </c>
      <c r="Z201" s="66" t="str">
        <f aca="false">IF(ISBLANK($C201),"",IF(AND(ISNUMBER(L201),L201&gt;0),INT(L201),0))</f>
        <v/>
      </c>
      <c r="AA201" s="68" t="str">
        <f aca="false">IF(ISBLANK($C201),"",IF(ISNUMBER(M201), M201, ""))</f>
        <v/>
      </c>
      <c r="AB201" s="68" t="str">
        <f aca="false">IF(ISBLANK($C201),"",IF(ISNUMBER(N201), N201, ""))</f>
        <v/>
      </c>
      <c r="AC201" s="68" t="str">
        <f aca="false">IF(ISBLANK($C201),"",IF(ISNUMBER(O201), O201, ""))</f>
        <v/>
      </c>
      <c r="AD201" s="69" t="str">
        <f aca="false">IF(ISBLANK($C201),"",IF(ISNUMBER(P201), P201, ""))</f>
        <v/>
      </c>
      <c r="AE201" s="69" t="str">
        <f aca="false">IF(ISBLANK($C201),"",IF(ISNUMBER(Q201), Q201, Constants!$B$13))</f>
        <v/>
      </c>
      <c r="AF201" s="66" t="str">
        <f aca="false">IF(ISBLANK($C201),"",IF(R201=Constants!$B$2, TRUE(), IF(R201=Constants!$B$3, FALSE(), FALSE())))</f>
        <v/>
      </c>
      <c r="AG201" s="66" t="str">
        <f aca="false">IF(ISBLANK(C201), "", IF(AF201, Constants!$B$4,IF(COUNTA(G201:P201)=0, Constants!$B$5, Constants!$B$7)))</f>
        <v/>
      </c>
      <c r="AH201" s="66" t="str">
        <f aca="false">IF(ISBLANK($C201), "",IF($AG201=Constants!$B$7,1,$AG201))</f>
        <v/>
      </c>
      <c r="AI201" s="66" t="str">
        <f aca="false">IF($AG201=Constants!$B$7,POWER(Constants!$B$11,X201)*POWER(Constants!$B$12,Z201),"")</f>
        <v/>
      </c>
      <c r="AJ201" s="66" t="str">
        <f aca="false">IF(AND($AG201=Constants!$B$7, U201, V201) ,IF(OR($AA201="",$AC201=""),"",MAX(0, $AC201-$AA201)),"")</f>
        <v/>
      </c>
      <c r="AK201" s="66" t="str">
        <f aca="false">IF(AND($AG201=Constants!$B$7, U201, V201),IF(OR($AA201="",$AC201=""),$AK$6,""),"")</f>
        <v/>
      </c>
      <c r="AL201" s="66" t="str">
        <f aca="false">IF($AG201=Constants!$B$7,IF(AND(U201,V201,W201,Y201),IF($AJ201="",0,IF($AJ$6=0,Constants!$B$9,Constants!$B$9*AJ201/$AJ$6)), 0),"")</f>
        <v/>
      </c>
      <c r="AM201" s="66" t="str">
        <f aca="false">IF(AL201&lt;&gt;"", AL201*AI201,"")</f>
        <v/>
      </c>
      <c r="AN201" s="66" t="str">
        <f aca="false">IF(AND($AG201=Constants!$B$7, U201, V201) ,IF($AB201="", "", IF(OR($AC201="",$AC201=0),"",MAX(0,1-ABS($AC201-$AB201)/$AC201))),"")</f>
        <v/>
      </c>
      <c r="AO201" s="66" t="str">
        <f aca="false">IF(AND($AG201=Constants!$B$7, U201, V201),IF(AND($AA201&lt;&gt;"",$AB201&lt;&gt;"",$AC201=0),$AO$6,""),"")</f>
        <v/>
      </c>
      <c r="AP201" s="66" t="str">
        <f aca="false">IF($AG201=Constants!$B$7 ,IF(AND(U201,V201,W201,Y201,ISNUMBER(AB201)),IF($AN201="",0,IF($AN$6=0,Constants!$B$10,Constants!$B$10*AN201/$AN$6)), 0),"")</f>
        <v/>
      </c>
      <c r="AQ201" s="66" t="str">
        <f aca="false">IF(AP201&lt;&gt;"", AP201*AI201,"")</f>
        <v/>
      </c>
      <c r="AR201" s="66" t="str">
        <f aca="false">IF($AG201=Constants!$B$7,IF($AD201="",0,IF($AR$6=0,Constants!$B$8,Constants!$B$8*AD201/$AR$6)),"")</f>
        <v/>
      </c>
      <c r="AS201" s="66" t="str">
        <f aca="false">IF($AG201&lt;&gt;Constants!$B$7,$AG201,IF(AK201&amp;AO201&lt;&gt;"",Constants!$B$14,AM201+AQ201+AR201))</f>
        <v/>
      </c>
      <c r="AT201" s="66" t="str">
        <f aca="false">IF(ISBLANK($C201),"",IF($AG201=Constants!$B$7,IF(ISNUMBER(AS201),RANK(AS201,$AS$8:$AS$507),Constants!$B$14),$AG201))</f>
        <v/>
      </c>
      <c r="AU201" s="66" t="str">
        <f aca="false">IF(ISBLANK($C201), "",AM201)</f>
        <v/>
      </c>
      <c r="AV201" s="66" t="str">
        <f aca="false">IF(ISBLANK($C201),"",IF($AG201=Constants!$B$7,RANK(AU201,AU$8:AU$507),$AG201))</f>
        <v/>
      </c>
      <c r="AW201" s="66" t="str">
        <f aca="false">IF(ISBLANK($C201), "",AR201)</f>
        <v/>
      </c>
      <c r="AX201" s="66" t="str">
        <f aca="false">IF(ISBLANK($C201),"",IF($AG201=Constants!$B$7,RANK(AW201,AW$8:AW$507),$AG201))</f>
        <v/>
      </c>
      <c r="AY201" s="66" t="str">
        <f aca="false">IF(ISBLANK($C201), "",AE201)</f>
        <v/>
      </c>
      <c r="AZ201" s="66" t="str">
        <f aca="false">IF(ISBLANK($C201),"",
IF($AG201=Constants!$B$7,
  IF(ISNUMBER(AT201),
    COUNTIFS($AT$8:$AT$507,"&lt;"&amp;$AT201)
    + COUNTIFS($AT$8:$AT$507,$AT201,$AV$8:$AV$507,"&lt;"&amp;$AV201)
    + COUNTIFS($AT$8:$AT$507,$AT201,$AV$8:$AV$507,$AV201,$AX$8:$AX$507,"&lt;"&amp;$AX201)
    + COUNTIFS($AT$8:$AT$507,$AT201,$AV$8:$AV$507,$AV201,$AX$8:$AX$507,$AX201,$AY$8:$AY$507,"&lt;"&amp;$AY201)
    + 1,
  Constants!$B$14),
$AG201))</f>
        <v/>
      </c>
      <c r="BA201" s="66" t="str">
        <f aca="false">IF(ISBLANK(C201),"",IF($AG201=Constants!$B$7, IF(ISNUMBER(AT201),AT201-AZ201,Constants!$B$14),$AG201))</f>
        <v/>
      </c>
      <c r="BB201" s="70"/>
      <c r="BC201" s="84" t="str">
        <f aca="false">IF(ISBLANK($C201),"",TRIM(AK201&amp;" "&amp;AO201))</f>
        <v/>
      </c>
      <c r="BD201" s="72" t="str">
        <f aca="false">IF(ISBLANK($C201),"",IF($AG201&lt;&gt;Constants!$B$7,$AG201,AR201))</f>
        <v/>
      </c>
      <c r="BE201" s="72" t="str">
        <f aca="false">IF(ISBLANK($C201),"",IF($AG201&lt;&gt;Constants!$B$7,$AG201,AM201))</f>
        <v/>
      </c>
      <c r="BF201" s="72" t="str">
        <f aca="false">IF(ISBLANK($C201),"",IF($AG201&lt;&gt;Constants!$B$7,$AG201,AQ201))</f>
        <v/>
      </c>
      <c r="BG201" s="73" t="str">
        <f aca="false">IF(ISBLANK($C201),"",IF($AG201&lt;&gt;Constants!$B$7, $AG201 ,AS201))</f>
        <v/>
      </c>
      <c r="BH201" s="74" t="str">
        <f aca="false">IF(ISBLANK($C201),"",IF($AG201&lt;&gt;Constants!$B$7, $AG201 ,AH201))</f>
        <v/>
      </c>
      <c r="BI201" s="72" t="str">
        <f aca="false">IF(ISBLANK(C201),"",BA201)</f>
        <v/>
      </c>
      <c r="BJ201" s="72" t="str">
        <f aca="false">IF(ISBLANK(C201),"",AZ201)</f>
        <v/>
      </c>
      <c r="BK201" s="75" t="str">
        <f aca="false">IF(ISBLANK(C201),"",IFERROR(_xlfn.SWITCH(BJ201, Constants!$B$4, COUNTA($C$8:$C700)+2, Constants!$B$5, COUNTA($C$8:$C700)+1, Constants!$B$6, COUNTA($C$8:$C700)),BJ201))</f>
        <v/>
      </c>
      <c r="BL201" s="5"/>
      <c r="BM201" s="76" t="n">
        <f aca="false">IF(OR(ISNUMBER(BJ201),BJ201="DQ",BJ201="P",BJ201="NS"),
    1,
    0
)</f>
        <v>0</v>
      </c>
      <c r="BN201" s="76" t="n">
        <v>194</v>
      </c>
      <c r="BO201" s="76" t="str">
        <f aca="false">IF(ISBLANK($C201),"",IF(ISNUMBER(BK201),BK201+ROW($B201)/1000,""))</f>
        <v/>
      </c>
      <c r="BP201" s="76" t="str">
        <f aca="false">IF(ISNUMBER(BO201), RANK(BO201,BO$8:BO$507,1), "")</f>
        <v/>
      </c>
      <c r="BQ201" s="76" t="str">
        <f aca="false">IF(ISBLANK($C201),
    "",
    $B201
)</f>
        <v/>
      </c>
      <c r="BR201" s="76" t="str">
        <f aca="false">IF(ISBLANK($C201),
    "",
    $C201
)</f>
        <v/>
      </c>
      <c r="BS201" s="76" t="str">
        <f aca="false">IF(ISBLANK($C201),
    "",
    $D201
)</f>
        <v/>
      </c>
      <c r="BT201" s="77" t="str">
        <f aca="false">BH201</f>
        <v/>
      </c>
      <c r="BU201" s="78" t="str">
        <f aca="false">BG201</f>
        <v/>
      </c>
      <c r="BV201" s="76" t="str">
        <f aca="false">IF(ISBLANK($C201),
    "",
    BJ201
)</f>
        <v/>
      </c>
      <c r="BW201" s="79" t="str">
        <f aca="false">IF(BN201&gt;BM$7,
    "",
    VLOOKUP(BN201,BP$8:BV700,7,FALSE())
)</f>
        <v/>
      </c>
      <c r="BX201" s="80" t="str">
        <f aca="false">IF(BN201&gt;BM$7,
    "",
    VLOOKUP(BN201,BP$8:BV700,2,FALSE())
)</f>
        <v/>
      </c>
      <c r="BY201" s="80" t="str">
        <f aca="false">IF(BN201&gt;BM$7,
    "",
    VLOOKUP(BN201,BP$8:BV700,3,FALSE())
)</f>
        <v/>
      </c>
      <c r="BZ201" s="80" t="str">
        <f aca="false">IF(BN201&gt;BM$7,
    "",
    VLOOKUP(BN201,BP$8:BV700,4,FALSE())
)</f>
        <v/>
      </c>
      <c r="CA201" s="80" t="str">
        <f aca="false">IF(BN201&gt;BM$7,
    "",
    VLOOKUP(BN201,BP$8:BV700,5,FALSE())
)</f>
        <v/>
      </c>
      <c r="CB201" s="81" t="str">
        <f aca="false">IF(BN201&gt;BM$7,
    "",
    VLOOKUP(BN201,BP$8:BV700,6,FALSE())
)</f>
        <v/>
      </c>
      <c r="CC201" s="53"/>
    </row>
    <row r="202" customFormat="false" ht="15.75" hidden="false" customHeight="false" outlineLevel="0" collapsed="false">
      <c r="A202" s="5"/>
      <c r="B202" s="129"/>
      <c r="C202" s="55"/>
      <c r="D202" s="56"/>
      <c r="E202" s="123"/>
      <c r="F202" s="123"/>
      <c r="G202" s="58"/>
      <c r="H202" s="59"/>
      <c r="I202" s="59"/>
      <c r="J202" s="83"/>
      <c r="K202" s="83"/>
      <c r="L202" s="83"/>
      <c r="M202" s="61"/>
      <c r="N202" s="61"/>
      <c r="O202" s="61"/>
      <c r="P202" s="62"/>
      <c r="Q202" s="63"/>
      <c r="R202" s="83"/>
      <c r="S202" s="65"/>
      <c r="T202" s="66"/>
      <c r="U202" s="66" t="str">
        <f aca="false">IF(ISBLANK($C202),"",IF(G202=Constants!$B$2, TRUE(), IF(G202=Constants!$B$3, FALSE(), TRUE())))</f>
        <v/>
      </c>
      <c r="V202" s="66" t="str">
        <f aca="false">IF(ISBLANK($C202),"",IF(H202=Constants!$B$2, TRUE(), IF(H202=Constants!$B$3, FALSE(), TRUE())))</f>
        <v/>
      </c>
      <c r="W202" s="66" t="str">
        <f aca="false">IF(ISBLANK($C202),"",IF(I202=Constants!$B$2, TRUE(), IF(I202=Constants!$B$3, FALSE(), TRUE())))</f>
        <v/>
      </c>
      <c r="X202" s="66" t="str">
        <f aca="false">IF(ISBLANK($C202),"",IF(AND(ISNUMBER(J202),J202&gt;0),INT(J202),0))</f>
        <v/>
      </c>
      <c r="Y202" s="66" t="str">
        <f aca="false">IF(ISBLANK($C202),"",IF(K202=Constants!$B$2, TRUE(), IF(K202=Constants!$B$3, FALSE(), TRUE())))</f>
        <v/>
      </c>
      <c r="Z202" s="66" t="str">
        <f aca="false">IF(ISBLANK($C202),"",IF(AND(ISNUMBER(L202),L202&gt;0),INT(L202),0))</f>
        <v/>
      </c>
      <c r="AA202" s="68" t="str">
        <f aca="false">IF(ISBLANK($C202),"",IF(ISNUMBER(M202), M202, ""))</f>
        <v/>
      </c>
      <c r="AB202" s="68" t="str">
        <f aca="false">IF(ISBLANK($C202),"",IF(ISNUMBER(N202), N202, ""))</f>
        <v/>
      </c>
      <c r="AC202" s="68" t="str">
        <f aca="false">IF(ISBLANK($C202),"",IF(ISNUMBER(O202), O202, ""))</f>
        <v/>
      </c>
      <c r="AD202" s="69" t="str">
        <f aca="false">IF(ISBLANK($C202),"",IF(ISNUMBER(P202), P202, ""))</f>
        <v/>
      </c>
      <c r="AE202" s="69" t="str">
        <f aca="false">IF(ISBLANK($C202),"",IF(ISNUMBER(Q202), Q202, Constants!$B$13))</f>
        <v/>
      </c>
      <c r="AF202" s="66" t="str">
        <f aca="false">IF(ISBLANK($C202),"",IF(R202=Constants!$B$2, TRUE(), IF(R202=Constants!$B$3, FALSE(), FALSE())))</f>
        <v/>
      </c>
      <c r="AG202" s="66" t="str">
        <f aca="false">IF(ISBLANK(C202), "", IF(AF202, Constants!$B$4,IF(COUNTA(G202:P202)=0, Constants!$B$5, Constants!$B$7)))</f>
        <v/>
      </c>
      <c r="AH202" s="66" t="str">
        <f aca="false">IF(ISBLANK($C202), "",IF($AG202=Constants!$B$7,1,$AG202))</f>
        <v/>
      </c>
      <c r="AI202" s="66" t="str">
        <f aca="false">IF($AG202=Constants!$B$7,POWER(Constants!$B$11,X202)*POWER(Constants!$B$12,Z202),"")</f>
        <v/>
      </c>
      <c r="AJ202" s="66" t="str">
        <f aca="false">IF(AND($AG202=Constants!$B$7, U202, V202) ,IF(OR($AA202="",$AC202=""),"",MAX(0, $AC202-$AA202)),"")</f>
        <v/>
      </c>
      <c r="AK202" s="66" t="str">
        <f aca="false">IF(AND($AG202=Constants!$B$7, U202, V202),IF(OR($AA202="",$AC202=""),$AK$6,""),"")</f>
        <v/>
      </c>
      <c r="AL202" s="66" t="str">
        <f aca="false">IF($AG202=Constants!$B$7,IF(AND(U202,V202,W202,Y202),IF($AJ202="",0,IF($AJ$6=0,Constants!$B$9,Constants!$B$9*AJ202/$AJ$6)), 0),"")</f>
        <v/>
      </c>
      <c r="AM202" s="66" t="str">
        <f aca="false">IF(AL202&lt;&gt;"", AL202*AI202,"")</f>
        <v/>
      </c>
      <c r="AN202" s="66" t="str">
        <f aca="false">IF(AND($AG202=Constants!$B$7, U202, V202) ,IF($AB202="", "", IF(OR($AC202="",$AC202=0),"",MAX(0,1-ABS($AC202-$AB202)/$AC202))),"")</f>
        <v/>
      </c>
      <c r="AO202" s="66" t="str">
        <f aca="false">IF(AND($AG202=Constants!$B$7, U202, V202),IF(AND($AA202&lt;&gt;"",$AB202&lt;&gt;"",$AC202=0),$AO$6,""),"")</f>
        <v/>
      </c>
      <c r="AP202" s="66" t="str">
        <f aca="false">IF($AG202=Constants!$B$7 ,IF(AND(U202,V202,W202,Y202,ISNUMBER(AB202)),IF($AN202="",0,IF($AN$6=0,Constants!$B$10,Constants!$B$10*AN202/$AN$6)), 0),"")</f>
        <v/>
      </c>
      <c r="AQ202" s="66" t="str">
        <f aca="false">IF(AP202&lt;&gt;"", AP202*AI202,"")</f>
        <v/>
      </c>
      <c r="AR202" s="66" t="str">
        <f aca="false">IF($AG202=Constants!$B$7,IF($AD202="",0,IF($AR$6=0,Constants!$B$8,Constants!$B$8*AD202/$AR$6)),"")</f>
        <v/>
      </c>
      <c r="AS202" s="66" t="str">
        <f aca="false">IF($AG202&lt;&gt;Constants!$B$7,$AG202,IF(AK202&amp;AO202&lt;&gt;"",Constants!$B$14,AM202+AQ202+AR202))</f>
        <v/>
      </c>
      <c r="AT202" s="66" t="str">
        <f aca="false">IF(ISBLANK($C202),"",IF($AG202=Constants!$B$7,IF(ISNUMBER(AS202),RANK(AS202,$AS$8:$AS$507),Constants!$B$14),$AG202))</f>
        <v/>
      </c>
      <c r="AU202" s="66" t="str">
        <f aca="false">IF(ISBLANK($C202), "",AM202)</f>
        <v/>
      </c>
      <c r="AV202" s="66" t="str">
        <f aca="false">IF(ISBLANK($C202),"",IF($AG202=Constants!$B$7,RANK(AU202,AU$8:AU$507),$AG202))</f>
        <v/>
      </c>
      <c r="AW202" s="66" t="str">
        <f aca="false">IF(ISBLANK($C202), "",AR202)</f>
        <v/>
      </c>
      <c r="AX202" s="66" t="str">
        <f aca="false">IF(ISBLANK($C202),"",IF($AG202=Constants!$B$7,RANK(AW202,AW$8:AW$507),$AG202))</f>
        <v/>
      </c>
      <c r="AY202" s="66" t="str">
        <f aca="false">IF(ISBLANK($C202), "",AE202)</f>
        <v/>
      </c>
      <c r="AZ202" s="66" t="str">
        <f aca="false">IF(ISBLANK($C202),"",
IF($AG202=Constants!$B$7,
  IF(ISNUMBER(AT202),
    COUNTIFS($AT$8:$AT$507,"&lt;"&amp;$AT202)
    + COUNTIFS($AT$8:$AT$507,$AT202,$AV$8:$AV$507,"&lt;"&amp;$AV202)
    + COUNTIFS($AT$8:$AT$507,$AT202,$AV$8:$AV$507,$AV202,$AX$8:$AX$507,"&lt;"&amp;$AX202)
    + COUNTIFS($AT$8:$AT$507,$AT202,$AV$8:$AV$507,$AV202,$AX$8:$AX$507,$AX202,$AY$8:$AY$507,"&lt;"&amp;$AY202)
    + 1,
  Constants!$B$14),
$AG202))</f>
        <v/>
      </c>
      <c r="BA202" s="66" t="str">
        <f aca="false">IF(ISBLANK(C202),"",IF($AG202=Constants!$B$7, IF(ISNUMBER(AT202),AT202-AZ202,Constants!$B$14),$AG202))</f>
        <v/>
      </c>
      <c r="BB202" s="70"/>
      <c r="BC202" s="84" t="str">
        <f aca="false">IF(ISBLANK($C202),"",TRIM(AK202&amp;" "&amp;AO202))</f>
        <v/>
      </c>
      <c r="BD202" s="72" t="str">
        <f aca="false">IF(ISBLANK($C202),"",IF($AG202&lt;&gt;Constants!$B$7,$AG202,AR202))</f>
        <v/>
      </c>
      <c r="BE202" s="72" t="str">
        <f aca="false">IF(ISBLANK($C202),"",IF($AG202&lt;&gt;Constants!$B$7,$AG202,AM202))</f>
        <v/>
      </c>
      <c r="BF202" s="72" t="str">
        <f aca="false">IF(ISBLANK($C202),"",IF($AG202&lt;&gt;Constants!$B$7,$AG202,AQ202))</f>
        <v/>
      </c>
      <c r="BG202" s="73" t="str">
        <f aca="false">IF(ISBLANK($C202),"",IF($AG202&lt;&gt;Constants!$B$7, $AG202 ,AS202))</f>
        <v/>
      </c>
      <c r="BH202" s="74" t="str">
        <f aca="false">IF(ISBLANK($C202),"",IF($AG202&lt;&gt;Constants!$B$7, $AG202 ,AH202))</f>
        <v/>
      </c>
      <c r="BI202" s="72" t="str">
        <f aca="false">IF(ISBLANK(C202),"",BA202)</f>
        <v/>
      </c>
      <c r="BJ202" s="72" t="str">
        <f aca="false">IF(ISBLANK(C202),"",AZ202)</f>
        <v/>
      </c>
      <c r="BK202" s="75" t="str">
        <f aca="false">IF(ISBLANK(C202),"",IFERROR(_xlfn.SWITCH(BJ202, Constants!$B$4, COUNTA($C$8:$C701)+2, Constants!$B$5, COUNTA($C$8:$C701)+1, Constants!$B$6, COUNTA($C$8:$C701)),BJ202))</f>
        <v/>
      </c>
      <c r="BL202" s="5"/>
      <c r="BM202" s="76" t="n">
        <f aca="false">IF(OR(ISNUMBER(BJ202),BJ202="DQ",BJ202="P",BJ202="NS"),
    1,
    0
)</f>
        <v>0</v>
      </c>
      <c r="BN202" s="76" t="n">
        <v>195</v>
      </c>
      <c r="BO202" s="76" t="str">
        <f aca="false">IF(ISBLANK($C202),"",IF(ISNUMBER(BK202),BK202+ROW($B202)/1000,""))</f>
        <v/>
      </c>
      <c r="BP202" s="76" t="str">
        <f aca="false">IF(ISNUMBER(BO202), RANK(BO202,BO$8:BO$507,1), "")</f>
        <v/>
      </c>
      <c r="BQ202" s="76" t="str">
        <f aca="false">IF(ISBLANK($C202),
    "",
    $B202
)</f>
        <v/>
      </c>
      <c r="BR202" s="76" t="str">
        <f aca="false">IF(ISBLANK($C202),
    "",
    $C202
)</f>
        <v/>
      </c>
      <c r="BS202" s="76" t="str">
        <f aca="false">IF(ISBLANK($C202),
    "",
    $D202
)</f>
        <v/>
      </c>
      <c r="BT202" s="77" t="str">
        <f aca="false">BH202</f>
        <v/>
      </c>
      <c r="BU202" s="78" t="str">
        <f aca="false">BG202</f>
        <v/>
      </c>
      <c r="BV202" s="76" t="str">
        <f aca="false">IF(ISBLANK($C202),
    "",
    BJ202
)</f>
        <v/>
      </c>
      <c r="BW202" s="79" t="str">
        <f aca="false">IF(BN202&gt;BM$7,
    "",
    VLOOKUP(BN202,BP$8:BV701,7,FALSE())
)</f>
        <v/>
      </c>
      <c r="BX202" s="80" t="str">
        <f aca="false">IF(BN202&gt;BM$7,
    "",
    VLOOKUP(BN202,BP$8:BV701,2,FALSE())
)</f>
        <v/>
      </c>
      <c r="BY202" s="80" t="str">
        <f aca="false">IF(BN202&gt;BM$7,
    "",
    VLOOKUP(BN202,BP$8:BV701,3,FALSE())
)</f>
        <v/>
      </c>
      <c r="BZ202" s="80" t="str">
        <f aca="false">IF(BN202&gt;BM$7,
    "",
    VLOOKUP(BN202,BP$8:BV701,4,FALSE())
)</f>
        <v/>
      </c>
      <c r="CA202" s="80" t="str">
        <f aca="false">IF(BN202&gt;BM$7,
    "",
    VLOOKUP(BN202,BP$8:BV701,5,FALSE())
)</f>
        <v/>
      </c>
      <c r="CB202" s="81" t="str">
        <f aca="false">IF(BN202&gt;BM$7,
    "",
    VLOOKUP(BN202,BP$8:BV701,6,FALSE())
)</f>
        <v/>
      </c>
      <c r="CC202" s="53"/>
    </row>
    <row r="203" customFormat="false" ht="15.75" hidden="false" customHeight="false" outlineLevel="0" collapsed="false">
      <c r="A203" s="5"/>
      <c r="B203" s="125"/>
      <c r="C203" s="126"/>
      <c r="D203" s="115"/>
      <c r="E203" s="119"/>
      <c r="F203" s="119"/>
      <c r="G203" s="91"/>
      <c r="H203" s="92"/>
      <c r="I203" s="92"/>
      <c r="J203" s="128"/>
      <c r="K203" s="128"/>
      <c r="L203" s="128"/>
      <c r="M203" s="94"/>
      <c r="N203" s="94"/>
      <c r="O203" s="94"/>
      <c r="P203" s="95"/>
      <c r="Q203" s="96"/>
      <c r="R203" s="128"/>
      <c r="S203" s="98"/>
      <c r="T203" s="99"/>
      <c r="U203" s="99" t="str">
        <f aca="false">IF(ISBLANK($C203),"",IF(G203=Constants!$B$2, TRUE(), IF(G203=Constants!$B$3, FALSE(), TRUE())))</f>
        <v/>
      </c>
      <c r="V203" s="99" t="str">
        <f aca="false">IF(ISBLANK($C203),"",IF(H203=Constants!$B$2, TRUE(), IF(H203=Constants!$B$3, FALSE(), TRUE())))</f>
        <v/>
      </c>
      <c r="W203" s="99" t="str">
        <f aca="false">IF(ISBLANK($C203),"",IF(I203=Constants!$B$2, TRUE(), IF(I203=Constants!$B$3, FALSE(), TRUE())))</f>
        <v/>
      </c>
      <c r="X203" s="99" t="str">
        <f aca="false">IF(ISBLANK($C203),"",IF(AND(ISNUMBER(J203),J203&gt;0),INT(J203),0))</f>
        <v/>
      </c>
      <c r="Y203" s="99" t="str">
        <f aca="false">IF(ISBLANK($C203),"",IF(K203=Constants!$B$2, TRUE(), IF(K203=Constants!$B$3, FALSE(), TRUE())))</f>
        <v/>
      </c>
      <c r="Z203" s="100" t="str">
        <f aca="false">IF(ISBLANK($C203),"",IF(AND(ISNUMBER(L203),L203&gt;0),INT(L203),0))</f>
        <v/>
      </c>
      <c r="AA203" s="101" t="str">
        <f aca="false">IF(ISBLANK($C203),"",IF(ISNUMBER(M203), M203, ""))</f>
        <v/>
      </c>
      <c r="AB203" s="101" t="str">
        <f aca="false">IF(ISBLANK($C203),"",IF(ISNUMBER(N203), N203, ""))</f>
        <v/>
      </c>
      <c r="AC203" s="101" t="str">
        <f aca="false">IF(ISBLANK($C203),"",IF(ISNUMBER(O203), O203, ""))</f>
        <v/>
      </c>
      <c r="AD203" s="102" t="str">
        <f aca="false">IF(ISBLANK($C203),"",IF(ISNUMBER(P203), P203, ""))</f>
        <v/>
      </c>
      <c r="AE203" s="102" t="str">
        <f aca="false">IF(ISBLANK($C203),"",IF(ISNUMBER(Q203), Q203, Constants!$B$13))</f>
        <v/>
      </c>
      <c r="AF203" s="99" t="str">
        <f aca="false">IF(ISBLANK($C203),"",IF(R203=Constants!$B$2, TRUE(), IF(R203=Constants!$B$3, FALSE(), FALSE())))</f>
        <v/>
      </c>
      <c r="AG203" s="99" t="str">
        <f aca="false">IF(ISBLANK(C203), "", IF(AF203, Constants!$B$4,IF(COUNTA(G203:P203)=0, Constants!$B$5, Constants!$B$7)))</f>
        <v/>
      </c>
      <c r="AH203" s="99" t="str">
        <f aca="false">IF(ISBLANK($C203), "",IF($AG203=Constants!$B$7,1,$AG203))</f>
        <v/>
      </c>
      <c r="AI203" s="99" t="str">
        <f aca="false">IF($AG203=Constants!$B$7,POWER(Constants!$B$11,X203)*POWER(Constants!$B$12,Z203),"")</f>
        <v/>
      </c>
      <c r="AJ203" s="99" t="str">
        <f aca="false">IF(AND($AG203=Constants!$B$7, U203, V203) ,IF(OR($AA203="",$AC203=""),"",MAX(0, $AC203-$AA203)),"")</f>
        <v/>
      </c>
      <c r="AK203" s="99" t="str">
        <f aca="false">IF(AND($AG203=Constants!$B$7, U203, V203),IF(OR($AA203="",$AC203=""),$AK$6,""),"")</f>
        <v/>
      </c>
      <c r="AL203" s="99" t="str">
        <f aca="false">IF($AG203=Constants!$B$7,IF(AND(U203,V203,W203,Y203),IF($AJ203="",0,IF($AJ$6=0,Constants!$B$9,Constants!$B$9*AJ203/$AJ$6)), 0),"")</f>
        <v/>
      </c>
      <c r="AM203" s="99" t="str">
        <f aca="false">IF(AL203&lt;&gt;"", AL203*AI203,"")</f>
        <v/>
      </c>
      <c r="AN203" s="99" t="str">
        <f aca="false">IF(AND($AG203=Constants!$B$7, U203, V203) ,IF($AB203="", "", IF(OR($AC203="",$AC203=0),"",MAX(0,1-ABS($AC203-$AB203)/$AC203))),"")</f>
        <v/>
      </c>
      <c r="AO203" s="99" t="str">
        <f aca="false">IF(AND($AG203=Constants!$B$7, U203, V203),IF(AND($AA203&lt;&gt;"",$AB203&lt;&gt;"",$AC203=0),$AO$6,""),"")</f>
        <v/>
      </c>
      <c r="AP203" s="99" t="str">
        <f aca="false">IF($AG203=Constants!$B$7 ,IF(AND(U203,V203,W203,Y203,ISNUMBER(AB203)),IF($AN203="",0,IF($AN$6=0,Constants!$B$10,Constants!$B$10*AN203/$AN$6)), 0),"")</f>
        <v/>
      </c>
      <c r="AQ203" s="99" t="str">
        <f aca="false">IF(AP203&lt;&gt;"", AP203*AI203,"")</f>
        <v/>
      </c>
      <c r="AR203" s="99" t="str">
        <f aca="false">IF($AG203=Constants!$B$7,IF($AD203="",0,IF($AR$6=0,Constants!$B$8,Constants!$B$8*AD203/$AR$6)),"")</f>
        <v/>
      </c>
      <c r="AS203" s="99" t="str">
        <f aca="false">IF($AG203&lt;&gt;Constants!$B$7,$AG203,IF(AK203&amp;AO203&lt;&gt;"",Constants!$B$14,AM203+AQ203+AR203))</f>
        <v/>
      </c>
      <c r="AT203" s="99" t="str">
        <f aca="false">IF(ISBLANK($C203),"",IF($AG203=Constants!$B$7,IF(ISNUMBER(AS203),RANK(AS203,$AS$8:$AS$507),Constants!$B$14),$AG203))</f>
        <v/>
      </c>
      <c r="AU203" s="99" t="str">
        <f aca="false">IF(ISBLANK($C203), "",AM203)</f>
        <v/>
      </c>
      <c r="AV203" s="99" t="str">
        <f aca="false">IF(ISBLANK($C203),"",IF($AG203=Constants!$B$7,RANK(AU203,AU$8:AU$507),$AG203))</f>
        <v/>
      </c>
      <c r="AW203" s="99" t="str">
        <f aca="false">IF(ISBLANK($C203), "",AR203)</f>
        <v/>
      </c>
      <c r="AX203" s="99" t="str">
        <f aca="false">IF(ISBLANK($C203),"",IF($AG203=Constants!$B$7,RANK(AW203,AW$8:AW$507),$AG203))</f>
        <v/>
      </c>
      <c r="AY203" s="99" t="str">
        <f aca="false">IF(ISBLANK($C203), "",AE203)</f>
        <v/>
      </c>
      <c r="AZ203" s="99" t="str">
        <f aca="false">IF(ISBLANK($C203),"",
IF($AG203=Constants!$B$7,
  IF(ISNUMBER(AT203),
    COUNTIFS($AT$8:$AT$507,"&lt;"&amp;$AT203)
    + COUNTIFS($AT$8:$AT$507,$AT203,$AV$8:$AV$507,"&lt;"&amp;$AV203)
    + COUNTIFS($AT$8:$AT$507,$AT203,$AV$8:$AV$507,$AV203,$AX$8:$AX$507,"&lt;"&amp;$AX203)
    + COUNTIFS($AT$8:$AT$507,$AT203,$AV$8:$AV$507,$AV203,$AX$8:$AX$507,$AX203,$AY$8:$AY$507,"&lt;"&amp;$AY203)
    + 1,
  Constants!$B$14),
$AG203))</f>
        <v/>
      </c>
      <c r="BA203" s="99" t="str">
        <f aca="false">IF(ISBLANK(C203),"",IF($AG203=Constants!$B$7, IF(ISNUMBER(AT203),AT203-AZ203,Constants!$B$14),$AG203))</f>
        <v/>
      </c>
      <c r="BB203" s="103"/>
      <c r="BC203" s="104" t="str">
        <f aca="false">IF(ISBLANK($C203),"",TRIM(AK203&amp;" "&amp;AO203))</f>
        <v/>
      </c>
      <c r="BD203" s="105" t="str">
        <f aca="false">IF(ISBLANK($C203),"",IF($AG203&lt;&gt;Constants!$B$7,$AG203,AR203))</f>
        <v/>
      </c>
      <c r="BE203" s="105" t="str">
        <f aca="false">IF(ISBLANK($C203),"",IF($AG203&lt;&gt;Constants!$B$7,$AG203,AM203))</f>
        <v/>
      </c>
      <c r="BF203" s="105" t="str">
        <f aca="false">IF(ISBLANK($C203),"",IF($AG203&lt;&gt;Constants!$B$7,$AG203,AQ203))</f>
        <v/>
      </c>
      <c r="BG203" s="106" t="str">
        <f aca="false">IF(ISBLANK($C203),"",IF($AG203&lt;&gt;Constants!$B$7, $AG203 ,AS203))</f>
        <v/>
      </c>
      <c r="BH203" s="107" t="str">
        <f aca="false">IF(ISBLANK($C203),"",IF($AG203&lt;&gt;Constants!$B$7, $AG203 ,AH203))</f>
        <v/>
      </c>
      <c r="BI203" s="105" t="str">
        <f aca="false">IF(ISBLANK(C203),"",BA203)</f>
        <v/>
      </c>
      <c r="BJ203" s="105" t="str">
        <f aca="false">IF(ISBLANK(C203),"",AZ203)</f>
        <v/>
      </c>
      <c r="BK203" s="108" t="str">
        <f aca="false">IF(ISBLANK(C203),"",IFERROR(_xlfn.SWITCH(BJ203, Constants!$B$4, COUNTA($C$8:$C702)+2, Constants!$B$5, COUNTA($C$8:$C702)+1, Constants!$B$6, COUNTA($C$8:$C702)),BJ203))</f>
        <v/>
      </c>
      <c r="BL203" s="5"/>
      <c r="BM203" s="109" t="n">
        <f aca="false">IF(OR(ISNUMBER(BJ203),BJ203="DQ",BJ203="P",BJ203="NS"),
    1,
    0
)</f>
        <v>0</v>
      </c>
      <c r="BN203" s="109" t="n">
        <v>196</v>
      </c>
      <c r="BO203" s="109" t="str">
        <f aca="false">IF(ISBLANK($C203),"",IF(ISNUMBER(BK203),BK203+ROW($B203)/1000,""))</f>
        <v/>
      </c>
      <c r="BP203" s="109" t="str">
        <f aca="false">IF(ISNUMBER(BO203), RANK(BO203,BO$8:BO$507,1), "")</f>
        <v/>
      </c>
      <c r="BQ203" s="109" t="str">
        <f aca="false">IF(ISBLANK($C203),
    "",
    $B203
)</f>
        <v/>
      </c>
      <c r="BR203" s="109" t="str">
        <f aca="false">IF(ISBLANK($C203),
    "",
    $C203
)</f>
        <v/>
      </c>
      <c r="BS203" s="109" t="str">
        <f aca="false">IF(ISBLANK($C203),
    "",
    $D203
)</f>
        <v/>
      </c>
      <c r="BT203" s="110" t="str">
        <f aca="false">BH203</f>
        <v/>
      </c>
      <c r="BU203" s="111" t="str">
        <f aca="false">BG203</f>
        <v/>
      </c>
      <c r="BV203" s="109" t="str">
        <f aca="false">IF(ISBLANK($C203),
    "",
    BJ203
)</f>
        <v/>
      </c>
      <c r="BW203" s="112" t="str">
        <f aca="false">IF(BN203&gt;BM$7,
    "",
    VLOOKUP(BN203,BP$8:BV702,7,FALSE())
)</f>
        <v/>
      </c>
      <c r="BX203" s="113" t="str">
        <f aca="false">IF(BN203&gt;BM$7,
    "",
    VLOOKUP(BN203,BP$8:BV702,2,FALSE())
)</f>
        <v/>
      </c>
      <c r="BY203" s="113" t="str">
        <f aca="false">IF(BN203&gt;BM$7,
    "",
    VLOOKUP(BN203,BP$8:BV702,3,FALSE())
)</f>
        <v/>
      </c>
      <c r="BZ203" s="113" t="str">
        <f aca="false">IF(BN203&gt;BM$7,
    "",
    VLOOKUP(BN203,BP$8:BV702,4,FALSE())
)</f>
        <v/>
      </c>
      <c r="CA203" s="113" t="str">
        <f aca="false">IF(BN203&gt;BM$7,
    "",
    VLOOKUP(BN203,BP$8:BV702,5,FALSE())
)</f>
        <v/>
      </c>
      <c r="CB203" s="114" t="str">
        <f aca="false">IF(BN203&gt;BM$7,
    "",
    VLOOKUP(BN203,BP$8:BV702,6,FALSE())
)</f>
        <v/>
      </c>
      <c r="CC203" s="53"/>
    </row>
    <row r="204" customFormat="false" ht="15.75" hidden="false" customHeight="false" outlineLevel="0" collapsed="false">
      <c r="A204" s="5"/>
      <c r="B204" s="125"/>
      <c r="C204" s="126"/>
      <c r="D204" s="115"/>
      <c r="E204" s="119"/>
      <c r="F204" s="119"/>
      <c r="G204" s="91"/>
      <c r="H204" s="92"/>
      <c r="I204" s="92"/>
      <c r="J204" s="128"/>
      <c r="K204" s="128"/>
      <c r="L204" s="128"/>
      <c r="M204" s="94"/>
      <c r="N204" s="94"/>
      <c r="O204" s="94"/>
      <c r="P204" s="95"/>
      <c r="Q204" s="96"/>
      <c r="R204" s="128"/>
      <c r="S204" s="98"/>
      <c r="T204" s="99"/>
      <c r="U204" s="99" t="str">
        <f aca="false">IF(ISBLANK($C204),"",IF(G204=Constants!$B$2, TRUE(), IF(G204=Constants!$B$3, FALSE(), TRUE())))</f>
        <v/>
      </c>
      <c r="V204" s="99" t="str">
        <f aca="false">IF(ISBLANK($C204),"",IF(H204=Constants!$B$2, TRUE(), IF(H204=Constants!$B$3, FALSE(), TRUE())))</f>
        <v/>
      </c>
      <c r="W204" s="99" t="str">
        <f aca="false">IF(ISBLANK($C204),"",IF(I204=Constants!$B$2, TRUE(), IF(I204=Constants!$B$3, FALSE(), TRUE())))</f>
        <v/>
      </c>
      <c r="X204" s="99" t="str">
        <f aca="false">IF(ISBLANK($C204),"",IF(AND(ISNUMBER(J204),J204&gt;0),INT(J204),0))</f>
        <v/>
      </c>
      <c r="Y204" s="99" t="str">
        <f aca="false">IF(ISBLANK($C204),"",IF(K204=Constants!$B$2, TRUE(), IF(K204=Constants!$B$3, FALSE(), TRUE())))</f>
        <v/>
      </c>
      <c r="Z204" s="100" t="str">
        <f aca="false">IF(ISBLANK($C204),"",IF(AND(ISNUMBER(L204),L204&gt;0),INT(L204),0))</f>
        <v/>
      </c>
      <c r="AA204" s="101" t="str">
        <f aca="false">IF(ISBLANK($C204),"",IF(ISNUMBER(M204), M204, ""))</f>
        <v/>
      </c>
      <c r="AB204" s="101" t="str">
        <f aca="false">IF(ISBLANK($C204),"",IF(ISNUMBER(N204), N204, ""))</f>
        <v/>
      </c>
      <c r="AC204" s="101" t="str">
        <f aca="false">IF(ISBLANK($C204),"",IF(ISNUMBER(O204), O204, ""))</f>
        <v/>
      </c>
      <c r="AD204" s="102" t="str">
        <f aca="false">IF(ISBLANK($C204),"",IF(ISNUMBER(P204), P204, ""))</f>
        <v/>
      </c>
      <c r="AE204" s="102" t="str">
        <f aca="false">IF(ISBLANK($C204),"",IF(ISNUMBER(Q204), Q204, Constants!$B$13))</f>
        <v/>
      </c>
      <c r="AF204" s="99" t="str">
        <f aca="false">IF(ISBLANK($C204),"",IF(R204=Constants!$B$2, TRUE(), IF(R204=Constants!$B$3, FALSE(), FALSE())))</f>
        <v/>
      </c>
      <c r="AG204" s="99" t="str">
        <f aca="false">IF(ISBLANK(C204), "", IF(AF204, Constants!$B$4,IF(COUNTA(G204:P204)=0, Constants!$B$5, Constants!$B$7)))</f>
        <v/>
      </c>
      <c r="AH204" s="99" t="str">
        <f aca="false">IF(ISBLANK($C204), "",IF($AG204=Constants!$B$7,1,$AG204))</f>
        <v/>
      </c>
      <c r="AI204" s="99" t="str">
        <f aca="false">IF($AG204=Constants!$B$7,POWER(Constants!$B$11,X204)*POWER(Constants!$B$12,Z204),"")</f>
        <v/>
      </c>
      <c r="AJ204" s="99" t="str">
        <f aca="false">IF(AND($AG204=Constants!$B$7, U204, V204) ,IF(OR($AA204="",$AC204=""),"",MAX(0, $AC204-$AA204)),"")</f>
        <v/>
      </c>
      <c r="AK204" s="99" t="str">
        <f aca="false">IF(AND($AG204=Constants!$B$7, U204, V204),IF(OR($AA204="",$AC204=""),$AK$6,""),"")</f>
        <v/>
      </c>
      <c r="AL204" s="99" t="str">
        <f aca="false">IF($AG204=Constants!$B$7,IF(AND(U204,V204,W204,Y204),IF($AJ204="",0,IF($AJ$6=0,Constants!$B$9,Constants!$B$9*AJ204/$AJ$6)), 0),"")</f>
        <v/>
      </c>
      <c r="AM204" s="99" t="str">
        <f aca="false">IF(AL204&lt;&gt;"", AL204*AI204,"")</f>
        <v/>
      </c>
      <c r="AN204" s="99" t="str">
        <f aca="false">IF(AND($AG204=Constants!$B$7, U204, V204) ,IF($AB204="", "", IF(OR($AC204="",$AC204=0),"",MAX(0,1-ABS($AC204-$AB204)/$AC204))),"")</f>
        <v/>
      </c>
      <c r="AO204" s="99" t="str">
        <f aca="false">IF(AND($AG204=Constants!$B$7, U204, V204),IF(AND($AA204&lt;&gt;"",$AB204&lt;&gt;"",$AC204=0),$AO$6,""),"")</f>
        <v/>
      </c>
      <c r="AP204" s="99" t="str">
        <f aca="false">IF($AG204=Constants!$B$7 ,IF(AND(U204,V204,W204,Y204,ISNUMBER(AB204)),IF($AN204="",0,IF($AN$6=0,Constants!$B$10,Constants!$B$10*AN204/$AN$6)), 0),"")</f>
        <v/>
      </c>
      <c r="AQ204" s="99" t="str">
        <f aca="false">IF(AP204&lt;&gt;"", AP204*AI204,"")</f>
        <v/>
      </c>
      <c r="AR204" s="99" t="str">
        <f aca="false">IF($AG204=Constants!$B$7,IF($AD204="",0,IF($AR$6=0,Constants!$B$8,Constants!$B$8*AD204/$AR$6)),"")</f>
        <v/>
      </c>
      <c r="AS204" s="99" t="str">
        <f aca="false">IF($AG204&lt;&gt;Constants!$B$7,$AG204,IF(AK204&amp;AO204&lt;&gt;"",Constants!$B$14,AM204+AQ204+AR204))</f>
        <v/>
      </c>
      <c r="AT204" s="99" t="str">
        <f aca="false">IF(ISBLANK($C204),"",IF($AG204=Constants!$B$7,IF(ISNUMBER(AS204),RANK(AS204,$AS$8:$AS$507),Constants!$B$14),$AG204))</f>
        <v/>
      </c>
      <c r="AU204" s="99" t="str">
        <f aca="false">IF(ISBLANK($C204), "",AM204)</f>
        <v/>
      </c>
      <c r="AV204" s="99" t="str">
        <f aca="false">IF(ISBLANK($C204),"",IF($AG204=Constants!$B$7,RANK(AU204,AU$8:AU$507),$AG204))</f>
        <v/>
      </c>
      <c r="AW204" s="99" t="str">
        <f aca="false">IF(ISBLANK($C204), "",AR204)</f>
        <v/>
      </c>
      <c r="AX204" s="99" t="str">
        <f aca="false">IF(ISBLANK($C204),"",IF($AG204=Constants!$B$7,RANK(AW204,AW$8:AW$507),$AG204))</f>
        <v/>
      </c>
      <c r="AY204" s="99" t="str">
        <f aca="false">IF(ISBLANK($C204), "",AE204)</f>
        <v/>
      </c>
      <c r="AZ204" s="99" t="str">
        <f aca="false">IF(ISBLANK($C204),"",
IF($AG204=Constants!$B$7,
  IF(ISNUMBER(AT204),
    COUNTIFS($AT$8:$AT$507,"&lt;"&amp;$AT204)
    + COUNTIFS($AT$8:$AT$507,$AT204,$AV$8:$AV$507,"&lt;"&amp;$AV204)
    + COUNTIFS($AT$8:$AT$507,$AT204,$AV$8:$AV$507,$AV204,$AX$8:$AX$507,"&lt;"&amp;$AX204)
    + COUNTIFS($AT$8:$AT$507,$AT204,$AV$8:$AV$507,$AV204,$AX$8:$AX$507,$AX204,$AY$8:$AY$507,"&lt;"&amp;$AY204)
    + 1,
  Constants!$B$14),
$AG204))</f>
        <v/>
      </c>
      <c r="BA204" s="99" t="str">
        <f aca="false">IF(ISBLANK(C204),"",IF($AG204=Constants!$B$7, IF(ISNUMBER(AT204),AT204-AZ204,Constants!$B$14),$AG204))</f>
        <v/>
      </c>
      <c r="BB204" s="103"/>
      <c r="BC204" s="104" t="str">
        <f aca="false">IF(ISBLANK($C204),"",TRIM(AK204&amp;" "&amp;AO204))</f>
        <v/>
      </c>
      <c r="BD204" s="105" t="str">
        <f aca="false">IF(ISBLANK($C204),"",IF($AG204&lt;&gt;Constants!$B$7,$AG204,AR204))</f>
        <v/>
      </c>
      <c r="BE204" s="105" t="str">
        <f aca="false">IF(ISBLANK($C204),"",IF($AG204&lt;&gt;Constants!$B$7,$AG204,AM204))</f>
        <v/>
      </c>
      <c r="BF204" s="105" t="str">
        <f aca="false">IF(ISBLANK($C204),"",IF($AG204&lt;&gt;Constants!$B$7,$AG204,AQ204))</f>
        <v/>
      </c>
      <c r="BG204" s="106" t="str">
        <f aca="false">IF(ISBLANK($C204),"",IF($AG204&lt;&gt;Constants!$B$7, $AG204 ,AS204))</f>
        <v/>
      </c>
      <c r="BH204" s="107" t="str">
        <f aca="false">IF(ISBLANK($C204),"",IF($AG204&lt;&gt;Constants!$B$7, $AG204 ,AH204))</f>
        <v/>
      </c>
      <c r="BI204" s="105" t="str">
        <f aca="false">IF(ISBLANK(C204),"",BA204)</f>
        <v/>
      </c>
      <c r="BJ204" s="105" t="str">
        <f aca="false">IF(ISBLANK(C204),"",AZ204)</f>
        <v/>
      </c>
      <c r="BK204" s="108" t="str">
        <f aca="false">IF(ISBLANK(C204),"",IFERROR(_xlfn.SWITCH(BJ204, Constants!$B$4, COUNTA($C$8:$C703)+2, Constants!$B$5, COUNTA($C$8:$C703)+1, Constants!$B$6, COUNTA($C$8:$C703)),BJ204))</f>
        <v/>
      </c>
      <c r="BL204" s="5"/>
      <c r="BM204" s="109" t="n">
        <f aca="false">IF(OR(ISNUMBER(BJ204),BJ204="DQ",BJ204="P",BJ204="NS"),
    1,
    0
)</f>
        <v>0</v>
      </c>
      <c r="BN204" s="109" t="n">
        <v>197</v>
      </c>
      <c r="BO204" s="109" t="str">
        <f aca="false">IF(ISBLANK($C204),"",IF(ISNUMBER(BK204),BK204+ROW($B204)/1000,""))</f>
        <v/>
      </c>
      <c r="BP204" s="109" t="str">
        <f aca="false">IF(ISNUMBER(BO204), RANK(BO204,BO$8:BO$507,1), "")</f>
        <v/>
      </c>
      <c r="BQ204" s="109" t="str">
        <f aca="false">IF(ISBLANK($C204),
    "",
    $B204
)</f>
        <v/>
      </c>
      <c r="BR204" s="109" t="str">
        <f aca="false">IF(ISBLANK($C204),
    "",
    $C204
)</f>
        <v/>
      </c>
      <c r="BS204" s="109" t="str">
        <f aca="false">IF(ISBLANK($C204),
    "",
    $D204
)</f>
        <v/>
      </c>
      <c r="BT204" s="110" t="str">
        <f aca="false">BH204</f>
        <v/>
      </c>
      <c r="BU204" s="111" t="str">
        <f aca="false">BG204</f>
        <v/>
      </c>
      <c r="BV204" s="109" t="str">
        <f aca="false">IF(ISBLANK($C204),
    "",
    BJ204
)</f>
        <v/>
      </c>
      <c r="BW204" s="112" t="str">
        <f aca="false">IF(BN204&gt;BM$7,
    "",
    VLOOKUP(BN204,BP$8:BV703,7,FALSE())
)</f>
        <v/>
      </c>
      <c r="BX204" s="113" t="str">
        <f aca="false">IF(BN204&gt;BM$7,
    "",
    VLOOKUP(BN204,BP$8:BV703,2,FALSE())
)</f>
        <v/>
      </c>
      <c r="BY204" s="113" t="str">
        <f aca="false">IF(BN204&gt;BM$7,
    "",
    VLOOKUP(BN204,BP$8:BV703,3,FALSE())
)</f>
        <v/>
      </c>
      <c r="BZ204" s="113" t="str">
        <f aca="false">IF(BN204&gt;BM$7,
    "",
    VLOOKUP(BN204,BP$8:BV703,4,FALSE())
)</f>
        <v/>
      </c>
      <c r="CA204" s="113" t="str">
        <f aca="false">IF(BN204&gt;BM$7,
    "",
    VLOOKUP(BN204,BP$8:BV703,5,FALSE())
)</f>
        <v/>
      </c>
      <c r="CB204" s="114" t="str">
        <f aca="false">IF(BN204&gt;BM$7,
    "",
    VLOOKUP(BN204,BP$8:BV703,6,FALSE())
)</f>
        <v/>
      </c>
      <c r="CC204" s="53"/>
    </row>
    <row r="205" customFormat="false" ht="15.75" hidden="false" customHeight="false" outlineLevel="0" collapsed="false">
      <c r="A205" s="5"/>
      <c r="B205" s="125"/>
      <c r="C205" s="126"/>
      <c r="D205" s="115"/>
      <c r="E205" s="119"/>
      <c r="F205" s="119"/>
      <c r="G205" s="91"/>
      <c r="H205" s="92"/>
      <c r="I205" s="92"/>
      <c r="J205" s="128"/>
      <c r="K205" s="128"/>
      <c r="L205" s="128"/>
      <c r="M205" s="94"/>
      <c r="N205" s="94"/>
      <c r="O205" s="94"/>
      <c r="P205" s="95"/>
      <c r="Q205" s="96"/>
      <c r="R205" s="128"/>
      <c r="S205" s="98"/>
      <c r="T205" s="99"/>
      <c r="U205" s="99" t="str">
        <f aca="false">IF(ISBLANK($C205),"",IF(G205=Constants!$B$2, TRUE(), IF(G205=Constants!$B$3, FALSE(), TRUE())))</f>
        <v/>
      </c>
      <c r="V205" s="99" t="str">
        <f aca="false">IF(ISBLANK($C205),"",IF(H205=Constants!$B$2, TRUE(), IF(H205=Constants!$B$3, FALSE(), TRUE())))</f>
        <v/>
      </c>
      <c r="W205" s="99" t="str">
        <f aca="false">IF(ISBLANK($C205),"",IF(I205=Constants!$B$2, TRUE(), IF(I205=Constants!$B$3, FALSE(), TRUE())))</f>
        <v/>
      </c>
      <c r="X205" s="99" t="str">
        <f aca="false">IF(ISBLANK($C205),"",IF(AND(ISNUMBER(J205),J205&gt;0),INT(J205),0))</f>
        <v/>
      </c>
      <c r="Y205" s="99" t="str">
        <f aca="false">IF(ISBLANK($C205),"",IF(K205=Constants!$B$2, TRUE(), IF(K205=Constants!$B$3, FALSE(), TRUE())))</f>
        <v/>
      </c>
      <c r="Z205" s="100" t="str">
        <f aca="false">IF(ISBLANK($C205),"",IF(AND(ISNUMBER(L205),L205&gt;0),INT(L205),0))</f>
        <v/>
      </c>
      <c r="AA205" s="101" t="str">
        <f aca="false">IF(ISBLANK($C205),"",IF(ISNUMBER(M205), M205, ""))</f>
        <v/>
      </c>
      <c r="AB205" s="101" t="str">
        <f aca="false">IF(ISBLANK($C205),"",IF(ISNUMBER(N205), N205, ""))</f>
        <v/>
      </c>
      <c r="AC205" s="101" t="str">
        <f aca="false">IF(ISBLANK($C205),"",IF(ISNUMBER(O205), O205, ""))</f>
        <v/>
      </c>
      <c r="AD205" s="102" t="str">
        <f aca="false">IF(ISBLANK($C205),"",IF(ISNUMBER(P205), P205, ""))</f>
        <v/>
      </c>
      <c r="AE205" s="102" t="str">
        <f aca="false">IF(ISBLANK($C205),"",IF(ISNUMBER(Q205), Q205, Constants!$B$13))</f>
        <v/>
      </c>
      <c r="AF205" s="99" t="str">
        <f aca="false">IF(ISBLANK($C205),"",IF(R205=Constants!$B$2, TRUE(), IF(R205=Constants!$B$3, FALSE(), FALSE())))</f>
        <v/>
      </c>
      <c r="AG205" s="99" t="str">
        <f aca="false">IF(ISBLANK(C205), "", IF(AF205, Constants!$B$4,IF(COUNTA(G205:P205)=0, Constants!$B$5, Constants!$B$7)))</f>
        <v/>
      </c>
      <c r="AH205" s="99" t="str">
        <f aca="false">IF(ISBLANK($C205), "",IF($AG205=Constants!$B$7,1,$AG205))</f>
        <v/>
      </c>
      <c r="AI205" s="99" t="str">
        <f aca="false">IF($AG205=Constants!$B$7,POWER(Constants!$B$11,X205)*POWER(Constants!$B$12,Z205),"")</f>
        <v/>
      </c>
      <c r="AJ205" s="99" t="str">
        <f aca="false">IF(AND($AG205=Constants!$B$7, U205, V205) ,IF(OR($AA205="",$AC205=""),"",MAX(0, $AC205-$AA205)),"")</f>
        <v/>
      </c>
      <c r="AK205" s="99" t="str">
        <f aca="false">IF(AND($AG205=Constants!$B$7, U205, V205),IF(OR($AA205="",$AC205=""),$AK$6,""),"")</f>
        <v/>
      </c>
      <c r="AL205" s="99" t="str">
        <f aca="false">IF($AG205=Constants!$B$7,IF(AND(U205,V205,W205,Y205),IF($AJ205="",0,IF($AJ$6=0,Constants!$B$9,Constants!$B$9*AJ205/$AJ$6)), 0),"")</f>
        <v/>
      </c>
      <c r="AM205" s="99" t="str">
        <f aca="false">IF(AL205&lt;&gt;"", AL205*AI205,"")</f>
        <v/>
      </c>
      <c r="AN205" s="99" t="str">
        <f aca="false">IF(AND($AG205=Constants!$B$7, U205, V205) ,IF($AB205="", "", IF(OR($AC205="",$AC205=0),"",MAX(0,1-ABS($AC205-$AB205)/$AC205))),"")</f>
        <v/>
      </c>
      <c r="AO205" s="99" t="str">
        <f aca="false">IF(AND($AG205=Constants!$B$7, U205, V205),IF(AND($AA205&lt;&gt;"",$AB205&lt;&gt;"",$AC205=0),$AO$6,""),"")</f>
        <v/>
      </c>
      <c r="AP205" s="99" t="str">
        <f aca="false">IF($AG205=Constants!$B$7 ,IF(AND(U205,V205,W205,Y205,ISNUMBER(AB205)),IF($AN205="",0,IF($AN$6=0,Constants!$B$10,Constants!$B$10*AN205/$AN$6)), 0),"")</f>
        <v/>
      </c>
      <c r="AQ205" s="99" t="str">
        <f aca="false">IF(AP205&lt;&gt;"", AP205*AI205,"")</f>
        <v/>
      </c>
      <c r="AR205" s="99" t="str">
        <f aca="false">IF($AG205=Constants!$B$7,IF($AD205="",0,IF($AR$6=0,Constants!$B$8,Constants!$B$8*AD205/$AR$6)),"")</f>
        <v/>
      </c>
      <c r="AS205" s="99" t="str">
        <f aca="false">IF($AG205&lt;&gt;Constants!$B$7,$AG205,IF(AK205&amp;AO205&lt;&gt;"",Constants!$B$14,AM205+AQ205+AR205))</f>
        <v/>
      </c>
      <c r="AT205" s="99" t="str">
        <f aca="false">IF(ISBLANK($C205),"",IF($AG205=Constants!$B$7,IF(ISNUMBER(AS205),RANK(AS205,$AS$8:$AS$507),Constants!$B$14),$AG205))</f>
        <v/>
      </c>
      <c r="AU205" s="99" t="str">
        <f aca="false">IF(ISBLANK($C205), "",AM205)</f>
        <v/>
      </c>
      <c r="AV205" s="99" t="str">
        <f aca="false">IF(ISBLANK($C205),"",IF($AG205=Constants!$B$7,RANK(AU205,AU$8:AU$507),$AG205))</f>
        <v/>
      </c>
      <c r="AW205" s="99" t="str">
        <f aca="false">IF(ISBLANK($C205), "",AR205)</f>
        <v/>
      </c>
      <c r="AX205" s="99" t="str">
        <f aca="false">IF(ISBLANK($C205),"",IF($AG205=Constants!$B$7,RANK(AW205,AW$8:AW$507),$AG205))</f>
        <v/>
      </c>
      <c r="AY205" s="99" t="str">
        <f aca="false">IF(ISBLANK($C205), "",AE205)</f>
        <v/>
      </c>
      <c r="AZ205" s="99" t="str">
        <f aca="false">IF(ISBLANK($C205),"",
IF($AG205=Constants!$B$7,
  IF(ISNUMBER(AT205),
    COUNTIFS($AT$8:$AT$507,"&lt;"&amp;$AT205)
    + COUNTIFS($AT$8:$AT$507,$AT205,$AV$8:$AV$507,"&lt;"&amp;$AV205)
    + COUNTIFS($AT$8:$AT$507,$AT205,$AV$8:$AV$507,$AV205,$AX$8:$AX$507,"&lt;"&amp;$AX205)
    + COUNTIFS($AT$8:$AT$507,$AT205,$AV$8:$AV$507,$AV205,$AX$8:$AX$507,$AX205,$AY$8:$AY$507,"&lt;"&amp;$AY205)
    + 1,
  Constants!$B$14),
$AG205))</f>
        <v/>
      </c>
      <c r="BA205" s="99" t="str">
        <f aca="false">IF(ISBLANK(C205),"",IF($AG205=Constants!$B$7, IF(ISNUMBER(AT205),AT205-AZ205,Constants!$B$14),$AG205))</f>
        <v/>
      </c>
      <c r="BB205" s="103"/>
      <c r="BC205" s="104" t="str">
        <f aca="false">IF(ISBLANK($C205),"",TRIM(AK205&amp;" "&amp;AO205))</f>
        <v/>
      </c>
      <c r="BD205" s="105" t="str">
        <f aca="false">IF(ISBLANK($C205),"",IF($AG205&lt;&gt;Constants!$B$7,$AG205,AR205))</f>
        <v/>
      </c>
      <c r="BE205" s="105" t="str">
        <f aca="false">IF(ISBLANK($C205),"",IF($AG205&lt;&gt;Constants!$B$7,$AG205,AM205))</f>
        <v/>
      </c>
      <c r="BF205" s="105" t="str">
        <f aca="false">IF(ISBLANK($C205),"",IF($AG205&lt;&gt;Constants!$B$7,$AG205,AQ205))</f>
        <v/>
      </c>
      <c r="BG205" s="106" t="str">
        <f aca="false">IF(ISBLANK($C205),"",IF($AG205&lt;&gt;Constants!$B$7, $AG205 ,AS205))</f>
        <v/>
      </c>
      <c r="BH205" s="107" t="str">
        <f aca="false">IF(ISBLANK($C205),"",IF($AG205&lt;&gt;Constants!$B$7, $AG205 ,AH205))</f>
        <v/>
      </c>
      <c r="BI205" s="105" t="str">
        <f aca="false">IF(ISBLANK(C205),"",BA205)</f>
        <v/>
      </c>
      <c r="BJ205" s="105" t="str">
        <f aca="false">IF(ISBLANK(C205),"",AZ205)</f>
        <v/>
      </c>
      <c r="BK205" s="108" t="str">
        <f aca="false">IF(ISBLANK(C205),"",IFERROR(_xlfn.SWITCH(BJ205, Constants!$B$4, COUNTA($C$8:$C704)+2, Constants!$B$5, COUNTA($C$8:$C704)+1, Constants!$B$6, COUNTA($C$8:$C704)),BJ205))</f>
        <v/>
      </c>
      <c r="BL205" s="5"/>
      <c r="BM205" s="109" t="n">
        <f aca="false">IF(OR(ISNUMBER(BJ205),BJ205="DQ",BJ205="P",BJ205="NS"),
    1,
    0
)</f>
        <v>0</v>
      </c>
      <c r="BN205" s="109" t="n">
        <v>198</v>
      </c>
      <c r="BO205" s="109" t="str">
        <f aca="false">IF(ISBLANK($C205),"",IF(ISNUMBER(BK205),BK205+ROW($B205)/1000,""))</f>
        <v/>
      </c>
      <c r="BP205" s="109" t="str">
        <f aca="false">IF(ISNUMBER(BO205), RANK(BO205,BO$8:BO$507,1), "")</f>
        <v/>
      </c>
      <c r="BQ205" s="109" t="str">
        <f aca="false">IF(ISBLANK($C205),
    "",
    $B205
)</f>
        <v/>
      </c>
      <c r="BR205" s="109" t="str">
        <f aca="false">IF(ISBLANK($C205),
    "",
    $C205
)</f>
        <v/>
      </c>
      <c r="BS205" s="109" t="str">
        <f aca="false">IF(ISBLANK($C205),
    "",
    $D205
)</f>
        <v/>
      </c>
      <c r="BT205" s="110" t="str">
        <f aca="false">BH205</f>
        <v/>
      </c>
      <c r="BU205" s="111" t="str">
        <f aca="false">BG205</f>
        <v/>
      </c>
      <c r="BV205" s="109" t="str">
        <f aca="false">IF(ISBLANK($C205),
    "",
    BJ205
)</f>
        <v/>
      </c>
      <c r="BW205" s="112" t="str">
        <f aca="false">IF(BN205&gt;BM$7,
    "",
    VLOOKUP(BN205,BP$8:BV704,7,FALSE())
)</f>
        <v/>
      </c>
      <c r="BX205" s="113" t="str">
        <f aca="false">IF(BN205&gt;BM$7,
    "",
    VLOOKUP(BN205,BP$8:BV704,2,FALSE())
)</f>
        <v/>
      </c>
      <c r="BY205" s="113" t="str">
        <f aca="false">IF(BN205&gt;BM$7,
    "",
    VLOOKUP(BN205,BP$8:BV704,3,FALSE())
)</f>
        <v/>
      </c>
      <c r="BZ205" s="113" t="str">
        <f aca="false">IF(BN205&gt;BM$7,
    "",
    VLOOKUP(BN205,BP$8:BV704,4,FALSE())
)</f>
        <v/>
      </c>
      <c r="CA205" s="113" t="str">
        <f aca="false">IF(BN205&gt;BM$7,
    "",
    VLOOKUP(BN205,BP$8:BV704,5,FALSE())
)</f>
        <v/>
      </c>
      <c r="CB205" s="114" t="str">
        <f aca="false">IF(BN205&gt;BM$7,
    "",
    VLOOKUP(BN205,BP$8:BV704,6,FALSE())
)</f>
        <v/>
      </c>
      <c r="CC205" s="53"/>
    </row>
    <row r="206" customFormat="false" ht="15.75" hidden="false" customHeight="false" outlineLevel="0" collapsed="false">
      <c r="A206" s="5"/>
      <c r="B206" s="129"/>
      <c r="C206" s="55"/>
      <c r="D206" s="56"/>
      <c r="E206" s="123"/>
      <c r="F206" s="123"/>
      <c r="G206" s="58"/>
      <c r="H206" s="59"/>
      <c r="I206" s="59"/>
      <c r="J206" s="83"/>
      <c r="K206" s="83"/>
      <c r="L206" s="83"/>
      <c r="M206" s="61"/>
      <c r="N206" s="61"/>
      <c r="O206" s="61"/>
      <c r="P206" s="62"/>
      <c r="Q206" s="63"/>
      <c r="R206" s="83"/>
      <c r="S206" s="65"/>
      <c r="T206" s="66"/>
      <c r="U206" s="66" t="str">
        <f aca="false">IF(ISBLANK($C206),"",IF(G206=Constants!$B$2, TRUE(), IF(G206=Constants!$B$3, FALSE(), TRUE())))</f>
        <v/>
      </c>
      <c r="V206" s="66" t="str">
        <f aca="false">IF(ISBLANK($C206),"",IF(H206=Constants!$B$2, TRUE(), IF(H206=Constants!$B$3, FALSE(), TRUE())))</f>
        <v/>
      </c>
      <c r="W206" s="66" t="str">
        <f aca="false">IF(ISBLANK($C206),"",IF(I206=Constants!$B$2, TRUE(), IF(I206=Constants!$B$3, FALSE(), TRUE())))</f>
        <v/>
      </c>
      <c r="X206" s="66" t="str">
        <f aca="false">IF(ISBLANK($C206),"",IF(AND(ISNUMBER(J206),J206&gt;0),INT(J206),0))</f>
        <v/>
      </c>
      <c r="Y206" s="66" t="str">
        <f aca="false">IF(ISBLANK($C206),"",IF(K206=Constants!$B$2, TRUE(), IF(K206=Constants!$B$3, FALSE(), TRUE())))</f>
        <v/>
      </c>
      <c r="Z206" s="66" t="str">
        <f aca="false">IF(ISBLANK($C206),"",IF(AND(ISNUMBER(L206),L206&gt;0),INT(L206),0))</f>
        <v/>
      </c>
      <c r="AA206" s="68" t="str">
        <f aca="false">IF(ISBLANK($C206),"",IF(ISNUMBER(M206), M206, ""))</f>
        <v/>
      </c>
      <c r="AB206" s="68" t="str">
        <f aca="false">IF(ISBLANK($C206),"",IF(ISNUMBER(N206), N206, ""))</f>
        <v/>
      </c>
      <c r="AC206" s="68" t="str">
        <f aca="false">IF(ISBLANK($C206),"",IF(ISNUMBER(O206), O206, ""))</f>
        <v/>
      </c>
      <c r="AD206" s="69" t="str">
        <f aca="false">IF(ISBLANK($C206),"",IF(ISNUMBER(P206), P206, ""))</f>
        <v/>
      </c>
      <c r="AE206" s="69" t="str">
        <f aca="false">IF(ISBLANK($C206),"",IF(ISNUMBER(Q206), Q206, Constants!$B$13))</f>
        <v/>
      </c>
      <c r="AF206" s="66" t="str">
        <f aca="false">IF(ISBLANK($C206),"",IF(R206=Constants!$B$2, TRUE(), IF(R206=Constants!$B$3, FALSE(), FALSE())))</f>
        <v/>
      </c>
      <c r="AG206" s="66" t="str">
        <f aca="false">IF(ISBLANK(C206), "", IF(AF206, Constants!$B$4,IF(COUNTA(G206:P206)=0, Constants!$B$5, Constants!$B$7)))</f>
        <v/>
      </c>
      <c r="AH206" s="66" t="str">
        <f aca="false">IF(ISBLANK($C206), "",IF($AG206=Constants!$B$7,1,$AG206))</f>
        <v/>
      </c>
      <c r="AI206" s="66" t="str">
        <f aca="false">IF($AG206=Constants!$B$7,POWER(Constants!$B$11,X206)*POWER(Constants!$B$12,Z206),"")</f>
        <v/>
      </c>
      <c r="AJ206" s="66" t="str">
        <f aca="false">IF(AND($AG206=Constants!$B$7, U206, V206) ,IF(OR($AA206="",$AC206=""),"",MAX(0, $AC206-$AA206)),"")</f>
        <v/>
      </c>
      <c r="AK206" s="66" t="str">
        <f aca="false">IF(AND($AG206=Constants!$B$7, U206, V206),IF(OR($AA206="",$AC206=""),$AK$6,""),"")</f>
        <v/>
      </c>
      <c r="AL206" s="66" t="str">
        <f aca="false">IF($AG206=Constants!$B$7,IF(AND(U206,V206,W206,Y206),IF($AJ206="",0,IF($AJ$6=0,Constants!$B$9,Constants!$B$9*AJ206/$AJ$6)), 0),"")</f>
        <v/>
      </c>
      <c r="AM206" s="66" t="str">
        <f aca="false">IF(AL206&lt;&gt;"", AL206*AI206,"")</f>
        <v/>
      </c>
      <c r="AN206" s="66" t="str">
        <f aca="false">IF(AND($AG206=Constants!$B$7, U206, V206) ,IF($AB206="", "", IF(OR($AC206="",$AC206=0),"",MAX(0,1-ABS($AC206-$AB206)/$AC206))),"")</f>
        <v/>
      </c>
      <c r="AO206" s="66" t="str">
        <f aca="false">IF(AND($AG206=Constants!$B$7, U206, V206),IF(AND($AA206&lt;&gt;"",$AB206&lt;&gt;"",$AC206=0),$AO$6,""),"")</f>
        <v/>
      </c>
      <c r="AP206" s="66" t="str">
        <f aca="false">IF($AG206=Constants!$B$7 ,IF(AND(U206,V206,W206,Y206,ISNUMBER(AB206)),IF($AN206="",0,IF($AN$6=0,Constants!$B$10,Constants!$B$10*AN206/$AN$6)), 0),"")</f>
        <v/>
      </c>
      <c r="AQ206" s="66" t="str">
        <f aca="false">IF(AP206&lt;&gt;"", AP206*AI206,"")</f>
        <v/>
      </c>
      <c r="AR206" s="66" t="str">
        <f aca="false">IF($AG206=Constants!$B$7,IF($AD206="",0,IF($AR$6=0,Constants!$B$8,Constants!$B$8*AD206/$AR$6)),"")</f>
        <v/>
      </c>
      <c r="AS206" s="66" t="str">
        <f aca="false">IF($AG206&lt;&gt;Constants!$B$7,$AG206,IF(AK206&amp;AO206&lt;&gt;"",Constants!$B$14,AM206+AQ206+AR206))</f>
        <v/>
      </c>
      <c r="AT206" s="66" t="str">
        <f aca="false">IF(ISBLANK($C206),"",IF($AG206=Constants!$B$7,IF(ISNUMBER(AS206),RANK(AS206,$AS$8:$AS$507),Constants!$B$14),$AG206))</f>
        <v/>
      </c>
      <c r="AU206" s="66" t="str">
        <f aca="false">IF(ISBLANK($C206), "",AM206)</f>
        <v/>
      </c>
      <c r="AV206" s="66" t="str">
        <f aca="false">IF(ISBLANK($C206),"",IF($AG206=Constants!$B$7,RANK(AU206,AU$8:AU$507),$AG206))</f>
        <v/>
      </c>
      <c r="AW206" s="66" t="str">
        <f aca="false">IF(ISBLANK($C206), "",AR206)</f>
        <v/>
      </c>
      <c r="AX206" s="66" t="str">
        <f aca="false">IF(ISBLANK($C206),"",IF($AG206=Constants!$B$7,RANK(AW206,AW$8:AW$507),$AG206))</f>
        <v/>
      </c>
      <c r="AY206" s="66" t="str">
        <f aca="false">IF(ISBLANK($C206), "",AE206)</f>
        <v/>
      </c>
      <c r="AZ206" s="66" t="str">
        <f aca="false">IF(ISBLANK($C206),"",
IF($AG206=Constants!$B$7,
  IF(ISNUMBER(AT206),
    COUNTIFS($AT$8:$AT$507,"&lt;"&amp;$AT206)
    + COUNTIFS($AT$8:$AT$507,$AT206,$AV$8:$AV$507,"&lt;"&amp;$AV206)
    + COUNTIFS($AT$8:$AT$507,$AT206,$AV$8:$AV$507,$AV206,$AX$8:$AX$507,"&lt;"&amp;$AX206)
    + COUNTIFS($AT$8:$AT$507,$AT206,$AV$8:$AV$507,$AV206,$AX$8:$AX$507,$AX206,$AY$8:$AY$507,"&lt;"&amp;$AY206)
    + 1,
  Constants!$B$14),
$AG206))</f>
        <v/>
      </c>
      <c r="BA206" s="66" t="str">
        <f aca="false">IF(ISBLANK(C206),"",IF($AG206=Constants!$B$7, IF(ISNUMBER(AT206),AT206-AZ206,Constants!$B$14),$AG206))</f>
        <v/>
      </c>
      <c r="BB206" s="70"/>
      <c r="BC206" s="84" t="str">
        <f aca="false">IF(ISBLANK($C206),"",TRIM(AK206&amp;" "&amp;AO206))</f>
        <v/>
      </c>
      <c r="BD206" s="72" t="str">
        <f aca="false">IF(ISBLANK($C206),"",IF($AG206&lt;&gt;Constants!$B$7,$AG206,AR206))</f>
        <v/>
      </c>
      <c r="BE206" s="72" t="str">
        <f aca="false">IF(ISBLANK($C206),"",IF($AG206&lt;&gt;Constants!$B$7,$AG206,AM206))</f>
        <v/>
      </c>
      <c r="BF206" s="72" t="str">
        <f aca="false">IF(ISBLANK($C206),"",IF($AG206&lt;&gt;Constants!$B$7,$AG206,AQ206))</f>
        <v/>
      </c>
      <c r="BG206" s="73" t="str">
        <f aca="false">IF(ISBLANK($C206),"",IF($AG206&lt;&gt;Constants!$B$7, $AG206 ,AS206))</f>
        <v/>
      </c>
      <c r="BH206" s="74" t="str">
        <f aca="false">IF(ISBLANK($C206),"",IF($AG206&lt;&gt;Constants!$B$7, $AG206 ,AH206))</f>
        <v/>
      </c>
      <c r="BI206" s="72" t="str">
        <f aca="false">IF(ISBLANK(C206),"",BA206)</f>
        <v/>
      </c>
      <c r="BJ206" s="72" t="str">
        <f aca="false">IF(ISBLANK(C206),"",AZ206)</f>
        <v/>
      </c>
      <c r="BK206" s="75" t="str">
        <f aca="false">IF(ISBLANK(C206),"",IFERROR(_xlfn.SWITCH(BJ206, Constants!$B$4, COUNTA($C$8:$C705)+2, Constants!$B$5, COUNTA($C$8:$C705)+1, Constants!$B$6, COUNTA($C$8:$C705)),BJ206))</f>
        <v/>
      </c>
      <c r="BL206" s="5"/>
      <c r="BM206" s="76" t="n">
        <f aca="false">IF(OR(ISNUMBER(BJ206),BJ206="DQ",BJ206="P",BJ206="NS"),
    1,
    0
)</f>
        <v>0</v>
      </c>
      <c r="BN206" s="76" t="n">
        <v>199</v>
      </c>
      <c r="BO206" s="76" t="str">
        <f aca="false">IF(ISBLANK($C206),"",IF(ISNUMBER(BK206),BK206+ROW($B206)/1000,""))</f>
        <v/>
      </c>
      <c r="BP206" s="76" t="str">
        <f aca="false">IF(ISNUMBER(BO206), RANK(BO206,BO$8:BO$507,1), "")</f>
        <v/>
      </c>
      <c r="BQ206" s="76" t="str">
        <f aca="false">IF(ISBLANK($C206),
    "",
    $B206
)</f>
        <v/>
      </c>
      <c r="BR206" s="76" t="str">
        <f aca="false">IF(ISBLANK($C206),
    "",
    $C206
)</f>
        <v/>
      </c>
      <c r="BS206" s="76" t="str">
        <f aca="false">IF(ISBLANK($C206),
    "",
    $D206
)</f>
        <v/>
      </c>
      <c r="BT206" s="77" t="str">
        <f aca="false">BH206</f>
        <v/>
      </c>
      <c r="BU206" s="78" t="str">
        <f aca="false">BG206</f>
        <v/>
      </c>
      <c r="BV206" s="76" t="str">
        <f aca="false">IF(ISBLANK($C206),
    "",
    BJ206
)</f>
        <v/>
      </c>
      <c r="BW206" s="79" t="str">
        <f aca="false">IF(BN206&gt;BM$7,
    "",
    VLOOKUP(BN206,BP$8:BV705,7,FALSE())
)</f>
        <v/>
      </c>
      <c r="BX206" s="80" t="str">
        <f aca="false">IF(BN206&gt;BM$7,
    "",
    VLOOKUP(BN206,BP$8:BV705,2,FALSE())
)</f>
        <v/>
      </c>
      <c r="BY206" s="80" t="str">
        <f aca="false">IF(BN206&gt;BM$7,
    "",
    VLOOKUP(BN206,BP$8:BV705,3,FALSE())
)</f>
        <v/>
      </c>
      <c r="BZ206" s="80" t="str">
        <f aca="false">IF(BN206&gt;BM$7,
    "",
    VLOOKUP(BN206,BP$8:BV705,4,FALSE())
)</f>
        <v/>
      </c>
      <c r="CA206" s="80" t="str">
        <f aca="false">IF(BN206&gt;BM$7,
    "",
    VLOOKUP(BN206,BP$8:BV705,5,FALSE())
)</f>
        <v/>
      </c>
      <c r="CB206" s="81" t="str">
        <f aca="false">IF(BN206&gt;BM$7,
    "",
    VLOOKUP(BN206,BP$8:BV705,6,FALSE())
)</f>
        <v/>
      </c>
      <c r="CC206" s="53"/>
    </row>
    <row r="207" customFormat="false" ht="15.75" hidden="false" customHeight="false" outlineLevel="0" collapsed="false">
      <c r="A207" s="5"/>
      <c r="B207" s="129"/>
      <c r="C207" s="55"/>
      <c r="D207" s="56"/>
      <c r="E207" s="123"/>
      <c r="F207" s="123"/>
      <c r="G207" s="58"/>
      <c r="H207" s="59"/>
      <c r="I207" s="59"/>
      <c r="J207" s="83"/>
      <c r="K207" s="83"/>
      <c r="L207" s="83"/>
      <c r="M207" s="61"/>
      <c r="N207" s="61"/>
      <c r="O207" s="61"/>
      <c r="P207" s="62"/>
      <c r="Q207" s="63"/>
      <c r="R207" s="83"/>
      <c r="S207" s="65"/>
      <c r="T207" s="66"/>
      <c r="U207" s="66" t="str">
        <f aca="false">IF(ISBLANK($C207),"",IF(G207=Constants!$B$2, TRUE(), IF(G207=Constants!$B$3, FALSE(), TRUE())))</f>
        <v/>
      </c>
      <c r="V207" s="66" t="str">
        <f aca="false">IF(ISBLANK($C207),"",IF(H207=Constants!$B$2, TRUE(), IF(H207=Constants!$B$3, FALSE(), TRUE())))</f>
        <v/>
      </c>
      <c r="W207" s="66" t="str">
        <f aca="false">IF(ISBLANK($C207),"",IF(I207=Constants!$B$2, TRUE(), IF(I207=Constants!$B$3, FALSE(), TRUE())))</f>
        <v/>
      </c>
      <c r="X207" s="66" t="str">
        <f aca="false">IF(ISBLANK($C207),"",IF(AND(ISNUMBER(J207),J207&gt;0),INT(J207),0))</f>
        <v/>
      </c>
      <c r="Y207" s="66" t="str">
        <f aca="false">IF(ISBLANK($C207),"",IF(K207=Constants!$B$2, TRUE(), IF(K207=Constants!$B$3, FALSE(), TRUE())))</f>
        <v/>
      </c>
      <c r="Z207" s="66" t="str">
        <f aca="false">IF(ISBLANK($C207),"",IF(AND(ISNUMBER(L207),L207&gt;0),INT(L207),0))</f>
        <v/>
      </c>
      <c r="AA207" s="68" t="str">
        <f aca="false">IF(ISBLANK($C207),"",IF(ISNUMBER(M207), M207, ""))</f>
        <v/>
      </c>
      <c r="AB207" s="68" t="str">
        <f aca="false">IF(ISBLANK($C207),"",IF(ISNUMBER(N207), N207, ""))</f>
        <v/>
      </c>
      <c r="AC207" s="68" t="str">
        <f aca="false">IF(ISBLANK($C207),"",IF(ISNUMBER(O207), O207, ""))</f>
        <v/>
      </c>
      <c r="AD207" s="69" t="str">
        <f aca="false">IF(ISBLANK($C207),"",IF(ISNUMBER(P207), P207, ""))</f>
        <v/>
      </c>
      <c r="AE207" s="69" t="str">
        <f aca="false">IF(ISBLANK($C207),"",IF(ISNUMBER(Q207), Q207, Constants!$B$13))</f>
        <v/>
      </c>
      <c r="AF207" s="66" t="str">
        <f aca="false">IF(ISBLANK($C207),"",IF(R207=Constants!$B$2, TRUE(), IF(R207=Constants!$B$3, FALSE(), FALSE())))</f>
        <v/>
      </c>
      <c r="AG207" s="66" t="str">
        <f aca="false">IF(ISBLANK(C207), "", IF(AF207, Constants!$B$4,IF(COUNTA(G207:P207)=0, Constants!$B$5, Constants!$B$7)))</f>
        <v/>
      </c>
      <c r="AH207" s="66" t="str">
        <f aca="false">IF(ISBLANK($C207), "",IF($AG207=Constants!$B$7,1,$AG207))</f>
        <v/>
      </c>
      <c r="AI207" s="66" t="str">
        <f aca="false">IF($AG207=Constants!$B$7,POWER(Constants!$B$11,X207)*POWER(Constants!$B$12,Z207),"")</f>
        <v/>
      </c>
      <c r="AJ207" s="66" t="str">
        <f aca="false">IF(AND($AG207=Constants!$B$7, U207, V207) ,IF(OR($AA207="",$AC207=""),"",MAX(0, $AC207-$AA207)),"")</f>
        <v/>
      </c>
      <c r="AK207" s="66" t="str">
        <f aca="false">IF(AND($AG207=Constants!$B$7, U207, V207),IF(OR($AA207="",$AC207=""),$AK$6,""),"")</f>
        <v/>
      </c>
      <c r="AL207" s="66" t="str">
        <f aca="false">IF($AG207=Constants!$B$7,IF(AND(U207,V207,W207,Y207),IF($AJ207="",0,IF($AJ$6=0,Constants!$B$9,Constants!$B$9*AJ207/$AJ$6)), 0),"")</f>
        <v/>
      </c>
      <c r="AM207" s="66" t="str">
        <f aca="false">IF(AL207&lt;&gt;"", AL207*AI207,"")</f>
        <v/>
      </c>
      <c r="AN207" s="66" t="str">
        <f aca="false">IF(AND($AG207=Constants!$B$7, U207, V207) ,IF($AB207="", "", IF(OR($AC207="",$AC207=0),"",MAX(0,1-ABS($AC207-$AB207)/$AC207))),"")</f>
        <v/>
      </c>
      <c r="AO207" s="66" t="str">
        <f aca="false">IF(AND($AG207=Constants!$B$7, U207, V207),IF(AND($AA207&lt;&gt;"",$AB207&lt;&gt;"",$AC207=0),$AO$6,""),"")</f>
        <v/>
      </c>
      <c r="AP207" s="66" t="str">
        <f aca="false">IF($AG207=Constants!$B$7 ,IF(AND(U207,V207,W207,Y207,ISNUMBER(AB207)),IF($AN207="",0,IF($AN$6=0,Constants!$B$10,Constants!$B$10*AN207/$AN$6)), 0),"")</f>
        <v/>
      </c>
      <c r="AQ207" s="66" t="str">
        <f aca="false">IF(AP207&lt;&gt;"", AP207*AI207,"")</f>
        <v/>
      </c>
      <c r="AR207" s="66" t="str">
        <f aca="false">IF($AG207=Constants!$B$7,IF($AD207="",0,IF($AR$6=0,Constants!$B$8,Constants!$B$8*AD207/$AR$6)),"")</f>
        <v/>
      </c>
      <c r="AS207" s="66" t="str">
        <f aca="false">IF($AG207&lt;&gt;Constants!$B$7,$AG207,IF(AK207&amp;AO207&lt;&gt;"",Constants!$B$14,AM207+AQ207+AR207))</f>
        <v/>
      </c>
      <c r="AT207" s="66" t="str">
        <f aca="false">IF(ISBLANK($C207),"",IF($AG207=Constants!$B$7,IF(ISNUMBER(AS207),RANK(AS207,$AS$8:$AS$507),Constants!$B$14),$AG207))</f>
        <v/>
      </c>
      <c r="AU207" s="66" t="str">
        <f aca="false">IF(ISBLANK($C207), "",AM207)</f>
        <v/>
      </c>
      <c r="AV207" s="66" t="str">
        <f aca="false">IF(ISBLANK($C207),"",IF($AG207=Constants!$B$7,RANK(AU207,AU$8:AU$507),$AG207))</f>
        <v/>
      </c>
      <c r="AW207" s="66" t="str">
        <f aca="false">IF(ISBLANK($C207), "",AR207)</f>
        <v/>
      </c>
      <c r="AX207" s="66" t="str">
        <f aca="false">IF(ISBLANK($C207),"",IF($AG207=Constants!$B$7,RANK(AW207,AW$8:AW$507),$AG207))</f>
        <v/>
      </c>
      <c r="AY207" s="66" t="str">
        <f aca="false">IF(ISBLANK($C207), "",AE207)</f>
        <v/>
      </c>
      <c r="AZ207" s="66" t="str">
        <f aca="false">IF(ISBLANK($C207),"",
IF($AG207=Constants!$B$7,
  IF(ISNUMBER(AT207),
    COUNTIFS($AT$8:$AT$507,"&lt;"&amp;$AT207)
    + COUNTIFS($AT$8:$AT$507,$AT207,$AV$8:$AV$507,"&lt;"&amp;$AV207)
    + COUNTIFS($AT$8:$AT$507,$AT207,$AV$8:$AV$507,$AV207,$AX$8:$AX$507,"&lt;"&amp;$AX207)
    + COUNTIFS($AT$8:$AT$507,$AT207,$AV$8:$AV$507,$AV207,$AX$8:$AX$507,$AX207,$AY$8:$AY$507,"&lt;"&amp;$AY207)
    + 1,
  Constants!$B$14),
$AG207))</f>
        <v/>
      </c>
      <c r="BA207" s="66" t="str">
        <f aca="false">IF(ISBLANK(C207),"",IF($AG207=Constants!$B$7, IF(ISNUMBER(AT207),AT207-AZ207,Constants!$B$14),$AG207))</f>
        <v/>
      </c>
      <c r="BB207" s="70"/>
      <c r="BC207" s="84" t="str">
        <f aca="false">IF(ISBLANK($C207),"",TRIM(AK207&amp;" "&amp;AO207))</f>
        <v/>
      </c>
      <c r="BD207" s="72" t="str">
        <f aca="false">IF(ISBLANK($C207),"",IF($AG207&lt;&gt;Constants!$B$7,$AG207,AR207))</f>
        <v/>
      </c>
      <c r="BE207" s="72" t="str">
        <f aca="false">IF(ISBLANK($C207),"",IF($AG207&lt;&gt;Constants!$B$7,$AG207,AM207))</f>
        <v/>
      </c>
      <c r="BF207" s="72" t="str">
        <f aca="false">IF(ISBLANK($C207),"",IF($AG207&lt;&gt;Constants!$B$7,$AG207,AQ207))</f>
        <v/>
      </c>
      <c r="BG207" s="73" t="str">
        <f aca="false">IF(ISBLANK($C207),"",IF($AG207&lt;&gt;Constants!$B$7, $AG207 ,AS207))</f>
        <v/>
      </c>
      <c r="BH207" s="74" t="str">
        <f aca="false">IF(ISBLANK($C207),"",IF($AG207&lt;&gt;Constants!$B$7, $AG207 ,AH207))</f>
        <v/>
      </c>
      <c r="BI207" s="72" t="str">
        <f aca="false">IF(ISBLANK(C207),"",BA207)</f>
        <v/>
      </c>
      <c r="BJ207" s="72" t="str">
        <f aca="false">IF(ISBLANK(C207),"",AZ207)</f>
        <v/>
      </c>
      <c r="BK207" s="75" t="str">
        <f aca="false">IF(ISBLANK(C207),"",IFERROR(_xlfn.SWITCH(BJ207, Constants!$B$4, COUNTA($C$8:$C706)+2, Constants!$B$5, COUNTA($C$8:$C706)+1, Constants!$B$6, COUNTA($C$8:$C706)),BJ207))</f>
        <v/>
      </c>
      <c r="BL207" s="5"/>
      <c r="BM207" s="76" t="n">
        <f aca="false">IF(OR(ISNUMBER(BJ207),BJ207="DQ",BJ207="P",BJ207="NS"),
    1,
    0
)</f>
        <v>0</v>
      </c>
      <c r="BN207" s="76" t="n">
        <v>200</v>
      </c>
      <c r="BO207" s="76" t="str">
        <f aca="false">IF(ISBLANK($C207),"",IF(ISNUMBER(BK207),BK207+ROW($B207)/1000,""))</f>
        <v/>
      </c>
      <c r="BP207" s="76" t="str">
        <f aca="false">IF(ISNUMBER(BO207), RANK(BO207,BO$8:BO$507,1), "")</f>
        <v/>
      </c>
      <c r="BQ207" s="76" t="str">
        <f aca="false">IF(ISBLANK($C207),
    "",
    $B207
)</f>
        <v/>
      </c>
      <c r="BR207" s="76" t="str">
        <f aca="false">IF(ISBLANK($C207),
    "",
    $C207
)</f>
        <v/>
      </c>
      <c r="BS207" s="76" t="str">
        <f aca="false">IF(ISBLANK($C207),
    "",
    $D207
)</f>
        <v/>
      </c>
      <c r="BT207" s="77" t="str">
        <f aca="false">BH207</f>
        <v/>
      </c>
      <c r="BU207" s="78" t="str">
        <f aca="false">BG207</f>
        <v/>
      </c>
      <c r="BV207" s="76" t="str">
        <f aca="false">IF(ISBLANK($C207),
    "",
    BJ207
)</f>
        <v/>
      </c>
      <c r="BW207" s="79" t="str">
        <f aca="false">IF(BN207&gt;BM$7,
    "",
    VLOOKUP(BN207,BP$8:BV706,7,FALSE())
)</f>
        <v/>
      </c>
      <c r="BX207" s="80" t="str">
        <f aca="false">IF(BN207&gt;BM$7,
    "",
    VLOOKUP(BN207,BP$8:BV706,2,FALSE())
)</f>
        <v/>
      </c>
      <c r="BY207" s="80" t="str">
        <f aca="false">IF(BN207&gt;BM$7,
    "",
    VLOOKUP(BN207,BP$8:BV706,3,FALSE())
)</f>
        <v/>
      </c>
      <c r="BZ207" s="80" t="str">
        <f aca="false">IF(BN207&gt;BM$7,
    "",
    VLOOKUP(BN207,BP$8:BV706,4,FALSE())
)</f>
        <v/>
      </c>
      <c r="CA207" s="80" t="str">
        <f aca="false">IF(BN207&gt;BM$7,
    "",
    VLOOKUP(BN207,BP$8:BV706,5,FALSE())
)</f>
        <v/>
      </c>
      <c r="CB207" s="81" t="str">
        <f aca="false">IF(BN207&gt;BM$7,
    "",
    VLOOKUP(BN207,BP$8:BV706,6,FALSE())
)</f>
        <v/>
      </c>
      <c r="CC207" s="53"/>
    </row>
    <row r="208" customFormat="false" ht="15.75" hidden="false" customHeight="false" outlineLevel="0" collapsed="false">
      <c r="A208" s="5"/>
      <c r="B208" s="129"/>
      <c r="C208" s="55"/>
      <c r="D208" s="56"/>
      <c r="E208" s="123"/>
      <c r="F208" s="123"/>
      <c r="G208" s="58"/>
      <c r="H208" s="59"/>
      <c r="I208" s="59"/>
      <c r="J208" s="83"/>
      <c r="K208" s="83"/>
      <c r="L208" s="83"/>
      <c r="M208" s="61"/>
      <c r="N208" s="61"/>
      <c r="O208" s="61"/>
      <c r="P208" s="62"/>
      <c r="Q208" s="63"/>
      <c r="R208" s="83"/>
      <c r="S208" s="65"/>
      <c r="T208" s="66"/>
      <c r="U208" s="66" t="str">
        <f aca="false">IF(ISBLANK($C208),"",IF(G208=Constants!$B$2, TRUE(), IF(G208=Constants!$B$3, FALSE(), TRUE())))</f>
        <v/>
      </c>
      <c r="V208" s="66" t="str">
        <f aca="false">IF(ISBLANK($C208),"",IF(H208=Constants!$B$2, TRUE(), IF(H208=Constants!$B$3, FALSE(), TRUE())))</f>
        <v/>
      </c>
      <c r="W208" s="66" t="str">
        <f aca="false">IF(ISBLANK($C208),"",IF(I208=Constants!$B$2, TRUE(), IF(I208=Constants!$B$3, FALSE(), TRUE())))</f>
        <v/>
      </c>
      <c r="X208" s="66" t="str">
        <f aca="false">IF(ISBLANK($C208),"",IF(AND(ISNUMBER(J208),J208&gt;0),INT(J208),0))</f>
        <v/>
      </c>
      <c r="Y208" s="66" t="str">
        <f aca="false">IF(ISBLANK($C208),"",IF(K208=Constants!$B$2, TRUE(), IF(K208=Constants!$B$3, FALSE(), TRUE())))</f>
        <v/>
      </c>
      <c r="Z208" s="66" t="str">
        <f aca="false">IF(ISBLANK($C208),"",IF(AND(ISNUMBER(L208),L208&gt;0),INT(L208),0))</f>
        <v/>
      </c>
      <c r="AA208" s="68" t="str">
        <f aca="false">IF(ISBLANK($C208),"",IF(ISNUMBER(M208), M208, ""))</f>
        <v/>
      </c>
      <c r="AB208" s="68" t="str">
        <f aca="false">IF(ISBLANK($C208),"",IF(ISNUMBER(N208), N208, ""))</f>
        <v/>
      </c>
      <c r="AC208" s="68" t="str">
        <f aca="false">IF(ISBLANK($C208),"",IF(ISNUMBER(O208), O208, ""))</f>
        <v/>
      </c>
      <c r="AD208" s="69" t="str">
        <f aca="false">IF(ISBLANK($C208),"",IF(ISNUMBER(P208), P208, ""))</f>
        <v/>
      </c>
      <c r="AE208" s="69" t="str">
        <f aca="false">IF(ISBLANK($C208),"",IF(ISNUMBER(Q208), Q208, Constants!$B$13))</f>
        <v/>
      </c>
      <c r="AF208" s="66" t="str">
        <f aca="false">IF(ISBLANK($C208),"",IF(R208=Constants!$B$2, TRUE(), IF(R208=Constants!$B$3, FALSE(), FALSE())))</f>
        <v/>
      </c>
      <c r="AG208" s="66" t="str">
        <f aca="false">IF(ISBLANK(C208), "", IF(AF208, Constants!$B$4,IF(COUNTA(G208:P208)=0, Constants!$B$5, Constants!$B$7)))</f>
        <v/>
      </c>
      <c r="AH208" s="66" t="str">
        <f aca="false">IF(ISBLANK($C208), "",IF($AG208=Constants!$B$7,1,$AG208))</f>
        <v/>
      </c>
      <c r="AI208" s="66" t="str">
        <f aca="false">IF($AG208=Constants!$B$7,POWER(Constants!$B$11,X208)*POWER(Constants!$B$12,Z208),"")</f>
        <v/>
      </c>
      <c r="AJ208" s="66" t="str">
        <f aca="false">IF(AND($AG208=Constants!$B$7, U208, V208) ,IF(OR($AA208="",$AC208=""),"",MAX(0, $AC208-$AA208)),"")</f>
        <v/>
      </c>
      <c r="AK208" s="66" t="str">
        <f aca="false">IF(AND($AG208=Constants!$B$7, U208, V208),IF(OR($AA208="",$AC208=""),$AK$6,""),"")</f>
        <v/>
      </c>
      <c r="AL208" s="66" t="str">
        <f aca="false">IF($AG208=Constants!$B$7,IF(AND(U208,V208,W208,Y208),IF($AJ208="",0,IF($AJ$6=0,Constants!$B$9,Constants!$B$9*AJ208/$AJ$6)), 0),"")</f>
        <v/>
      </c>
      <c r="AM208" s="66" t="str">
        <f aca="false">IF(AL208&lt;&gt;"", AL208*AI208,"")</f>
        <v/>
      </c>
      <c r="AN208" s="66" t="str">
        <f aca="false">IF(AND($AG208=Constants!$B$7, U208, V208) ,IF($AB208="", "", IF(OR($AC208="",$AC208=0),"",MAX(0,1-ABS($AC208-$AB208)/$AC208))),"")</f>
        <v/>
      </c>
      <c r="AO208" s="66" t="str">
        <f aca="false">IF(AND($AG208=Constants!$B$7, U208, V208),IF(AND($AA208&lt;&gt;"",$AB208&lt;&gt;"",$AC208=0),$AO$6,""),"")</f>
        <v/>
      </c>
      <c r="AP208" s="66" t="str">
        <f aca="false">IF($AG208=Constants!$B$7 ,IF(AND(U208,V208,W208,Y208,ISNUMBER(AB208)),IF($AN208="",0,IF($AN$6=0,Constants!$B$10,Constants!$B$10*AN208/$AN$6)), 0),"")</f>
        <v/>
      </c>
      <c r="AQ208" s="66" t="str">
        <f aca="false">IF(AP208&lt;&gt;"", AP208*AI208,"")</f>
        <v/>
      </c>
      <c r="AR208" s="66" t="str">
        <f aca="false">IF($AG208=Constants!$B$7,IF($AD208="",0,IF($AR$6=0,Constants!$B$8,Constants!$B$8*AD208/$AR$6)),"")</f>
        <v/>
      </c>
      <c r="AS208" s="66" t="str">
        <f aca="false">IF($AG208&lt;&gt;Constants!$B$7,$AG208,IF(AK208&amp;AO208&lt;&gt;"",Constants!$B$14,AM208+AQ208+AR208))</f>
        <v/>
      </c>
      <c r="AT208" s="66" t="str">
        <f aca="false">IF(ISBLANK($C208),"",IF($AG208=Constants!$B$7,IF(ISNUMBER(AS208),RANK(AS208,$AS$8:$AS$507),Constants!$B$14),$AG208))</f>
        <v/>
      </c>
      <c r="AU208" s="66" t="str">
        <f aca="false">IF(ISBLANK($C208), "",AM208)</f>
        <v/>
      </c>
      <c r="AV208" s="66" t="str">
        <f aca="false">IF(ISBLANK($C208),"",IF($AG208=Constants!$B$7,RANK(AU208,AU$8:AU$507),$AG208))</f>
        <v/>
      </c>
      <c r="AW208" s="66" t="str">
        <f aca="false">IF(ISBLANK($C208), "",AR208)</f>
        <v/>
      </c>
      <c r="AX208" s="66" t="str">
        <f aca="false">IF(ISBLANK($C208),"",IF($AG208=Constants!$B$7,RANK(AW208,AW$8:AW$507),$AG208))</f>
        <v/>
      </c>
      <c r="AY208" s="66" t="str">
        <f aca="false">IF(ISBLANK($C208), "",AE208)</f>
        <v/>
      </c>
      <c r="AZ208" s="66" t="str">
        <f aca="false">IF(ISBLANK($C208),"",
IF($AG208=Constants!$B$7,
  IF(ISNUMBER(AT208),
    COUNTIFS($AT$8:$AT$507,"&lt;"&amp;$AT208)
    + COUNTIFS($AT$8:$AT$507,$AT208,$AV$8:$AV$507,"&lt;"&amp;$AV208)
    + COUNTIFS($AT$8:$AT$507,$AT208,$AV$8:$AV$507,$AV208,$AX$8:$AX$507,"&lt;"&amp;$AX208)
    + COUNTIFS($AT$8:$AT$507,$AT208,$AV$8:$AV$507,$AV208,$AX$8:$AX$507,$AX208,$AY$8:$AY$507,"&lt;"&amp;$AY208)
    + 1,
  Constants!$B$14),
$AG208))</f>
        <v/>
      </c>
      <c r="BA208" s="66" t="str">
        <f aca="false">IF(ISBLANK(C208),"",IF($AG208=Constants!$B$7, IF(ISNUMBER(AT208),AT208-AZ208,Constants!$B$14),$AG208))</f>
        <v/>
      </c>
      <c r="BB208" s="70"/>
      <c r="BC208" s="84" t="str">
        <f aca="false">IF(ISBLANK($C208),"",TRIM(AK208&amp;" "&amp;AO208))</f>
        <v/>
      </c>
      <c r="BD208" s="72" t="str">
        <f aca="false">IF(ISBLANK($C208),"",IF($AG208&lt;&gt;Constants!$B$7,$AG208,AR208))</f>
        <v/>
      </c>
      <c r="BE208" s="72" t="str">
        <f aca="false">IF(ISBLANK($C208),"",IF($AG208&lt;&gt;Constants!$B$7,$AG208,AM208))</f>
        <v/>
      </c>
      <c r="BF208" s="72" t="str">
        <f aca="false">IF(ISBLANK($C208),"",IF($AG208&lt;&gt;Constants!$B$7,$AG208,AQ208))</f>
        <v/>
      </c>
      <c r="BG208" s="73" t="str">
        <f aca="false">IF(ISBLANK($C208),"",IF($AG208&lt;&gt;Constants!$B$7, $AG208 ,AS208))</f>
        <v/>
      </c>
      <c r="BH208" s="74" t="str">
        <f aca="false">IF(ISBLANK($C208),"",IF($AG208&lt;&gt;Constants!$B$7, $AG208 ,AH208))</f>
        <v/>
      </c>
      <c r="BI208" s="72" t="str">
        <f aca="false">IF(ISBLANK(C208),"",BA208)</f>
        <v/>
      </c>
      <c r="BJ208" s="72" t="str">
        <f aca="false">IF(ISBLANK(C208),"",AZ208)</f>
        <v/>
      </c>
      <c r="BK208" s="75" t="str">
        <f aca="false">IF(ISBLANK(C208),"",IFERROR(_xlfn.SWITCH(BJ208, Constants!$B$4, COUNTA($C$8:$C707)+2, Constants!$B$5, COUNTA($C$8:$C707)+1, Constants!$B$6, COUNTA($C$8:$C707)),BJ208))</f>
        <v/>
      </c>
      <c r="BL208" s="5"/>
      <c r="BM208" s="76" t="n">
        <f aca="false">IF(OR(ISNUMBER(BJ208),BJ208="DQ",BJ208="P",BJ208="NS"),
    1,
    0
)</f>
        <v>0</v>
      </c>
      <c r="BN208" s="76" t="n">
        <v>201</v>
      </c>
      <c r="BO208" s="76" t="str">
        <f aca="false">IF(ISBLANK($C208),"",IF(ISNUMBER(BK208),BK208+ROW($B208)/1000,""))</f>
        <v/>
      </c>
      <c r="BP208" s="76" t="str">
        <f aca="false">IF(ISNUMBER(BO208), RANK(BO208,BO$8:BO$507,1), "")</f>
        <v/>
      </c>
      <c r="BQ208" s="76" t="str">
        <f aca="false">IF(ISBLANK($C208),
    "",
    $B208
)</f>
        <v/>
      </c>
      <c r="BR208" s="76" t="str">
        <f aca="false">IF(ISBLANK($C208),
    "",
    $C208
)</f>
        <v/>
      </c>
      <c r="BS208" s="76" t="str">
        <f aca="false">IF(ISBLANK($C208),
    "",
    $D208
)</f>
        <v/>
      </c>
      <c r="BT208" s="77" t="str">
        <f aca="false">BH208</f>
        <v/>
      </c>
      <c r="BU208" s="78" t="str">
        <f aca="false">BG208</f>
        <v/>
      </c>
      <c r="BV208" s="76" t="str">
        <f aca="false">IF(ISBLANK($C208),
    "",
    BJ208
)</f>
        <v/>
      </c>
      <c r="BW208" s="79" t="str">
        <f aca="false">IF(BN208&gt;BM$7,
    "",
    VLOOKUP(BN208,BP$8:BV707,7,FALSE())
)</f>
        <v/>
      </c>
      <c r="BX208" s="80" t="str">
        <f aca="false">IF(BN208&gt;BM$7,
    "",
    VLOOKUP(BN208,BP$8:BV707,2,FALSE())
)</f>
        <v/>
      </c>
      <c r="BY208" s="80" t="str">
        <f aca="false">IF(BN208&gt;BM$7,
    "",
    VLOOKUP(BN208,BP$8:BV707,3,FALSE())
)</f>
        <v/>
      </c>
      <c r="BZ208" s="80" t="str">
        <f aca="false">IF(BN208&gt;BM$7,
    "",
    VLOOKUP(BN208,BP$8:BV707,4,FALSE())
)</f>
        <v/>
      </c>
      <c r="CA208" s="80" t="str">
        <f aca="false">IF(BN208&gt;BM$7,
    "",
    VLOOKUP(BN208,BP$8:BV707,5,FALSE())
)</f>
        <v/>
      </c>
      <c r="CB208" s="81" t="str">
        <f aca="false">IF(BN208&gt;BM$7,
    "",
    VLOOKUP(BN208,BP$8:BV707,6,FALSE())
)</f>
        <v/>
      </c>
      <c r="CC208" s="53"/>
    </row>
    <row r="209" customFormat="false" ht="15.75" hidden="false" customHeight="false" outlineLevel="0" collapsed="false">
      <c r="A209" s="5"/>
      <c r="B209" s="125"/>
      <c r="C209" s="126"/>
      <c r="D209" s="115"/>
      <c r="E209" s="119"/>
      <c r="F209" s="119"/>
      <c r="G209" s="91"/>
      <c r="H209" s="92"/>
      <c r="I209" s="92"/>
      <c r="J209" s="128"/>
      <c r="K209" s="128"/>
      <c r="L209" s="128"/>
      <c r="M209" s="94"/>
      <c r="N209" s="94"/>
      <c r="O209" s="94"/>
      <c r="P209" s="95"/>
      <c r="Q209" s="96"/>
      <c r="R209" s="128"/>
      <c r="S209" s="98"/>
      <c r="T209" s="99"/>
      <c r="U209" s="99" t="str">
        <f aca="false">IF(ISBLANK($C209),"",IF(G209=Constants!$B$2, TRUE(), IF(G209=Constants!$B$3, FALSE(), TRUE())))</f>
        <v/>
      </c>
      <c r="V209" s="99" t="str">
        <f aca="false">IF(ISBLANK($C209),"",IF(H209=Constants!$B$2, TRUE(), IF(H209=Constants!$B$3, FALSE(), TRUE())))</f>
        <v/>
      </c>
      <c r="W209" s="99" t="str">
        <f aca="false">IF(ISBLANK($C209),"",IF(I209=Constants!$B$2, TRUE(), IF(I209=Constants!$B$3, FALSE(), TRUE())))</f>
        <v/>
      </c>
      <c r="X209" s="99" t="str">
        <f aca="false">IF(ISBLANK($C209),"",IF(AND(ISNUMBER(J209),J209&gt;0),INT(J209),0))</f>
        <v/>
      </c>
      <c r="Y209" s="99" t="str">
        <f aca="false">IF(ISBLANK($C209),"",IF(K209=Constants!$B$2, TRUE(), IF(K209=Constants!$B$3, FALSE(), TRUE())))</f>
        <v/>
      </c>
      <c r="Z209" s="100" t="str">
        <f aca="false">IF(ISBLANK($C209),"",IF(AND(ISNUMBER(L209),L209&gt;0),INT(L209),0))</f>
        <v/>
      </c>
      <c r="AA209" s="101" t="str">
        <f aca="false">IF(ISBLANK($C209),"",IF(ISNUMBER(M209), M209, ""))</f>
        <v/>
      </c>
      <c r="AB209" s="101" t="str">
        <f aca="false">IF(ISBLANK($C209),"",IF(ISNUMBER(N209), N209, ""))</f>
        <v/>
      </c>
      <c r="AC209" s="101" t="str">
        <f aca="false">IF(ISBLANK($C209),"",IF(ISNUMBER(O209), O209, ""))</f>
        <v/>
      </c>
      <c r="AD209" s="102" t="str">
        <f aca="false">IF(ISBLANK($C209),"",IF(ISNUMBER(P209), P209, ""))</f>
        <v/>
      </c>
      <c r="AE209" s="102" t="str">
        <f aca="false">IF(ISBLANK($C209),"",IF(ISNUMBER(Q209), Q209, Constants!$B$13))</f>
        <v/>
      </c>
      <c r="AF209" s="99" t="str">
        <f aca="false">IF(ISBLANK($C209),"",IF(R209=Constants!$B$2, TRUE(), IF(R209=Constants!$B$3, FALSE(), FALSE())))</f>
        <v/>
      </c>
      <c r="AG209" s="99" t="str">
        <f aca="false">IF(ISBLANK(C209), "", IF(AF209, Constants!$B$4,IF(COUNTA(G209:P209)=0, Constants!$B$5, Constants!$B$7)))</f>
        <v/>
      </c>
      <c r="AH209" s="99" t="str">
        <f aca="false">IF(ISBLANK($C209), "",IF($AG209=Constants!$B$7,1,$AG209))</f>
        <v/>
      </c>
      <c r="AI209" s="99" t="str">
        <f aca="false">IF($AG209=Constants!$B$7,POWER(Constants!$B$11,X209)*POWER(Constants!$B$12,Z209),"")</f>
        <v/>
      </c>
      <c r="AJ209" s="99" t="str">
        <f aca="false">IF(AND($AG209=Constants!$B$7, U209, V209) ,IF(OR($AA209="",$AC209=""),"",MAX(0, $AC209-$AA209)),"")</f>
        <v/>
      </c>
      <c r="AK209" s="99" t="str">
        <f aca="false">IF(AND($AG209=Constants!$B$7, U209, V209),IF(OR($AA209="",$AC209=""),$AK$6,""),"")</f>
        <v/>
      </c>
      <c r="AL209" s="99" t="str">
        <f aca="false">IF($AG209=Constants!$B$7,IF(AND(U209,V209,W209,Y209),IF($AJ209="",0,IF($AJ$6=0,Constants!$B$9,Constants!$B$9*AJ209/$AJ$6)), 0),"")</f>
        <v/>
      </c>
      <c r="AM209" s="99" t="str">
        <f aca="false">IF(AL209&lt;&gt;"", AL209*AI209,"")</f>
        <v/>
      </c>
      <c r="AN209" s="99" t="str">
        <f aca="false">IF(AND($AG209=Constants!$B$7, U209, V209) ,IF($AB209="", "", IF(OR($AC209="",$AC209=0),"",MAX(0,1-ABS($AC209-$AB209)/$AC209))),"")</f>
        <v/>
      </c>
      <c r="AO209" s="99" t="str">
        <f aca="false">IF(AND($AG209=Constants!$B$7, U209, V209),IF(AND($AA209&lt;&gt;"",$AB209&lt;&gt;"",$AC209=0),$AO$6,""),"")</f>
        <v/>
      </c>
      <c r="AP209" s="99" t="str">
        <f aca="false">IF($AG209=Constants!$B$7 ,IF(AND(U209,V209,W209,Y209,ISNUMBER(AB209)),IF($AN209="",0,IF($AN$6=0,Constants!$B$10,Constants!$B$10*AN209/$AN$6)), 0),"")</f>
        <v/>
      </c>
      <c r="AQ209" s="99" t="str">
        <f aca="false">IF(AP209&lt;&gt;"", AP209*AI209,"")</f>
        <v/>
      </c>
      <c r="AR209" s="99" t="str">
        <f aca="false">IF($AG209=Constants!$B$7,IF($AD209="",0,IF($AR$6=0,Constants!$B$8,Constants!$B$8*AD209/$AR$6)),"")</f>
        <v/>
      </c>
      <c r="AS209" s="99" t="str">
        <f aca="false">IF($AG209&lt;&gt;Constants!$B$7,$AG209,IF(AK209&amp;AO209&lt;&gt;"",Constants!$B$14,AM209+AQ209+AR209))</f>
        <v/>
      </c>
      <c r="AT209" s="99" t="str">
        <f aca="false">IF(ISBLANK($C209),"",IF($AG209=Constants!$B$7,IF(ISNUMBER(AS209),RANK(AS209,$AS$8:$AS$507),Constants!$B$14),$AG209))</f>
        <v/>
      </c>
      <c r="AU209" s="99" t="str">
        <f aca="false">IF(ISBLANK($C209), "",AM209)</f>
        <v/>
      </c>
      <c r="AV209" s="99" t="str">
        <f aca="false">IF(ISBLANK($C209),"",IF($AG209=Constants!$B$7,RANK(AU209,AU$8:AU$507),$AG209))</f>
        <v/>
      </c>
      <c r="AW209" s="99" t="str">
        <f aca="false">IF(ISBLANK($C209), "",AR209)</f>
        <v/>
      </c>
      <c r="AX209" s="99" t="str">
        <f aca="false">IF(ISBLANK($C209),"",IF($AG209=Constants!$B$7,RANK(AW209,AW$8:AW$507),$AG209))</f>
        <v/>
      </c>
      <c r="AY209" s="99" t="str">
        <f aca="false">IF(ISBLANK($C209), "",AE209)</f>
        <v/>
      </c>
      <c r="AZ209" s="99" t="str">
        <f aca="false">IF(ISBLANK($C209),"",
IF($AG209=Constants!$B$7,
  IF(ISNUMBER(AT209),
    COUNTIFS($AT$8:$AT$507,"&lt;"&amp;$AT209)
    + COUNTIFS($AT$8:$AT$507,$AT209,$AV$8:$AV$507,"&lt;"&amp;$AV209)
    + COUNTIFS($AT$8:$AT$507,$AT209,$AV$8:$AV$507,$AV209,$AX$8:$AX$507,"&lt;"&amp;$AX209)
    + COUNTIFS($AT$8:$AT$507,$AT209,$AV$8:$AV$507,$AV209,$AX$8:$AX$507,$AX209,$AY$8:$AY$507,"&lt;"&amp;$AY209)
    + 1,
  Constants!$B$14),
$AG209))</f>
        <v/>
      </c>
      <c r="BA209" s="99" t="str">
        <f aca="false">IF(ISBLANK(C209),"",IF($AG209=Constants!$B$7, IF(ISNUMBER(AT209),AT209-AZ209,Constants!$B$14),$AG209))</f>
        <v/>
      </c>
      <c r="BB209" s="103"/>
      <c r="BC209" s="104" t="str">
        <f aca="false">IF(ISBLANK($C209),"",TRIM(AK209&amp;" "&amp;AO209))</f>
        <v/>
      </c>
      <c r="BD209" s="105" t="str">
        <f aca="false">IF(ISBLANK($C209),"",IF($AG209&lt;&gt;Constants!$B$7,$AG209,AR209))</f>
        <v/>
      </c>
      <c r="BE209" s="105" t="str">
        <f aca="false">IF(ISBLANK($C209),"",IF($AG209&lt;&gt;Constants!$B$7,$AG209,AM209))</f>
        <v/>
      </c>
      <c r="BF209" s="105" t="str">
        <f aca="false">IF(ISBLANK($C209),"",IF($AG209&lt;&gt;Constants!$B$7,$AG209,AQ209))</f>
        <v/>
      </c>
      <c r="BG209" s="106" t="str">
        <f aca="false">IF(ISBLANK($C209),"",IF($AG209&lt;&gt;Constants!$B$7, $AG209 ,AS209))</f>
        <v/>
      </c>
      <c r="BH209" s="107" t="str">
        <f aca="false">IF(ISBLANK($C209),"",IF($AG209&lt;&gt;Constants!$B$7, $AG209 ,AH209))</f>
        <v/>
      </c>
      <c r="BI209" s="105" t="str">
        <f aca="false">IF(ISBLANK(C209),"",BA209)</f>
        <v/>
      </c>
      <c r="BJ209" s="105" t="str">
        <f aca="false">IF(ISBLANK(C209),"",AZ209)</f>
        <v/>
      </c>
      <c r="BK209" s="108" t="str">
        <f aca="false">IF(ISBLANK(C209),"",IFERROR(_xlfn.SWITCH(BJ209, Constants!$B$4, COUNTA($C$8:$C708)+2, Constants!$B$5, COUNTA($C$8:$C708)+1, Constants!$B$6, COUNTA($C$8:$C708)),BJ209))</f>
        <v/>
      </c>
      <c r="BL209" s="5"/>
      <c r="BM209" s="109" t="n">
        <f aca="false">IF(OR(ISNUMBER(BJ209),BJ209="DQ",BJ209="P",BJ209="NS"),
    1,
    0
)</f>
        <v>0</v>
      </c>
      <c r="BN209" s="109" t="n">
        <v>202</v>
      </c>
      <c r="BO209" s="109" t="str">
        <f aca="false">IF(ISBLANK($C209),"",IF(ISNUMBER(BK209),BK209+ROW($B209)/1000,""))</f>
        <v/>
      </c>
      <c r="BP209" s="109" t="str">
        <f aca="false">IF(ISNUMBER(BO209), RANK(BO209,BO$8:BO$507,1), "")</f>
        <v/>
      </c>
      <c r="BQ209" s="109" t="str">
        <f aca="false">IF(ISBLANK($C209),
    "",
    $B209
)</f>
        <v/>
      </c>
      <c r="BR209" s="109" t="str">
        <f aca="false">IF(ISBLANK($C209),
    "",
    $C209
)</f>
        <v/>
      </c>
      <c r="BS209" s="109" t="str">
        <f aca="false">IF(ISBLANK($C209),
    "",
    $D209
)</f>
        <v/>
      </c>
      <c r="BT209" s="110" t="str">
        <f aca="false">BH209</f>
        <v/>
      </c>
      <c r="BU209" s="111" t="str">
        <f aca="false">BG209</f>
        <v/>
      </c>
      <c r="BV209" s="109" t="str">
        <f aca="false">IF(ISBLANK($C209),
    "",
    BJ209
)</f>
        <v/>
      </c>
      <c r="BW209" s="112" t="str">
        <f aca="false">IF(BN209&gt;BM$7,
    "",
    VLOOKUP(BN209,BP$8:BV708,7,FALSE())
)</f>
        <v/>
      </c>
      <c r="BX209" s="113" t="str">
        <f aca="false">IF(BN209&gt;BM$7,
    "",
    VLOOKUP(BN209,BP$8:BV708,2,FALSE())
)</f>
        <v/>
      </c>
      <c r="BY209" s="113" t="str">
        <f aca="false">IF(BN209&gt;BM$7,
    "",
    VLOOKUP(BN209,BP$8:BV708,3,FALSE())
)</f>
        <v/>
      </c>
      <c r="BZ209" s="113" t="str">
        <f aca="false">IF(BN209&gt;BM$7,
    "",
    VLOOKUP(BN209,BP$8:BV708,4,FALSE())
)</f>
        <v/>
      </c>
      <c r="CA209" s="113" t="str">
        <f aca="false">IF(BN209&gt;BM$7,
    "",
    VLOOKUP(BN209,BP$8:BV708,5,FALSE())
)</f>
        <v/>
      </c>
      <c r="CB209" s="114" t="str">
        <f aca="false">IF(BN209&gt;BM$7,
    "",
    VLOOKUP(BN209,BP$8:BV708,6,FALSE())
)</f>
        <v/>
      </c>
      <c r="CC209" s="53"/>
    </row>
    <row r="210" customFormat="false" ht="15.75" hidden="false" customHeight="false" outlineLevel="0" collapsed="false">
      <c r="A210" s="5"/>
      <c r="B210" s="125"/>
      <c r="C210" s="126"/>
      <c r="D210" s="115"/>
      <c r="E210" s="119"/>
      <c r="F210" s="119"/>
      <c r="G210" s="91"/>
      <c r="H210" s="92"/>
      <c r="I210" s="92"/>
      <c r="J210" s="128"/>
      <c r="K210" s="128"/>
      <c r="L210" s="128"/>
      <c r="M210" s="94"/>
      <c r="N210" s="94"/>
      <c r="O210" s="94"/>
      <c r="P210" s="95"/>
      <c r="Q210" s="96"/>
      <c r="R210" s="128"/>
      <c r="S210" s="98"/>
      <c r="T210" s="99"/>
      <c r="U210" s="99" t="str">
        <f aca="false">IF(ISBLANK($C210),"",IF(G210=Constants!$B$2, TRUE(), IF(G210=Constants!$B$3, FALSE(), TRUE())))</f>
        <v/>
      </c>
      <c r="V210" s="99" t="str">
        <f aca="false">IF(ISBLANK($C210),"",IF(H210=Constants!$B$2, TRUE(), IF(H210=Constants!$B$3, FALSE(), TRUE())))</f>
        <v/>
      </c>
      <c r="W210" s="99" t="str">
        <f aca="false">IF(ISBLANK($C210),"",IF(I210=Constants!$B$2, TRUE(), IF(I210=Constants!$B$3, FALSE(), TRUE())))</f>
        <v/>
      </c>
      <c r="X210" s="99" t="str">
        <f aca="false">IF(ISBLANK($C210),"",IF(AND(ISNUMBER(J210),J210&gt;0),INT(J210),0))</f>
        <v/>
      </c>
      <c r="Y210" s="99" t="str">
        <f aca="false">IF(ISBLANK($C210),"",IF(K210=Constants!$B$2, TRUE(), IF(K210=Constants!$B$3, FALSE(), TRUE())))</f>
        <v/>
      </c>
      <c r="Z210" s="100" t="str">
        <f aca="false">IF(ISBLANK($C210),"",IF(AND(ISNUMBER(L210),L210&gt;0),INT(L210),0))</f>
        <v/>
      </c>
      <c r="AA210" s="101" t="str">
        <f aca="false">IF(ISBLANK($C210),"",IF(ISNUMBER(M210), M210, ""))</f>
        <v/>
      </c>
      <c r="AB210" s="101" t="str">
        <f aca="false">IF(ISBLANK($C210),"",IF(ISNUMBER(N210), N210, ""))</f>
        <v/>
      </c>
      <c r="AC210" s="101" t="str">
        <f aca="false">IF(ISBLANK($C210),"",IF(ISNUMBER(O210), O210, ""))</f>
        <v/>
      </c>
      <c r="AD210" s="102" t="str">
        <f aca="false">IF(ISBLANK($C210),"",IF(ISNUMBER(P210), P210, ""))</f>
        <v/>
      </c>
      <c r="AE210" s="102" t="str">
        <f aca="false">IF(ISBLANK($C210),"",IF(ISNUMBER(Q210), Q210, Constants!$B$13))</f>
        <v/>
      </c>
      <c r="AF210" s="99" t="str">
        <f aca="false">IF(ISBLANK($C210),"",IF(R210=Constants!$B$2, TRUE(), IF(R210=Constants!$B$3, FALSE(), FALSE())))</f>
        <v/>
      </c>
      <c r="AG210" s="99" t="str">
        <f aca="false">IF(ISBLANK(C210), "", IF(AF210, Constants!$B$4,IF(COUNTA(G210:P210)=0, Constants!$B$5, Constants!$B$7)))</f>
        <v/>
      </c>
      <c r="AH210" s="99" t="str">
        <f aca="false">IF(ISBLANK($C210), "",IF($AG210=Constants!$B$7,1,$AG210))</f>
        <v/>
      </c>
      <c r="AI210" s="99" t="str">
        <f aca="false">IF($AG210=Constants!$B$7,POWER(Constants!$B$11,X210)*POWER(Constants!$B$12,Z210),"")</f>
        <v/>
      </c>
      <c r="AJ210" s="99" t="str">
        <f aca="false">IF(AND($AG210=Constants!$B$7, U210, V210) ,IF(OR($AA210="",$AC210=""),"",MAX(0, $AC210-$AA210)),"")</f>
        <v/>
      </c>
      <c r="AK210" s="99" t="str">
        <f aca="false">IF(AND($AG210=Constants!$B$7, U210, V210),IF(OR($AA210="",$AC210=""),$AK$6,""),"")</f>
        <v/>
      </c>
      <c r="AL210" s="99" t="str">
        <f aca="false">IF($AG210=Constants!$B$7,IF(AND(U210,V210,W210,Y210),IF($AJ210="",0,IF($AJ$6=0,Constants!$B$9,Constants!$B$9*AJ210/$AJ$6)), 0),"")</f>
        <v/>
      </c>
      <c r="AM210" s="99" t="str">
        <f aca="false">IF(AL210&lt;&gt;"", AL210*AI210,"")</f>
        <v/>
      </c>
      <c r="AN210" s="99" t="str">
        <f aca="false">IF(AND($AG210=Constants!$B$7, U210, V210) ,IF($AB210="", "", IF(OR($AC210="",$AC210=0),"",MAX(0,1-ABS($AC210-$AB210)/$AC210))),"")</f>
        <v/>
      </c>
      <c r="AO210" s="99" t="str">
        <f aca="false">IF(AND($AG210=Constants!$B$7, U210, V210),IF(AND($AA210&lt;&gt;"",$AB210&lt;&gt;"",$AC210=0),$AO$6,""),"")</f>
        <v/>
      </c>
      <c r="AP210" s="99" t="str">
        <f aca="false">IF($AG210=Constants!$B$7 ,IF(AND(U210,V210,W210,Y210,ISNUMBER(AB210)),IF($AN210="",0,IF($AN$6=0,Constants!$B$10,Constants!$B$10*AN210/$AN$6)), 0),"")</f>
        <v/>
      </c>
      <c r="AQ210" s="99" t="str">
        <f aca="false">IF(AP210&lt;&gt;"", AP210*AI210,"")</f>
        <v/>
      </c>
      <c r="AR210" s="99" t="str">
        <f aca="false">IF($AG210=Constants!$B$7,IF($AD210="",0,IF($AR$6=0,Constants!$B$8,Constants!$B$8*AD210/$AR$6)),"")</f>
        <v/>
      </c>
      <c r="AS210" s="99" t="str">
        <f aca="false">IF($AG210&lt;&gt;Constants!$B$7,$AG210,IF(AK210&amp;AO210&lt;&gt;"",Constants!$B$14,AM210+AQ210+AR210))</f>
        <v/>
      </c>
      <c r="AT210" s="99" t="str">
        <f aca="false">IF(ISBLANK($C210),"",IF($AG210=Constants!$B$7,IF(ISNUMBER(AS210),RANK(AS210,$AS$8:$AS$507),Constants!$B$14),$AG210))</f>
        <v/>
      </c>
      <c r="AU210" s="99" t="str">
        <f aca="false">IF(ISBLANK($C210), "",AM210)</f>
        <v/>
      </c>
      <c r="AV210" s="99" t="str">
        <f aca="false">IF(ISBLANK($C210),"",IF($AG210=Constants!$B$7,RANK(AU210,AU$8:AU$507),$AG210))</f>
        <v/>
      </c>
      <c r="AW210" s="99" t="str">
        <f aca="false">IF(ISBLANK($C210), "",AR210)</f>
        <v/>
      </c>
      <c r="AX210" s="99" t="str">
        <f aca="false">IF(ISBLANK($C210),"",IF($AG210=Constants!$B$7,RANK(AW210,AW$8:AW$507),$AG210))</f>
        <v/>
      </c>
      <c r="AY210" s="99" t="str">
        <f aca="false">IF(ISBLANK($C210), "",AE210)</f>
        <v/>
      </c>
      <c r="AZ210" s="99" t="str">
        <f aca="false">IF(ISBLANK($C210),"",
IF($AG210=Constants!$B$7,
  IF(ISNUMBER(AT210),
    COUNTIFS($AT$8:$AT$507,"&lt;"&amp;$AT210)
    + COUNTIFS($AT$8:$AT$507,$AT210,$AV$8:$AV$507,"&lt;"&amp;$AV210)
    + COUNTIFS($AT$8:$AT$507,$AT210,$AV$8:$AV$507,$AV210,$AX$8:$AX$507,"&lt;"&amp;$AX210)
    + COUNTIFS($AT$8:$AT$507,$AT210,$AV$8:$AV$507,$AV210,$AX$8:$AX$507,$AX210,$AY$8:$AY$507,"&lt;"&amp;$AY210)
    + 1,
  Constants!$B$14),
$AG210))</f>
        <v/>
      </c>
      <c r="BA210" s="99" t="str">
        <f aca="false">IF(ISBLANK(C210),"",IF($AG210=Constants!$B$7, IF(ISNUMBER(AT210),AT210-AZ210,Constants!$B$14),$AG210))</f>
        <v/>
      </c>
      <c r="BB210" s="103"/>
      <c r="BC210" s="104" t="str">
        <f aca="false">IF(ISBLANK($C210),"",TRIM(AK210&amp;" "&amp;AO210))</f>
        <v/>
      </c>
      <c r="BD210" s="105" t="str">
        <f aca="false">IF(ISBLANK($C210),"",IF($AG210&lt;&gt;Constants!$B$7,$AG210,AR210))</f>
        <v/>
      </c>
      <c r="BE210" s="105" t="str">
        <f aca="false">IF(ISBLANK($C210),"",IF($AG210&lt;&gt;Constants!$B$7,$AG210,AM210))</f>
        <v/>
      </c>
      <c r="BF210" s="105" t="str">
        <f aca="false">IF(ISBLANK($C210),"",IF($AG210&lt;&gt;Constants!$B$7,$AG210,AQ210))</f>
        <v/>
      </c>
      <c r="BG210" s="106" t="str">
        <f aca="false">IF(ISBLANK($C210),"",IF($AG210&lt;&gt;Constants!$B$7, $AG210 ,AS210))</f>
        <v/>
      </c>
      <c r="BH210" s="107" t="str">
        <f aca="false">IF(ISBLANK($C210),"",IF($AG210&lt;&gt;Constants!$B$7, $AG210 ,AH210))</f>
        <v/>
      </c>
      <c r="BI210" s="105" t="str">
        <f aca="false">IF(ISBLANK(C210),"",BA210)</f>
        <v/>
      </c>
      <c r="BJ210" s="105" t="str">
        <f aca="false">IF(ISBLANK(C210),"",AZ210)</f>
        <v/>
      </c>
      <c r="BK210" s="108" t="str">
        <f aca="false">IF(ISBLANK(C210),"",IFERROR(_xlfn.SWITCH(BJ210, Constants!$B$4, COUNTA($C$8:$C709)+2, Constants!$B$5, COUNTA($C$8:$C709)+1, Constants!$B$6, COUNTA($C$8:$C709)),BJ210))</f>
        <v/>
      </c>
      <c r="BL210" s="5"/>
      <c r="BM210" s="109" t="n">
        <f aca="false">IF(OR(ISNUMBER(BJ210),BJ210="DQ",BJ210="P",BJ210="NS"),
    1,
    0
)</f>
        <v>0</v>
      </c>
      <c r="BN210" s="109" t="n">
        <v>203</v>
      </c>
      <c r="BO210" s="109" t="str">
        <f aca="false">IF(ISBLANK($C210),"",IF(ISNUMBER(BK210),BK210+ROW($B210)/1000,""))</f>
        <v/>
      </c>
      <c r="BP210" s="109" t="str">
        <f aca="false">IF(ISNUMBER(BO210), RANK(BO210,BO$8:BO$507,1), "")</f>
        <v/>
      </c>
      <c r="BQ210" s="109" t="str">
        <f aca="false">IF(ISBLANK($C210),
    "",
    $B210
)</f>
        <v/>
      </c>
      <c r="BR210" s="109" t="str">
        <f aca="false">IF(ISBLANK($C210),
    "",
    $C210
)</f>
        <v/>
      </c>
      <c r="BS210" s="109" t="str">
        <f aca="false">IF(ISBLANK($C210),
    "",
    $D210
)</f>
        <v/>
      </c>
      <c r="BT210" s="110" t="str">
        <f aca="false">BH210</f>
        <v/>
      </c>
      <c r="BU210" s="111" t="str">
        <f aca="false">BG210</f>
        <v/>
      </c>
      <c r="BV210" s="109" t="str">
        <f aca="false">IF(ISBLANK($C210),
    "",
    BJ210
)</f>
        <v/>
      </c>
      <c r="BW210" s="112" t="str">
        <f aca="false">IF(BN210&gt;BM$7,
    "",
    VLOOKUP(BN210,BP$8:BV709,7,FALSE())
)</f>
        <v/>
      </c>
      <c r="BX210" s="113" t="str">
        <f aca="false">IF(BN210&gt;BM$7,
    "",
    VLOOKUP(BN210,BP$8:BV709,2,FALSE())
)</f>
        <v/>
      </c>
      <c r="BY210" s="113" t="str">
        <f aca="false">IF(BN210&gt;BM$7,
    "",
    VLOOKUP(BN210,BP$8:BV709,3,FALSE())
)</f>
        <v/>
      </c>
      <c r="BZ210" s="113" t="str">
        <f aca="false">IF(BN210&gt;BM$7,
    "",
    VLOOKUP(BN210,BP$8:BV709,4,FALSE())
)</f>
        <v/>
      </c>
      <c r="CA210" s="113" t="str">
        <f aca="false">IF(BN210&gt;BM$7,
    "",
    VLOOKUP(BN210,BP$8:BV709,5,FALSE())
)</f>
        <v/>
      </c>
      <c r="CB210" s="114" t="str">
        <f aca="false">IF(BN210&gt;BM$7,
    "",
    VLOOKUP(BN210,BP$8:BV709,6,FALSE())
)</f>
        <v/>
      </c>
      <c r="CC210" s="53"/>
    </row>
    <row r="211" customFormat="false" ht="15.75" hidden="false" customHeight="false" outlineLevel="0" collapsed="false">
      <c r="A211" s="5"/>
      <c r="B211" s="125"/>
      <c r="C211" s="126"/>
      <c r="D211" s="115"/>
      <c r="E211" s="119"/>
      <c r="F211" s="119"/>
      <c r="G211" s="91"/>
      <c r="H211" s="92"/>
      <c r="I211" s="92"/>
      <c r="J211" s="128"/>
      <c r="K211" s="128"/>
      <c r="L211" s="128"/>
      <c r="M211" s="94"/>
      <c r="N211" s="94"/>
      <c r="O211" s="94"/>
      <c r="P211" s="95"/>
      <c r="Q211" s="96"/>
      <c r="R211" s="128"/>
      <c r="S211" s="98"/>
      <c r="T211" s="99"/>
      <c r="U211" s="99" t="str">
        <f aca="false">IF(ISBLANK($C211),"",IF(G211=Constants!$B$2, TRUE(), IF(G211=Constants!$B$3, FALSE(), TRUE())))</f>
        <v/>
      </c>
      <c r="V211" s="99" t="str">
        <f aca="false">IF(ISBLANK($C211),"",IF(H211=Constants!$B$2, TRUE(), IF(H211=Constants!$B$3, FALSE(), TRUE())))</f>
        <v/>
      </c>
      <c r="W211" s="99" t="str">
        <f aca="false">IF(ISBLANK($C211),"",IF(I211=Constants!$B$2, TRUE(), IF(I211=Constants!$B$3, FALSE(), TRUE())))</f>
        <v/>
      </c>
      <c r="X211" s="99" t="str">
        <f aca="false">IF(ISBLANK($C211),"",IF(AND(ISNUMBER(J211),J211&gt;0),INT(J211),0))</f>
        <v/>
      </c>
      <c r="Y211" s="99" t="str">
        <f aca="false">IF(ISBLANK($C211),"",IF(K211=Constants!$B$2, TRUE(), IF(K211=Constants!$B$3, FALSE(), TRUE())))</f>
        <v/>
      </c>
      <c r="Z211" s="100" t="str">
        <f aca="false">IF(ISBLANK($C211),"",IF(AND(ISNUMBER(L211),L211&gt;0),INT(L211),0))</f>
        <v/>
      </c>
      <c r="AA211" s="101" t="str">
        <f aca="false">IF(ISBLANK($C211),"",IF(ISNUMBER(M211), M211, ""))</f>
        <v/>
      </c>
      <c r="AB211" s="101" t="str">
        <f aca="false">IF(ISBLANK($C211),"",IF(ISNUMBER(N211), N211, ""))</f>
        <v/>
      </c>
      <c r="AC211" s="101" t="str">
        <f aca="false">IF(ISBLANK($C211),"",IF(ISNUMBER(O211), O211, ""))</f>
        <v/>
      </c>
      <c r="AD211" s="102" t="str">
        <f aca="false">IF(ISBLANK($C211),"",IF(ISNUMBER(P211), P211, ""))</f>
        <v/>
      </c>
      <c r="AE211" s="102" t="str">
        <f aca="false">IF(ISBLANK($C211),"",IF(ISNUMBER(Q211), Q211, Constants!$B$13))</f>
        <v/>
      </c>
      <c r="AF211" s="99" t="str">
        <f aca="false">IF(ISBLANK($C211),"",IF(R211=Constants!$B$2, TRUE(), IF(R211=Constants!$B$3, FALSE(), FALSE())))</f>
        <v/>
      </c>
      <c r="AG211" s="99" t="str">
        <f aca="false">IF(ISBLANK(C211), "", IF(AF211, Constants!$B$4,IF(COUNTA(G211:P211)=0, Constants!$B$5, Constants!$B$7)))</f>
        <v/>
      </c>
      <c r="AH211" s="99" t="str">
        <f aca="false">IF(ISBLANK($C211), "",IF($AG211=Constants!$B$7,1,$AG211))</f>
        <v/>
      </c>
      <c r="AI211" s="99" t="str">
        <f aca="false">IF($AG211=Constants!$B$7,POWER(Constants!$B$11,X211)*POWER(Constants!$B$12,Z211),"")</f>
        <v/>
      </c>
      <c r="AJ211" s="99" t="str">
        <f aca="false">IF(AND($AG211=Constants!$B$7, U211, V211) ,IF(OR($AA211="",$AC211=""),"",MAX(0, $AC211-$AA211)),"")</f>
        <v/>
      </c>
      <c r="AK211" s="99" t="str">
        <f aca="false">IF(AND($AG211=Constants!$B$7, U211, V211),IF(OR($AA211="",$AC211=""),$AK$6,""),"")</f>
        <v/>
      </c>
      <c r="AL211" s="99" t="str">
        <f aca="false">IF($AG211=Constants!$B$7,IF(AND(U211,V211,W211,Y211),IF($AJ211="",0,IF($AJ$6=0,Constants!$B$9,Constants!$B$9*AJ211/$AJ$6)), 0),"")</f>
        <v/>
      </c>
      <c r="AM211" s="99" t="str">
        <f aca="false">IF(AL211&lt;&gt;"", AL211*AI211,"")</f>
        <v/>
      </c>
      <c r="AN211" s="99" t="str">
        <f aca="false">IF(AND($AG211=Constants!$B$7, U211, V211) ,IF($AB211="", "", IF(OR($AC211="",$AC211=0),"",MAX(0,1-ABS($AC211-$AB211)/$AC211))),"")</f>
        <v/>
      </c>
      <c r="AO211" s="99" t="str">
        <f aca="false">IF(AND($AG211=Constants!$B$7, U211, V211),IF(AND($AA211&lt;&gt;"",$AB211&lt;&gt;"",$AC211=0),$AO$6,""),"")</f>
        <v/>
      </c>
      <c r="AP211" s="99" t="str">
        <f aca="false">IF($AG211=Constants!$B$7 ,IF(AND(U211,V211,W211,Y211,ISNUMBER(AB211)),IF($AN211="",0,IF($AN$6=0,Constants!$B$10,Constants!$B$10*AN211/$AN$6)), 0),"")</f>
        <v/>
      </c>
      <c r="AQ211" s="99" t="str">
        <f aca="false">IF(AP211&lt;&gt;"", AP211*AI211,"")</f>
        <v/>
      </c>
      <c r="AR211" s="99" t="str">
        <f aca="false">IF($AG211=Constants!$B$7,IF($AD211="",0,IF($AR$6=0,Constants!$B$8,Constants!$B$8*AD211/$AR$6)),"")</f>
        <v/>
      </c>
      <c r="AS211" s="99" t="str">
        <f aca="false">IF($AG211&lt;&gt;Constants!$B$7,$AG211,IF(AK211&amp;AO211&lt;&gt;"",Constants!$B$14,AM211+AQ211+AR211))</f>
        <v/>
      </c>
      <c r="AT211" s="99" t="str">
        <f aca="false">IF(ISBLANK($C211),"",IF($AG211=Constants!$B$7,IF(ISNUMBER(AS211),RANK(AS211,$AS$8:$AS$507),Constants!$B$14),$AG211))</f>
        <v/>
      </c>
      <c r="AU211" s="99" t="str">
        <f aca="false">IF(ISBLANK($C211), "",AM211)</f>
        <v/>
      </c>
      <c r="AV211" s="99" t="str">
        <f aca="false">IF(ISBLANK($C211),"",IF($AG211=Constants!$B$7,RANK(AU211,AU$8:AU$507),$AG211))</f>
        <v/>
      </c>
      <c r="AW211" s="99" t="str">
        <f aca="false">IF(ISBLANK($C211), "",AR211)</f>
        <v/>
      </c>
      <c r="AX211" s="99" t="str">
        <f aca="false">IF(ISBLANK($C211),"",IF($AG211=Constants!$B$7,RANK(AW211,AW$8:AW$507),$AG211))</f>
        <v/>
      </c>
      <c r="AY211" s="99" t="str">
        <f aca="false">IF(ISBLANK($C211), "",AE211)</f>
        <v/>
      </c>
      <c r="AZ211" s="99" t="str">
        <f aca="false">IF(ISBLANK($C211),"",
IF($AG211=Constants!$B$7,
  IF(ISNUMBER(AT211),
    COUNTIFS($AT$8:$AT$507,"&lt;"&amp;$AT211)
    + COUNTIFS($AT$8:$AT$507,$AT211,$AV$8:$AV$507,"&lt;"&amp;$AV211)
    + COUNTIFS($AT$8:$AT$507,$AT211,$AV$8:$AV$507,$AV211,$AX$8:$AX$507,"&lt;"&amp;$AX211)
    + COUNTIFS($AT$8:$AT$507,$AT211,$AV$8:$AV$507,$AV211,$AX$8:$AX$507,$AX211,$AY$8:$AY$507,"&lt;"&amp;$AY211)
    + 1,
  Constants!$B$14),
$AG211))</f>
        <v/>
      </c>
      <c r="BA211" s="99" t="str">
        <f aca="false">IF(ISBLANK(C211),"",IF($AG211=Constants!$B$7, IF(ISNUMBER(AT211),AT211-AZ211,Constants!$B$14),$AG211))</f>
        <v/>
      </c>
      <c r="BB211" s="103"/>
      <c r="BC211" s="104" t="str">
        <f aca="false">IF(ISBLANK($C211),"",TRIM(AK211&amp;" "&amp;AO211))</f>
        <v/>
      </c>
      <c r="BD211" s="105" t="str">
        <f aca="false">IF(ISBLANK($C211),"",IF($AG211&lt;&gt;Constants!$B$7,$AG211,AR211))</f>
        <v/>
      </c>
      <c r="BE211" s="105" t="str">
        <f aca="false">IF(ISBLANK($C211),"",IF($AG211&lt;&gt;Constants!$B$7,$AG211,AM211))</f>
        <v/>
      </c>
      <c r="BF211" s="105" t="str">
        <f aca="false">IF(ISBLANK($C211),"",IF($AG211&lt;&gt;Constants!$B$7,$AG211,AQ211))</f>
        <v/>
      </c>
      <c r="BG211" s="106" t="str">
        <f aca="false">IF(ISBLANK($C211),"",IF($AG211&lt;&gt;Constants!$B$7, $AG211 ,AS211))</f>
        <v/>
      </c>
      <c r="BH211" s="107" t="str">
        <f aca="false">IF(ISBLANK($C211),"",IF($AG211&lt;&gt;Constants!$B$7, $AG211 ,AH211))</f>
        <v/>
      </c>
      <c r="BI211" s="105" t="str">
        <f aca="false">IF(ISBLANK(C211),"",BA211)</f>
        <v/>
      </c>
      <c r="BJ211" s="105" t="str">
        <f aca="false">IF(ISBLANK(C211),"",AZ211)</f>
        <v/>
      </c>
      <c r="BK211" s="108" t="str">
        <f aca="false">IF(ISBLANK(C211),"",IFERROR(_xlfn.SWITCH(BJ211, Constants!$B$4, COUNTA($C$8:$C710)+2, Constants!$B$5, COUNTA($C$8:$C710)+1, Constants!$B$6, COUNTA($C$8:$C710)),BJ211))</f>
        <v/>
      </c>
      <c r="BL211" s="5"/>
      <c r="BM211" s="109" t="n">
        <f aca="false">IF(OR(ISNUMBER(BJ211),BJ211="DQ",BJ211="P",BJ211="NS"),
    1,
    0
)</f>
        <v>0</v>
      </c>
      <c r="BN211" s="109" t="n">
        <v>204</v>
      </c>
      <c r="BO211" s="109" t="str">
        <f aca="false">IF(ISBLANK($C211),"",IF(ISNUMBER(BK211),BK211+ROW($B211)/1000,""))</f>
        <v/>
      </c>
      <c r="BP211" s="109" t="str">
        <f aca="false">IF(ISNUMBER(BO211), RANK(BO211,BO$8:BO$507,1), "")</f>
        <v/>
      </c>
      <c r="BQ211" s="109" t="str">
        <f aca="false">IF(ISBLANK($C211),
    "",
    $B211
)</f>
        <v/>
      </c>
      <c r="BR211" s="109" t="str">
        <f aca="false">IF(ISBLANK($C211),
    "",
    $C211
)</f>
        <v/>
      </c>
      <c r="BS211" s="109" t="str">
        <f aca="false">IF(ISBLANK($C211),
    "",
    $D211
)</f>
        <v/>
      </c>
      <c r="BT211" s="110" t="str">
        <f aca="false">BH211</f>
        <v/>
      </c>
      <c r="BU211" s="111" t="str">
        <f aca="false">BG211</f>
        <v/>
      </c>
      <c r="BV211" s="109" t="str">
        <f aca="false">IF(ISBLANK($C211),
    "",
    BJ211
)</f>
        <v/>
      </c>
      <c r="BW211" s="112" t="str">
        <f aca="false">IF(BN211&gt;BM$7,
    "",
    VLOOKUP(BN211,BP$8:BV710,7,FALSE())
)</f>
        <v/>
      </c>
      <c r="BX211" s="113" t="str">
        <f aca="false">IF(BN211&gt;BM$7,
    "",
    VLOOKUP(BN211,BP$8:BV710,2,FALSE())
)</f>
        <v/>
      </c>
      <c r="BY211" s="113" t="str">
        <f aca="false">IF(BN211&gt;BM$7,
    "",
    VLOOKUP(BN211,BP$8:BV710,3,FALSE())
)</f>
        <v/>
      </c>
      <c r="BZ211" s="113" t="str">
        <f aca="false">IF(BN211&gt;BM$7,
    "",
    VLOOKUP(BN211,BP$8:BV710,4,FALSE())
)</f>
        <v/>
      </c>
      <c r="CA211" s="113" t="str">
        <f aca="false">IF(BN211&gt;BM$7,
    "",
    VLOOKUP(BN211,BP$8:BV710,5,FALSE())
)</f>
        <v/>
      </c>
      <c r="CB211" s="114" t="str">
        <f aca="false">IF(BN211&gt;BM$7,
    "",
    VLOOKUP(BN211,BP$8:BV710,6,FALSE())
)</f>
        <v/>
      </c>
      <c r="CC211" s="53"/>
    </row>
    <row r="212" customFormat="false" ht="15.75" hidden="false" customHeight="false" outlineLevel="0" collapsed="false">
      <c r="A212" s="5"/>
      <c r="B212" s="129"/>
      <c r="C212" s="55"/>
      <c r="D212" s="56"/>
      <c r="E212" s="123"/>
      <c r="F212" s="123"/>
      <c r="G212" s="58"/>
      <c r="H212" s="59"/>
      <c r="I212" s="59"/>
      <c r="J212" s="83"/>
      <c r="K212" s="83"/>
      <c r="L212" s="83"/>
      <c r="M212" s="61"/>
      <c r="N212" s="61"/>
      <c r="O212" s="61"/>
      <c r="P212" s="62"/>
      <c r="Q212" s="63"/>
      <c r="R212" s="83"/>
      <c r="S212" s="65"/>
      <c r="T212" s="66"/>
      <c r="U212" s="66" t="str">
        <f aca="false">IF(ISBLANK($C212),"",IF(G212=Constants!$B$2, TRUE(), IF(G212=Constants!$B$3, FALSE(), TRUE())))</f>
        <v/>
      </c>
      <c r="V212" s="66" t="str">
        <f aca="false">IF(ISBLANK($C212),"",IF(H212=Constants!$B$2, TRUE(), IF(H212=Constants!$B$3, FALSE(), TRUE())))</f>
        <v/>
      </c>
      <c r="W212" s="66" t="str">
        <f aca="false">IF(ISBLANK($C212),"",IF(I212=Constants!$B$2, TRUE(), IF(I212=Constants!$B$3, FALSE(), TRUE())))</f>
        <v/>
      </c>
      <c r="X212" s="66" t="str">
        <f aca="false">IF(ISBLANK($C212),"",IF(AND(ISNUMBER(J212),J212&gt;0),INT(J212),0))</f>
        <v/>
      </c>
      <c r="Y212" s="66" t="str">
        <f aca="false">IF(ISBLANK($C212),"",IF(K212=Constants!$B$2, TRUE(), IF(K212=Constants!$B$3, FALSE(), TRUE())))</f>
        <v/>
      </c>
      <c r="Z212" s="66" t="str">
        <f aca="false">IF(ISBLANK($C212),"",IF(AND(ISNUMBER(L212),L212&gt;0),INT(L212),0))</f>
        <v/>
      </c>
      <c r="AA212" s="68" t="str">
        <f aca="false">IF(ISBLANK($C212),"",IF(ISNUMBER(M212), M212, ""))</f>
        <v/>
      </c>
      <c r="AB212" s="68" t="str">
        <f aca="false">IF(ISBLANK($C212),"",IF(ISNUMBER(N212), N212, ""))</f>
        <v/>
      </c>
      <c r="AC212" s="68" t="str">
        <f aca="false">IF(ISBLANK($C212),"",IF(ISNUMBER(O212), O212, ""))</f>
        <v/>
      </c>
      <c r="AD212" s="69" t="str">
        <f aca="false">IF(ISBLANK($C212),"",IF(ISNUMBER(P212), P212, ""))</f>
        <v/>
      </c>
      <c r="AE212" s="69" t="str">
        <f aca="false">IF(ISBLANK($C212),"",IF(ISNUMBER(Q212), Q212, Constants!$B$13))</f>
        <v/>
      </c>
      <c r="AF212" s="66" t="str">
        <f aca="false">IF(ISBLANK($C212),"",IF(R212=Constants!$B$2, TRUE(), IF(R212=Constants!$B$3, FALSE(), FALSE())))</f>
        <v/>
      </c>
      <c r="AG212" s="66" t="str">
        <f aca="false">IF(ISBLANK(C212), "", IF(AF212, Constants!$B$4,IF(COUNTA(G212:P212)=0, Constants!$B$5, Constants!$B$7)))</f>
        <v/>
      </c>
      <c r="AH212" s="66" t="str">
        <f aca="false">IF(ISBLANK($C212), "",IF($AG212=Constants!$B$7,1,$AG212))</f>
        <v/>
      </c>
      <c r="AI212" s="66" t="str">
        <f aca="false">IF($AG212=Constants!$B$7,POWER(Constants!$B$11,X212)*POWER(Constants!$B$12,Z212),"")</f>
        <v/>
      </c>
      <c r="AJ212" s="66" t="str">
        <f aca="false">IF(AND($AG212=Constants!$B$7, U212, V212) ,IF(OR($AA212="",$AC212=""),"",MAX(0, $AC212-$AA212)),"")</f>
        <v/>
      </c>
      <c r="AK212" s="66" t="str">
        <f aca="false">IF(AND($AG212=Constants!$B$7, U212, V212),IF(OR($AA212="",$AC212=""),$AK$6,""),"")</f>
        <v/>
      </c>
      <c r="AL212" s="66" t="str">
        <f aca="false">IF($AG212=Constants!$B$7,IF(AND(U212,V212,W212,Y212),IF($AJ212="",0,IF($AJ$6=0,Constants!$B$9,Constants!$B$9*AJ212/$AJ$6)), 0),"")</f>
        <v/>
      </c>
      <c r="AM212" s="66" t="str">
        <f aca="false">IF(AL212&lt;&gt;"", AL212*AI212,"")</f>
        <v/>
      </c>
      <c r="AN212" s="66" t="str">
        <f aca="false">IF(AND($AG212=Constants!$B$7, U212, V212) ,IF($AB212="", "", IF(OR($AC212="",$AC212=0),"",MAX(0,1-ABS($AC212-$AB212)/$AC212))),"")</f>
        <v/>
      </c>
      <c r="AO212" s="66" t="str">
        <f aca="false">IF(AND($AG212=Constants!$B$7, U212, V212),IF(AND($AA212&lt;&gt;"",$AB212&lt;&gt;"",$AC212=0),$AO$6,""),"")</f>
        <v/>
      </c>
      <c r="AP212" s="66" t="str">
        <f aca="false">IF($AG212=Constants!$B$7 ,IF(AND(U212,V212,W212,Y212,ISNUMBER(AB212)),IF($AN212="",0,IF($AN$6=0,Constants!$B$10,Constants!$B$10*AN212/$AN$6)), 0),"")</f>
        <v/>
      </c>
      <c r="AQ212" s="66" t="str">
        <f aca="false">IF(AP212&lt;&gt;"", AP212*AI212,"")</f>
        <v/>
      </c>
      <c r="AR212" s="66" t="str">
        <f aca="false">IF($AG212=Constants!$B$7,IF($AD212="",0,IF($AR$6=0,Constants!$B$8,Constants!$B$8*AD212/$AR$6)),"")</f>
        <v/>
      </c>
      <c r="AS212" s="66" t="str">
        <f aca="false">IF($AG212&lt;&gt;Constants!$B$7,$AG212,IF(AK212&amp;AO212&lt;&gt;"",Constants!$B$14,AM212+AQ212+AR212))</f>
        <v/>
      </c>
      <c r="AT212" s="66" t="str">
        <f aca="false">IF(ISBLANK($C212),"",IF($AG212=Constants!$B$7,IF(ISNUMBER(AS212),RANK(AS212,$AS$8:$AS$507),Constants!$B$14),$AG212))</f>
        <v/>
      </c>
      <c r="AU212" s="66" t="str">
        <f aca="false">IF(ISBLANK($C212), "",AM212)</f>
        <v/>
      </c>
      <c r="AV212" s="66" t="str">
        <f aca="false">IF(ISBLANK($C212),"",IF($AG212=Constants!$B$7,RANK(AU212,AU$8:AU$507),$AG212))</f>
        <v/>
      </c>
      <c r="AW212" s="66" t="str">
        <f aca="false">IF(ISBLANK($C212), "",AR212)</f>
        <v/>
      </c>
      <c r="AX212" s="66" t="str">
        <f aca="false">IF(ISBLANK($C212),"",IF($AG212=Constants!$B$7,RANK(AW212,AW$8:AW$507),$AG212))</f>
        <v/>
      </c>
      <c r="AY212" s="66" t="str">
        <f aca="false">IF(ISBLANK($C212), "",AE212)</f>
        <v/>
      </c>
      <c r="AZ212" s="66" t="str">
        <f aca="false">IF(ISBLANK($C212),"",
IF($AG212=Constants!$B$7,
  IF(ISNUMBER(AT212),
    COUNTIFS($AT$8:$AT$507,"&lt;"&amp;$AT212)
    + COUNTIFS($AT$8:$AT$507,$AT212,$AV$8:$AV$507,"&lt;"&amp;$AV212)
    + COUNTIFS($AT$8:$AT$507,$AT212,$AV$8:$AV$507,$AV212,$AX$8:$AX$507,"&lt;"&amp;$AX212)
    + COUNTIFS($AT$8:$AT$507,$AT212,$AV$8:$AV$507,$AV212,$AX$8:$AX$507,$AX212,$AY$8:$AY$507,"&lt;"&amp;$AY212)
    + 1,
  Constants!$B$14),
$AG212))</f>
        <v/>
      </c>
      <c r="BA212" s="66" t="str">
        <f aca="false">IF(ISBLANK(C212),"",IF($AG212=Constants!$B$7, IF(ISNUMBER(AT212),AT212-AZ212,Constants!$B$14),$AG212))</f>
        <v/>
      </c>
      <c r="BB212" s="70"/>
      <c r="BC212" s="84" t="str">
        <f aca="false">IF(ISBLANK($C212),"",TRIM(AK212&amp;" "&amp;AO212))</f>
        <v/>
      </c>
      <c r="BD212" s="72" t="str">
        <f aca="false">IF(ISBLANK($C212),"",IF($AG212&lt;&gt;Constants!$B$7,$AG212,AR212))</f>
        <v/>
      </c>
      <c r="BE212" s="72" t="str">
        <f aca="false">IF(ISBLANK($C212),"",IF($AG212&lt;&gt;Constants!$B$7,$AG212,AM212))</f>
        <v/>
      </c>
      <c r="BF212" s="72" t="str">
        <f aca="false">IF(ISBLANK($C212),"",IF($AG212&lt;&gt;Constants!$B$7,$AG212,AQ212))</f>
        <v/>
      </c>
      <c r="BG212" s="73" t="str">
        <f aca="false">IF(ISBLANK($C212),"",IF($AG212&lt;&gt;Constants!$B$7, $AG212 ,AS212))</f>
        <v/>
      </c>
      <c r="BH212" s="74" t="str">
        <f aca="false">IF(ISBLANK($C212),"",IF($AG212&lt;&gt;Constants!$B$7, $AG212 ,AH212))</f>
        <v/>
      </c>
      <c r="BI212" s="72" t="str">
        <f aca="false">IF(ISBLANK(C212),"",BA212)</f>
        <v/>
      </c>
      <c r="BJ212" s="72" t="str">
        <f aca="false">IF(ISBLANK(C212),"",AZ212)</f>
        <v/>
      </c>
      <c r="BK212" s="75" t="str">
        <f aca="false">IF(ISBLANK(C212),"",IFERROR(_xlfn.SWITCH(BJ212, Constants!$B$4, COUNTA($C$8:$C711)+2, Constants!$B$5, COUNTA($C$8:$C711)+1, Constants!$B$6, COUNTA($C$8:$C711)),BJ212))</f>
        <v/>
      </c>
      <c r="BL212" s="5"/>
      <c r="BM212" s="76" t="n">
        <f aca="false">IF(OR(ISNUMBER(BJ212),BJ212="DQ",BJ212="P",BJ212="NS"),
    1,
    0
)</f>
        <v>0</v>
      </c>
      <c r="BN212" s="76" t="n">
        <v>205</v>
      </c>
      <c r="BO212" s="76" t="str">
        <f aca="false">IF(ISBLANK($C212),"",IF(ISNUMBER(BK212),BK212+ROW($B212)/1000,""))</f>
        <v/>
      </c>
      <c r="BP212" s="76" t="str">
        <f aca="false">IF(ISNUMBER(BO212), RANK(BO212,BO$8:BO$507,1), "")</f>
        <v/>
      </c>
      <c r="BQ212" s="76" t="str">
        <f aca="false">IF(ISBLANK($C212),
    "",
    $B212
)</f>
        <v/>
      </c>
      <c r="BR212" s="76" t="str">
        <f aca="false">IF(ISBLANK($C212),
    "",
    $C212
)</f>
        <v/>
      </c>
      <c r="BS212" s="76" t="str">
        <f aca="false">IF(ISBLANK($C212),
    "",
    $D212
)</f>
        <v/>
      </c>
      <c r="BT212" s="77" t="str">
        <f aca="false">BH212</f>
        <v/>
      </c>
      <c r="BU212" s="78" t="str">
        <f aca="false">BG212</f>
        <v/>
      </c>
      <c r="BV212" s="76" t="str">
        <f aca="false">IF(ISBLANK($C212),
    "",
    BJ212
)</f>
        <v/>
      </c>
      <c r="BW212" s="79" t="str">
        <f aca="false">IF(BN212&gt;BM$7,
    "",
    VLOOKUP(BN212,BP$8:BV711,7,FALSE())
)</f>
        <v/>
      </c>
      <c r="BX212" s="80" t="str">
        <f aca="false">IF(BN212&gt;BM$7,
    "",
    VLOOKUP(BN212,BP$8:BV711,2,FALSE())
)</f>
        <v/>
      </c>
      <c r="BY212" s="80" t="str">
        <f aca="false">IF(BN212&gt;BM$7,
    "",
    VLOOKUP(BN212,BP$8:BV711,3,FALSE())
)</f>
        <v/>
      </c>
      <c r="BZ212" s="80" t="str">
        <f aca="false">IF(BN212&gt;BM$7,
    "",
    VLOOKUP(BN212,BP$8:BV711,4,FALSE())
)</f>
        <v/>
      </c>
      <c r="CA212" s="80" t="str">
        <f aca="false">IF(BN212&gt;BM$7,
    "",
    VLOOKUP(BN212,BP$8:BV711,5,FALSE())
)</f>
        <v/>
      </c>
      <c r="CB212" s="81" t="str">
        <f aca="false">IF(BN212&gt;BM$7,
    "",
    VLOOKUP(BN212,BP$8:BV711,6,FALSE())
)</f>
        <v/>
      </c>
      <c r="CC212" s="53"/>
    </row>
    <row r="213" customFormat="false" ht="15.75" hidden="false" customHeight="false" outlineLevel="0" collapsed="false">
      <c r="A213" s="5"/>
      <c r="B213" s="129"/>
      <c r="C213" s="55"/>
      <c r="D213" s="56"/>
      <c r="E213" s="123"/>
      <c r="F213" s="123"/>
      <c r="G213" s="58"/>
      <c r="H213" s="59"/>
      <c r="I213" s="59"/>
      <c r="J213" s="83"/>
      <c r="K213" s="83"/>
      <c r="L213" s="83"/>
      <c r="M213" s="61"/>
      <c r="N213" s="61"/>
      <c r="O213" s="61"/>
      <c r="P213" s="62"/>
      <c r="Q213" s="63"/>
      <c r="R213" s="83"/>
      <c r="S213" s="65"/>
      <c r="T213" s="66"/>
      <c r="U213" s="66" t="str">
        <f aca="false">IF(ISBLANK($C213),"",IF(G213=Constants!$B$2, TRUE(), IF(G213=Constants!$B$3, FALSE(), TRUE())))</f>
        <v/>
      </c>
      <c r="V213" s="66" t="str">
        <f aca="false">IF(ISBLANK($C213),"",IF(H213=Constants!$B$2, TRUE(), IF(H213=Constants!$B$3, FALSE(), TRUE())))</f>
        <v/>
      </c>
      <c r="W213" s="66" t="str">
        <f aca="false">IF(ISBLANK($C213),"",IF(I213=Constants!$B$2, TRUE(), IF(I213=Constants!$B$3, FALSE(), TRUE())))</f>
        <v/>
      </c>
      <c r="X213" s="66" t="str">
        <f aca="false">IF(ISBLANK($C213),"",IF(AND(ISNUMBER(J213),J213&gt;0),INT(J213),0))</f>
        <v/>
      </c>
      <c r="Y213" s="66" t="str">
        <f aca="false">IF(ISBLANK($C213),"",IF(K213=Constants!$B$2, TRUE(), IF(K213=Constants!$B$3, FALSE(), TRUE())))</f>
        <v/>
      </c>
      <c r="Z213" s="66" t="str">
        <f aca="false">IF(ISBLANK($C213),"",IF(AND(ISNUMBER(L213),L213&gt;0),INT(L213),0))</f>
        <v/>
      </c>
      <c r="AA213" s="68" t="str">
        <f aca="false">IF(ISBLANK($C213),"",IF(ISNUMBER(M213), M213, ""))</f>
        <v/>
      </c>
      <c r="AB213" s="68" t="str">
        <f aca="false">IF(ISBLANK($C213),"",IF(ISNUMBER(N213), N213, ""))</f>
        <v/>
      </c>
      <c r="AC213" s="68" t="str">
        <f aca="false">IF(ISBLANK($C213),"",IF(ISNUMBER(O213), O213, ""))</f>
        <v/>
      </c>
      <c r="AD213" s="69" t="str">
        <f aca="false">IF(ISBLANK($C213),"",IF(ISNUMBER(P213), P213, ""))</f>
        <v/>
      </c>
      <c r="AE213" s="69" t="str">
        <f aca="false">IF(ISBLANK($C213),"",IF(ISNUMBER(Q213), Q213, Constants!$B$13))</f>
        <v/>
      </c>
      <c r="AF213" s="66" t="str">
        <f aca="false">IF(ISBLANK($C213),"",IF(R213=Constants!$B$2, TRUE(), IF(R213=Constants!$B$3, FALSE(), FALSE())))</f>
        <v/>
      </c>
      <c r="AG213" s="66" t="str">
        <f aca="false">IF(ISBLANK(C213), "", IF(AF213, Constants!$B$4,IF(COUNTA(G213:P213)=0, Constants!$B$5, Constants!$B$7)))</f>
        <v/>
      </c>
      <c r="AH213" s="66" t="str">
        <f aca="false">IF(ISBLANK($C213), "",IF($AG213=Constants!$B$7,1,$AG213))</f>
        <v/>
      </c>
      <c r="AI213" s="66" t="str">
        <f aca="false">IF($AG213=Constants!$B$7,POWER(Constants!$B$11,X213)*POWER(Constants!$B$12,Z213),"")</f>
        <v/>
      </c>
      <c r="AJ213" s="66" t="str">
        <f aca="false">IF(AND($AG213=Constants!$B$7, U213, V213) ,IF(OR($AA213="",$AC213=""),"",MAX(0, $AC213-$AA213)),"")</f>
        <v/>
      </c>
      <c r="AK213" s="66" t="str">
        <f aca="false">IF(AND($AG213=Constants!$B$7, U213, V213),IF(OR($AA213="",$AC213=""),$AK$6,""),"")</f>
        <v/>
      </c>
      <c r="AL213" s="66" t="str">
        <f aca="false">IF($AG213=Constants!$B$7,IF(AND(U213,V213,W213,Y213),IF($AJ213="",0,IF($AJ$6=0,Constants!$B$9,Constants!$B$9*AJ213/$AJ$6)), 0),"")</f>
        <v/>
      </c>
      <c r="AM213" s="66" t="str">
        <f aca="false">IF(AL213&lt;&gt;"", AL213*AI213,"")</f>
        <v/>
      </c>
      <c r="AN213" s="66" t="str">
        <f aca="false">IF(AND($AG213=Constants!$B$7, U213, V213) ,IF($AB213="", "", IF(OR($AC213="",$AC213=0),"",MAX(0,1-ABS($AC213-$AB213)/$AC213))),"")</f>
        <v/>
      </c>
      <c r="AO213" s="66" t="str">
        <f aca="false">IF(AND($AG213=Constants!$B$7, U213, V213),IF(AND($AA213&lt;&gt;"",$AB213&lt;&gt;"",$AC213=0),$AO$6,""),"")</f>
        <v/>
      </c>
      <c r="AP213" s="66" t="str">
        <f aca="false">IF($AG213=Constants!$B$7 ,IF(AND(U213,V213,W213,Y213,ISNUMBER(AB213)),IF($AN213="",0,IF($AN$6=0,Constants!$B$10,Constants!$B$10*AN213/$AN$6)), 0),"")</f>
        <v/>
      </c>
      <c r="AQ213" s="66" t="str">
        <f aca="false">IF(AP213&lt;&gt;"", AP213*AI213,"")</f>
        <v/>
      </c>
      <c r="AR213" s="66" t="str">
        <f aca="false">IF($AG213=Constants!$B$7,IF($AD213="",0,IF($AR$6=0,Constants!$B$8,Constants!$B$8*AD213/$AR$6)),"")</f>
        <v/>
      </c>
      <c r="AS213" s="66" t="str">
        <f aca="false">IF($AG213&lt;&gt;Constants!$B$7,$AG213,IF(AK213&amp;AO213&lt;&gt;"",Constants!$B$14,AM213+AQ213+AR213))</f>
        <v/>
      </c>
      <c r="AT213" s="66" t="str">
        <f aca="false">IF(ISBLANK($C213),"",IF($AG213=Constants!$B$7,IF(ISNUMBER(AS213),RANK(AS213,$AS$8:$AS$507),Constants!$B$14),$AG213))</f>
        <v/>
      </c>
      <c r="AU213" s="66" t="str">
        <f aca="false">IF(ISBLANK($C213), "",AM213)</f>
        <v/>
      </c>
      <c r="AV213" s="66" t="str">
        <f aca="false">IF(ISBLANK($C213),"",IF($AG213=Constants!$B$7,RANK(AU213,AU$8:AU$507),$AG213))</f>
        <v/>
      </c>
      <c r="AW213" s="66" t="str">
        <f aca="false">IF(ISBLANK($C213), "",AR213)</f>
        <v/>
      </c>
      <c r="AX213" s="66" t="str">
        <f aca="false">IF(ISBLANK($C213),"",IF($AG213=Constants!$B$7,RANK(AW213,AW$8:AW$507),$AG213))</f>
        <v/>
      </c>
      <c r="AY213" s="66" t="str">
        <f aca="false">IF(ISBLANK($C213), "",AE213)</f>
        <v/>
      </c>
      <c r="AZ213" s="66" t="str">
        <f aca="false">IF(ISBLANK($C213),"",
IF($AG213=Constants!$B$7,
  IF(ISNUMBER(AT213),
    COUNTIFS($AT$8:$AT$507,"&lt;"&amp;$AT213)
    + COUNTIFS($AT$8:$AT$507,$AT213,$AV$8:$AV$507,"&lt;"&amp;$AV213)
    + COUNTIFS($AT$8:$AT$507,$AT213,$AV$8:$AV$507,$AV213,$AX$8:$AX$507,"&lt;"&amp;$AX213)
    + COUNTIFS($AT$8:$AT$507,$AT213,$AV$8:$AV$507,$AV213,$AX$8:$AX$507,$AX213,$AY$8:$AY$507,"&lt;"&amp;$AY213)
    + 1,
  Constants!$B$14),
$AG213))</f>
        <v/>
      </c>
      <c r="BA213" s="66" t="str">
        <f aca="false">IF(ISBLANK(C213),"",IF($AG213=Constants!$B$7, IF(ISNUMBER(AT213),AT213-AZ213,Constants!$B$14),$AG213))</f>
        <v/>
      </c>
      <c r="BB213" s="70"/>
      <c r="BC213" s="84" t="str">
        <f aca="false">IF(ISBLANK($C213),"",TRIM(AK213&amp;" "&amp;AO213))</f>
        <v/>
      </c>
      <c r="BD213" s="72" t="str">
        <f aca="false">IF(ISBLANK($C213),"",IF($AG213&lt;&gt;Constants!$B$7,$AG213,AR213))</f>
        <v/>
      </c>
      <c r="BE213" s="72" t="str">
        <f aca="false">IF(ISBLANK($C213),"",IF($AG213&lt;&gt;Constants!$B$7,$AG213,AM213))</f>
        <v/>
      </c>
      <c r="BF213" s="72" t="str">
        <f aca="false">IF(ISBLANK($C213),"",IF($AG213&lt;&gt;Constants!$B$7,$AG213,AQ213))</f>
        <v/>
      </c>
      <c r="BG213" s="73" t="str">
        <f aca="false">IF(ISBLANK($C213),"",IF($AG213&lt;&gt;Constants!$B$7, $AG213 ,AS213))</f>
        <v/>
      </c>
      <c r="BH213" s="74" t="str">
        <f aca="false">IF(ISBLANK($C213),"",IF($AG213&lt;&gt;Constants!$B$7, $AG213 ,AH213))</f>
        <v/>
      </c>
      <c r="BI213" s="72" t="str">
        <f aca="false">IF(ISBLANK(C213),"",BA213)</f>
        <v/>
      </c>
      <c r="BJ213" s="72" t="str">
        <f aca="false">IF(ISBLANK(C213),"",AZ213)</f>
        <v/>
      </c>
      <c r="BK213" s="75" t="str">
        <f aca="false">IF(ISBLANK(C213),"",IFERROR(_xlfn.SWITCH(BJ213, Constants!$B$4, COUNTA($C$8:$C712)+2, Constants!$B$5, COUNTA($C$8:$C712)+1, Constants!$B$6, COUNTA($C$8:$C712)),BJ213))</f>
        <v/>
      </c>
      <c r="BL213" s="5"/>
      <c r="BM213" s="76" t="n">
        <f aca="false">IF(OR(ISNUMBER(BJ213),BJ213="DQ",BJ213="P",BJ213="NS"),
    1,
    0
)</f>
        <v>0</v>
      </c>
      <c r="BN213" s="76" t="n">
        <v>206</v>
      </c>
      <c r="BO213" s="76" t="str">
        <f aca="false">IF(ISBLANK($C213),"",IF(ISNUMBER(BK213),BK213+ROW($B213)/1000,""))</f>
        <v/>
      </c>
      <c r="BP213" s="76" t="str">
        <f aca="false">IF(ISNUMBER(BO213), RANK(BO213,BO$8:BO$507,1), "")</f>
        <v/>
      </c>
      <c r="BQ213" s="76" t="str">
        <f aca="false">IF(ISBLANK($C213),
    "",
    $B213
)</f>
        <v/>
      </c>
      <c r="BR213" s="76" t="str">
        <f aca="false">IF(ISBLANK($C213),
    "",
    $C213
)</f>
        <v/>
      </c>
      <c r="BS213" s="76" t="str">
        <f aca="false">IF(ISBLANK($C213),
    "",
    $D213
)</f>
        <v/>
      </c>
      <c r="BT213" s="77" t="str">
        <f aca="false">BH213</f>
        <v/>
      </c>
      <c r="BU213" s="78" t="str">
        <f aca="false">BG213</f>
        <v/>
      </c>
      <c r="BV213" s="76" t="str">
        <f aca="false">IF(ISBLANK($C213),
    "",
    BJ213
)</f>
        <v/>
      </c>
      <c r="BW213" s="79" t="str">
        <f aca="false">IF(BN213&gt;BM$7,
    "",
    VLOOKUP(BN213,BP$8:BV712,7,FALSE())
)</f>
        <v/>
      </c>
      <c r="BX213" s="80" t="str">
        <f aca="false">IF(BN213&gt;BM$7,
    "",
    VLOOKUP(BN213,BP$8:BV712,2,FALSE())
)</f>
        <v/>
      </c>
      <c r="BY213" s="80" t="str">
        <f aca="false">IF(BN213&gt;BM$7,
    "",
    VLOOKUP(BN213,BP$8:BV712,3,FALSE())
)</f>
        <v/>
      </c>
      <c r="BZ213" s="80" t="str">
        <f aca="false">IF(BN213&gt;BM$7,
    "",
    VLOOKUP(BN213,BP$8:BV712,4,FALSE())
)</f>
        <v/>
      </c>
      <c r="CA213" s="80" t="str">
        <f aca="false">IF(BN213&gt;BM$7,
    "",
    VLOOKUP(BN213,BP$8:BV712,5,FALSE())
)</f>
        <v/>
      </c>
      <c r="CB213" s="81" t="str">
        <f aca="false">IF(BN213&gt;BM$7,
    "",
    VLOOKUP(BN213,BP$8:BV712,6,FALSE())
)</f>
        <v/>
      </c>
      <c r="CC213" s="53"/>
    </row>
    <row r="214" customFormat="false" ht="15.75" hidden="false" customHeight="false" outlineLevel="0" collapsed="false">
      <c r="A214" s="5"/>
      <c r="B214" s="129"/>
      <c r="C214" s="55"/>
      <c r="D214" s="56"/>
      <c r="E214" s="123"/>
      <c r="F214" s="123"/>
      <c r="G214" s="58"/>
      <c r="H214" s="59"/>
      <c r="I214" s="59"/>
      <c r="J214" s="83"/>
      <c r="K214" s="83"/>
      <c r="L214" s="83"/>
      <c r="M214" s="61"/>
      <c r="N214" s="61"/>
      <c r="O214" s="61"/>
      <c r="P214" s="62"/>
      <c r="Q214" s="63"/>
      <c r="R214" s="83"/>
      <c r="S214" s="65"/>
      <c r="T214" s="66"/>
      <c r="U214" s="66" t="str">
        <f aca="false">IF(ISBLANK($C214),"",IF(G214=Constants!$B$2, TRUE(), IF(G214=Constants!$B$3, FALSE(), TRUE())))</f>
        <v/>
      </c>
      <c r="V214" s="66" t="str">
        <f aca="false">IF(ISBLANK($C214),"",IF(H214=Constants!$B$2, TRUE(), IF(H214=Constants!$B$3, FALSE(), TRUE())))</f>
        <v/>
      </c>
      <c r="W214" s="66" t="str">
        <f aca="false">IF(ISBLANK($C214),"",IF(I214=Constants!$B$2, TRUE(), IF(I214=Constants!$B$3, FALSE(), TRUE())))</f>
        <v/>
      </c>
      <c r="X214" s="66" t="str">
        <f aca="false">IF(ISBLANK($C214),"",IF(AND(ISNUMBER(J214),J214&gt;0),INT(J214),0))</f>
        <v/>
      </c>
      <c r="Y214" s="66" t="str">
        <f aca="false">IF(ISBLANK($C214),"",IF(K214=Constants!$B$2, TRUE(), IF(K214=Constants!$B$3, FALSE(), TRUE())))</f>
        <v/>
      </c>
      <c r="Z214" s="66" t="str">
        <f aca="false">IF(ISBLANK($C214),"",IF(AND(ISNUMBER(L214),L214&gt;0),INT(L214),0))</f>
        <v/>
      </c>
      <c r="AA214" s="68" t="str">
        <f aca="false">IF(ISBLANK($C214),"",IF(ISNUMBER(M214), M214, ""))</f>
        <v/>
      </c>
      <c r="AB214" s="68" t="str">
        <f aca="false">IF(ISBLANK($C214),"",IF(ISNUMBER(N214), N214, ""))</f>
        <v/>
      </c>
      <c r="AC214" s="68" t="str">
        <f aca="false">IF(ISBLANK($C214),"",IF(ISNUMBER(O214), O214, ""))</f>
        <v/>
      </c>
      <c r="AD214" s="69" t="str">
        <f aca="false">IF(ISBLANK($C214),"",IF(ISNUMBER(P214), P214, ""))</f>
        <v/>
      </c>
      <c r="AE214" s="69" t="str">
        <f aca="false">IF(ISBLANK($C214),"",IF(ISNUMBER(Q214), Q214, Constants!$B$13))</f>
        <v/>
      </c>
      <c r="AF214" s="66" t="str">
        <f aca="false">IF(ISBLANK($C214),"",IF(R214=Constants!$B$2, TRUE(), IF(R214=Constants!$B$3, FALSE(), FALSE())))</f>
        <v/>
      </c>
      <c r="AG214" s="66" t="str">
        <f aca="false">IF(ISBLANK(C214), "", IF(AF214, Constants!$B$4,IF(COUNTA(G214:P214)=0, Constants!$B$5, Constants!$B$7)))</f>
        <v/>
      </c>
      <c r="AH214" s="66" t="str">
        <f aca="false">IF(ISBLANK($C214), "",IF($AG214=Constants!$B$7,1,$AG214))</f>
        <v/>
      </c>
      <c r="AI214" s="66" t="str">
        <f aca="false">IF($AG214=Constants!$B$7,POWER(Constants!$B$11,X214)*POWER(Constants!$B$12,Z214),"")</f>
        <v/>
      </c>
      <c r="AJ214" s="66" t="str">
        <f aca="false">IF(AND($AG214=Constants!$B$7, U214, V214) ,IF(OR($AA214="",$AC214=""),"",MAX(0, $AC214-$AA214)),"")</f>
        <v/>
      </c>
      <c r="AK214" s="66" t="str">
        <f aca="false">IF(AND($AG214=Constants!$B$7, U214, V214),IF(OR($AA214="",$AC214=""),$AK$6,""),"")</f>
        <v/>
      </c>
      <c r="AL214" s="66" t="str">
        <f aca="false">IF($AG214=Constants!$B$7,IF(AND(U214,V214,W214,Y214),IF($AJ214="",0,IF($AJ$6=0,Constants!$B$9,Constants!$B$9*AJ214/$AJ$6)), 0),"")</f>
        <v/>
      </c>
      <c r="AM214" s="66" t="str">
        <f aca="false">IF(AL214&lt;&gt;"", AL214*AI214,"")</f>
        <v/>
      </c>
      <c r="AN214" s="66" t="str">
        <f aca="false">IF(AND($AG214=Constants!$B$7, U214, V214) ,IF($AB214="", "", IF(OR($AC214="",$AC214=0),"",MAX(0,1-ABS($AC214-$AB214)/$AC214))),"")</f>
        <v/>
      </c>
      <c r="AO214" s="66" t="str">
        <f aca="false">IF(AND($AG214=Constants!$B$7, U214, V214),IF(AND($AA214&lt;&gt;"",$AB214&lt;&gt;"",$AC214=0),$AO$6,""),"")</f>
        <v/>
      </c>
      <c r="AP214" s="66" t="str">
        <f aca="false">IF($AG214=Constants!$B$7 ,IF(AND(U214,V214,W214,Y214,ISNUMBER(AB214)),IF($AN214="",0,IF($AN$6=0,Constants!$B$10,Constants!$B$10*AN214/$AN$6)), 0),"")</f>
        <v/>
      </c>
      <c r="AQ214" s="66" t="str">
        <f aca="false">IF(AP214&lt;&gt;"", AP214*AI214,"")</f>
        <v/>
      </c>
      <c r="AR214" s="66" t="str">
        <f aca="false">IF($AG214=Constants!$B$7,IF($AD214="",0,IF($AR$6=0,Constants!$B$8,Constants!$B$8*AD214/$AR$6)),"")</f>
        <v/>
      </c>
      <c r="AS214" s="66" t="str">
        <f aca="false">IF($AG214&lt;&gt;Constants!$B$7,$AG214,IF(AK214&amp;AO214&lt;&gt;"",Constants!$B$14,AM214+AQ214+AR214))</f>
        <v/>
      </c>
      <c r="AT214" s="66" t="str">
        <f aca="false">IF(ISBLANK($C214),"",IF($AG214=Constants!$B$7,IF(ISNUMBER(AS214),RANK(AS214,$AS$8:$AS$507),Constants!$B$14),$AG214))</f>
        <v/>
      </c>
      <c r="AU214" s="66" t="str">
        <f aca="false">IF(ISBLANK($C214), "",AM214)</f>
        <v/>
      </c>
      <c r="AV214" s="66" t="str">
        <f aca="false">IF(ISBLANK($C214),"",IF($AG214=Constants!$B$7,RANK(AU214,AU$8:AU$507),$AG214))</f>
        <v/>
      </c>
      <c r="AW214" s="66" t="str">
        <f aca="false">IF(ISBLANK($C214), "",AR214)</f>
        <v/>
      </c>
      <c r="AX214" s="66" t="str">
        <f aca="false">IF(ISBLANK($C214),"",IF($AG214=Constants!$B$7,RANK(AW214,AW$8:AW$507),$AG214))</f>
        <v/>
      </c>
      <c r="AY214" s="66" t="str">
        <f aca="false">IF(ISBLANK($C214), "",AE214)</f>
        <v/>
      </c>
      <c r="AZ214" s="66" t="str">
        <f aca="false">IF(ISBLANK($C214),"",
IF($AG214=Constants!$B$7,
  IF(ISNUMBER(AT214),
    COUNTIFS($AT$8:$AT$507,"&lt;"&amp;$AT214)
    + COUNTIFS($AT$8:$AT$507,$AT214,$AV$8:$AV$507,"&lt;"&amp;$AV214)
    + COUNTIFS($AT$8:$AT$507,$AT214,$AV$8:$AV$507,$AV214,$AX$8:$AX$507,"&lt;"&amp;$AX214)
    + COUNTIFS($AT$8:$AT$507,$AT214,$AV$8:$AV$507,$AV214,$AX$8:$AX$507,$AX214,$AY$8:$AY$507,"&lt;"&amp;$AY214)
    + 1,
  Constants!$B$14),
$AG214))</f>
        <v/>
      </c>
      <c r="BA214" s="66" t="str">
        <f aca="false">IF(ISBLANK(C214),"",IF($AG214=Constants!$B$7, IF(ISNUMBER(AT214),AT214-AZ214,Constants!$B$14),$AG214))</f>
        <v/>
      </c>
      <c r="BB214" s="70"/>
      <c r="BC214" s="84" t="str">
        <f aca="false">IF(ISBLANK($C214),"",TRIM(AK214&amp;" "&amp;AO214))</f>
        <v/>
      </c>
      <c r="BD214" s="72" t="str">
        <f aca="false">IF(ISBLANK($C214),"",IF($AG214&lt;&gt;Constants!$B$7,$AG214,AR214))</f>
        <v/>
      </c>
      <c r="BE214" s="72" t="str">
        <f aca="false">IF(ISBLANK($C214),"",IF($AG214&lt;&gt;Constants!$B$7,$AG214,AM214))</f>
        <v/>
      </c>
      <c r="BF214" s="72" t="str">
        <f aca="false">IF(ISBLANK($C214),"",IF($AG214&lt;&gt;Constants!$B$7,$AG214,AQ214))</f>
        <v/>
      </c>
      <c r="BG214" s="73" t="str">
        <f aca="false">IF(ISBLANK($C214),"",IF($AG214&lt;&gt;Constants!$B$7, $AG214 ,AS214))</f>
        <v/>
      </c>
      <c r="BH214" s="74" t="str">
        <f aca="false">IF(ISBLANK($C214),"",IF($AG214&lt;&gt;Constants!$B$7, $AG214 ,AH214))</f>
        <v/>
      </c>
      <c r="BI214" s="72" t="str">
        <f aca="false">IF(ISBLANK(C214),"",BA214)</f>
        <v/>
      </c>
      <c r="BJ214" s="72" t="str">
        <f aca="false">IF(ISBLANK(C214),"",AZ214)</f>
        <v/>
      </c>
      <c r="BK214" s="75" t="str">
        <f aca="false">IF(ISBLANK(C214),"",IFERROR(_xlfn.SWITCH(BJ214, Constants!$B$4, COUNTA($C$8:$C713)+2, Constants!$B$5, COUNTA($C$8:$C713)+1, Constants!$B$6, COUNTA($C$8:$C713)),BJ214))</f>
        <v/>
      </c>
      <c r="BL214" s="5"/>
      <c r="BM214" s="76" t="n">
        <f aca="false">IF(OR(ISNUMBER(BJ214),BJ214="DQ",BJ214="P",BJ214="NS"),
    1,
    0
)</f>
        <v>0</v>
      </c>
      <c r="BN214" s="76" t="n">
        <v>207</v>
      </c>
      <c r="BO214" s="76" t="str">
        <f aca="false">IF(ISBLANK($C214),"",IF(ISNUMBER(BK214),BK214+ROW($B214)/1000,""))</f>
        <v/>
      </c>
      <c r="BP214" s="76" t="str">
        <f aca="false">IF(ISNUMBER(BO214), RANK(BO214,BO$8:BO$507,1), "")</f>
        <v/>
      </c>
      <c r="BQ214" s="76" t="str">
        <f aca="false">IF(ISBLANK($C214),
    "",
    $B214
)</f>
        <v/>
      </c>
      <c r="BR214" s="76" t="str">
        <f aca="false">IF(ISBLANK($C214),
    "",
    $C214
)</f>
        <v/>
      </c>
      <c r="BS214" s="76" t="str">
        <f aca="false">IF(ISBLANK($C214),
    "",
    $D214
)</f>
        <v/>
      </c>
      <c r="BT214" s="77" t="str">
        <f aca="false">BH214</f>
        <v/>
      </c>
      <c r="BU214" s="78" t="str">
        <f aca="false">BG214</f>
        <v/>
      </c>
      <c r="BV214" s="76" t="str">
        <f aca="false">IF(ISBLANK($C214),
    "",
    BJ214
)</f>
        <v/>
      </c>
      <c r="BW214" s="79" t="str">
        <f aca="false">IF(BN214&gt;BM$7,
    "",
    VLOOKUP(BN214,BP$8:BV713,7,FALSE())
)</f>
        <v/>
      </c>
      <c r="BX214" s="80" t="str">
        <f aca="false">IF(BN214&gt;BM$7,
    "",
    VLOOKUP(BN214,BP$8:BV713,2,FALSE())
)</f>
        <v/>
      </c>
      <c r="BY214" s="80" t="str">
        <f aca="false">IF(BN214&gt;BM$7,
    "",
    VLOOKUP(BN214,BP$8:BV713,3,FALSE())
)</f>
        <v/>
      </c>
      <c r="BZ214" s="80" t="str">
        <f aca="false">IF(BN214&gt;BM$7,
    "",
    VLOOKUP(BN214,BP$8:BV713,4,FALSE())
)</f>
        <v/>
      </c>
      <c r="CA214" s="80" t="str">
        <f aca="false">IF(BN214&gt;BM$7,
    "",
    VLOOKUP(BN214,BP$8:BV713,5,FALSE())
)</f>
        <v/>
      </c>
      <c r="CB214" s="81" t="str">
        <f aca="false">IF(BN214&gt;BM$7,
    "",
    VLOOKUP(BN214,BP$8:BV713,6,FALSE())
)</f>
        <v/>
      </c>
      <c r="CC214" s="53"/>
    </row>
    <row r="215" customFormat="false" ht="15.75" hidden="false" customHeight="false" outlineLevel="0" collapsed="false">
      <c r="A215" s="5"/>
      <c r="B215" s="125"/>
      <c r="C215" s="126"/>
      <c r="D215" s="115"/>
      <c r="E215" s="119"/>
      <c r="F215" s="119"/>
      <c r="G215" s="91"/>
      <c r="H215" s="92"/>
      <c r="I215" s="92"/>
      <c r="J215" s="128"/>
      <c r="K215" s="128"/>
      <c r="L215" s="128"/>
      <c r="M215" s="94"/>
      <c r="N215" s="94"/>
      <c r="O215" s="94"/>
      <c r="P215" s="95"/>
      <c r="Q215" s="96"/>
      <c r="R215" s="128"/>
      <c r="S215" s="98"/>
      <c r="T215" s="99"/>
      <c r="U215" s="99" t="str">
        <f aca="false">IF(ISBLANK($C215),"",IF(G215=Constants!$B$2, TRUE(), IF(G215=Constants!$B$3, FALSE(), TRUE())))</f>
        <v/>
      </c>
      <c r="V215" s="99" t="str">
        <f aca="false">IF(ISBLANK($C215),"",IF(H215=Constants!$B$2, TRUE(), IF(H215=Constants!$B$3, FALSE(), TRUE())))</f>
        <v/>
      </c>
      <c r="W215" s="99" t="str">
        <f aca="false">IF(ISBLANK($C215),"",IF(I215=Constants!$B$2, TRUE(), IF(I215=Constants!$B$3, FALSE(), TRUE())))</f>
        <v/>
      </c>
      <c r="X215" s="99" t="str">
        <f aca="false">IF(ISBLANK($C215),"",IF(AND(ISNUMBER(J215),J215&gt;0),INT(J215),0))</f>
        <v/>
      </c>
      <c r="Y215" s="99" t="str">
        <f aca="false">IF(ISBLANK($C215),"",IF(K215=Constants!$B$2, TRUE(), IF(K215=Constants!$B$3, FALSE(), TRUE())))</f>
        <v/>
      </c>
      <c r="Z215" s="100" t="str">
        <f aca="false">IF(ISBLANK($C215),"",IF(AND(ISNUMBER(L215),L215&gt;0),INT(L215),0))</f>
        <v/>
      </c>
      <c r="AA215" s="101" t="str">
        <f aca="false">IF(ISBLANK($C215),"",IF(ISNUMBER(M215), M215, ""))</f>
        <v/>
      </c>
      <c r="AB215" s="101" t="str">
        <f aca="false">IF(ISBLANK($C215),"",IF(ISNUMBER(N215), N215, ""))</f>
        <v/>
      </c>
      <c r="AC215" s="101" t="str">
        <f aca="false">IF(ISBLANK($C215),"",IF(ISNUMBER(O215), O215, ""))</f>
        <v/>
      </c>
      <c r="AD215" s="102" t="str">
        <f aca="false">IF(ISBLANK($C215),"",IF(ISNUMBER(P215), P215, ""))</f>
        <v/>
      </c>
      <c r="AE215" s="102" t="str">
        <f aca="false">IF(ISBLANK($C215),"",IF(ISNUMBER(Q215), Q215, Constants!$B$13))</f>
        <v/>
      </c>
      <c r="AF215" s="99" t="str">
        <f aca="false">IF(ISBLANK($C215),"",IF(R215=Constants!$B$2, TRUE(), IF(R215=Constants!$B$3, FALSE(), FALSE())))</f>
        <v/>
      </c>
      <c r="AG215" s="99" t="str">
        <f aca="false">IF(ISBLANK(C215), "", IF(AF215, Constants!$B$4,IF(COUNTA(G215:P215)=0, Constants!$B$5, Constants!$B$7)))</f>
        <v/>
      </c>
      <c r="AH215" s="99" t="str">
        <f aca="false">IF(ISBLANK($C215), "",IF($AG215=Constants!$B$7,1,$AG215))</f>
        <v/>
      </c>
      <c r="AI215" s="99" t="str">
        <f aca="false">IF($AG215=Constants!$B$7,POWER(Constants!$B$11,X215)*POWER(Constants!$B$12,Z215),"")</f>
        <v/>
      </c>
      <c r="AJ215" s="99" t="str">
        <f aca="false">IF(AND($AG215=Constants!$B$7, U215, V215) ,IF(OR($AA215="",$AC215=""),"",MAX(0, $AC215-$AA215)),"")</f>
        <v/>
      </c>
      <c r="AK215" s="99" t="str">
        <f aca="false">IF(AND($AG215=Constants!$B$7, U215, V215),IF(OR($AA215="",$AC215=""),$AK$6,""),"")</f>
        <v/>
      </c>
      <c r="AL215" s="99" t="str">
        <f aca="false">IF($AG215=Constants!$B$7,IF(AND(U215,V215,W215,Y215),IF($AJ215="",0,IF($AJ$6=0,Constants!$B$9,Constants!$B$9*AJ215/$AJ$6)), 0),"")</f>
        <v/>
      </c>
      <c r="AM215" s="99" t="str">
        <f aca="false">IF(AL215&lt;&gt;"", AL215*AI215,"")</f>
        <v/>
      </c>
      <c r="AN215" s="99" t="str">
        <f aca="false">IF(AND($AG215=Constants!$B$7, U215, V215) ,IF($AB215="", "", IF(OR($AC215="",$AC215=0),"",MAX(0,1-ABS($AC215-$AB215)/$AC215))),"")</f>
        <v/>
      </c>
      <c r="AO215" s="99" t="str">
        <f aca="false">IF(AND($AG215=Constants!$B$7, U215, V215),IF(AND($AA215&lt;&gt;"",$AB215&lt;&gt;"",$AC215=0),$AO$6,""),"")</f>
        <v/>
      </c>
      <c r="AP215" s="99" t="str">
        <f aca="false">IF($AG215=Constants!$B$7 ,IF(AND(U215,V215,W215,Y215,ISNUMBER(AB215)),IF($AN215="",0,IF($AN$6=0,Constants!$B$10,Constants!$B$10*AN215/$AN$6)), 0),"")</f>
        <v/>
      </c>
      <c r="AQ215" s="99" t="str">
        <f aca="false">IF(AP215&lt;&gt;"", AP215*AI215,"")</f>
        <v/>
      </c>
      <c r="AR215" s="99" t="str">
        <f aca="false">IF($AG215=Constants!$B$7,IF($AD215="",0,IF($AR$6=0,Constants!$B$8,Constants!$B$8*AD215/$AR$6)),"")</f>
        <v/>
      </c>
      <c r="AS215" s="99" t="str">
        <f aca="false">IF($AG215&lt;&gt;Constants!$B$7,$AG215,IF(AK215&amp;AO215&lt;&gt;"",Constants!$B$14,AM215+AQ215+AR215))</f>
        <v/>
      </c>
      <c r="AT215" s="99" t="str">
        <f aca="false">IF(ISBLANK($C215),"",IF($AG215=Constants!$B$7,IF(ISNUMBER(AS215),RANK(AS215,$AS$8:$AS$507),Constants!$B$14),$AG215))</f>
        <v/>
      </c>
      <c r="AU215" s="99" t="str">
        <f aca="false">IF(ISBLANK($C215), "",AM215)</f>
        <v/>
      </c>
      <c r="AV215" s="99" t="str">
        <f aca="false">IF(ISBLANK($C215),"",IF($AG215=Constants!$B$7,RANK(AU215,AU$8:AU$507),$AG215))</f>
        <v/>
      </c>
      <c r="AW215" s="99" t="str">
        <f aca="false">IF(ISBLANK($C215), "",AR215)</f>
        <v/>
      </c>
      <c r="AX215" s="99" t="str">
        <f aca="false">IF(ISBLANK($C215),"",IF($AG215=Constants!$B$7,RANK(AW215,AW$8:AW$507),$AG215))</f>
        <v/>
      </c>
      <c r="AY215" s="99" t="str">
        <f aca="false">IF(ISBLANK($C215), "",AE215)</f>
        <v/>
      </c>
      <c r="AZ215" s="99" t="str">
        <f aca="false">IF(ISBLANK($C215),"",
IF($AG215=Constants!$B$7,
  IF(ISNUMBER(AT215),
    COUNTIFS($AT$8:$AT$507,"&lt;"&amp;$AT215)
    + COUNTIFS($AT$8:$AT$507,$AT215,$AV$8:$AV$507,"&lt;"&amp;$AV215)
    + COUNTIFS($AT$8:$AT$507,$AT215,$AV$8:$AV$507,$AV215,$AX$8:$AX$507,"&lt;"&amp;$AX215)
    + COUNTIFS($AT$8:$AT$507,$AT215,$AV$8:$AV$507,$AV215,$AX$8:$AX$507,$AX215,$AY$8:$AY$507,"&lt;"&amp;$AY215)
    + 1,
  Constants!$B$14),
$AG215))</f>
        <v/>
      </c>
      <c r="BA215" s="99" t="str">
        <f aca="false">IF(ISBLANK(C215),"",IF($AG215=Constants!$B$7, IF(ISNUMBER(AT215),AT215-AZ215,Constants!$B$14),$AG215))</f>
        <v/>
      </c>
      <c r="BB215" s="103"/>
      <c r="BC215" s="104" t="str">
        <f aca="false">IF(ISBLANK($C215),"",TRIM(AK215&amp;" "&amp;AO215))</f>
        <v/>
      </c>
      <c r="BD215" s="105" t="str">
        <f aca="false">IF(ISBLANK($C215),"",IF($AG215&lt;&gt;Constants!$B$7,$AG215,AR215))</f>
        <v/>
      </c>
      <c r="BE215" s="105" t="str">
        <f aca="false">IF(ISBLANK($C215),"",IF($AG215&lt;&gt;Constants!$B$7,$AG215,AM215))</f>
        <v/>
      </c>
      <c r="BF215" s="105" t="str">
        <f aca="false">IF(ISBLANK($C215),"",IF($AG215&lt;&gt;Constants!$B$7,$AG215,AQ215))</f>
        <v/>
      </c>
      <c r="BG215" s="106" t="str">
        <f aca="false">IF(ISBLANK($C215),"",IF($AG215&lt;&gt;Constants!$B$7, $AG215 ,AS215))</f>
        <v/>
      </c>
      <c r="BH215" s="107" t="str">
        <f aca="false">IF(ISBLANK($C215),"",IF($AG215&lt;&gt;Constants!$B$7, $AG215 ,AH215))</f>
        <v/>
      </c>
      <c r="BI215" s="105" t="str">
        <f aca="false">IF(ISBLANK(C215),"",BA215)</f>
        <v/>
      </c>
      <c r="BJ215" s="105" t="str">
        <f aca="false">IF(ISBLANK(C215),"",AZ215)</f>
        <v/>
      </c>
      <c r="BK215" s="108" t="str">
        <f aca="false">IF(ISBLANK(C215),"",IFERROR(_xlfn.SWITCH(BJ215, Constants!$B$4, COUNTA($C$8:$C714)+2, Constants!$B$5, COUNTA($C$8:$C714)+1, Constants!$B$6, COUNTA($C$8:$C714)),BJ215))</f>
        <v/>
      </c>
      <c r="BL215" s="5"/>
      <c r="BM215" s="109" t="n">
        <f aca="false">IF(OR(ISNUMBER(BJ215),BJ215="DQ",BJ215="P",BJ215="NS"),
    1,
    0
)</f>
        <v>0</v>
      </c>
      <c r="BN215" s="109" t="n">
        <v>208</v>
      </c>
      <c r="BO215" s="109" t="str">
        <f aca="false">IF(ISBLANK($C215),"",IF(ISNUMBER(BK215),BK215+ROW($B215)/1000,""))</f>
        <v/>
      </c>
      <c r="BP215" s="109" t="str">
        <f aca="false">IF(ISNUMBER(BO215), RANK(BO215,BO$8:BO$507,1), "")</f>
        <v/>
      </c>
      <c r="BQ215" s="109" t="str">
        <f aca="false">IF(ISBLANK($C215),
    "",
    $B215
)</f>
        <v/>
      </c>
      <c r="BR215" s="109" t="str">
        <f aca="false">IF(ISBLANK($C215),
    "",
    $C215
)</f>
        <v/>
      </c>
      <c r="BS215" s="109" t="str">
        <f aca="false">IF(ISBLANK($C215),
    "",
    $D215
)</f>
        <v/>
      </c>
      <c r="BT215" s="110" t="str">
        <f aca="false">BH215</f>
        <v/>
      </c>
      <c r="BU215" s="111" t="str">
        <f aca="false">BG215</f>
        <v/>
      </c>
      <c r="BV215" s="109" t="str">
        <f aca="false">IF(ISBLANK($C215),
    "",
    BJ215
)</f>
        <v/>
      </c>
      <c r="BW215" s="112" t="str">
        <f aca="false">IF(BN215&gt;BM$7,
    "",
    VLOOKUP(BN215,BP$8:BV714,7,FALSE())
)</f>
        <v/>
      </c>
      <c r="BX215" s="113" t="str">
        <f aca="false">IF(BN215&gt;BM$7,
    "",
    VLOOKUP(BN215,BP$8:BV714,2,FALSE())
)</f>
        <v/>
      </c>
      <c r="BY215" s="113" t="str">
        <f aca="false">IF(BN215&gt;BM$7,
    "",
    VLOOKUP(BN215,BP$8:BV714,3,FALSE())
)</f>
        <v/>
      </c>
      <c r="BZ215" s="113" t="str">
        <f aca="false">IF(BN215&gt;BM$7,
    "",
    VLOOKUP(BN215,BP$8:BV714,4,FALSE())
)</f>
        <v/>
      </c>
      <c r="CA215" s="113" t="str">
        <f aca="false">IF(BN215&gt;BM$7,
    "",
    VLOOKUP(BN215,BP$8:BV714,5,FALSE())
)</f>
        <v/>
      </c>
      <c r="CB215" s="114" t="str">
        <f aca="false">IF(BN215&gt;BM$7,
    "",
    VLOOKUP(BN215,BP$8:BV714,6,FALSE())
)</f>
        <v/>
      </c>
      <c r="CC215" s="53"/>
    </row>
    <row r="216" customFormat="false" ht="15.75" hidden="false" customHeight="false" outlineLevel="0" collapsed="false">
      <c r="A216" s="5"/>
      <c r="B216" s="125"/>
      <c r="C216" s="126"/>
      <c r="D216" s="115"/>
      <c r="E216" s="119"/>
      <c r="F216" s="119"/>
      <c r="G216" s="91"/>
      <c r="H216" s="92"/>
      <c r="I216" s="92"/>
      <c r="J216" s="128"/>
      <c r="K216" s="128"/>
      <c r="L216" s="128"/>
      <c r="M216" s="94"/>
      <c r="N216" s="94"/>
      <c r="O216" s="94"/>
      <c r="P216" s="95"/>
      <c r="Q216" s="96"/>
      <c r="R216" s="128"/>
      <c r="S216" s="98"/>
      <c r="T216" s="99"/>
      <c r="U216" s="99" t="str">
        <f aca="false">IF(ISBLANK($C216),"",IF(G216=Constants!$B$2, TRUE(), IF(G216=Constants!$B$3, FALSE(), TRUE())))</f>
        <v/>
      </c>
      <c r="V216" s="99" t="str">
        <f aca="false">IF(ISBLANK($C216),"",IF(H216=Constants!$B$2, TRUE(), IF(H216=Constants!$B$3, FALSE(), TRUE())))</f>
        <v/>
      </c>
      <c r="W216" s="99" t="str">
        <f aca="false">IF(ISBLANK($C216),"",IF(I216=Constants!$B$2, TRUE(), IF(I216=Constants!$B$3, FALSE(), TRUE())))</f>
        <v/>
      </c>
      <c r="X216" s="99" t="str">
        <f aca="false">IF(ISBLANK($C216),"",IF(AND(ISNUMBER(J216),J216&gt;0),INT(J216),0))</f>
        <v/>
      </c>
      <c r="Y216" s="99" t="str">
        <f aca="false">IF(ISBLANK($C216),"",IF(K216=Constants!$B$2, TRUE(), IF(K216=Constants!$B$3, FALSE(), TRUE())))</f>
        <v/>
      </c>
      <c r="Z216" s="100" t="str">
        <f aca="false">IF(ISBLANK($C216),"",IF(AND(ISNUMBER(L216),L216&gt;0),INT(L216),0))</f>
        <v/>
      </c>
      <c r="AA216" s="101" t="str">
        <f aca="false">IF(ISBLANK($C216),"",IF(ISNUMBER(M216), M216, ""))</f>
        <v/>
      </c>
      <c r="AB216" s="101" t="str">
        <f aca="false">IF(ISBLANK($C216),"",IF(ISNUMBER(N216), N216, ""))</f>
        <v/>
      </c>
      <c r="AC216" s="101" t="str">
        <f aca="false">IF(ISBLANK($C216),"",IF(ISNUMBER(O216), O216, ""))</f>
        <v/>
      </c>
      <c r="AD216" s="102" t="str">
        <f aca="false">IF(ISBLANK($C216),"",IF(ISNUMBER(P216), P216, ""))</f>
        <v/>
      </c>
      <c r="AE216" s="102" t="str">
        <f aca="false">IF(ISBLANK($C216),"",IF(ISNUMBER(Q216), Q216, Constants!$B$13))</f>
        <v/>
      </c>
      <c r="AF216" s="99" t="str">
        <f aca="false">IF(ISBLANK($C216),"",IF(R216=Constants!$B$2, TRUE(), IF(R216=Constants!$B$3, FALSE(), FALSE())))</f>
        <v/>
      </c>
      <c r="AG216" s="99" t="str">
        <f aca="false">IF(ISBLANK(C216), "", IF(AF216, Constants!$B$4,IF(COUNTA(G216:P216)=0, Constants!$B$5, Constants!$B$7)))</f>
        <v/>
      </c>
      <c r="AH216" s="99" t="str">
        <f aca="false">IF(ISBLANK($C216), "",IF($AG216=Constants!$B$7,1,$AG216))</f>
        <v/>
      </c>
      <c r="AI216" s="99" t="str">
        <f aca="false">IF($AG216=Constants!$B$7,POWER(Constants!$B$11,X216)*POWER(Constants!$B$12,Z216),"")</f>
        <v/>
      </c>
      <c r="AJ216" s="99" t="str">
        <f aca="false">IF(AND($AG216=Constants!$B$7, U216, V216) ,IF(OR($AA216="",$AC216=""),"",MAX(0, $AC216-$AA216)),"")</f>
        <v/>
      </c>
      <c r="AK216" s="99" t="str">
        <f aca="false">IF(AND($AG216=Constants!$B$7, U216, V216),IF(OR($AA216="",$AC216=""),$AK$6,""),"")</f>
        <v/>
      </c>
      <c r="AL216" s="99" t="str">
        <f aca="false">IF($AG216=Constants!$B$7,IF(AND(U216,V216,W216,Y216),IF($AJ216="",0,IF($AJ$6=0,Constants!$B$9,Constants!$B$9*AJ216/$AJ$6)), 0),"")</f>
        <v/>
      </c>
      <c r="AM216" s="99" t="str">
        <f aca="false">IF(AL216&lt;&gt;"", AL216*AI216,"")</f>
        <v/>
      </c>
      <c r="AN216" s="99" t="str">
        <f aca="false">IF(AND($AG216=Constants!$B$7, U216, V216) ,IF($AB216="", "", IF(OR($AC216="",$AC216=0),"",MAX(0,1-ABS($AC216-$AB216)/$AC216))),"")</f>
        <v/>
      </c>
      <c r="AO216" s="99" t="str">
        <f aca="false">IF(AND($AG216=Constants!$B$7, U216, V216),IF(AND($AA216&lt;&gt;"",$AB216&lt;&gt;"",$AC216=0),$AO$6,""),"")</f>
        <v/>
      </c>
      <c r="AP216" s="99" t="str">
        <f aca="false">IF($AG216=Constants!$B$7 ,IF(AND(U216,V216,W216,Y216,ISNUMBER(AB216)),IF($AN216="",0,IF($AN$6=0,Constants!$B$10,Constants!$B$10*AN216/$AN$6)), 0),"")</f>
        <v/>
      </c>
      <c r="AQ216" s="99" t="str">
        <f aca="false">IF(AP216&lt;&gt;"", AP216*AI216,"")</f>
        <v/>
      </c>
      <c r="AR216" s="99" t="str">
        <f aca="false">IF($AG216=Constants!$B$7,IF($AD216="",0,IF($AR$6=0,Constants!$B$8,Constants!$B$8*AD216/$AR$6)),"")</f>
        <v/>
      </c>
      <c r="AS216" s="99" t="str">
        <f aca="false">IF($AG216&lt;&gt;Constants!$B$7,$AG216,IF(AK216&amp;AO216&lt;&gt;"",Constants!$B$14,AM216+AQ216+AR216))</f>
        <v/>
      </c>
      <c r="AT216" s="99" t="str">
        <f aca="false">IF(ISBLANK($C216),"",IF($AG216=Constants!$B$7,IF(ISNUMBER(AS216),RANK(AS216,$AS$8:$AS$507),Constants!$B$14),$AG216))</f>
        <v/>
      </c>
      <c r="AU216" s="99" t="str">
        <f aca="false">IF(ISBLANK($C216), "",AM216)</f>
        <v/>
      </c>
      <c r="AV216" s="99" t="str">
        <f aca="false">IF(ISBLANK($C216),"",IF($AG216=Constants!$B$7,RANK(AU216,AU$8:AU$507),$AG216))</f>
        <v/>
      </c>
      <c r="AW216" s="99" t="str">
        <f aca="false">IF(ISBLANK($C216), "",AR216)</f>
        <v/>
      </c>
      <c r="AX216" s="99" t="str">
        <f aca="false">IF(ISBLANK($C216),"",IF($AG216=Constants!$B$7,RANK(AW216,AW$8:AW$507),$AG216))</f>
        <v/>
      </c>
      <c r="AY216" s="99" t="str">
        <f aca="false">IF(ISBLANK($C216), "",AE216)</f>
        <v/>
      </c>
      <c r="AZ216" s="99" t="str">
        <f aca="false">IF(ISBLANK($C216),"",
IF($AG216=Constants!$B$7,
  IF(ISNUMBER(AT216),
    COUNTIFS($AT$8:$AT$507,"&lt;"&amp;$AT216)
    + COUNTIFS($AT$8:$AT$507,$AT216,$AV$8:$AV$507,"&lt;"&amp;$AV216)
    + COUNTIFS($AT$8:$AT$507,$AT216,$AV$8:$AV$507,$AV216,$AX$8:$AX$507,"&lt;"&amp;$AX216)
    + COUNTIFS($AT$8:$AT$507,$AT216,$AV$8:$AV$507,$AV216,$AX$8:$AX$507,$AX216,$AY$8:$AY$507,"&lt;"&amp;$AY216)
    + 1,
  Constants!$B$14),
$AG216))</f>
        <v/>
      </c>
      <c r="BA216" s="99" t="str">
        <f aca="false">IF(ISBLANK(C216),"",IF($AG216=Constants!$B$7, IF(ISNUMBER(AT216),AT216-AZ216,Constants!$B$14),$AG216))</f>
        <v/>
      </c>
      <c r="BB216" s="103"/>
      <c r="BC216" s="104" t="str">
        <f aca="false">IF(ISBLANK($C216),"",TRIM(AK216&amp;" "&amp;AO216))</f>
        <v/>
      </c>
      <c r="BD216" s="105" t="str">
        <f aca="false">IF(ISBLANK($C216),"",IF($AG216&lt;&gt;Constants!$B$7,$AG216,AR216))</f>
        <v/>
      </c>
      <c r="BE216" s="105" t="str">
        <f aca="false">IF(ISBLANK($C216),"",IF($AG216&lt;&gt;Constants!$B$7,$AG216,AM216))</f>
        <v/>
      </c>
      <c r="BF216" s="105" t="str">
        <f aca="false">IF(ISBLANK($C216),"",IF($AG216&lt;&gt;Constants!$B$7,$AG216,AQ216))</f>
        <v/>
      </c>
      <c r="BG216" s="106" t="str">
        <f aca="false">IF(ISBLANK($C216),"",IF($AG216&lt;&gt;Constants!$B$7, $AG216 ,AS216))</f>
        <v/>
      </c>
      <c r="BH216" s="107" t="str">
        <f aca="false">IF(ISBLANK($C216),"",IF($AG216&lt;&gt;Constants!$B$7, $AG216 ,AH216))</f>
        <v/>
      </c>
      <c r="BI216" s="105" t="str">
        <f aca="false">IF(ISBLANK(C216),"",BA216)</f>
        <v/>
      </c>
      <c r="BJ216" s="105" t="str">
        <f aca="false">IF(ISBLANK(C216),"",AZ216)</f>
        <v/>
      </c>
      <c r="BK216" s="108" t="str">
        <f aca="false">IF(ISBLANK(C216),"",IFERROR(_xlfn.SWITCH(BJ216, Constants!$B$4, COUNTA($C$8:$C715)+2, Constants!$B$5, COUNTA($C$8:$C715)+1, Constants!$B$6, COUNTA($C$8:$C715)),BJ216))</f>
        <v/>
      </c>
      <c r="BL216" s="5"/>
      <c r="BM216" s="109" t="n">
        <f aca="false">IF(OR(ISNUMBER(BJ216),BJ216="DQ",BJ216="P",BJ216="NS"),
    1,
    0
)</f>
        <v>0</v>
      </c>
      <c r="BN216" s="109" t="n">
        <v>209</v>
      </c>
      <c r="BO216" s="109" t="str">
        <f aca="false">IF(ISBLANK($C216),"",IF(ISNUMBER(BK216),BK216+ROW($B216)/1000,""))</f>
        <v/>
      </c>
      <c r="BP216" s="109" t="str">
        <f aca="false">IF(ISNUMBER(BO216), RANK(BO216,BO$8:BO$507,1), "")</f>
        <v/>
      </c>
      <c r="BQ216" s="109" t="str">
        <f aca="false">IF(ISBLANK($C216),
    "",
    $B216
)</f>
        <v/>
      </c>
      <c r="BR216" s="109" t="str">
        <f aca="false">IF(ISBLANK($C216),
    "",
    $C216
)</f>
        <v/>
      </c>
      <c r="BS216" s="109" t="str">
        <f aca="false">IF(ISBLANK($C216),
    "",
    $D216
)</f>
        <v/>
      </c>
      <c r="BT216" s="110" t="str">
        <f aca="false">BH216</f>
        <v/>
      </c>
      <c r="BU216" s="111" t="str">
        <f aca="false">BG216</f>
        <v/>
      </c>
      <c r="BV216" s="109" t="str">
        <f aca="false">IF(ISBLANK($C216),
    "",
    BJ216
)</f>
        <v/>
      </c>
      <c r="BW216" s="112" t="str">
        <f aca="false">IF(BN216&gt;BM$7,
    "",
    VLOOKUP(BN216,BP$8:BV715,7,FALSE())
)</f>
        <v/>
      </c>
      <c r="BX216" s="113" t="str">
        <f aca="false">IF(BN216&gt;BM$7,
    "",
    VLOOKUP(BN216,BP$8:BV715,2,FALSE())
)</f>
        <v/>
      </c>
      <c r="BY216" s="113" t="str">
        <f aca="false">IF(BN216&gt;BM$7,
    "",
    VLOOKUP(BN216,BP$8:BV715,3,FALSE())
)</f>
        <v/>
      </c>
      <c r="BZ216" s="113" t="str">
        <f aca="false">IF(BN216&gt;BM$7,
    "",
    VLOOKUP(BN216,BP$8:BV715,4,FALSE())
)</f>
        <v/>
      </c>
      <c r="CA216" s="113" t="str">
        <f aca="false">IF(BN216&gt;BM$7,
    "",
    VLOOKUP(BN216,BP$8:BV715,5,FALSE())
)</f>
        <v/>
      </c>
      <c r="CB216" s="114" t="str">
        <f aca="false">IF(BN216&gt;BM$7,
    "",
    VLOOKUP(BN216,BP$8:BV715,6,FALSE())
)</f>
        <v/>
      </c>
      <c r="CC216" s="53"/>
    </row>
    <row r="217" customFormat="false" ht="15.75" hidden="false" customHeight="false" outlineLevel="0" collapsed="false">
      <c r="A217" s="5"/>
      <c r="B217" s="125"/>
      <c r="C217" s="126"/>
      <c r="D217" s="115"/>
      <c r="E217" s="119"/>
      <c r="F217" s="119"/>
      <c r="G217" s="91"/>
      <c r="H217" s="92"/>
      <c r="I217" s="92"/>
      <c r="J217" s="128"/>
      <c r="K217" s="128"/>
      <c r="L217" s="128"/>
      <c r="M217" s="94"/>
      <c r="N217" s="94"/>
      <c r="O217" s="94"/>
      <c r="P217" s="95"/>
      <c r="Q217" s="96"/>
      <c r="R217" s="128"/>
      <c r="S217" s="98"/>
      <c r="T217" s="99"/>
      <c r="U217" s="99" t="str">
        <f aca="false">IF(ISBLANK($C217),"",IF(G217=Constants!$B$2, TRUE(), IF(G217=Constants!$B$3, FALSE(), TRUE())))</f>
        <v/>
      </c>
      <c r="V217" s="99" t="str">
        <f aca="false">IF(ISBLANK($C217),"",IF(H217=Constants!$B$2, TRUE(), IF(H217=Constants!$B$3, FALSE(), TRUE())))</f>
        <v/>
      </c>
      <c r="W217" s="99" t="str">
        <f aca="false">IF(ISBLANK($C217),"",IF(I217=Constants!$B$2, TRUE(), IF(I217=Constants!$B$3, FALSE(), TRUE())))</f>
        <v/>
      </c>
      <c r="X217" s="99" t="str">
        <f aca="false">IF(ISBLANK($C217),"",IF(AND(ISNUMBER(J217),J217&gt;0),INT(J217),0))</f>
        <v/>
      </c>
      <c r="Y217" s="99" t="str">
        <f aca="false">IF(ISBLANK($C217),"",IF(K217=Constants!$B$2, TRUE(), IF(K217=Constants!$B$3, FALSE(), TRUE())))</f>
        <v/>
      </c>
      <c r="Z217" s="100" t="str">
        <f aca="false">IF(ISBLANK($C217),"",IF(AND(ISNUMBER(L217),L217&gt;0),INT(L217),0))</f>
        <v/>
      </c>
      <c r="AA217" s="101" t="str">
        <f aca="false">IF(ISBLANK($C217),"",IF(ISNUMBER(M217), M217, ""))</f>
        <v/>
      </c>
      <c r="AB217" s="101" t="str">
        <f aca="false">IF(ISBLANK($C217),"",IF(ISNUMBER(N217), N217, ""))</f>
        <v/>
      </c>
      <c r="AC217" s="101" t="str">
        <f aca="false">IF(ISBLANK($C217),"",IF(ISNUMBER(O217), O217, ""))</f>
        <v/>
      </c>
      <c r="AD217" s="102" t="str">
        <f aca="false">IF(ISBLANK($C217),"",IF(ISNUMBER(P217), P217, ""))</f>
        <v/>
      </c>
      <c r="AE217" s="102" t="str">
        <f aca="false">IF(ISBLANK($C217),"",IF(ISNUMBER(Q217), Q217, Constants!$B$13))</f>
        <v/>
      </c>
      <c r="AF217" s="99" t="str">
        <f aca="false">IF(ISBLANK($C217),"",IF(R217=Constants!$B$2, TRUE(), IF(R217=Constants!$B$3, FALSE(), FALSE())))</f>
        <v/>
      </c>
      <c r="AG217" s="99" t="str">
        <f aca="false">IF(ISBLANK(C217), "", IF(AF217, Constants!$B$4,IF(COUNTA(G217:P217)=0, Constants!$B$5, Constants!$B$7)))</f>
        <v/>
      </c>
      <c r="AH217" s="99" t="str">
        <f aca="false">IF(ISBLANK($C217), "",IF($AG217=Constants!$B$7,1,$AG217))</f>
        <v/>
      </c>
      <c r="AI217" s="99" t="str">
        <f aca="false">IF($AG217=Constants!$B$7,POWER(Constants!$B$11,X217)*POWER(Constants!$B$12,Z217),"")</f>
        <v/>
      </c>
      <c r="AJ217" s="99" t="str">
        <f aca="false">IF(AND($AG217=Constants!$B$7, U217, V217) ,IF(OR($AA217="",$AC217=""),"",MAX(0, $AC217-$AA217)),"")</f>
        <v/>
      </c>
      <c r="AK217" s="99" t="str">
        <f aca="false">IF(AND($AG217=Constants!$B$7, U217, V217),IF(OR($AA217="",$AC217=""),$AK$6,""),"")</f>
        <v/>
      </c>
      <c r="AL217" s="99" t="str">
        <f aca="false">IF($AG217=Constants!$B$7,IF(AND(U217,V217,W217,Y217),IF($AJ217="",0,IF($AJ$6=0,Constants!$B$9,Constants!$B$9*AJ217/$AJ$6)), 0),"")</f>
        <v/>
      </c>
      <c r="AM217" s="99" t="str">
        <f aca="false">IF(AL217&lt;&gt;"", AL217*AI217,"")</f>
        <v/>
      </c>
      <c r="AN217" s="99" t="str">
        <f aca="false">IF(AND($AG217=Constants!$B$7, U217, V217) ,IF($AB217="", "", IF(OR($AC217="",$AC217=0),"",MAX(0,1-ABS($AC217-$AB217)/$AC217))),"")</f>
        <v/>
      </c>
      <c r="AO217" s="99" t="str">
        <f aca="false">IF(AND($AG217=Constants!$B$7, U217, V217),IF(AND($AA217&lt;&gt;"",$AB217&lt;&gt;"",$AC217=0),$AO$6,""),"")</f>
        <v/>
      </c>
      <c r="AP217" s="99" t="str">
        <f aca="false">IF($AG217=Constants!$B$7 ,IF(AND(U217,V217,W217,Y217,ISNUMBER(AB217)),IF($AN217="",0,IF($AN$6=0,Constants!$B$10,Constants!$B$10*AN217/$AN$6)), 0),"")</f>
        <v/>
      </c>
      <c r="AQ217" s="99" t="str">
        <f aca="false">IF(AP217&lt;&gt;"", AP217*AI217,"")</f>
        <v/>
      </c>
      <c r="AR217" s="99" t="str">
        <f aca="false">IF($AG217=Constants!$B$7,IF($AD217="",0,IF($AR$6=0,Constants!$B$8,Constants!$B$8*AD217/$AR$6)),"")</f>
        <v/>
      </c>
      <c r="AS217" s="99" t="str">
        <f aca="false">IF($AG217&lt;&gt;Constants!$B$7,$AG217,IF(AK217&amp;AO217&lt;&gt;"",Constants!$B$14,AM217+AQ217+AR217))</f>
        <v/>
      </c>
      <c r="AT217" s="99" t="str">
        <f aca="false">IF(ISBLANK($C217),"",IF($AG217=Constants!$B$7,IF(ISNUMBER(AS217),RANK(AS217,$AS$8:$AS$507),Constants!$B$14),$AG217))</f>
        <v/>
      </c>
      <c r="AU217" s="99" t="str">
        <f aca="false">IF(ISBLANK($C217), "",AM217)</f>
        <v/>
      </c>
      <c r="AV217" s="99" t="str">
        <f aca="false">IF(ISBLANK($C217),"",IF($AG217=Constants!$B$7,RANK(AU217,AU$8:AU$507),$AG217))</f>
        <v/>
      </c>
      <c r="AW217" s="99" t="str">
        <f aca="false">IF(ISBLANK($C217), "",AR217)</f>
        <v/>
      </c>
      <c r="AX217" s="99" t="str">
        <f aca="false">IF(ISBLANK($C217),"",IF($AG217=Constants!$B$7,RANK(AW217,AW$8:AW$507),$AG217))</f>
        <v/>
      </c>
      <c r="AY217" s="99" t="str">
        <f aca="false">IF(ISBLANK($C217), "",AE217)</f>
        <v/>
      </c>
      <c r="AZ217" s="99" t="str">
        <f aca="false">IF(ISBLANK($C217),"",
IF($AG217=Constants!$B$7,
  IF(ISNUMBER(AT217),
    COUNTIFS($AT$8:$AT$507,"&lt;"&amp;$AT217)
    + COUNTIFS($AT$8:$AT$507,$AT217,$AV$8:$AV$507,"&lt;"&amp;$AV217)
    + COUNTIFS($AT$8:$AT$507,$AT217,$AV$8:$AV$507,$AV217,$AX$8:$AX$507,"&lt;"&amp;$AX217)
    + COUNTIFS($AT$8:$AT$507,$AT217,$AV$8:$AV$507,$AV217,$AX$8:$AX$507,$AX217,$AY$8:$AY$507,"&lt;"&amp;$AY217)
    + 1,
  Constants!$B$14),
$AG217))</f>
        <v/>
      </c>
      <c r="BA217" s="99" t="str">
        <f aca="false">IF(ISBLANK(C217),"",IF($AG217=Constants!$B$7, IF(ISNUMBER(AT217),AT217-AZ217,Constants!$B$14),$AG217))</f>
        <v/>
      </c>
      <c r="BB217" s="103"/>
      <c r="BC217" s="104" t="str">
        <f aca="false">IF(ISBLANK($C217),"",TRIM(AK217&amp;" "&amp;AO217))</f>
        <v/>
      </c>
      <c r="BD217" s="105" t="str">
        <f aca="false">IF(ISBLANK($C217),"",IF($AG217&lt;&gt;Constants!$B$7,$AG217,AR217))</f>
        <v/>
      </c>
      <c r="BE217" s="105" t="str">
        <f aca="false">IF(ISBLANK($C217),"",IF($AG217&lt;&gt;Constants!$B$7,$AG217,AM217))</f>
        <v/>
      </c>
      <c r="BF217" s="105" t="str">
        <f aca="false">IF(ISBLANK($C217),"",IF($AG217&lt;&gt;Constants!$B$7,$AG217,AQ217))</f>
        <v/>
      </c>
      <c r="BG217" s="106" t="str">
        <f aca="false">IF(ISBLANK($C217),"",IF($AG217&lt;&gt;Constants!$B$7, $AG217 ,AS217))</f>
        <v/>
      </c>
      <c r="BH217" s="107" t="str">
        <f aca="false">IF(ISBLANK($C217),"",IF($AG217&lt;&gt;Constants!$B$7, $AG217 ,AH217))</f>
        <v/>
      </c>
      <c r="BI217" s="105" t="str">
        <f aca="false">IF(ISBLANK(C217),"",BA217)</f>
        <v/>
      </c>
      <c r="BJ217" s="105" t="str">
        <f aca="false">IF(ISBLANK(C217),"",AZ217)</f>
        <v/>
      </c>
      <c r="BK217" s="108" t="str">
        <f aca="false">IF(ISBLANK(C217),"",IFERROR(_xlfn.SWITCH(BJ217, Constants!$B$4, COUNTA($C$8:$C716)+2, Constants!$B$5, COUNTA($C$8:$C716)+1, Constants!$B$6, COUNTA($C$8:$C716)),BJ217))</f>
        <v/>
      </c>
      <c r="BL217" s="5"/>
      <c r="BM217" s="109" t="n">
        <f aca="false">IF(OR(ISNUMBER(BJ217),BJ217="DQ",BJ217="P",BJ217="NS"),
    1,
    0
)</f>
        <v>0</v>
      </c>
      <c r="BN217" s="109" t="n">
        <v>210</v>
      </c>
      <c r="BO217" s="109" t="str">
        <f aca="false">IF(ISBLANK($C217),"",IF(ISNUMBER(BK217),BK217+ROW($B217)/1000,""))</f>
        <v/>
      </c>
      <c r="BP217" s="109" t="str">
        <f aca="false">IF(ISNUMBER(BO217), RANK(BO217,BO$8:BO$507,1), "")</f>
        <v/>
      </c>
      <c r="BQ217" s="109" t="str">
        <f aca="false">IF(ISBLANK($C217),
    "",
    $B217
)</f>
        <v/>
      </c>
      <c r="BR217" s="109" t="str">
        <f aca="false">IF(ISBLANK($C217),
    "",
    $C217
)</f>
        <v/>
      </c>
      <c r="BS217" s="109" t="str">
        <f aca="false">IF(ISBLANK($C217),
    "",
    $D217
)</f>
        <v/>
      </c>
      <c r="BT217" s="110" t="str">
        <f aca="false">BH217</f>
        <v/>
      </c>
      <c r="BU217" s="111" t="str">
        <f aca="false">BG217</f>
        <v/>
      </c>
      <c r="BV217" s="109" t="str">
        <f aca="false">IF(ISBLANK($C217),
    "",
    BJ217
)</f>
        <v/>
      </c>
      <c r="BW217" s="112" t="str">
        <f aca="false">IF(BN217&gt;BM$7,
    "",
    VLOOKUP(BN217,BP$8:BV716,7,FALSE())
)</f>
        <v/>
      </c>
      <c r="BX217" s="113" t="str">
        <f aca="false">IF(BN217&gt;BM$7,
    "",
    VLOOKUP(BN217,BP$8:BV716,2,FALSE())
)</f>
        <v/>
      </c>
      <c r="BY217" s="113" t="str">
        <f aca="false">IF(BN217&gt;BM$7,
    "",
    VLOOKUP(BN217,BP$8:BV716,3,FALSE())
)</f>
        <v/>
      </c>
      <c r="BZ217" s="113" t="str">
        <f aca="false">IF(BN217&gt;BM$7,
    "",
    VLOOKUP(BN217,BP$8:BV716,4,FALSE())
)</f>
        <v/>
      </c>
      <c r="CA217" s="113" t="str">
        <f aca="false">IF(BN217&gt;BM$7,
    "",
    VLOOKUP(BN217,BP$8:BV716,5,FALSE())
)</f>
        <v/>
      </c>
      <c r="CB217" s="114" t="str">
        <f aca="false">IF(BN217&gt;BM$7,
    "",
    VLOOKUP(BN217,BP$8:BV716,6,FALSE())
)</f>
        <v/>
      </c>
      <c r="CC217" s="53"/>
    </row>
    <row r="218" customFormat="false" ht="15.75" hidden="false" customHeight="false" outlineLevel="0" collapsed="false">
      <c r="A218" s="5"/>
      <c r="B218" s="129"/>
      <c r="C218" s="55"/>
      <c r="D218" s="56"/>
      <c r="E218" s="123"/>
      <c r="F218" s="123"/>
      <c r="G218" s="58"/>
      <c r="H218" s="59"/>
      <c r="I218" s="59"/>
      <c r="J218" s="83"/>
      <c r="K218" s="83"/>
      <c r="L218" s="83"/>
      <c r="M218" s="61"/>
      <c r="N218" s="61"/>
      <c r="O218" s="61"/>
      <c r="P218" s="62"/>
      <c r="Q218" s="63"/>
      <c r="R218" s="83"/>
      <c r="S218" s="65"/>
      <c r="T218" s="66"/>
      <c r="U218" s="66" t="str">
        <f aca="false">IF(ISBLANK($C218),"",IF(G218=Constants!$B$2, TRUE(), IF(G218=Constants!$B$3, FALSE(), TRUE())))</f>
        <v/>
      </c>
      <c r="V218" s="66" t="str">
        <f aca="false">IF(ISBLANK($C218),"",IF(H218=Constants!$B$2, TRUE(), IF(H218=Constants!$B$3, FALSE(), TRUE())))</f>
        <v/>
      </c>
      <c r="W218" s="66" t="str">
        <f aca="false">IF(ISBLANK($C218),"",IF(I218=Constants!$B$2, TRUE(), IF(I218=Constants!$B$3, FALSE(), TRUE())))</f>
        <v/>
      </c>
      <c r="X218" s="66" t="str">
        <f aca="false">IF(ISBLANK($C218),"",IF(AND(ISNUMBER(J218),J218&gt;0),INT(J218),0))</f>
        <v/>
      </c>
      <c r="Y218" s="66" t="str">
        <f aca="false">IF(ISBLANK($C218),"",IF(K218=Constants!$B$2, TRUE(), IF(K218=Constants!$B$3, FALSE(), TRUE())))</f>
        <v/>
      </c>
      <c r="Z218" s="66" t="str">
        <f aca="false">IF(ISBLANK($C218),"",IF(AND(ISNUMBER(L218),L218&gt;0),INT(L218),0))</f>
        <v/>
      </c>
      <c r="AA218" s="68" t="str">
        <f aca="false">IF(ISBLANK($C218),"",IF(ISNUMBER(M218), M218, ""))</f>
        <v/>
      </c>
      <c r="AB218" s="68" t="str">
        <f aca="false">IF(ISBLANK($C218),"",IF(ISNUMBER(N218), N218, ""))</f>
        <v/>
      </c>
      <c r="AC218" s="68" t="str">
        <f aca="false">IF(ISBLANK($C218),"",IF(ISNUMBER(O218), O218, ""))</f>
        <v/>
      </c>
      <c r="AD218" s="69" t="str">
        <f aca="false">IF(ISBLANK($C218),"",IF(ISNUMBER(P218), P218, ""))</f>
        <v/>
      </c>
      <c r="AE218" s="69" t="str">
        <f aca="false">IF(ISBLANK($C218),"",IF(ISNUMBER(Q218), Q218, Constants!$B$13))</f>
        <v/>
      </c>
      <c r="AF218" s="66" t="str">
        <f aca="false">IF(ISBLANK($C218),"",IF(R218=Constants!$B$2, TRUE(), IF(R218=Constants!$B$3, FALSE(), FALSE())))</f>
        <v/>
      </c>
      <c r="AG218" s="66" t="str">
        <f aca="false">IF(ISBLANK(C218), "", IF(AF218, Constants!$B$4,IF(COUNTA(G218:P218)=0, Constants!$B$5, Constants!$B$7)))</f>
        <v/>
      </c>
      <c r="AH218" s="66" t="str">
        <f aca="false">IF(ISBLANK($C218), "",IF($AG218=Constants!$B$7,1,$AG218))</f>
        <v/>
      </c>
      <c r="AI218" s="66" t="str">
        <f aca="false">IF($AG218=Constants!$B$7,POWER(Constants!$B$11,X218)*POWER(Constants!$B$12,Z218),"")</f>
        <v/>
      </c>
      <c r="AJ218" s="66" t="str">
        <f aca="false">IF(AND($AG218=Constants!$B$7, U218, V218) ,IF(OR($AA218="",$AC218=""),"",MAX(0, $AC218-$AA218)),"")</f>
        <v/>
      </c>
      <c r="AK218" s="66" t="str">
        <f aca="false">IF(AND($AG218=Constants!$B$7, U218, V218),IF(OR($AA218="",$AC218=""),$AK$6,""),"")</f>
        <v/>
      </c>
      <c r="AL218" s="66" t="str">
        <f aca="false">IF($AG218=Constants!$B$7,IF(AND(U218,V218,W218,Y218),IF($AJ218="",0,IF($AJ$6=0,Constants!$B$9,Constants!$B$9*AJ218/$AJ$6)), 0),"")</f>
        <v/>
      </c>
      <c r="AM218" s="66" t="str">
        <f aca="false">IF(AL218&lt;&gt;"", AL218*AI218,"")</f>
        <v/>
      </c>
      <c r="AN218" s="66" t="str">
        <f aca="false">IF(AND($AG218=Constants!$B$7, U218, V218) ,IF($AB218="", "", IF(OR($AC218="",$AC218=0),"",MAX(0,1-ABS($AC218-$AB218)/$AC218))),"")</f>
        <v/>
      </c>
      <c r="AO218" s="66" t="str">
        <f aca="false">IF(AND($AG218=Constants!$B$7, U218, V218),IF(AND($AA218&lt;&gt;"",$AB218&lt;&gt;"",$AC218=0),$AO$6,""),"")</f>
        <v/>
      </c>
      <c r="AP218" s="66" t="str">
        <f aca="false">IF($AG218=Constants!$B$7 ,IF(AND(U218,V218,W218,Y218,ISNUMBER(AB218)),IF($AN218="",0,IF($AN$6=0,Constants!$B$10,Constants!$B$10*AN218/$AN$6)), 0),"")</f>
        <v/>
      </c>
      <c r="AQ218" s="66" t="str">
        <f aca="false">IF(AP218&lt;&gt;"", AP218*AI218,"")</f>
        <v/>
      </c>
      <c r="AR218" s="66" t="str">
        <f aca="false">IF($AG218=Constants!$B$7,IF($AD218="",0,IF($AR$6=0,Constants!$B$8,Constants!$B$8*AD218/$AR$6)),"")</f>
        <v/>
      </c>
      <c r="AS218" s="66" t="str">
        <f aca="false">IF($AG218&lt;&gt;Constants!$B$7,$AG218,IF(AK218&amp;AO218&lt;&gt;"",Constants!$B$14,AM218+AQ218+AR218))</f>
        <v/>
      </c>
      <c r="AT218" s="66" t="str">
        <f aca="false">IF(ISBLANK($C218),"",IF($AG218=Constants!$B$7,IF(ISNUMBER(AS218),RANK(AS218,$AS$8:$AS$507),Constants!$B$14),$AG218))</f>
        <v/>
      </c>
      <c r="AU218" s="66" t="str">
        <f aca="false">IF(ISBLANK($C218), "",AM218)</f>
        <v/>
      </c>
      <c r="AV218" s="66" t="str">
        <f aca="false">IF(ISBLANK($C218),"",IF($AG218=Constants!$B$7,RANK(AU218,AU$8:AU$507),$AG218))</f>
        <v/>
      </c>
      <c r="AW218" s="66" t="str">
        <f aca="false">IF(ISBLANK($C218), "",AR218)</f>
        <v/>
      </c>
      <c r="AX218" s="66" t="str">
        <f aca="false">IF(ISBLANK($C218),"",IF($AG218=Constants!$B$7,RANK(AW218,AW$8:AW$507),$AG218))</f>
        <v/>
      </c>
      <c r="AY218" s="66" t="str">
        <f aca="false">IF(ISBLANK($C218), "",AE218)</f>
        <v/>
      </c>
      <c r="AZ218" s="66" t="str">
        <f aca="false">IF(ISBLANK($C218),"",
IF($AG218=Constants!$B$7,
  IF(ISNUMBER(AT218),
    COUNTIFS($AT$8:$AT$507,"&lt;"&amp;$AT218)
    + COUNTIFS($AT$8:$AT$507,$AT218,$AV$8:$AV$507,"&lt;"&amp;$AV218)
    + COUNTIFS($AT$8:$AT$507,$AT218,$AV$8:$AV$507,$AV218,$AX$8:$AX$507,"&lt;"&amp;$AX218)
    + COUNTIFS($AT$8:$AT$507,$AT218,$AV$8:$AV$507,$AV218,$AX$8:$AX$507,$AX218,$AY$8:$AY$507,"&lt;"&amp;$AY218)
    + 1,
  Constants!$B$14),
$AG218))</f>
        <v/>
      </c>
      <c r="BA218" s="66" t="str">
        <f aca="false">IF(ISBLANK(C218),"",IF($AG218=Constants!$B$7, IF(ISNUMBER(AT218),AT218-AZ218,Constants!$B$14),$AG218))</f>
        <v/>
      </c>
      <c r="BB218" s="70"/>
      <c r="BC218" s="84" t="str">
        <f aca="false">IF(ISBLANK($C218),"",TRIM(AK218&amp;" "&amp;AO218))</f>
        <v/>
      </c>
      <c r="BD218" s="72" t="str">
        <f aca="false">IF(ISBLANK($C218),"",IF($AG218&lt;&gt;Constants!$B$7,$AG218,AR218))</f>
        <v/>
      </c>
      <c r="BE218" s="72" t="str">
        <f aca="false">IF(ISBLANK($C218),"",IF($AG218&lt;&gt;Constants!$B$7,$AG218,AM218))</f>
        <v/>
      </c>
      <c r="BF218" s="72" t="str">
        <f aca="false">IF(ISBLANK($C218),"",IF($AG218&lt;&gt;Constants!$B$7,$AG218,AQ218))</f>
        <v/>
      </c>
      <c r="BG218" s="73" t="str">
        <f aca="false">IF(ISBLANK($C218),"",IF($AG218&lt;&gt;Constants!$B$7, $AG218 ,AS218))</f>
        <v/>
      </c>
      <c r="BH218" s="74" t="str">
        <f aca="false">IF(ISBLANK($C218),"",IF($AG218&lt;&gt;Constants!$B$7, $AG218 ,AH218))</f>
        <v/>
      </c>
      <c r="BI218" s="72" t="str">
        <f aca="false">IF(ISBLANK(C218),"",BA218)</f>
        <v/>
      </c>
      <c r="BJ218" s="72" t="str">
        <f aca="false">IF(ISBLANK(C218),"",AZ218)</f>
        <v/>
      </c>
      <c r="BK218" s="75" t="str">
        <f aca="false">IF(ISBLANK(C218),"",IFERROR(_xlfn.SWITCH(BJ218, Constants!$B$4, COUNTA($C$8:$C717)+2, Constants!$B$5, COUNTA($C$8:$C717)+1, Constants!$B$6, COUNTA($C$8:$C717)),BJ218))</f>
        <v/>
      </c>
      <c r="BL218" s="5"/>
      <c r="BM218" s="76" t="n">
        <f aca="false">IF(OR(ISNUMBER(BJ218),BJ218="DQ",BJ218="P",BJ218="NS"),
    1,
    0
)</f>
        <v>0</v>
      </c>
      <c r="BN218" s="76" t="n">
        <v>211</v>
      </c>
      <c r="BO218" s="76" t="str">
        <f aca="false">IF(ISBLANK($C218),"",IF(ISNUMBER(BK218),BK218+ROW($B218)/1000,""))</f>
        <v/>
      </c>
      <c r="BP218" s="76" t="str">
        <f aca="false">IF(ISNUMBER(BO218), RANK(BO218,BO$8:BO$507,1), "")</f>
        <v/>
      </c>
      <c r="BQ218" s="76" t="str">
        <f aca="false">IF(ISBLANK($C218),
    "",
    $B218
)</f>
        <v/>
      </c>
      <c r="BR218" s="76" t="str">
        <f aca="false">IF(ISBLANK($C218),
    "",
    $C218
)</f>
        <v/>
      </c>
      <c r="BS218" s="76" t="str">
        <f aca="false">IF(ISBLANK($C218),
    "",
    $D218
)</f>
        <v/>
      </c>
      <c r="BT218" s="77" t="str">
        <f aca="false">BH218</f>
        <v/>
      </c>
      <c r="BU218" s="78" t="str">
        <f aca="false">BG218</f>
        <v/>
      </c>
      <c r="BV218" s="76" t="str">
        <f aca="false">IF(ISBLANK($C218),
    "",
    BJ218
)</f>
        <v/>
      </c>
      <c r="BW218" s="79" t="str">
        <f aca="false">IF(BN218&gt;BM$7,
    "",
    VLOOKUP(BN218,BP$8:BV717,7,FALSE())
)</f>
        <v/>
      </c>
      <c r="BX218" s="80" t="str">
        <f aca="false">IF(BN218&gt;BM$7,
    "",
    VLOOKUP(BN218,BP$8:BV717,2,FALSE())
)</f>
        <v/>
      </c>
      <c r="BY218" s="80" t="str">
        <f aca="false">IF(BN218&gt;BM$7,
    "",
    VLOOKUP(BN218,BP$8:BV717,3,FALSE())
)</f>
        <v/>
      </c>
      <c r="BZ218" s="80" t="str">
        <f aca="false">IF(BN218&gt;BM$7,
    "",
    VLOOKUP(BN218,BP$8:BV717,4,FALSE())
)</f>
        <v/>
      </c>
      <c r="CA218" s="80" t="str">
        <f aca="false">IF(BN218&gt;BM$7,
    "",
    VLOOKUP(BN218,BP$8:BV717,5,FALSE())
)</f>
        <v/>
      </c>
      <c r="CB218" s="81" t="str">
        <f aca="false">IF(BN218&gt;BM$7,
    "",
    VLOOKUP(BN218,BP$8:BV717,6,FALSE())
)</f>
        <v/>
      </c>
      <c r="CC218" s="53"/>
    </row>
    <row r="219" customFormat="false" ht="15.75" hidden="false" customHeight="false" outlineLevel="0" collapsed="false">
      <c r="A219" s="5"/>
      <c r="B219" s="129"/>
      <c r="C219" s="55"/>
      <c r="D219" s="56"/>
      <c r="E219" s="123"/>
      <c r="F219" s="123"/>
      <c r="G219" s="58"/>
      <c r="H219" s="59"/>
      <c r="I219" s="59"/>
      <c r="J219" s="83"/>
      <c r="K219" s="83"/>
      <c r="L219" s="83"/>
      <c r="M219" s="61"/>
      <c r="N219" s="61"/>
      <c r="O219" s="61"/>
      <c r="P219" s="62"/>
      <c r="Q219" s="63"/>
      <c r="R219" s="83"/>
      <c r="S219" s="65"/>
      <c r="T219" s="66"/>
      <c r="U219" s="66" t="str">
        <f aca="false">IF(ISBLANK($C219),"",IF(G219=Constants!$B$2, TRUE(), IF(G219=Constants!$B$3, FALSE(), TRUE())))</f>
        <v/>
      </c>
      <c r="V219" s="66" t="str">
        <f aca="false">IF(ISBLANK($C219),"",IF(H219=Constants!$B$2, TRUE(), IF(H219=Constants!$B$3, FALSE(), TRUE())))</f>
        <v/>
      </c>
      <c r="W219" s="66" t="str">
        <f aca="false">IF(ISBLANK($C219),"",IF(I219=Constants!$B$2, TRUE(), IF(I219=Constants!$B$3, FALSE(), TRUE())))</f>
        <v/>
      </c>
      <c r="X219" s="66" t="str">
        <f aca="false">IF(ISBLANK($C219),"",IF(AND(ISNUMBER(J219),J219&gt;0),INT(J219),0))</f>
        <v/>
      </c>
      <c r="Y219" s="66" t="str">
        <f aca="false">IF(ISBLANK($C219),"",IF(K219=Constants!$B$2, TRUE(), IF(K219=Constants!$B$3, FALSE(), TRUE())))</f>
        <v/>
      </c>
      <c r="Z219" s="66" t="str">
        <f aca="false">IF(ISBLANK($C219),"",IF(AND(ISNUMBER(L219),L219&gt;0),INT(L219),0))</f>
        <v/>
      </c>
      <c r="AA219" s="68" t="str">
        <f aca="false">IF(ISBLANK($C219),"",IF(ISNUMBER(M219), M219, ""))</f>
        <v/>
      </c>
      <c r="AB219" s="68" t="str">
        <f aca="false">IF(ISBLANK($C219),"",IF(ISNUMBER(N219), N219, ""))</f>
        <v/>
      </c>
      <c r="AC219" s="68" t="str">
        <f aca="false">IF(ISBLANK($C219),"",IF(ISNUMBER(O219), O219, ""))</f>
        <v/>
      </c>
      <c r="AD219" s="69" t="str">
        <f aca="false">IF(ISBLANK($C219),"",IF(ISNUMBER(P219), P219, ""))</f>
        <v/>
      </c>
      <c r="AE219" s="69" t="str">
        <f aca="false">IF(ISBLANK($C219),"",IF(ISNUMBER(Q219), Q219, Constants!$B$13))</f>
        <v/>
      </c>
      <c r="AF219" s="66" t="str">
        <f aca="false">IF(ISBLANK($C219),"",IF(R219=Constants!$B$2, TRUE(), IF(R219=Constants!$B$3, FALSE(), FALSE())))</f>
        <v/>
      </c>
      <c r="AG219" s="66" t="str">
        <f aca="false">IF(ISBLANK(C219), "", IF(AF219, Constants!$B$4,IF(COUNTA(G219:P219)=0, Constants!$B$5, Constants!$B$7)))</f>
        <v/>
      </c>
      <c r="AH219" s="66" t="str">
        <f aca="false">IF(ISBLANK($C219), "",IF($AG219=Constants!$B$7,1,$AG219))</f>
        <v/>
      </c>
      <c r="AI219" s="66" t="str">
        <f aca="false">IF($AG219=Constants!$B$7,POWER(Constants!$B$11,X219)*POWER(Constants!$B$12,Z219),"")</f>
        <v/>
      </c>
      <c r="AJ219" s="66" t="str">
        <f aca="false">IF(AND($AG219=Constants!$B$7, U219, V219) ,IF(OR($AA219="",$AC219=""),"",MAX(0, $AC219-$AA219)),"")</f>
        <v/>
      </c>
      <c r="AK219" s="66" t="str">
        <f aca="false">IF(AND($AG219=Constants!$B$7, U219, V219),IF(OR($AA219="",$AC219=""),$AK$6,""),"")</f>
        <v/>
      </c>
      <c r="AL219" s="66" t="str">
        <f aca="false">IF($AG219=Constants!$B$7,IF(AND(U219,V219,W219,Y219),IF($AJ219="",0,IF($AJ$6=0,Constants!$B$9,Constants!$B$9*AJ219/$AJ$6)), 0),"")</f>
        <v/>
      </c>
      <c r="AM219" s="66" t="str">
        <f aca="false">IF(AL219&lt;&gt;"", AL219*AI219,"")</f>
        <v/>
      </c>
      <c r="AN219" s="66" t="str">
        <f aca="false">IF(AND($AG219=Constants!$B$7, U219, V219) ,IF($AB219="", "", IF(OR($AC219="",$AC219=0),"",MAX(0,1-ABS($AC219-$AB219)/$AC219))),"")</f>
        <v/>
      </c>
      <c r="AO219" s="66" t="str">
        <f aca="false">IF(AND($AG219=Constants!$B$7, U219, V219),IF(AND($AA219&lt;&gt;"",$AB219&lt;&gt;"",$AC219=0),$AO$6,""),"")</f>
        <v/>
      </c>
      <c r="AP219" s="66" t="str">
        <f aca="false">IF($AG219=Constants!$B$7 ,IF(AND(U219,V219,W219,Y219,ISNUMBER(AB219)),IF($AN219="",0,IF($AN$6=0,Constants!$B$10,Constants!$B$10*AN219/$AN$6)), 0),"")</f>
        <v/>
      </c>
      <c r="AQ219" s="66" t="str">
        <f aca="false">IF(AP219&lt;&gt;"", AP219*AI219,"")</f>
        <v/>
      </c>
      <c r="AR219" s="66" t="str">
        <f aca="false">IF($AG219=Constants!$B$7,IF($AD219="",0,IF($AR$6=0,Constants!$B$8,Constants!$B$8*AD219/$AR$6)),"")</f>
        <v/>
      </c>
      <c r="AS219" s="66" t="str">
        <f aca="false">IF($AG219&lt;&gt;Constants!$B$7,$AG219,IF(AK219&amp;AO219&lt;&gt;"",Constants!$B$14,AM219+AQ219+AR219))</f>
        <v/>
      </c>
      <c r="AT219" s="66" t="str">
        <f aca="false">IF(ISBLANK($C219),"",IF($AG219=Constants!$B$7,IF(ISNUMBER(AS219),RANK(AS219,$AS$8:$AS$507),Constants!$B$14),$AG219))</f>
        <v/>
      </c>
      <c r="AU219" s="66" t="str">
        <f aca="false">IF(ISBLANK($C219), "",AM219)</f>
        <v/>
      </c>
      <c r="AV219" s="66" t="str">
        <f aca="false">IF(ISBLANK($C219),"",IF($AG219=Constants!$B$7,RANK(AU219,AU$8:AU$507),$AG219))</f>
        <v/>
      </c>
      <c r="AW219" s="66" t="str">
        <f aca="false">IF(ISBLANK($C219), "",AR219)</f>
        <v/>
      </c>
      <c r="AX219" s="66" t="str">
        <f aca="false">IF(ISBLANK($C219),"",IF($AG219=Constants!$B$7,RANK(AW219,AW$8:AW$507),$AG219))</f>
        <v/>
      </c>
      <c r="AY219" s="66" t="str">
        <f aca="false">IF(ISBLANK($C219), "",AE219)</f>
        <v/>
      </c>
      <c r="AZ219" s="66" t="str">
        <f aca="false">IF(ISBLANK($C219),"",
IF($AG219=Constants!$B$7,
  IF(ISNUMBER(AT219),
    COUNTIFS($AT$8:$AT$507,"&lt;"&amp;$AT219)
    + COUNTIFS($AT$8:$AT$507,$AT219,$AV$8:$AV$507,"&lt;"&amp;$AV219)
    + COUNTIFS($AT$8:$AT$507,$AT219,$AV$8:$AV$507,$AV219,$AX$8:$AX$507,"&lt;"&amp;$AX219)
    + COUNTIFS($AT$8:$AT$507,$AT219,$AV$8:$AV$507,$AV219,$AX$8:$AX$507,$AX219,$AY$8:$AY$507,"&lt;"&amp;$AY219)
    + 1,
  Constants!$B$14),
$AG219))</f>
        <v/>
      </c>
      <c r="BA219" s="66" t="str">
        <f aca="false">IF(ISBLANK(C219),"",IF($AG219=Constants!$B$7, IF(ISNUMBER(AT219),AT219-AZ219,Constants!$B$14),$AG219))</f>
        <v/>
      </c>
      <c r="BB219" s="70"/>
      <c r="BC219" s="84" t="str">
        <f aca="false">IF(ISBLANK($C219),"",TRIM(AK219&amp;" "&amp;AO219))</f>
        <v/>
      </c>
      <c r="BD219" s="72" t="str">
        <f aca="false">IF(ISBLANK($C219),"",IF($AG219&lt;&gt;Constants!$B$7,$AG219,AR219))</f>
        <v/>
      </c>
      <c r="BE219" s="72" t="str">
        <f aca="false">IF(ISBLANK($C219),"",IF($AG219&lt;&gt;Constants!$B$7,$AG219,AM219))</f>
        <v/>
      </c>
      <c r="BF219" s="72" t="str">
        <f aca="false">IF(ISBLANK($C219),"",IF($AG219&lt;&gt;Constants!$B$7,$AG219,AQ219))</f>
        <v/>
      </c>
      <c r="BG219" s="73" t="str">
        <f aca="false">IF(ISBLANK($C219),"",IF($AG219&lt;&gt;Constants!$B$7, $AG219 ,AS219))</f>
        <v/>
      </c>
      <c r="BH219" s="74" t="str">
        <f aca="false">IF(ISBLANK($C219),"",IF($AG219&lt;&gt;Constants!$B$7, $AG219 ,AH219))</f>
        <v/>
      </c>
      <c r="BI219" s="72" t="str">
        <f aca="false">IF(ISBLANK(C219),"",BA219)</f>
        <v/>
      </c>
      <c r="BJ219" s="72" t="str">
        <f aca="false">IF(ISBLANK(C219),"",AZ219)</f>
        <v/>
      </c>
      <c r="BK219" s="75" t="str">
        <f aca="false">IF(ISBLANK(C219),"",IFERROR(_xlfn.SWITCH(BJ219, Constants!$B$4, COUNTA($C$8:$C718)+2, Constants!$B$5, COUNTA($C$8:$C718)+1, Constants!$B$6, COUNTA($C$8:$C718)),BJ219))</f>
        <v/>
      </c>
      <c r="BL219" s="5"/>
      <c r="BM219" s="76" t="n">
        <f aca="false">IF(OR(ISNUMBER(BJ219),BJ219="DQ",BJ219="P",BJ219="NS"),
    1,
    0
)</f>
        <v>0</v>
      </c>
      <c r="BN219" s="76" t="n">
        <v>212</v>
      </c>
      <c r="BO219" s="76" t="str">
        <f aca="false">IF(ISBLANK($C219),"",IF(ISNUMBER(BK219),BK219+ROW($B219)/1000,""))</f>
        <v/>
      </c>
      <c r="BP219" s="76" t="str">
        <f aca="false">IF(ISNUMBER(BO219), RANK(BO219,BO$8:BO$507,1), "")</f>
        <v/>
      </c>
      <c r="BQ219" s="76" t="str">
        <f aca="false">IF(ISBLANK($C219),
    "",
    $B219
)</f>
        <v/>
      </c>
      <c r="BR219" s="76" t="str">
        <f aca="false">IF(ISBLANK($C219),
    "",
    $C219
)</f>
        <v/>
      </c>
      <c r="BS219" s="76" t="str">
        <f aca="false">IF(ISBLANK($C219),
    "",
    $D219
)</f>
        <v/>
      </c>
      <c r="BT219" s="77" t="str">
        <f aca="false">BH219</f>
        <v/>
      </c>
      <c r="BU219" s="78" t="str">
        <f aca="false">BG219</f>
        <v/>
      </c>
      <c r="BV219" s="76" t="str">
        <f aca="false">IF(ISBLANK($C219),
    "",
    BJ219
)</f>
        <v/>
      </c>
      <c r="BW219" s="79" t="str">
        <f aca="false">IF(BN219&gt;BM$7,
    "",
    VLOOKUP(BN219,BP$8:BV718,7,FALSE())
)</f>
        <v/>
      </c>
      <c r="BX219" s="80" t="str">
        <f aca="false">IF(BN219&gt;BM$7,
    "",
    VLOOKUP(BN219,BP$8:BV718,2,FALSE())
)</f>
        <v/>
      </c>
      <c r="BY219" s="80" t="str">
        <f aca="false">IF(BN219&gt;BM$7,
    "",
    VLOOKUP(BN219,BP$8:BV718,3,FALSE())
)</f>
        <v/>
      </c>
      <c r="BZ219" s="80" t="str">
        <f aca="false">IF(BN219&gt;BM$7,
    "",
    VLOOKUP(BN219,BP$8:BV718,4,FALSE())
)</f>
        <v/>
      </c>
      <c r="CA219" s="80" t="str">
        <f aca="false">IF(BN219&gt;BM$7,
    "",
    VLOOKUP(BN219,BP$8:BV718,5,FALSE())
)</f>
        <v/>
      </c>
      <c r="CB219" s="81" t="str">
        <f aca="false">IF(BN219&gt;BM$7,
    "",
    VLOOKUP(BN219,BP$8:BV718,6,FALSE())
)</f>
        <v/>
      </c>
      <c r="CC219" s="53"/>
    </row>
    <row r="220" customFormat="false" ht="15.75" hidden="false" customHeight="false" outlineLevel="0" collapsed="false">
      <c r="A220" s="5"/>
      <c r="B220" s="129"/>
      <c r="C220" s="55"/>
      <c r="D220" s="56"/>
      <c r="E220" s="123"/>
      <c r="F220" s="123"/>
      <c r="G220" s="58"/>
      <c r="H220" s="59"/>
      <c r="I220" s="59"/>
      <c r="J220" s="83"/>
      <c r="K220" s="83"/>
      <c r="L220" s="83"/>
      <c r="M220" s="61"/>
      <c r="N220" s="61"/>
      <c r="O220" s="61"/>
      <c r="P220" s="62"/>
      <c r="Q220" s="63"/>
      <c r="R220" s="83"/>
      <c r="S220" s="65"/>
      <c r="T220" s="66"/>
      <c r="U220" s="66" t="str">
        <f aca="false">IF(ISBLANK($C220),"",IF(G220=Constants!$B$2, TRUE(), IF(G220=Constants!$B$3, FALSE(), TRUE())))</f>
        <v/>
      </c>
      <c r="V220" s="66" t="str">
        <f aca="false">IF(ISBLANK($C220),"",IF(H220=Constants!$B$2, TRUE(), IF(H220=Constants!$B$3, FALSE(), TRUE())))</f>
        <v/>
      </c>
      <c r="W220" s="66" t="str">
        <f aca="false">IF(ISBLANK($C220),"",IF(I220=Constants!$B$2, TRUE(), IF(I220=Constants!$B$3, FALSE(), TRUE())))</f>
        <v/>
      </c>
      <c r="X220" s="66" t="str">
        <f aca="false">IF(ISBLANK($C220),"",IF(AND(ISNUMBER(J220),J220&gt;0),INT(J220),0))</f>
        <v/>
      </c>
      <c r="Y220" s="66" t="str">
        <f aca="false">IF(ISBLANK($C220),"",IF(K220=Constants!$B$2, TRUE(), IF(K220=Constants!$B$3, FALSE(), TRUE())))</f>
        <v/>
      </c>
      <c r="Z220" s="66" t="str">
        <f aca="false">IF(ISBLANK($C220),"",IF(AND(ISNUMBER(L220),L220&gt;0),INT(L220),0))</f>
        <v/>
      </c>
      <c r="AA220" s="68" t="str">
        <f aca="false">IF(ISBLANK($C220),"",IF(ISNUMBER(M220), M220, ""))</f>
        <v/>
      </c>
      <c r="AB220" s="68" t="str">
        <f aca="false">IF(ISBLANK($C220),"",IF(ISNUMBER(N220), N220, ""))</f>
        <v/>
      </c>
      <c r="AC220" s="68" t="str">
        <f aca="false">IF(ISBLANK($C220),"",IF(ISNUMBER(O220), O220, ""))</f>
        <v/>
      </c>
      <c r="AD220" s="69" t="str">
        <f aca="false">IF(ISBLANK($C220),"",IF(ISNUMBER(P220), P220, ""))</f>
        <v/>
      </c>
      <c r="AE220" s="69" t="str">
        <f aca="false">IF(ISBLANK($C220),"",IF(ISNUMBER(Q220), Q220, Constants!$B$13))</f>
        <v/>
      </c>
      <c r="AF220" s="66" t="str">
        <f aca="false">IF(ISBLANK($C220),"",IF(R220=Constants!$B$2, TRUE(), IF(R220=Constants!$B$3, FALSE(), FALSE())))</f>
        <v/>
      </c>
      <c r="AG220" s="66" t="str">
        <f aca="false">IF(ISBLANK(C220), "", IF(AF220, Constants!$B$4,IF(COUNTA(G220:P220)=0, Constants!$B$5, Constants!$B$7)))</f>
        <v/>
      </c>
      <c r="AH220" s="66" t="str">
        <f aca="false">IF(ISBLANK($C220), "",IF($AG220=Constants!$B$7,1,$AG220))</f>
        <v/>
      </c>
      <c r="AI220" s="66" t="str">
        <f aca="false">IF($AG220=Constants!$B$7,POWER(Constants!$B$11,X220)*POWER(Constants!$B$12,Z220),"")</f>
        <v/>
      </c>
      <c r="AJ220" s="66" t="str">
        <f aca="false">IF(AND($AG220=Constants!$B$7, U220, V220) ,IF(OR($AA220="",$AC220=""),"",MAX(0, $AC220-$AA220)),"")</f>
        <v/>
      </c>
      <c r="AK220" s="66" t="str">
        <f aca="false">IF(AND($AG220=Constants!$B$7, U220, V220),IF(OR($AA220="",$AC220=""),$AK$6,""),"")</f>
        <v/>
      </c>
      <c r="AL220" s="66" t="str">
        <f aca="false">IF($AG220=Constants!$B$7,IF(AND(U220,V220,W220,Y220),IF($AJ220="",0,IF($AJ$6=0,Constants!$B$9,Constants!$B$9*AJ220/$AJ$6)), 0),"")</f>
        <v/>
      </c>
      <c r="AM220" s="66" t="str">
        <f aca="false">IF(AL220&lt;&gt;"", AL220*AI220,"")</f>
        <v/>
      </c>
      <c r="AN220" s="66" t="str">
        <f aca="false">IF(AND($AG220=Constants!$B$7, U220, V220) ,IF($AB220="", "", IF(OR($AC220="",$AC220=0),"",MAX(0,1-ABS($AC220-$AB220)/$AC220))),"")</f>
        <v/>
      </c>
      <c r="AO220" s="66" t="str">
        <f aca="false">IF(AND($AG220=Constants!$B$7, U220, V220),IF(AND($AA220&lt;&gt;"",$AB220&lt;&gt;"",$AC220=0),$AO$6,""),"")</f>
        <v/>
      </c>
      <c r="AP220" s="66" t="str">
        <f aca="false">IF($AG220=Constants!$B$7 ,IF(AND(U220,V220,W220,Y220,ISNUMBER(AB220)),IF($AN220="",0,IF($AN$6=0,Constants!$B$10,Constants!$B$10*AN220/$AN$6)), 0),"")</f>
        <v/>
      </c>
      <c r="AQ220" s="66" t="str">
        <f aca="false">IF(AP220&lt;&gt;"", AP220*AI220,"")</f>
        <v/>
      </c>
      <c r="AR220" s="66" t="str">
        <f aca="false">IF($AG220=Constants!$B$7,IF($AD220="",0,IF($AR$6=0,Constants!$B$8,Constants!$B$8*AD220/$AR$6)),"")</f>
        <v/>
      </c>
      <c r="AS220" s="66" t="str">
        <f aca="false">IF($AG220&lt;&gt;Constants!$B$7,$AG220,IF(AK220&amp;AO220&lt;&gt;"",Constants!$B$14,AM220+AQ220+AR220))</f>
        <v/>
      </c>
      <c r="AT220" s="66" t="str">
        <f aca="false">IF(ISBLANK($C220),"",IF($AG220=Constants!$B$7,IF(ISNUMBER(AS220),RANK(AS220,$AS$8:$AS$507),Constants!$B$14),$AG220))</f>
        <v/>
      </c>
      <c r="AU220" s="66" t="str">
        <f aca="false">IF(ISBLANK($C220), "",AM220)</f>
        <v/>
      </c>
      <c r="AV220" s="66" t="str">
        <f aca="false">IF(ISBLANK($C220),"",IF($AG220=Constants!$B$7,RANK(AU220,AU$8:AU$507),$AG220))</f>
        <v/>
      </c>
      <c r="AW220" s="66" t="str">
        <f aca="false">IF(ISBLANK($C220), "",AR220)</f>
        <v/>
      </c>
      <c r="AX220" s="66" t="str">
        <f aca="false">IF(ISBLANK($C220),"",IF($AG220=Constants!$B$7,RANK(AW220,AW$8:AW$507),$AG220))</f>
        <v/>
      </c>
      <c r="AY220" s="66" t="str">
        <f aca="false">IF(ISBLANK($C220), "",AE220)</f>
        <v/>
      </c>
      <c r="AZ220" s="66" t="str">
        <f aca="false">IF(ISBLANK($C220),"",
IF($AG220=Constants!$B$7,
  IF(ISNUMBER(AT220),
    COUNTIFS($AT$8:$AT$507,"&lt;"&amp;$AT220)
    + COUNTIFS($AT$8:$AT$507,$AT220,$AV$8:$AV$507,"&lt;"&amp;$AV220)
    + COUNTIFS($AT$8:$AT$507,$AT220,$AV$8:$AV$507,$AV220,$AX$8:$AX$507,"&lt;"&amp;$AX220)
    + COUNTIFS($AT$8:$AT$507,$AT220,$AV$8:$AV$507,$AV220,$AX$8:$AX$507,$AX220,$AY$8:$AY$507,"&lt;"&amp;$AY220)
    + 1,
  Constants!$B$14),
$AG220))</f>
        <v/>
      </c>
      <c r="BA220" s="66" t="str">
        <f aca="false">IF(ISBLANK(C220),"",IF($AG220=Constants!$B$7, IF(ISNUMBER(AT220),AT220-AZ220,Constants!$B$14),$AG220))</f>
        <v/>
      </c>
      <c r="BB220" s="70"/>
      <c r="BC220" s="84" t="str">
        <f aca="false">IF(ISBLANK($C220),"",TRIM(AK220&amp;" "&amp;AO220))</f>
        <v/>
      </c>
      <c r="BD220" s="72" t="str">
        <f aca="false">IF(ISBLANK($C220),"",IF($AG220&lt;&gt;Constants!$B$7,$AG220,AR220))</f>
        <v/>
      </c>
      <c r="BE220" s="72" t="str">
        <f aca="false">IF(ISBLANK($C220),"",IF($AG220&lt;&gt;Constants!$B$7,$AG220,AM220))</f>
        <v/>
      </c>
      <c r="BF220" s="72" t="str">
        <f aca="false">IF(ISBLANK($C220),"",IF($AG220&lt;&gt;Constants!$B$7,$AG220,AQ220))</f>
        <v/>
      </c>
      <c r="BG220" s="73" t="str">
        <f aca="false">IF(ISBLANK($C220),"",IF($AG220&lt;&gt;Constants!$B$7, $AG220 ,AS220))</f>
        <v/>
      </c>
      <c r="BH220" s="74" t="str">
        <f aca="false">IF(ISBLANK($C220),"",IF($AG220&lt;&gt;Constants!$B$7, $AG220 ,AH220))</f>
        <v/>
      </c>
      <c r="BI220" s="72" t="str">
        <f aca="false">IF(ISBLANK(C220),"",BA220)</f>
        <v/>
      </c>
      <c r="BJ220" s="72" t="str">
        <f aca="false">IF(ISBLANK(C220),"",AZ220)</f>
        <v/>
      </c>
      <c r="BK220" s="75" t="str">
        <f aca="false">IF(ISBLANK(C220),"",IFERROR(_xlfn.SWITCH(BJ220, Constants!$B$4, COUNTA($C$8:$C719)+2, Constants!$B$5, COUNTA($C$8:$C719)+1, Constants!$B$6, COUNTA($C$8:$C719)),BJ220))</f>
        <v/>
      </c>
      <c r="BL220" s="5"/>
      <c r="BM220" s="76" t="n">
        <f aca="false">IF(OR(ISNUMBER(BJ220),BJ220="DQ",BJ220="P",BJ220="NS"),
    1,
    0
)</f>
        <v>0</v>
      </c>
      <c r="BN220" s="76" t="n">
        <v>213</v>
      </c>
      <c r="BO220" s="76" t="str">
        <f aca="false">IF(ISBLANK($C220),"",IF(ISNUMBER(BK220),BK220+ROW($B220)/1000,""))</f>
        <v/>
      </c>
      <c r="BP220" s="76" t="str">
        <f aca="false">IF(ISNUMBER(BO220), RANK(BO220,BO$8:BO$507,1), "")</f>
        <v/>
      </c>
      <c r="BQ220" s="76" t="str">
        <f aca="false">IF(ISBLANK($C220),
    "",
    $B220
)</f>
        <v/>
      </c>
      <c r="BR220" s="76" t="str">
        <f aca="false">IF(ISBLANK($C220),
    "",
    $C220
)</f>
        <v/>
      </c>
      <c r="BS220" s="76" t="str">
        <f aca="false">IF(ISBLANK($C220),
    "",
    $D220
)</f>
        <v/>
      </c>
      <c r="BT220" s="77" t="str">
        <f aca="false">BH220</f>
        <v/>
      </c>
      <c r="BU220" s="78" t="str">
        <f aca="false">BG220</f>
        <v/>
      </c>
      <c r="BV220" s="76" t="str">
        <f aca="false">IF(ISBLANK($C220),
    "",
    BJ220
)</f>
        <v/>
      </c>
      <c r="BW220" s="79" t="str">
        <f aca="false">IF(BN220&gt;BM$7,
    "",
    VLOOKUP(BN220,BP$8:BV719,7,FALSE())
)</f>
        <v/>
      </c>
      <c r="BX220" s="80" t="str">
        <f aca="false">IF(BN220&gt;BM$7,
    "",
    VLOOKUP(BN220,BP$8:BV719,2,FALSE())
)</f>
        <v/>
      </c>
      <c r="BY220" s="80" t="str">
        <f aca="false">IF(BN220&gt;BM$7,
    "",
    VLOOKUP(BN220,BP$8:BV719,3,FALSE())
)</f>
        <v/>
      </c>
      <c r="BZ220" s="80" t="str">
        <f aca="false">IF(BN220&gt;BM$7,
    "",
    VLOOKUP(BN220,BP$8:BV719,4,FALSE())
)</f>
        <v/>
      </c>
      <c r="CA220" s="80" t="str">
        <f aca="false">IF(BN220&gt;BM$7,
    "",
    VLOOKUP(BN220,BP$8:BV719,5,FALSE())
)</f>
        <v/>
      </c>
      <c r="CB220" s="81" t="str">
        <f aca="false">IF(BN220&gt;BM$7,
    "",
    VLOOKUP(BN220,BP$8:BV719,6,FALSE())
)</f>
        <v/>
      </c>
      <c r="CC220" s="53"/>
    </row>
    <row r="221" customFormat="false" ht="15.75" hidden="false" customHeight="false" outlineLevel="0" collapsed="false">
      <c r="A221" s="5"/>
      <c r="B221" s="125"/>
      <c r="C221" s="126"/>
      <c r="D221" s="115"/>
      <c r="E221" s="119"/>
      <c r="F221" s="119"/>
      <c r="G221" s="91"/>
      <c r="H221" s="92"/>
      <c r="I221" s="92"/>
      <c r="J221" s="128"/>
      <c r="K221" s="128"/>
      <c r="L221" s="128"/>
      <c r="M221" s="94"/>
      <c r="N221" s="94"/>
      <c r="O221" s="94"/>
      <c r="P221" s="95"/>
      <c r="Q221" s="96"/>
      <c r="R221" s="128"/>
      <c r="S221" s="98"/>
      <c r="T221" s="99"/>
      <c r="U221" s="99" t="str">
        <f aca="false">IF(ISBLANK($C221),"",IF(G221=Constants!$B$2, TRUE(), IF(G221=Constants!$B$3, FALSE(), TRUE())))</f>
        <v/>
      </c>
      <c r="V221" s="99" t="str">
        <f aca="false">IF(ISBLANK($C221),"",IF(H221=Constants!$B$2, TRUE(), IF(H221=Constants!$B$3, FALSE(), TRUE())))</f>
        <v/>
      </c>
      <c r="W221" s="99" t="str">
        <f aca="false">IF(ISBLANK($C221),"",IF(I221=Constants!$B$2, TRUE(), IF(I221=Constants!$B$3, FALSE(), TRUE())))</f>
        <v/>
      </c>
      <c r="X221" s="99" t="str">
        <f aca="false">IF(ISBLANK($C221),"",IF(AND(ISNUMBER(J221),J221&gt;0),INT(J221),0))</f>
        <v/>
      </c>
      <c r="Y221" s="99" t="str">
        <f aca="false">IF(ISBLANK($C221),"",IF(K221=Constants!$B$2, TRUE(), IF(K221=Constants!$B$3, FALSE(), TRUE())))</f>
        <v/>
      </c>
      <c r="Z221" s="100" t="str">
        <f aca="false">IF(ISBLANK($C221),"",IF(AND(ISNUMBER(L221),L221&gt;0),INT(L221),0))</f>
        <v/>
      </c>
      <c r="AA221" s="101" t="str">
        <f aca="false">IF(ISBLANK($C221),"",IF(ISNUMBER(M221), M221, ""))</f>
        <v/>
      </c>
      <c r="AB221" s="101" t="str">
        <f aca="false">IF(ISBLANK($C221),"",IF(ISNUMBER(N221), N221, ""))</f>
        <v/>
      </c>
      <c r="AC221" s="101" t="str">
        <f aca="false">IF(ISBLANK($C221),"",IF(ISNUMBER(O221), O221, ""))</f>
        <v/>
      </c>
      <c r="AD221" s="102" t="str">
        <f aca="false">IF(ISBLANK($C221),"",IF(ISNUMBER(P221), P221, ""))</f>
        <v/>
      </c>
      <c r="AE221" s="102" t="str">
        <f aca="false">IF(ISBLANK($C221),"",IF(ISNUMBER(Q221), Q221, Constants!$B$13))</f>
        <v/>
      </c>
      <c r="AF221" s="99" t="str">
        <f aca="false">IF(ISBLANK($C221),"",IF(R221=Constants!$B$2, TRUE(), IF(R221=Constants!$B$3, FALSE(), FALSE())))</f>
        <v/>
      </c>
      <c r="AG221" s="99" t="str">
        <f aca="false">IF(ISBLANK(C221), "", IF(AF221, Constants!$B$4,IF(COUNTA(G221:P221)=0, Constants!$B$5, Constants!$B$7)))</f>
        <v/>
      </c>
      <c r="AH221" s="99" t="str">
        <f aca="false">IF(ISBLANK($C221), "",IF($AG221=Constants!$B$7,1,$AG221))</f>
        <v/>
      </c>
      <c r="AI221" s="99" t="str">
        <f aca="false">IF($AG221=Constants!$B$7,POWER(Constants!$B$11,X221)*POWER(Constants!$B$12,Z221),"")</f>
        <v/>
      </c>
      <c r="AJ221" s="99" t="str">
        <f aca="false">IF(AND($AG221=Constants!$B$7, U221, V221) ,IF(OR($AA221="",$AC221=""),"",MAX(0, $AC221-$AA221)),"")</f>
        <v/>
      </c>
      <c r="AK221" s="99" t="str">
        <f aca="false">IF(AND($AG221=Constants!$B$7, U221, V221),IF(OR($AA221="",$AC221=""),$AK$6,""),"")</f>
        <v/>
      </c>
      <c r="AL221" s="99" t="str">
        <f aca="false">IF($AG221=Constants!$B$7,IF(AND(U221,V221,W221,Y221),IF($AJ221="",0,IF($AJ$6=0,Constants!$B$9,Constants!$B$9*AJ221/$AJ$6)), 0),"")</f>
        <v/>
      </c>
      <c r="AM221" s="99" t="str">
        <f aca="false">IF(AL221&lt;&gt;"", AL221*AI221,"")</f>
        <v/>
      </c>
      <c r="AN221" s="99" t="str">
        <f aca="false">IF(AND($AG221=Constants!$B$7, U221, V221) ,IF($AB221="", "", IF(OR($AC221="",$AC221=0),"",MAX(0,1-ABS($AC221-$AB221)/$AC221))),"")</f>
        <v/>
      </c>
      <c r="AO221" s="99" t="str">
        <f aca="false">IF(AND($AG221=Constants!$B$7, U221, V221),IF(AND($AA221&lt;&gt;"",$AB221&lt;&gt;"",$AC221=0),$AO$6,""),"")</f>
        <v/>
      </c>
      <c r="AP221" s="99" t="str">
        <f aca="false">IF($AG221=Constants!$B$7 ,IF(AND(U221,V221,W221,Y221,ISNUMBER(AB221)),IF($AN221="",0,IF($AN$6=0,Constants!$B$10,Constants!$B$10*AN221/$AN$6)), 0),"")</f>
        <v/>
      </c>
      <c r="AQ221" s="99" t="str">
        <f aca="false">IF(AP221&lt;&gt;"", AP221*AI221,"")</f>
        <v/>
      </c>
      <c r="AR221" s="99" t="str">
        <f aca="false">IF($AG221=Constants!$B$7,IF($AD221="",0,IF($AR$6=0,Constants!$B$8,Constants!$B$8*AD221/$AR$6)),"")</f>
        <v/>
      </c>
      <c r="AS221" s="99" t="str">
        <f aca="false">IF($AG221&lt;&gt;Constants!$B$7,$AG221,IF(AK221&amp;AO221&lt;&gt;"",Constants!$B$14,AM221+AQ221+AR221))</f>
        <v/>
      </c>
      <c r="AT221" s="99" t="str">
        <f aca="false">IF(ISBLANK($C221),"",IF($AG221=Constants!$B$7,IF(ISNUMBER(AS221),RANK(AS221,$AS$8:$AS$507),Constants!$B$14),$AG221))</f>
        <v/>
      </c>
      <c r="AU221" s="99" t="str">
        <f aca="false">IF(ISBLANK($C221), "",AM221)</f>
        <v/>
      </c>
      <c r="AV221" s="99" t="str">
        <f aca="false">IF(ISBLANK($C221),"",IF($AG221=Constants!$B$7,RANK(AU221,AU$8:AU$507),$AG221))</f>
        <v/>
      </c>
      <c r="AW221" s="99" t="str">
        <f aca="false">IF(ISBLANK($C221), "",AR221)</f>
        <v/>
      </c>
      <c r="AX221" s="99" t="str">
        <f aca="false">IF(ISBLANK($C221),"",IF($AG221=Constants!$B$7,RANK(AW221,AW$8:AW$507),$AG221))</f>
        <v/>
      </c>
      <c r="AY221" s="99" t="str">
        <f aca="false">IF(ISBLANK($C221), "",AE221)</f>
        <v/>
      </c>
      <c r="AZ221" s="99" t="str">
        <f aca="false">IF(ISBLANK($C221),"",
IF($AG221=Constants!$B$7,
  IF(ISNUMBER(AT221),
    COUNTIFS($AT$8:$AT$507,"&lt;"&amp;$AT221)
    + COUNTIFS($AT$8:$AT$507,$AT221,$AV$8:$AV$507,"&lt;"&amp;$AV221)
    + COUNTIFS($AT$8:$AT$507,$AT221,$AV$8:$AV$507,$AV221,$AX$8:$AX$507,"&lt;"&amp;$AX221)
    + COUNTIFS($AT$8:$AT$507,$AT221,$AV$8:$AV$507,$AV221,$AX$8:$AX$507,$AX221,$AY$8:$AY$507,"&lt;"&amp;$AY221)
    + 1,
  Constants!$B$14),
$AG221))</f>
        <v/>
      </c>
      <c r="BA221" s="99" t="str">
        <f aca="false">IF(ISBLANK(C221),"",IF($AG221=Constants!$B$7, IF(ISNUMBER(AT221),AT221-AZ221,Constants!$B$14),$AG221))</f>
        <v/>
      </c>
      <c r="BB221" s="103"/>
      <c r="BC221" s="104" t="str">
        <f aca="false">IF(ISBLANK($C221),"",TRIM(AK221&amp;" "&amp;AO221))</f>
        <v/>
      </c>
      <c r="BD221" s="105" t="str">
        <f aca="false">IF(ISBLANK($C221),"",IF($AG221&lt;&gt;Constants!$B$7,$AG221,AR221))</f>
        <v/>
      </c>
      <c r="BE221" s="105" t="str">
        <f aca="false">IF(ISBLANK($C221),"",IF($AG221&lt;&gt;Constants!$B$7,$AG221,AM221))</f>
        <v/>
      </c>
      <c r="BF221" s="105" t="str">
        <f aca="false">IF(ISBLANK($C221),"",IF($AG221&lt;&gt;Constants!$B$7,$AG221,AQ221))</f>
        <v/>
      </c>
      <c r="BG221" s="106" t="str">
        <f aca="false">IF(ISBLANK($C221),"",IF($AG221&lt;&gt;Constants!$B$7, $AG221 ,AS221))</f>
        <v/>
      </c>
      <c r="BH221" s="107" t="str">
        <f aca="false">IF(ISBLANK($C221),"",IF($AG221&lt;&gt;Constants!$B$7, $AG221 ,AH221))</f>
        <v/>
      </c>
      <c r="BI221" s="105" t="str">
        <f aca="false">IF(ISBLANK(C221),"",BA221)</f>
        <v/>
      </c>
      <c r="BJ221" s="105" t="str">
        <f aca="false">IF(ISBLANK(C221),"",AZ221)</f>
        <v/>
      </c>
      <c r="BK221" s="108" t="str">
        <f aca="false">IF(ISBLANK(C221),"",IFERROR(_xlfn.SWITCH(BJ221, Constants!$B$4, COUNTA($C$8:$C720)+2, Constants!$B$5, COUNTA($C$8:$C720)+1, Constants!$B$6, COUNTA($C$8:$C720)),BJ221))</f>
        <v/>
      </c>
      <c r="BL221" s="5"/>
      <c r="BM221" s="109" t="n">
        <f aca="false">IF(OR(ISNUMBER(BJ221),BJ221="DQ",BJ221="P",BJ221="NS"),
    1,
    0
)</f>
        <v>0</v>
      </c>
      <c r="BN221" s="109" t="n">
        <v>214</v>
      </c>
      <c r="BO221" s="109" t="str">
        <f aca="false">IF(ISBLANK($C221),"",IF(ISNUMBER(BK221),BK221+ROW($B221)/1000,""))</f>
        <v/>
      </c>
      <c r="BP221" s="109" t="str">
        <f aca="false">IF(ISNUMBER(BO221), RANK(BO221,BO$8:BO$507,1), "")</f>
        <v/>
      </c>
      <c r="BQ221" s="109" t="str">
        <f aca="false">IF(ISBLANK($C221),
    "",
    $B221
)</f>
        <v/>
      </c>
      <c r="BR221" s="109" t="str">
        <f aca="false">IF(ISBLANK($C221),
    "",
    $C221
)</f>
        <v/>
      </c>
      <c r="BS221" s="109" t="str">
        <f aca="false">IF(ISBLANK($C221),
    "",
    $D221
)</f>
        <v/>
      </c>
      <c r="BT221" s="110" t="str">
        <f aca="false">BH221</f>
        <v/>
      </c>
      <c r="BU221" s="111" t="str">
        <f aca="false">BG221</f>
        <v/>
      </c>
      <c r="BV221" s="109" t="str">
        <f aca="false">IF(ISBLANK($C221),
    "",
    BJ221
)</f>
        <v/>
      </c>
      <c r="BW221" s="112" t="str">
        <f aca="false">IF(BN221&gt;BM$7,
    "",
    VLOOKUP(BN221,BP$8:BV720,7,FALSE())
)</f>
        <v/>
      </c>
      <c r="BX221" s="113" t="str">
        <f aca="false">IF(BN221&gt;BM$7,
    "",
    VLOOKUP(BN221,BP$8:BV720,2,FALSE())
)</f>
        <v/>
      </c>
      <c r="BY221" s="113" t="str">
        <f aca="false">IF(BN221&gt;BM$7,
    "",
    VLOOKUP(BN221,BP$8:BV720,3,FALSE())
)</f>
        <v/>
      </c>
      <c r="BZ221" s="113" t="str">
        <f aca="false">IF(BN221&gt;BM$7,
    "",
    VLOOKUP(BN221,BP$8:BV720,4,FALSE())
)</f>
        <v/>
      </c>
      <c r="CA221" s="113" t="str">
        <f aca="false">IF(BN221&gt;BM$7,
    "",
    VLOOKUP(BN221,BP$8:BV720,5,FALSE())
)</f>
        <v/>
      </c>
      <c r="CB221" s="114" t="str">
        <f aca="false">IF(BN221&gt;BM$7,
    "",
    VLOOKUP(BN221,BP$8:BV720,6,FALSE())
)</f>
        <v/>
      </c>
      <c r="CC221" s="53"/>
    </row>
    <row r="222" customFormat="false" ht="15.75" hidden="false" customHeight="false" outlineLevel="0" collapsed="false">
      <c r="A222" s="5"/>
      <c r="B222" s="125"/>
      <c r="C222" s="126"/>
      <c r="D222" s="115"/>
      <c r="E222" s="119"/>
      <c r="F222" s="119"/>
      <c r="G222" s="91"/>
      <c r="H222" s="92"/>
      <c r="I222" s="92"/>
      <c r="J222" s="128"/>
      <c r="K222" s="128"/>
      <c r="L222" s="128"/>
      <c r="M222" s="94"/>
      <c r="N222" s="94"/>
      <c r="O222" s="94"/>
      <c r="P222" s="95"/>
      <c r="Q222" s="96"/>
      <c r="R222" s="128"/>
      <c r="S222" s="98"/>
      <c r="T222" s="99"/>
      <c r="U222" s="99" t="str">
        <f aca="false">IF(ISBLANK($C222),"",IF(G222=Constants!$B$2, TRUE(), IF(G222=Constants!$B$3, FALSE(), TRUE())))</f>
        <v/>
      </c>
      <c r="V222" s="99" t="str">
        <f aca="false">IF(ISBLANK($C222),"",IF(H222=Constants!$B$2, TRUE(), IF(H222=Constants!$B$3, FALSE(), TRUE())))</f>
        <v/>
      </c>
      <c r="W222" s="99" t="str">
        <f aca="false">IF(ISBLANK($C222),"",IF(I222=Constants!$B$2, TRUE(), IF(I222=Constants!$B$3, FALSE(), TRUE())))</f>
        <v/>
      </c>
      <c r="X222" s="99" t="str">
        <f aca="false">IF(ISBLANK($C222),"",IF(AND(ISNUMBER(J222),J222&gt;0),INT(J222),0))</f>
        <v/>
      </c>
      <c r="Y222" s="99" t="str">
        <f aca="false">IF(ISBLANK($C222),"",IF(K222=Constants!$B$2, TRUE(), IF(K222=Constants!$B$3, FALSE(), TRUE())))</f>
        <v/>
      </c>
      <c r="Z222" s="100" t="str">
        <f aca="false">IF(ISBLANK($C222),"",IF(AND(ISNUMBER(L222),L222&gt;0),INT(L222),0))</f>
        <v/>
      </c>
      <c r="AA222" s="101" t="str">
        <f aca="false">IF(ISBLANK($C222),"",IF(ISNUMBER(M222), M222, ""))</f>
        <v/>
      </c>
      <c r="AB222" s="101" t="str">
        <f aca="false">IF(ISBLANK($C222),"",IF(ISNUMBER(N222), N222, ""))</f>
        <v/>
      </c>
      <c r="AC222" s="101" t="str">
        <f aca="false">IF(ISBLANK($C222),"",IF(ISNUMBER(O222), O222, ""))</f>
        <v/>
      </c>
      <c r="AD222" s="102" t="str">
        <f aca="false">IF(ISBLANK($C222),"",IF(ISNUMBER(P222), P222, ""))</f>
        <v/>
      </c>
      <c r="AE222" s="102" t="str">
        <f aca="false">IF(ISBLANK($C222),"",IF(ISNUMBER(Q222), Q222, Constants!$B$13))</f>
        <v/>
      </c>
      <c r="AF222" s="99" t="str">
        <f aca="false">IF(ISBLANK($C222),"",IF(R222=Constants!$B$2, TRUE(), IF(R222=Constants!$B$3, FALSE(), FALSE())))</f>
        <v/>
      </c>
      <c r="AG222" s="99" t="str">
        <f aca="false">IF(ISBLANK(C222), "", IF(AF222, Constants!$B$4,IF(COUNTA(G222:P222)=0, Constants!$B$5, Constants!$B$7)))</f>
        <v/>
      </c>
      <c r="AH222" s="99" t="str">
        <f aca="false">IF(ISBLANK($C222), "",IF($AG222=Constants!$B$7,1,$AG222))</f>
        <v/>
      </c>
      <c r="AI222" s="99" t="str">
        <f aca="false">IF($AG222=Constants!$B$7,POWER(Constants!$B$11,X222)*POWER(Constants!$B$12,Z222),"")</f>
        <v/>
      </c>
      <c r="AJ222" s="99" t="str">
        <f aca="false">IF(AND($AG222=Constants!$B$7, U222, V222) ,IF(OR($AA222="",$AC222=""),"",MAX(0, $AC222-$AA222)),"")</f>
        <v/>
      </c>
      <c r="AK222" s="99" t="str">
        <f aca="false">IF(AND($AG222=Constants!$B$7, U222, V222),IF(OR($AA222="",$AC222=""),$AK$6,""),"")</f>
        <v/>
      </c>
      <c r="AL222" s="99" t="str">
        <f aca="false">IF($AG222=Constants!$B$7,IF(AND(U222,V222,W222,Y222),IF($AJ222="",0,IF($AJ$6=0,Constants!$B$9,Constants!$B$9*AJ222/$AJ$6)), 0),"")</f>
        <v/>
      </c>
      <c r="AM222" s="99" t="str">
        <f aca="false">IF(AL222&lt;&gt;"", AL222*AI222,"")</f>
        <v/>
      </c>
      <c r="AN222" s="99" t="str">
        <f aca="false">IF(AND($AG222=Constants!$B$7, U222, V222) ,IF($AB222="", "", IF(OR($AC222="",$AC222=0),"",MAX(0,1-ABS($AC222-$AB222)/$AC222))),"")</f>
        <v/>
      </c>
      <c r="AO222" s="99" t="str">
        <f aca="false">IF(AND($AG222=Constants!$B$7, U222, V222),IF(AND($AA222&lt;&gt;"",$AB222&lt;&gt;"",$AC222=0),$AO$6,""),"")</f>
        <v/>
      </c>
      <c r="AP222" s="99" t="str">
        <f aca="false">IF($AG222=Constants!$B$7 ,IF(AND(U222,V222,W222,Y222,ISNUMBER(AB222)),IF($AN222="",0,IF($AN$6=0,Constants!$B$10,Constants!$B$10*AN222/$AN$6)), 0),"")</f>
        <v/>
      </c>
      <c r="AQ222" s="99" t="str">
        <f aca="false">IF(AP222&lt;&gt;"", AP222*AI222,"")</f>
        <v/>
      </c>
      <c r="AR222" s="99" t="str">
        <f aca="false">IF($AG222=Constants!$B$7,IF($AD222="",0,IF($AR$6=0,Constants!$B$8,Constants!$B$8*AD222/$AR$6)),"")</f>
        <v/>
      </c>
      <c r="AS222" s="99" t="str">
        <f aca="false">IF($AG222&lt;&gt;Constants!$B$7,$AG222,IF(AK222&amp;AO222&lt;&gt;"",Constants!$B$14,AM222+AQ222+AR222))</f>
        <v/>
      </c>
      <c r="AT222" s="99" t="str">
        <f aca="false">IF(ISBLANK($C222),"",IF($AG222=Constants!$B$7,IF(ISNUMBER(AS222),RANK(AS222,$AS$8:$AS$507),Constants!$B$14),$AG222))</f>
        <v/>
      </c>
      <c r="AU222" s="99" t="str">
        <f aca="false">IF(ISBLANK($C222), "",AM222)</f>
        <v/>
      </c>
      <c r="AV222" s="99" t="str">
        <f aca="false">IF(ISBLANK($C222),"",IF($AG222=Constants!$B$7,RANK(AU222,AU$8:AU$507),$AG222))</f>
        <v/>
      </c>
      <c r="AW222" s="99" t="str">
        <f aca="false">IF(ISBLANK($C222), "",AR222)</f>
        <v/>
      </c>
      <c r="AX222" s="99" t="str">
        <f aca="false">IF(ISBLANK($C222),"",IF($AG222=Constants!$B$7,RANK(AW222,AW$8:AW$507),$AG222))</f>
        <v/>
      </c>
      <c r="AY222" s="99" t="str">
        <f aca="false">IF(ISBLANK($C222), "",AE222)</f>
        <v/>
      </c>
      <c r="AZ222" s="99" t="str">
        <f aca="false">IF(ISBLANK($C222),"",
IF($AG222=Constants!$B$7,
  IF(ISNUMBER(AT222),
    COUNTIFS($AT$8:$AT$507,"&lt;"&amp;$AT222)
    + COUNTIFS($AT$8:$AT$507,$AT222,$AV$8:$AV$507,"&lt;"&amp;$AV222)
    + COUNTIFS($AT$8:$AT$507,$AT222,$AV$8:$AV$507,$AV222,$AX$8:$AX$507,"&lt;"&amp;$AX222)
    + COUNTIFS($AT$8:$AT$507,$AT222,$AV$8:$AV$507,$AV222,$AX$8:$AX$507,$AX222,$AY$8:$AY$507,"&lt;"&amp;$AY222)
    + 1,
  Constants!$B$14),
$AG222))</f>
        <v/>
      </c>
      <c r="BA222" s="99" t="str">
        <f aca="false">IF(ISBLANK(C222),"",IF($AG222=Constants!$B$7, IF(ISNUMBER(AT222),AT222-AZ222,Constants!$B$14),$AG222))</f>
        <v/>
      </c>
      <c r="BB222" s="103"/>
      <c r="BC222" s="104" t="str">
        <f aca="false">IF(ISBLANK($C222),"",TRIM(AK222&amp;" "&amp;AO222))</f>
        <v/>
      </c>
      <c r="BD222" s="105" t="str">
        <f aca="false">IF(ISBLANK($C222),"",IF($AG222&lt;&gt;Constants!$B$7,$AG222,AR222))</f>
        <v/>
      </c>
      <c r="BE222" s="105" t="str">
        <f aca="false">IF(ISBLANK($C222),"",IF($AG222&lt;&gt;Constants!$B$7,$AG222,AM222))</f>
        <v/>
      </c>
      <c r="BF222" s="105" t="str">
        <f aca="false">IF(ISBLANK($C222),"",IF($AG222&lt;&gt;Constants!$B$7,$AG222,AQ222))</f>
        <v/>
      </c>
      <c r="BG222" s="106" t="str">
        <f aca="false">IF(ISBLANK($C222),"",IF($AG222&lt;&gt;Constants!$B$7, $AG222 ,AS222))</f>
        <v/>
      </c>
      <c r="BH222" s="107" t="str">
        <f aca="false">IF(ISBLANK($C222),"",IF($AG222&lt;&gt;Constants!$B$7, $AG222 ,AH222))</f>
        <v/>
      </c>
      <c r="BI222" s="105" t="str">
        <f aca="false">IF(ISBLANK(C222),"",BA222)</f>
        <v/>
      </c>
      <c r="BJ222" s="105" t="str">
        <f aca="false">IF(ISBLANK(C222),"",AZ222)</f>
        <v/>
      </c>
      <c r="BK222" s="108" t="str">
        <f aca="false">IF(ISBLANK(C222),"",IFERROR(_xlfn.SWITCH(BJ222, Constants!$B$4, COUNTA($C$8:$C721)+2, Constants!$B$5, COUNTA($C$8:$C721)+1, Constants!$B$6, COUNTA($C$8:$C721)),BJ222))</f>
        <v/>
      </c>
      <c r="BL222" s="5"/>
      <c r="BM222" s="109" t="n">
        <f aca="false">IF(OR(ISNUMBER(BJ222),BJ222="DQ",BJ222="P",BJ222="NS"),
    1,
    0
)</f>
        <v>0</v>
      </c>
      <c r="BN222" s="109" t="n">
        <v>215</v>
      </c>
      <c r="BO222" s="109" t="str">
        <f aca="false">IF(ISBLANK($C222),"",IF(ISNUMBER(BK222),BK222+ROW($B222)/1000,""))</f>
        <v/>
      </c>
      <c r="BP222" s="109" t="str">
        <f aca="false">IF(ISNUMBER(BO222), RANK(BO222,BO$8:BO$507,1), "")</f>
        <v/>
      </c>
      <c r="BQ222" s="109" t="str">
        <f aca="false">IF(ISBLANK($C222),
    "",
    $B222
)</f>
        <v/>
      </c>
      <c r="BR222" s="109" t="str">
        <f aca="false">IF(ISBLANK($C222),
    "",
    $C222
)</f>
        <v/>
      </c>
      <c r="BS222" s="109" t="str">
        <f aca="false">IF(ISBLANK($C222),
    "",
    $D222
)</f>
        <v/>
      </c>
      <c r="BT222" s="110" t="str">
        <f aca="false">BH222</f>
        <v/>
      </c>
      <c r="BU222" s="111" t="str">
        <f aca="false">BG222</f>
        <v/>
      </c>
      <c r="BV222" s="109" t="str">
        <f aca="false">IF(ISBLANK($C222),
    "",
    BJ222
)</f>
        <v/>
      </c>
      <c r="BW222" s="112" t="str">
        <f aca="false">IF(BN222&gt;BM$7,
    "",
    VLOOKUP(BN222,BP$8:BV721,7,FALSE())
)</f>
        <v/>
      </c>
      <c r="BX222" s="113" t="str">
        <f aca="false">IF(BN222&gt;BM$7,
    "",
    VLOOKUP(BN222,BP$8:BV721,2,FALSE())
)</f>
        <v/>
      </c>
      <c r="BY222" s="113" t="str">
        <f aca="false">IF(BN222&gt;BM$7,
    "",
    VLOOKUP(BN222,BP$8:BV721,3,FALSE())
)</f>
        <v/>
      </c>
      <c r="BZ222" s="113" t="str">
        <f aca="false">IF(BN222&gt;BM$7,
    "",
    VLOOKUP(BN222,BP$8:BV721,4,FALSE())
)</f>
        <v/>
      </c>
      <c r="CA222" s="113" t="str">
        <f aca="false">IF(BN222&gt;BM$7,
    "",
    VLOOKUP(BN222,BP$8:BV721,5,FALSE())
)</f>
        <v/>
      </c>
      <c r="CB222" s="114" t="str">
        <f aca="false">IF(BN222&gt;BM$7,
    "",
    VLOOKUP(BN222,BP$8:BV721,6,FALSE())
)</f>
        <v/>
      </c>
      <c r="CC222" s="53"/>
    </row>
    <row r="223" customFormat="false" ht="15.75" hidden="false" customHeight="false" outlineLevel="0" collapsed="false">
      <c r="A223" s="5"/>
      <c r="B223" s="125"/>
      <c r="C223" s="126"/>
      <c r="D223" s="115"/>
      <c r="E223" s="119"/>
      <c r="F223" s="119"/>
      <c r="G223" s="91"/>
      <c r="H223" s="92"/>
      <c r="I223" s="92"/>
      <c r="J223" s="128"/>
      <c r="K223" s="128"/>
      <c r="L223" s="128"/>
      <c r="M223" s="94"/>
      <c r="N223" s="94"/>
      <c r="O223" s="94"/>
      <c r="P223" s="95"/>
      <c r="Q223" s="96"/>
      <c r="R223" s="128"/>
      <c r="S223" s="98"/>
      <c r="T223" s="99"/>
      <c r="U223" s="99" t="str">
        <f aca="false">IF(ISBLANK($C223),"",IF(G223=Constants!$B$2, TRUE(), IF(G223=Constants!$B$3, FALSE(), TRUE())))</f>
        <v/>
      </c>
      <c r="V223" s="99" t="str">
        <f aca="false">IF(ISBLANK($C223),"",IF(H223=Constants!$B$2, TRUE(), IF(H223=Constants!$B$3, FALSE(), TRUE())))</f>
        <v/>
      </c>
      <c r="W223" s="99" t="str">
        <f aca="false">IF(ISBLANK($C223),"",IF(I223=Constants!$B$2, TRUE(), IF(I223=Constants!$B$3, FALSE(), TRUE())))</f>
        <v/>
      </c>
      <c r="X223" s="99" t="str">
        <f aca="false">IF(ISBLANK($C223),"",IF(AND(ISNUMBER(J223),J223&gt;0),INT(J223),0))</f>
        <v/>
      </c>
      <c r="Y223" s="99" t="str">
        <f aca="false">IF(ISBLANK($C223),"",IF(K223=Constants!$B$2, TRUE(), IF(K223=Constants!$B$3, FALSE(), TRUE())))</f>
        <v/>
      </c>
      <c r="Z223" s="100" t="str">
        <f aca="false">IF(ISBLANK($C223),"",IF(AND(ISNUMBER(L223),L223&gt;0),INT(L223),0))</f>
        <v/>
      </c>
      <c r="AA223" s="101" t="str">
        <f aca="false">IF(ISBLANK($C223),"",IF(ISNUMBER(M223), M223, ""))</f>
        <v/>
      </c>
      <c r="AB223" s="101" t="str">
        <f aca="false">IF(ISBLANK($C223),"",IF(ISNUMBER(N223), N223, ""))</f>
        <v/>
      </c>
      <c r="AC223" s="101" t="str">
        <f aca="false">IF(ISBLANK($C223),"",IF(ISNUMBER(O223), O223, ""))</f>
        <v/>
      </c>
      <c r="AD223" s="102" t="str">
        <f aca="false">IF(ISBLANK($C223),"",IF(ISNUMBER(P223), P223, ""))</f>
        <v/>
      </c>
      <c r="AE223" s="102" t="str">
        <f aca="false">IF(ISBLANK($C223),"",IF(ISNUMBER(Q223), Q223, Constants!$B$13))</f>
        <v/>
      </c>
      <c r="AF223" s="99" t="str">
        <f aca="false">IF(ISBLANK($C223),"",IF(R223=Constants!$B$2, TRUE(), IF(R223=Constants!$B$3, FALSE(), FALSE())))</f>
        <v/>
      </c>
      <c r="AG223" s="99" t="str">
        <f aca="false">IF(ISBLANK(C223), "", IF(AF223, Constants!$B$4,IF(COUNTA(G223:P223)=0, Constants!$B$5, Constants!$B$7)))</f>
        <v/>
      </c>
      <c r="AH223" s="99" t="str">
        <f aca="false">IF(ISBLANK($C223), "",IF($AG223=Constants!$B$7,1,$AG223))</f>
        <v/>
      </c>
      <c r="AI223" s="99" t="str">
        <f aca="false">IF($AG223=Constants!$B$7,POWER(Constants!$B$11,X223)*POWER(Constants!$B$12,Z223),"")</f>
        <v/>
      </c>
      <c r="AJ223" s="99" t="str">
        <f aca="false">IF(AND($AG223=Constants!$B$7, U223, V223) ,IF(OR($AA223="",$AC223=""),"",MAX(0, $AC223-$AA223)),"")</f>
        <v/>
      </c>
      <c r="AK223" s="99" t="str">
        <f aca="false">IF(AND($AG223=Constants!$B$7, U223, V223),IF(OR($AA223="",$AC223=""),$AK$6,""),"")</f>
        <v/>
      </c>
      <c r="AL223" s="99" t="str">
        <f aca="false">IF($AG223=Constants!$B$7,IF(AND(U223,V223,W223,Y223),IF($AJ223="",0,IF($AJ$6=0,Constants!$B$9,Constants!$B$9*AJ223/$AJ$6)), 0),"")</f>
        <v/>
      </c>
      <c r="AM223" s="99" t="str">
        <f aca="false">IF(AL223&lt;&gt;"", AL223*AI223,"")</f>
        <v/>
      </c>
      <c r="AN223" s="99" t="str">
        <f aca="false">IF(AND($AG223=Constants!$B$7, U223, V223) ,IF($AB223="", "", IF(OR($AC223="",$AC223=0),"",MAX(0,1-ABS($AC223-$AB223)/$AC223))),"")</f>
        <v/>
      </c>
      <c r="AO223" s="99" t="str">
        <f aca="false">IF(AND($AG223=Constants!$B$7, U223, V223),IF(AND($AA223&lt;&gt;"",$AB223&lt;&gt;"",$AC223=0),$AO$6,""),"")</f>
        <v/>
      </c>
      <c r="AP223" s="99" t="str">
        <f aca="false">IF($AG223=Constants!$B$7 ,IF(AND(U223,V223,W223,Y223,ISNUMBER(AB223)),IF($AN223="",0,IF($AN$6=0,Constants!$B$10,Constants!$B$10*AN223/$AN$6)), 0),"")</f>
        <v/>
      </c>
      <c r="AQ223" s="99" t="str">
        <f aca="false">IF(AP223&lt;&gt;"", AP223*AI223,"")</f>
        <v/>
      </c>
      <c r="AR223" s="99" t="str">
        <f aca="false">IF($AG223=Constants!$B$7,IF($AD223="",0,IF($AR$6=0,Constants!$B$8,Constants!$B$8*AD223/$AR$6)),"")</f>
        <v/>
      </c>
      <c r="AS223" s="99" t="str">
        <f aca="false">IF($AG223&lt;&gt;Constants!$B$7,$AG223,IF(AK223&amp;AO223&lt;&gt;"",Constants!$B$14,AM223+AQ223+AR223))</f>
        <v/>
      </c>
      <c r="AT223" s="99" t="str">
        <f aca="false">IF(ISBLANK($C223),"",IF($AG223=Constants!$B$7,IF(ISNUMBER(AS223),RANK(AS223,$AS$8:$AS$507),Constants!$B$14),$AG223))</f>
        <v/>
      </c>
      <c r="AU223" s="99" t="str">
        <f aca="false">IF(ISBLANK($C223), "",AM223)</f>
        <v/>
      </c>
      <c r="AV223" s="99" t="str">
        <f aca="false">IF(ISBLANK($C223),"",IF($AG223=Constants!$B$7,RANK(AU223,AU$8:AU$507),$AG223))</f>
        <v/>
      </c>
      <c r="AW223" s="99" t="str">
        <f aca="false">IF(ISBLANK($C223), "",AR223)</f>
        <v/>
      </c>
      <c r="AX223" s="99" t="str">
        <f aca="false">IF(ISBLANK($C223),"",IF($AG223=Constants!$B$7,RANK(AW223,AW$8:AW$507),$AG223))</f>
        <v/>
      </c>
      <c r="AY223" s="99" t="str">
        <f aca="false">IF(ISBLANK($C223), "",AE223)</f>
        <v/>
      </c>
      <c r="AZ223" s="99" t="str">
        <f aca="false">IF(ISBLANK($C223),"",
IF($AG223=Constants!$B$7,
  IF(ISNUMBER(AT223),
    COUNTIFS($AT$8:$AT$507,"&lt;"&amp;$AT223)
    + COUNTIFS($AT$8:$AT$507,$AT223,$AV$8:$AV$507,"&lt;"&amp;$AV223)
    + COUNTIFS($AT$8:$AT$507,$AT223,$AV$8:$AV$507,$AV223,$AX$8:$AX$507,"&lt;"&amp;$AX223)
    + COUNTIFS($AT$8:$AT$507,$AT223,$AV$8:$AV$507,$AV223,$AX$8:$AX$507,$AX223,$AY$8:$AY$507,"&lt;"&amp;$AY223)
    + 1,
  Constants!$B$14),
$AG223))</f>
        <v/>
      </c>
      <c r="BA223" s="99" t="str">
        <f aca="false">IF(ISBLANK(C223),"",IF($AG223=Constants!$B$7, IF(ISNUMBER(AT223),AT223-AZ223,Constants!$B$14),$AG223))</f>
        <v/>
      </c>
      <c r="BB223" s="103"/>
      <c r="BC223" s="104" t="str">
        <f aca="false">IF(ISBLANK($C223),"",TRIM(AK223&amp;" "&amp;AO223))</f>
        <v/>
      </c>
      <c r="BD223" s="105" t="str">
        <f aca="false">IF(ISBLANK($C223),"",IF($AG223&lt;&gt;Constants!$B$7,$AG223,AR223))</f>
        <v/>
      </c>
      <c r="BE223" s="105" t="str">
        <f aca="false">IF(ISBLANK($C223),"",IF($AG223&lt;&gt;Constants!$B$7,$AG223,AM223))</f>
        <v/>
      </c>
      <c r="BF223" s="105" t="str">
        <f aca="false">IF(ISBLANK($C223),"",IF($AG223&lt;&gt;Constants!$B$7,$AG223,AQ223))</f>
        <v/>
      </c>
      <c r="BG223" s="106" t="str">
        <f aca="false">IF(ISBLANK($C223),"",IF($AG223&lt;&gt;Constants!$B$7, $AG223 ,AS223))</f>
        <v/>
      </c>
      <c r="BH223" s="107" t="str">
        <f aca="false">IF(ISBLANK($C223),"",IF($AG223&lt;&gt;Constants!$B$7, $AG223 ,AH223))</f>
        <v/>
      </c>
      <c r="BI223" s="105" t="str">
        <f aca="false">IF(ISBLANK(C223),"",BA223)</f>
        <v/>
      </c>
      <c r="BJ223" s="105" t="str">
        <f aca="false">IF(ISBLANK(C223),"",AZ223)</f>
        <v/>
      </c>
      <c r="BK223" s="108" t="str">
        <f aca="false">IF(ISBLANK(C223),"",IFERROR(_xlfn.SWITCH(BJ223, Constants!$B$4, COUNTA($C$8:$C722)+2, Constants!$B$5, COUNTA($C$8:$C722)+1, Constants!$B$6, COUNTA($C$8:$C722)),BJ223))</f>
        <v/>
      </c>
      <c r="BL223" s="5"/>
      <c r="BM223" s="109" t="n">
        <f aca="false">IF(OR(ISNUMBER(BJ223),BJ223="DQ",BJ223="P",BJ223="NS"),
    1,
    0
)</f>
        <v>0</v>
      </c>
      <c r="BN223" s="109" t="n">
        <v>216</v>
      </c>
      <c r="BO223" s="109" t="str">
        <f aca="false">IF(ISBLANK($C223),"",IF(ISNUMBER(BK223),BK223+ROW($B223)/1000,""))</f>
        <v/>
      </c>
      <c r="BP223" s="109" t="str">
        <f aca="false">IF(ISNUMBER(BO223), RANK(BO223,BO$8:BO$507,1), "")</f>
        <v/>
      </c>
      <c r="BQ223" s="109" t="str">
        <f aca="false">IF(ISBLANK($C223),
    "",
    $B223
)</f>
        <v/>
      </c>
      <c r="BR223" s="109" t="str">
        <f aca="false">IF(ISBLANK($C223),
    "",
    $C223
)</f>
        <v/>
      </c>
      <c r="BS223" s="109" t="str">
        <f aca="false">IF(ISBLANK($C223),
    "",
    $D223
)</f>
        <v/>
      </c>
      <c r="BT223" s="110" t="str">
        <f aca="false">BH223</f>
        <v/>
      </c>
      <c r="BU223" s="111" t="str">
        <f aca="false">BG223</f>
        <v/>
      </c>
      <c r="BV223" s="109" t="str">
        <f aca="false">IF(ISBLANK($C223),
    "",
    BJ223
)</f>
        <v/>
      </c>
      <c r="BW223" s="112" t="str">
        <f aca="false">IF(BN223&gt;BM$7,
    "",
    VLOOKUP(BN223,BP$8:BV722,7,FALSE())
)</f>
        <v/>
      </c>
      <c r="BX223" s="113" t="str">
        <f aca="false">IF(BN223&gt;BM$7,
    "",
    VLOOKUP(BN223,BP$8:BV722,2,FALSE())
)</f>
        <v/>
      </c>
      <c r="BY223" s="113" t="str">
        <f aca="false">IF(BN223&gt;BM$7,
    "",
    VLOOKUP(BN223,BP$8:BV722,3,FALSE())
)</f>
        <v/>
      </c>
      <c r="BZ223" s="113" t="str">
        <f aca="false">IF(BN223&gt;BM$7,
    "",
    VLOOKUP(BN223,BP$8:BV722,4,FALSE())
)</f>
        <v/>
      </c>
      <c r="CA223" s="113" t="str">
        <f aca="false">IF(BN223&gt;BM$7,
    "",
    VLOOKUP(BN223,BP$8:BV722,5,FALSE())
)</f>
        <v/>
      </c>
      <c r="CB223" s="114" t="str">
        <f aca="false">IF(BN223&gt;BM$7,
    "",
    VLOOKUP(BN223,BP$8:BV722,6,FALSE())
)</f>
        <v/>
      </c>
      <c r="CC223" s="53"/>
    </row>
    <row r="224" customFormat="false" ht="15.75" hidden="false" customHeight="false" outlineLevel="0" collapsed="false">
      <c r="A224" s="5"/>
      <c r="B224" s="129"/>
      <c r="C224" s="55"/>
      <c r="D224" s="56"/>
      <c r="E224" s="123"/>
      <c r="F224" s="123"/>
      <c r="G224" s="58"/>
      <c r="H224" s="59"/>
      <c r="I224" s="59"/>
      <c r="J224" s="83"/>
      <c r="K224" s="83"/>
      <c r="L224" s="83"/>
      <c r="M224" s="61"/>
      <c r="N224" s="61"/>
      <c r="O224" s="61"/>
      <c r="P224" s="62"/>
      <c r="Q224" s="63"/>
      <c r="R224" s="83"/>
      <c r="S224" s="65"/>
      <c r="T224" s="66"/>
      <c r="U224" s="66" t="str">
        <f aca="false">IF(ISBLANK($C224),"",IF(G224=Constants!$B$2, TRUE(), IF(G224=Constants!$B$3, FALSE(), TRUE())))</f>
        <v/>
      </c>
      <c r="V224" s="66" t="str">
        <f aca="false">IF(ISBLANK($C224),"",IF(H224=Constants!$B$2, TRUE(), IF(H224=Constants!$B$3, FALSE(), TRUE())))</f>
        <v/>
      </c>
      <c r="W224" s="66" t="str">
        <f aca="false">IF(ISBLANK($C224),"",IF(I224=Constants!$B$2, TRUE(), IF(I224=Constants!$B$3, FALSE(), TRUE())))</f>
        <v/>
      </c>
      <c r="X224" s="66" t="str">
        <f aca="false">IF(ISBLANK($C224),"",IF(AND(ISNUMBER(J224),J224&gt;0),INT(J224),0))</f>
        <v/>
      </c>
      <c r="Y224" s="66" t="str">
        <f aca="false">IF(ISBLANK($C224),"",IF(K224=Constants!$B$2, TRUE(), IF(K224=Constants!$B$3, FALSE(), TRUE())))</f>
        <v/>
      </c>
      <c r="Z224" s="66" t="str">
        <f aca="false">IF(ISBLANK($C224),"",IF(AND(ISNUMBER(L224),L224&gt;0),INT(L224),0))</f>
        <v/>
      </c>
      <c r="AA224" s="68" t="str">
        <f aca="false">IF(ISBLANK($C224),"",IF(ISNUMBER(M224), M224, ""))</f>
        <v/>
      </c>
      <c r="AB224" s="68" t="str">
        <f aca="false">IF(ISBLANK($C224),"",IF(ISNUMBER(N224), N224, ""))</f>
        <v/>
      </c>
      <c r="AC224" s="68" t="str">
        <f aca="false">IF(ISBLANK($C224),"",IF(ISNUMBER(O224), O224, ""))</f>
        <v/>
      </c>
      <c r="AD224" s="69" t="str">
        <f aca="false">IF(ISBLANK($C224),"",IF(ISNUMBER(P224), P224, ""))</f>
        <v/>
      </c>
      <c r="AE224" s="69" t="str">
        <f aca="false">IF(ISBLANK($C224),"",IF(ISNUMBER(Q224), Q224, Constants!$B$13))</f>
        <v/>
      </c>
      <c r="AF224" s="66" t="str">
        <f aca="false">IF(ISBLANK($C224),"",IF(R224=Constants!$B$2, TRUE(), IF(R224=Constants!$B$3, FALSE(), FALSE())))</f>
        <v/>
      </c>
      <c r="AG224" s="66" t="str">
        <f aca="false">IF(ISBLANK(C224), "", IF(AF224, Constants!$B$4,IF(COUNTA(G224:P224)=0, Constants!$B$5, Constants!$B$7)))</f>
        <v/>
      </c>
      <c r="AH224" s="66" t="str">
        <f aca="false">IF(ISBLANK($C224), "",IF($AG224=Constants!$B$7,1,$AG224))</f>
        <v/>
      </c>
      <c r="AI224" s="66" t="str">
        <f aca="false">IF($AG224=Constants!$B$7,POWER(Constants!$B$11,X224)*POWER(Constants!$B$12,Z224),"")</f>
        <v/>
      </c>
      <c r="AJ224" s="66" t="str">
        <f aca="false">IF(AND($AG224=Constants!$B$7, U224, V224) ,IF(OR($AA224="",$AC224=""),"",MAX(0, $AC224-$AA224)),"")</f>
        <v/>
      </c>
      <c r="AK224" s="66" t="str">
        <f aca="false">IF(AND($AG224=Constants!$B$7, U224, V224),IF(OR($AA224="",$AC224=""),$AK$6,""),"")</f>
        <v/>
      </c>
      <c r="AL224" s="66" t="str">
        <f aca="false">IF($AG224=Constants!$B$7,IF(AND(U224,V224,W224,Y224),IF($AJ224="",0,IF($AJ$6=0,Constants!$B$9,Constants!$B$9*AJ224/$AJ$6)), 0),"")</f>
        <v/>
      </c>
      <c r="AM224" s="66" t="str">
        <f aca="false">IF(AL224&lt;&gt;"", AL224*AI224,"")</f>
        <v/>
      </c>
      <c r="AN224" s="66" t="str">
        <f aca="false">IF(AND($AG224=Constants!$B$7, U224, V224) ,IF($AB224="", "", IF(OR($AC224="",$AC224=0),"",MAX(0,1-ABS($AC224-$AB224)/$AC224))),"")</f>
        <v/>
      </c>
      <c r="AO224" s="66" t="str">
        <f aca="false">IF(AND($AG224=Constants!$B$7, U224, V224),IF(AND($AA224&lt;&gt;"",$AB224&lt;&gt;"",$AC224=0),$AO$6,""),"")</f>
        <v/>
      </c>
      <c r="AP224" s="66" t="str">
        <f aca="false">IF($AG224=Constants!$B$7 ,IF(AND(U224,V224,W224,Y224,ISNUMBER(AB224)),IF($AN224="",0,IF($AN$6=0,Constants!$B$10,Constants!$B$10*AN224/$AN$6)), 0),"")</f>
        <v/>
      </c>
      <c r="AQ224" s="66" t="str">
        <f aca="false">IF(AP224&lt;&gt;"", AP224*AI224,"")</f>
        <v/>
      </c>
      <c r="AR224" s="66" t="str">
        <f aca="false">IF($AG224=Constants!$B$7,IF($AD224="",0,IF($AR$6=0,Constants!$B$8,Constants!$B$8*AD224/$AR$6)),"")</f>
        <v/>
      </c>
      <c r="AS224" s="66" t="str">
        <f aca="false">IF($AG224&lt;&gt;Constants!$B$7,$AG224,IF(AK224&amp;AO224&lt;&gt;"",Constants!$B$14,AM224+AQ224+AR224))</f>
        <v/>
      </c>
      <c r="AT224" s="66" t="str">
        <f aca="false">IF(ISBLANK($C224),"",IF($AG224=Constants!$B$7,IF(ISNUMBER(AS224),RANK(AS224,$AS$8:$AS$507),Constants!$B$14),$AG224))</f>
        <v/>
      </c>
      <c r="AU224" s="66" t="str">
        <f aca="false">IF(ISBLANK($C224), "",AM224)</f>
        <v/>
      </c>
      <c r="AV224" s="66" t="str">
        <f aca="false">IF(ISBLANK($C224),"",IF($AG224=Constants!$B$7,RANK(AU224,AU$8:AU$507),$AG224))</f>
        <v/>
      </c>
      <c r="AW224" s="66" t="str">
        <f aca="false">IF(ISBLANK($C224), "",AR224)</f>
        <v/>
      </c>
      <c r="AX224" s="66" t="str">
        <f aca="false">IF(ISBLANK($C224),"",IF($AG224=Constants!$B$7,RANK(AW224,AW$8:AW$507),$AG224))</f>
        <v/>
      </c>
      <c r="AY224" s="66" t="str">
        <f aca="false">IF(ISBLANK($C224), "",AE224)</f>
        <v/>
      </c>
      <c r="AZ224" s="66" t="str">
        <f aca="false">IF(ISBLANK($C224),"",
IF($AG224=Constants!$B$7,
  IF(ISNUMBER(AT224),
    COUNTIFS($AT$8:$AT$507,"&lt;"&amp;$AT224)
    + COUNTIFS($AT$8:$AT$507,$AT224,$AV$8:$AV$507,"&lt;"&amp;$AV224)
    + COUNTIFS($AT$8:$AT$507,$AT224,$AV$8:$AV$507,$AV224,$AX$8:$AX$507,"&lt;"&amp;$AX224)
    + COUNTIFS($AT$8:$AT$507,$AT224,$AV$8:$AV$507,$AV224,$AX$8:$AX$507,$AX224,$AY$8:$AY$507,"&lt;"&amp;$AY224)
    + 1,
  Constants!$B$14),
$AG224))</f>
        <v/>
      </c>
      <c r="BA224" s="66" t="str">
        <f aca="false">IF(ISBLANK(C224),"",IF($AG224=Constants!$B$7, IF(ISNUMBER(AT224),AT224-AZ224,Constants!$B$14),$AG224))</f>
        <v/>
      </c>
      <c r="BB224" s="70"/>
      <c r="BC224" s="84" t="str">
        <f aca="false">IF(ISBLANK($C224),"",TRIM(AK224&amp;" "&amp;AO224))</f>
        <v/>
      </c>
      <c r="BD224" s="72" t="str">
        <f aca="false">IF(ISBLANK($C224),"",IF($AG224&lt;&gt;Constants!$B$7,$AG224,AR224))</f>
        <v/>
      </c>
      <c r="BE224" s="72" t="str">
        <f aca="false">IF(ISBLANK($C224),"",IF($AG224&lt;&gt;Constants!$B$7,$AG224,AM224))</f>
        <v/>
      </c>
      <c r="BF224" s="72" t="str">
        <f aca="false">IF(ISBLANK($C224),"",IF($AG224&lt;&gt;Constants!$B$7,$AG224,AQ224))</f>
        <v/>
      </c>
      <c r="BG224" s="73" t="str">
        <f aca="false">IF(ISBLANK($C224),"",IF($AG224&lt;&gt;Constants!$B$7, $AG224 ,AS224))</f>
        <v/>
      </c>
      <c r="BH224" s="74" t="str">
        <f aca="false">IF(ISBLANK($C224),"",IF($AG224&lt;&gt;Constants!$B$7, $AG224 ,AH224))</f>
        <v/>
      </c>
      <c r="BI224" s="72" t="str">
        <f aca="false">IF(ISBLANK(C224),"",BA224)</f>
        <v/>
      </c>
      <c r="BJ224" s="72" t="str">
        <f aca="false">IF(ISBLANK(C224),"",AZ224)</f>
        <v/>
      </c>
      <c r="BK224" s="75" t="str">
        <f aca="false">IF(ISBLANK(C224),"",IFERROR(_xlfn.SWITCH(BJ224, Constants!$B$4, COUNTA($C$8:$C723)+2, Constants!$B$5, COUNTA($C$8:$C723)+1, Constants!$B$6, COUNTA($C$8:$C723)),BJ224))</f>
        <v/>
      </c>
      <c r="BL224" s="5"/>
      <c r="BM224" s="76" t="n">
        <f aca="false">IF(OR(ISNUMBER(BJ224),BJ224="DQ",BJ224="P",BJ224="NS"),
    1,
    0
)</f>
        <v>0</v>
      </c>
      <c r="BN224" s="76" t="n">
        <v>217</v>
      </c>
      <c r="BO224" s="76" t="str">
        <f aca="false">IF(ISBLANK($C224),"",IF(ISNUMBER(BK224),BK224+ROW($B224)/1000,""))</f>
        <v/>
      </c>
      <c r="BP224" s="76" t="str">
        <f aca="false">IF(ISNUMBER(BO224), RANK(BO224,BO$8:BO$507,1), "")</f>
        <v/>
      </c>
      <c r="BQ224" s="76" t="str">
        <f aca="false">IF(ISBLANK($C224),
    "",
    $B224
)</f>
        <v/>
      </c>
      <c r="BR224" s="76" t="str">
        <f aca="false">IF(ISBLANK($C224),
    "",
    $C224
)</f>
        <v/>
      </c>
      <c r="BS224" s="76" t="str">
        <f aca="false">IF(ISBLANK($C224),
    "",
    $D224
)</f>
        <v/>
      </c>
      <c r="BT224" s="77" t="str">
        <f aca="false">BH224</f>
        <v/>
      </c>
      <c r="BU224" s="78" t="str">
        <f aca="false">BG224</f>
        <v/>
      </c>
      <c r="BV224" s="76" t="str">
        <f aca="false">IF(ISBLANK($C224),
    "",
    BJ224
)</f>
        <v/>
      </c>
      <c r="BW224" s="79" t="str">
        <f aca="false">IF(BN224&gt;BM$7,
    "",
    VLOOKUP(BN224,BP$8:BV723,7,FALSE())
)</f>
        <v/>
      </c>
      <c r="BX224" s="80" t="str">
        <f aca="false">IF(BN224&gt;BM$7,
    "",
    VLOOKUP(BN224,BP$8:BV723,2,FALSE())
)</f>
        <v/>
      </c>
      <c r="BY224" s="80" t="str">
        <f aca="false">IF(BN224&gt;BM$7,
    "",
    VLOOKUP(BN224,BP$8:BV723,3,FALSE())
)</f>
        <v/>
      </c>
      <c r="BZ224" s="80" t="str">
        <f aca="false">IF(BN224&gt;BM$7,
    "",
    VLOOKUP(BN224,BP$8:BV723,4,FALSE())
)</f>
        <v/>
      </c>
      <c r="CA224" s="80" t="str">
        <f aca="false">IF(BN224&gt;BM$7,
    "",
    VLOOKUP(BN224,BP$8:BV723,5,FALSE())
)</f>
        <v/>
      </c>
      <c r="CB224" s="81" t="str">
        <f aca="false">IF(BN224&gt;BM$7,
    "",
    VLOOKUP(BN224,BP$8:BV723,6,FALSE())
)</f>
        <v/>
      </c>
      <c r="CC224" s="53"/>
    </row>
    <row r="225" customFormat="false" ht="15.75" hidden="false" customHeight="false" outlineLevel="0" collapsed="false">
      <c r="A225" s="5"/>
      <c r="B225" s="129"/>
      <c r="C225" s="55"/>
      <c r="D225" s="56"/>
      <c r="E225" s="123"/>
      <c r="F225" s="123"/>
      <c r="G225" s="58"/>
      <c r="H225" s="59"/>
      <c r="I225" s="59"/>
      <c r="J225" s="83"/>
      <c r="K225" s="83"/>
      <c r="L225" s="83"/>
      <c r="M225" s="61"/>
      <c r="N225" s="61"/>
      <c r="O225" s="61"/>
      <c r="P225" s="62"/>
      <c r="Q225" s="63"/>
      <c r="R225" s="83"/>
      <c r="S225" s="65"/>
      <c r="T225" s="66"/>
      <c r="U225" s="66" t="str">
        <f aca="false">IF(ISBLANK($C225),"",IF(G225=Constants!$B$2, TRUE(), IF(G225=Constants!$B$3, FALSE(), TRUE())))</f>
        <v/>
      </c>
      <c r="V225" s="66" t="str">
        <f aca="false">IF(ISBLANK($C225),"",IF(H225=Constants!$B$2, TRUE(), IF(H225=Constants!$B$3, FALSE(), TRUE())))</f>
        <v/>
      </c>
      <c r="W225" s="66" t="str">
        <f aca="false">IF(ISBLANK($C225),"",IF(I225=Constants!$B$2, TRUE(), IF(I225=Constants!$B$3, FALSE(), TRUE())))</f>
        <v/>
      </c>
      <c r="X225" s="66" t="str">
        <f aca="false">IF(ISBLANK($C225),"",IF(AND(ISNUMBER(J225),J225&gt;0),INT(J225),0))</f>
        <v/>
      </c>
      <c r="Y225" s="66" t="str">
        <f aca="false">IF(ISBLANK($C225),"",IF(K225=Constants!$B$2, TRUE(), IF(K225=Constants!$B$3, FALSE(), TRUE())))</f>
        <v/>
      </c>
      <c r="Z225" s="66" t="str">
        <f aca="false">IF(ISBLANK($C225),"",IF(AND(ISNUMBER(L225),L225&gt;0),INT(L225),0))</f>
        <v/>
      </c>
      <c r="AA225" s="68" t="str">
        <f aca="false">IF(ISBLANK($C225),"",IF(ISNUMBER(M225), M225, ""))</f>
        <v/>
      </c>
      <c r="AB225" s="68" t="str">
        <f aca="false">IF(ISBLANK($C225),"",IF(ISNUMBER(N225), N225, ""))</f>
        <v/>
      </c>
      <c r="AC225" s="68" t="str">
        <f aca="false">IF(ISBLANK($C225),"",IF(ISNUMBER(O225), O225, ""))</f>
        <v/>
      </c>
      <c r="AD225" s="69" t="str">
        <f aca="false">IF(ISBLANK($C225),"",IF(ISNUMBER(P225), P225, ""))</f>
        <v/>
      </c>
      <c r="AE225" s="69" t="str">
        <f aca="false">IF(ISBLANK($C225),"",IF(ISNUMBER(Q225), Q225, Constants!$B$13))</f>
        <v/>
      </c>
      <c r="AF225" s="66" t="str">
        <f aca="false">IF(ISBLANK($C225),"",IF(R225=Constants!$B$2, TRUE(), IF(R225=Constants!$B$3, FALSE(), FALSE())))</f>
        <v/>
      </c>
      <c r="AG225" s="66" t="str">
        <f aca="false">IF(ISBLANK(C225), "", IF(AF225, Constants!$B$4,IF(COUNTA(G225:P225)=0, Constants!$B$5, Constants!$B$7)))</f>
        <v/>
      </c>
      <c r="AH225" s="66" t="str">
        <f aca="false">IF(ISBLANK($C225), "",IF($AG225=Constants!$B$7,1,$AG225))</f>
        <v/>
      </c>
      <c r="AI225" s="66" t="str">
        <f aca="false">IF($AG225=Constants!$B$7,POWER(Constants!$B$11,X225)*POWER(Constants!$B$12,Z225),"")</f>
        <v/>
      </c>
      <c r="AJ225" s="66" t="str">
        <f aca="false">IF(AND($AG225=Constants!$B$7, U225, V225) ,IF(OR($AA225="",$AC225=""),"",MAX(0, $AC225-$AA225)),"")</f>
        <v/>
      </c>
      <c r="AK225" s="66" t="str">
        <f aca="false">IF(AND($AG225=Constants!$B$7, U225, V225),IF(OR($AA225="",$AC225=""),$AK$6,""),"")</f>
        <v/>
      </c>
      <c r="AL225" s="66" t="str">
        <f aca="false">IF($AG225=Constants!$B$7,IF(AND(U225,V225,W225,Y225),IF($AJ225="",0,IF($AJ$6=0,Constants!$B$9,Constants!$B$9*AJ225/$AJ$6)), 0),"")</f>
        <v/>
      </c>
      <c r="AM225" s="66" t="str">
        <f aca="false">IF(AL225&lt;&gt;"", AL225*AI225,"")</f>
        <v/>
      </c>
      <c r="AN225" s="66" t="str">
        <f aca="false">IF(AND($AG225=Constants!$B$7, U225, V225) ,IF($AB225="", "", IF(OR($AC225="",$AC225=0),"",MAX(0,1-ABS($AC225-$AB225)/$AC225))),"")</f>
        <v/>
      </c>
      <c r="AO225" s="66" t="str">
        <f aca="false">IF(AND($AG225=Constants!$B$7, U225, V225),IF(AND($AA225&lt;&gt;"",$AB225&lt;&gt;"",$AC225=0),$AO$6,""),"")</f>
        <v/>
      </c>
      <c r="AP225" s="66" t="str">
        <f aca="false">IF($AG225=Constants!$B$7 ,IF(AND(U225,V225,W225,Y225,ISNUMBER(AB225)),IF($AN225="",0,IF($AN$6=0,Constants!$B$10,Constants!$B$10*AN225/$AN$6)), 0),"")</f>
        <v/>
      </c>
      <c r="AQ225" s="66" t="str">
        <f aca="false">IF(AP225&lt;&gt;"", AP225*AI225,"")</f>
        <v/>
      </c>
      <c r="AR225" s="66" t="str">
        <f aca="false">IF($AG225=Constants!$B$7,IF($AD225="",0,IF($AR$6=0,Constants!$B$8,Constants!$B$8*AD225/$AR$6)),"")</f>
        <v/>
      </c>
      <c r="AS225" s="66" t="str">
        <f aca="false">IF($AG225&lt;&gt;Constants!$B$7,$AG225,IF(AK225&amp;AO225&lt;&gt;"",Constants!$B$14,AM225+AQ225+AR225))</f>
        <v/>
      </c>
      <c r="AT225" s="66" t="str">
        <f aca="false">IF(ISBLANK($C225),"",IF($AG225=Constants!$B$7,IF(ISNUMBER(AS225),RANK(AS225,$AS$8:$AS$507),Constants!$B$14),$AG225))</f>
        <v/>
      </c>
      <c r="AU225" s="66" t="str">
        <f aca="false">IF(ISBLANK($C225), "",AM225)</f>
        <v/>
      </c>
      <c r="AV225" s="66" t="str">
        <f aca="false">IF(ISBLANK($C225),"",IF($AG225=Constants!$B$7,RANK(AU225,AU$8:AU$507),$AG225))</f>
        <v/>
      </c>
      <c r="AW225" s="66" t="str">
        <f aca="false">IF(ISBLANK($C225), "",AR225)</f>
        <v/>
      </c>
      <c r="AX225" s="66" t="str">
        <f aca="false">IF(ISBLANK($C225),"",IF($AG225=Constants!$B$7,RANK(AW225,AW$8:AW$507),$AG225))</f>
        <v/>
      </c>
      <c r="AY225" s="66" t="str">
        <f aca="false">IF(ISBLANK($C225), "",AE225)</f>
        <v/>
      </c>
      <c r="AZ225" s="66" t="str">
        <f aca="false">IF(ISBLANK($C225),"",
IF($AG225=Constants!$B$7,
  IF(ISNUMBER(AT225),
    COUNTIFS($AT$8:$AT$507,"&lt;"&amp;$AT225)
    + COUNTIFS($AT$8:$AT$507,$AT225,$AV$8:$AV$507,"&lt;"&amp;$AV225)
    + COUNTIFS($AT$8:$AT$507,$AT225,$AV$8:$AV$507,$AV225,$AX$8:$AX$507,"&lt;"&amp;$AX225)
    + COUNTIFS($AT$8:$AT$507,$AT225,$AV$8:$AV$507,$AV225,$AX$8:$AX$507,$AX225,$AY$8:$AY$507,"&lt;"&amp;$AY225)
    + 1,
  Constants!$B$14),
$AG225))</f>
        <v/>
      </c>
      <c r="BA225" s="66" t="str">
        <f aca="false">IF(ISBLANK(C225),"",IF($AG225=Constants!$B$7, IF(ISNUMBER(AT225),AT225-AZ225,Constants!$B$14),$AG225))</f>
        <v/>
      </c>
      <c r="BB225" s="70"/>
      <c r="BC225" s="84" t="str">
        <f aca="false">IF(ISBLANK($C225),"",TRIM(AK225&amp;" "&amp;AO225))</f>
        <v/>
      </c>
      <c r="BD225" s="72" t="str">
        <f aca="false">IF(ISBLANK($C225),"",IF($AG225&lt;&gt;Constants!$B$7,$AG225,AR225))</f>
        <v/>
      </c>
      <c r="BE225" s="72" t="str">
        <f aca="false">IF(ISBLANK($C225),"",IF($AG225&lt;&gt;Constants!$B$7,$AG225,AM225))</f>
        <v/>
      </c>
      <c r="BF225" s="72" t="str">
        <f aca="false">IF(ISBLANK($C225),"",IF($AG225&lt;&gt;Constants!$B$7,$AG225,AQ225))</f>
        <v/>
      </c>
      <c r="BG225" s="73" t="str">
        <f aca="false">IF(ISBLANK($C225),"",IF($AG225&lt;&gt;Constants!$B$7, $AG225 ,AS225))</f>
        <v/>
      </c>
      <c r="BH225" s="74" t="str">
        <f aca="false">IF(ISBLANK($C225),"",IF($AG225&lt;&gt;Constants!$B$7, $AG225 ,AH225))</f>
        <v/>
      </c>
      <c r="BI225" s="72" t="str">
        <f aca="false">IF(ISBLANK(C225),"",BA225)</f>
        <v/>
      </c>
      <c r="BJ225" s="72" t="str">
        <f aca="false">IF(ISBLANK(C225),"",AZ225)</f>
        <v/>
      </c>
      <c r="BK225" s="75" t="str">
        <f aca="false">IF(ISBLANK(C225),"",IFERROR(_xlfn.SWITCH(BJ225, Constants!$B$4, COUNTA($C$8:$C724)+2, Constants!$B$5, COUNTA($C$8:$C724)+1, Constants!$B$6, COUNTA($C$8:$C724)),BJ225))</f>
        <v/>
      </c>
      <c r="BL225" s="5"/>
      <c r="BM225" s="76" t="n">
        <f aca="false">IF(OR(ISNUMBER(BJ225),BJ225="DQ",BJ225="P",BJ225="NS"),
    1,
    0
)</f>
        <v>0</v>
      </c>
      <c r="BN225" s="76" t="n">
        <v>218</v>
      </c>
      <c r="BO225" s="76" t="str">
        <f aca="false">IF(ISBLANK($C225),"",IF(ISNUMBER(BK225),BK225+ROW($B225)/1000,""))</f>
        <v/>
      </c>
      <c r="BP225" s="76" t="str">
        <f aca="false">IF(ISNUMBER(BO225), RANK(BO225,BO$8:BO$507,1), "")</f>
        <v/>
      </c>
      <c r="BQ225" s="76" t="str">
        <f aca="false">IF(ISBLANK($C225),
    "",
    $B225
)</f>
        <v/>
      </c>
      <c r="BR225" s="76" t="str">
        <f aca="false">IF(ISBLANK($C225),
    "",
    $C225
)</f>
        <v/>
      </c>
      <c r="BS225" s="76" t="str">
        <f aca="false">IF(ISBLANK($C225),
    "",
    $D225
)</f>
        <v/>
      </c>
      <c r="BT225" s="77" t="str">
        <f aca="false">BH225</f>
        <v/>
      </c>
      <c r="BU225" s="78" t="str">
        <f aca="false">BG225</f>
        <v/>
      </c>
      <c r="BV225" s="76" t="str">
        <f aca="false">IF(ISBLANK($C225),
    "",
    BJ225
)</f>
        <v/>
      </c>
      <c r="BW225" s="79" t="str">
        <f aca="false">IF(BN225&gt;BM$7,
    "",
    VLOOKUP(BN225,BP$8:BV724,7,FALSE())
)</f>
        <v/>
      </c>
      <c r="BX225" s="80" t="str">
        <f aca="false">IF(BN225&gt;BM$7,
    "",
    VLOOKUP(BN225,BP$8:BV724,2,FALSE())
)</f>
        <v/>
      </c>
      <c r="BY225" s="80" t="str">
        <f aca="false">IF(BN225&gt;BM$7,
    "",
    VLOOKUP(BN225,BP$8:BV724,3,FALSE())
)</f>
        <v/>
      </c>
      <c r="BZ225" s="80" t="str">
        <f aca="false">IF(BN225&gt;BM$7,
    "",
    VLOOKUP(BN225,BP$8:BV724,4,FALSE())
)</f>
        <v/>
      </c>
      <c r="CA225" s="80" t="str">
        <f aca="false">IF(BN225&gt;BM$7,
    "",
    VLOOKUP(BN225,BP$8:BV724,5,FALSE())
)</f>
        <v/>
      </c>
      <c r="CB225" s="81" t="str">
        <f aca="false">IF(BN225&gt;BM$7,
    "",
    VLOOKUP(BN225,BP$8:BV724,6,FALSE())
)</f>
        <v/>
      </c>
      <c r="CC225" s="53"/>
    </row>
    <row r="226" customFormat="false" ht="15.75" hidden="false" customHeight="false" outlineLevel="0" collapsed="false">
      <c r="A226" s="5"/>
      <c r="B226" s="129"/>
      <c r="C226" s="55"/>
      <c r="D226" s="56"/>
      <c r="E226" s="123"/>
      <c r="F226" s="123"/>
      <c r="G226" s="58"/>
      <c r="H226" s="59"/>
      <c r="I226" s="59"/>
      <c r="J226" s="83"/>
      <c r="K226" s="83"/>
      <c r="L226" s="83"/>
      <c r="M226" s="61"/>
      <c r="N226" s="61"/>
      <c r="O226" s="61"/>
      <c r="P226" s="62"/>
      <c r="Q226" s="63"/>
      <c r="R226" s="83"/>
      <c r="S226" s="65"/>
      <c r="T226" s="66"/>
      <c r="U226" s="66" t="str">
        <f aca="false">IF(ISBLANK($C226),"",IF(G226=Constants!$B$2, TRUE(), IF(G226=Constants!$B$3, FALSE(), TRUE())))</f>
        <v/>
      </c>
      <c r="V226" s="66" t="str">
        <f aca="false">IF(ISBLANK($C226),"",IF(H226=Constants!$B$2, TRUE(), IF(H226=Constants!$B$3, FALSE(), TRUE())))</f>
        <v/>
      </c>
      <c r="W226" s="66" t="str">
        <f aca="false">IF(ISBLANK($C226),"",IF(I226=Constants!$B$2, TRUE(), IF(I226=Constants!$B$3, FALSE(), TRUE())))</f>
        <v/>
      </c>
      <c r="X226" s="66" t="str">
        <f aca="false">IF(ISBLANK($C226),"",IF(AND(ISNUMBER(J226),J226&gt;0),INT(J226),0))</f>
        <v/>
      </c>
      <c r="Y226" s="66" t="str">
        <f aca="false">IF(ISBLANK($C226),"",IF(K226=Constants!$B$2, TRUE(), IF(K226=Constants!$B$3, FALSE(), TRUE())))</f>
        <v/>
      </c>
      <c r="Z226" s="66" t="str">
        <f aca="false">IF(ISBLANK($C226),"",IF(AND(ISNUMBER(L226),L226&gt;0),INT(L226),0))</f>
        <v/>
      </c>
      <c r="AA226" s="68" t="str">
        <f aca="false">IF(ISBLANK($C226),"",IF(ISNUMBER(M226), M226, ""))</f>
        <v/>
      </c>
      <c r="AB226" s="68" t="str">
        <f aca="false">IF(ISBLANK($C226),"",IF(ISNUMBER(N226), N226, ""))</f>
        <v/>
      </c>
      <c r="AC226" s="68" t="str">
        <f aca="false">IF(ISBLANK($C226),"",IF(ISNUMBER(O226), O226, ""))</f>
        <v/>
      </c>
      <c r="AD226" s="69" t="str">
        <f aca="false">IF(ISBLANK($C226),"",IF(ISNUMBER(P226), P226, ""))</f>
        <v/>
      </c>
      <c r="AE226" s="69" t="str">
        <f aca="false">IF(ISBLANK($C226),"",IF(ISNUMBER(Q226), Q226, Constants!$B$13))</f>
        <v/>
      </c>
      <c r="AF226" s="66" t="str">
        <f aca="false">IF(ISBLANK($C226),"",IF(R226=Constants!$B$2, TRUE(), IF(R226=Constants!$B$3, FALSE(), FALSE())))</f>
        <v/>
      </c>
      <c r="AG226" s="66" t="str">
        <f aca="false">IF(ISBLANK(C226), "", IF(AF226, Constants!$B$4,IF(COUNTA(G226:P226)=0, Constants!$B$5, Constants!$B$7)))</f>
        <v/>
      </c>
      <c r="AH226" s="66" t="str">
        <f aca="false">IF(ISBLANK($C226), "",IF($AG226=Constants!$B$7,1,$AG226))</f>
        <v/>
      </c>
      <c r="AI226" s="66" t="str">
        <f aca="false">IF($AG226=Constants!$B$7,POWER(Constants!$B$11,X226)*POWER(Constants!$B$12,Z226),"")</f>
        <v/>
      </c>
      <c r="AJ226" s="66" t="str">
        <f aca="false">IF(AND($AG226=Constants!$B$7, U226, V226) ,IF(OR($AA226="",$AC226=""),"",MAX(0, $AC226-$AA226)),"")</f>
        <v/>
      </c>
      <c r="AK226" s="66" t="str">
        <f aca="false">IF(AND($AG226=Constants!$B$7, U226, V226),IF(OR($AA226="",$AC226=""),$AK$6,""),"")</f>
        <v/>
      </c>
      <c r="AL226" s="66" t="str">
        <f aca="false">IF($AG226=Constants!$B$7,IF(AND(U226,V226,W226,Y226),IF($AJ226="",0,IF($AJ$6=0,Constants!$B$9,Constants!$B$9*AJ226/$AJ$6)), 0),"")</f>
        <v/>
      </c>
      <c r="AM226" s="66" t="str">
        <f aca="false">IF(AL226&lt;&gt;"", AL226*AI226,"")</f>
        <v/>
      </c>
      <c r="AN226" s="66" t="str">
        <f aca="false">IF(AND($AG226=Constants!$B$7, U226, V226) ,IF($AB226="", "", IF(OR($AC226="",$AC226=0),"",MAX(0,1-ABS($AC226-$AB226)/$AC226))),"")</f>
        <v/>
      </c>
      <c r="AO226" s="66" t="str">
        <f aca="false">IF(AND($AG226=Constants!$B$7, U226, V226),IF(AND($AA226&lt;&gt;"",$AB226&lt;&gt;"",$AC226=0),$AO$6,""),"")</f>
        <v/>
      </c>
      <c r="AP226" s="66" t="str">
        <f aca="false">IF($AG226=Constants!$B$7 ,IF(AND(U226,V226,W226,Y226,ISNUMBER(AB226)),IF($AN226="",0,IF($AN$6=0,Constants!$B$10,Constants!$B$10*AN226/$AN$6)), 0),"")</f>
        <v/>
      </c>
      <c r="AQ226" s="66" t="str">
        <f aca="false">IF(AP226&lt;&gt;"", AP226*AI226,"")</f>
        <v/>
      </c>
      <c r="AR226" s="66" t="str">
        <f aca="false">IF($AG226=Constants!$B$7,IF($AD226="",0,IF($AR$6=0,Constants!$B$8,Constants!$B$8*AD226/$AR$6)),"")</f>
        <v/>
      </c>
      <c r="AS226" s="66" t="str">
        <f aca="false">IF($AG226&lt;&gt;Constants!$B$7,$AG226,IF(AK226&amp;AO226&lt;&gt;"",Constants!$B$14,AM226+AQ226+AR226))</f>
        <v/>
      </c>
      <c r="AT226" s="66" t="str">
        <f aca="false">IF(ISBLANK($C226),"",IF($AG226=Constants!$B$7,IF(ISNUMBER(AS226),RANK(AS226,$AS$8:$AS$507),Constants!$B$14),$AG226))</f>
        <v/>
      </c>
      <c r="AU226" s="66" t="str">
        <f aca="false">IF(ISBLANK($C226), "",AM226)</f>
        <v/>
      </c>
      <c r="AV226" s="66" t="str">
        <f aca="false">IF(ISBLANK($C226),"",IF($AG226=Constants!$B$7,RANK(AU226,AU$8:AU$507),$AG226))</f>
        <v/>
      </c>
      <c r="AW226" s="66" t="str">
        <f aca="false">IF(ISBLANK($C226), "",AR226)</f>
        <v/>
      </c>
      <c r="AX226" s="66" t="str">
        <f aca="false">IF(ISBLANK($C226),"",IF($AG226=Constants!$B$7,RANK(AW226,AW$8:AW$507),$AG226))</f>
        <v/>
      </c>
      <c r="AY226" s="66" t="str">
        <f aca="false">IF(ISBLANK($C226), "",AE226)</f>
        <v/>
      </c>
      <c r="AZ226" s="66" t="str">
        <f aca="false">IF(ISBLANK($C226),"",
IF($AG226=Constants!$B$7,
  IF(ISNUMBER(AT226),
    COUNTIFS($AT$8:$AT$507,"&lt;"&amp;$AT226)
    + COUNTIFS($AT$8:$AT$507,$AT226,$AV$8:$AV$507,"&lt;"&amp;$AV226)
    + COUNTIFS($AT$8:$AT$507,$AT226,$AV$8:$AV$507,$AV226,$AX$8:$AX$507,"&lt;"&amp;$AX226)
    + COUNTIFS($AT$8:$AT$507,$AT226,$AV$8:$AV$507,$AV226,$AX$8:$AX$507,$AX226,$AY$8:$AY$507,"&lt;"&amp;$AY226)
    + 1,
  Constants!$B$14),
$AG226))</f>
        <v/>
      </c>
      <c r="BA226" s="66" t="str">
        <f aca="false">IF(ISBLANK(C226),"",IF($AG226=Constants!$B$7, IF(ISNUMBER(AT226),AT226-AZ226,Constants!$B$14),$AG226))</f>
        <v/>
      </c>
      <c r="BB226" s="70"/>
      <c r="BC226" s="84" t="str">
        <f aca="false">IF(ISBLANK($C226),"",TRIM(AK226&amp;" "&amp;AO226))</f>
        <v/>
      </c>
      <c r="BD226" s="72" t="str">
        <f aca="false">IF(ISBLANK($C226),"",IF($AG226&lt;&gt;Constants!$B$7,$AG226,AR226))</f>
        <v/>
      </c>
      <c r="BE226" s="72" t="str">
        <f aca="false">IF(ISBLANK($C226),"",IF($AG226&lt;&gt;Constants!$B$7,$AG226,AM226))</f>
        <v/>
      </c>
      <c r="BF226" s="72" t="str">
        <f aca="false">IF(ISBLANK($C226),"",IF($AG226&lt;&gt;Constants!$B$7,$AG226,AQ226))</f>
        <v/>
      </c>
      <c r="BG226" s="73" t="str">
        <f aca="false">IF(ISBLANK($C226),"",IF($AG226&lt;&gt;Constants!$B$7, $AG226 ,AS226))</f>
        <v/>
      </c>
      <c r="BH226" s="74" t="str">
        <f aca="false">IF(ISBLANK($C226),"",IF($AG226&lt;&gt;Constants!$B$7, $AG226 ,AH226))</f>
        <v/>
      </c>
      <c r="BI226" s="72" t="str">
        <f aca="false">IF(ISBLANK(C226),"",BA226)</f>
        <v/>
      </c>
      <c r="BJ226" s="72" t="str">
        <f aca="false">IF(ISBLANK(C226),"",AZ226)</f>
        <v/>
      </c>
      <c r="BK226" s="75" t="str">
        <f aca="false">IF(ISBLANK(C226),"",IFERROR(_xlfn.SWITCH(BJ226, Constants!$B$4, COUNTA($C$8:$C725)+2, Constants!$B$5, COUNTA($C$8:$C725)+1, Constants!$B$6, COUNTA($C$8:$C725)),BJ226))</f>
        <v/>
      </c>
      <c r="BL226" s="5"/>
      <c r="BM226" s="76" t="n">
        <f aca="false">IF(OR(ISNUMBER(BJ226),BJ226="DQ",BJ226="P",BJ226="NS"),
    1,
    0
)</f>
        <v>0</v>
      </c>
      <c r="BN226" s="76" t="n">
        <v>219</v>
      </c>
      <c r="BO226" s="76" t="str">
        <f aca="false">IF(ISBLANK($C226),"",IF(ISNUMBER(BK226),BK226+ROW($B226)/1000,""))</f>
        <v/>
      </c>
      <c r="BP226" s="76" t="str">
        <f aca="false">IF(ISNUMBER(BO226), RANK(BO226,BO$8:BO$507,1), "")</f>
        <v/>
      </c>
      <c r="BQ226" s="76" t="str">
        <f aca="false">IF(ISBLANK($C226),
    "",
    $B226
)</f>
        <v/>
      </c>
      <c r="BR226" s="76" t="str">
        <f aca="false">IF(ISBLANK($C226),
    "",
    $C226
)</f>
        <v/>
      </c>
      <c r="BS226" s="76" t="str">
        <f aca="false">IF(ISBLANK($C226),
    "",
    $D226
)</f>
        <v/>
      </c>
      <c r="BT226" s="77" t="str">
        <f aca="false">BH226</f>
        <v/>
      </c>
      <c r="BU226" s="78" t="str">
        <f aca="false">BG226</f>
        <v/>
      </c>
      <c r="BV226" s="76" t="str">
        <f aca="false">IF(ISBLANK($C226),
    "",
    BJ226
)</f>
        <v/>
      </c>
      <c r="BW226" s="79" t="str">
        <f aca="false">IF(BN226&gt;BM$7,
    "",
    VLOOKUP(BN226,BP$8:BV725,7,FALSE())
)</f>
        <v/>
      </c>
      <c r="BX226" s="80" t="str">
        <f aca="false">IF(BN226&gt;BM$7,
    "",
    VLOOKUP(BN226,BP$8:BV725,2,FALSE())
)</f>
        <v/>
      </c>
      <c r="BY226" s="80" t="str">
        <f aca="false">IF(BN226&gt;BM$7,
    "",
    VLOOKUP(BN226,BP$8:BV725,3,FALSE())
)</f>
        <v/>
      </c>
      <c r="BZ226" s="80" t="str">
        <f aca="false">IF(BN226&gt;BM$7,
    "",
    VLOOKUP(BN226,BP$8:BV725,4,FALSE())
)</f>
        <v/>
      </c>
      <c r="CA226" s="80" t="str">
        <f aca="false">IF(BN226&gt;BM$7,
    "",
    VLOOKUP(BN226,BP$8:BV725,5,FALSE())
)</f>
        <v/>
      </c>
      <c r="CB226" s="81" t="str">
        <f aca="false">IF(BN226&gt;BM$7,
    "",
    VLOOKUP(BN226,BP$8:BV725,6,FALSE())
)</f>
        <v/>
      </c>
      <c r="CC226" s="53"/>
    </row>
    <row r="227" customFormat="false" ht="15.75" hidden="false" customHeight="false" outlineLevel="0" collapsed="false">
      <c r="A227" s="5"/>
      <c r="B227" s="125"/>
      <c r="C227" s="126"/>
      <c r="D227" s="115"/>
      <c r="E227" s="119"/>
      <c r="F227" s="119"/>
      <c r="G227" s="91"/>
      <c r="H227" s="92"/>
      <c r="I227" s="92"/>
      <c r="J227" s="128"/>
      <c r="K227" s="128"/>
      <c r="L227" s="128"/>
      <c r="M227" s="94"/>
      <c r="N227" s="94"/>
      <c r="O227" s="94"/>
      <c r="P227" s="95"/>
      <c r="Q227" s="96"/>
      <c r="R227" s="128"/>
      <c r="S227" s="98"/>
      <c r="T227" s="99"/>
      <c r="U227" s="99" t="str">
        <f aca="false">IF(ISBLANK($C227),"",IF(G227=Constants!$B$2, TRUE(), IF(G227=Constants!$B$3, FALSE(), TRUE())))</f>
        <v/>
      </c>
      <c r="V227" s="99" t="str">
        <f aca="false">IF(ISBLANK($C227),"",IF(H227=Constants!$B$2, TRUE(), IF(H227=Constants!$B$3, FALSE(), TRUE())))</f>
        <v/>
      </c>
      <c r="W227" s="99" t="str">
        <f aca="false">IF(ISBLANK($C227),"",IF(I227=Constants!$B$2, TRUE(), IF(I227=Constants!$B$3, FALSE(), TRUE())))</f>
        <v/>
      </c>
      <c r="X227" s="99" t="str">
        <f aca="false">IF(ISBLANK($C227),"",IF(AND(ISNUMBER(J227),J227&gt;0),INT(J227),0))</f>
        <v/>
      </c>
      <c r="Y227" s="99" t="str">
        <f aca="false">IF(ISBLANK($C227),"",IF(K227=Constants!$B$2, TRUE(), IF(K227=Constants!$B$3, FALSE(), TRUE())))</f>
        <v/>
      </c>
      <c r="Z227" s="100" t="str">
        <f aca="false">IF(ISBLANK($C227),"",IF(AND(ISNUMBER(L227),L227&gt;0),INT(L227),0))</f>
        <v/>
      </c>
      <c r="AA227" s="101" t="str">
        <f aca="false">IF(ISBLANK($C227),"",IF(ISNUMBER(M227), M227, ""))</f>
        <v/>
      </c>
      <c r="AB227" s="101" t="str">
        <f aca="false">IF(ISBLANK($C227),"",IF(ISNUMBER(N227), N227, ""))</f>
        <v/>
      </c>
      <c r="AC227" s="101" t="str">
        <f aca="false">IF(ISBLANK($C227),"",IF(ISNUMBER(O227), O227, ""))</f>
        <v/>
      </c>
      <c r="AD227" s="102" t="str">
        <f aca="false">IF(ISBLANK($C227),"",IF(ISNUMBER(P227), P227, ""))</f>
        <v/>
      </c>
      <c r="AE227" s="102" t="str">
        <f aca="false">IF(ISBLANK($C227),"",IF(ISNUMBER(Q227), Q227, Constants!$B$13))</f>
        <v/>
      </c>
      <c r="AF227" s="99" t="str">
        <f aca="false">IF(ISBLANK($C227),"",IF(R227=Constants!$B$2, TRUE(), IF(R227=Constants!$B$3, FALSE(), FALSE())))</f>
        <v/>
      </c>
      <c r="AG227" s="99" t="str">
        <f aca="false">IF(ISBLANK(C227), "", IF(AF227, Constants!$B$4,IF(COUNTA(G227:P227)=0, Constants!$B$5, Constants!$B$7)))</f>
        <v/>
      </c>
      <c r="AH227" s="99" t="str">
        <f aca="false">IF(ISBLANK($C227), "",IF($AG227=Constants!$B$7,1,$AG227))</f>
        <v/>
      </c>
      <c r="AI227" s="99" t="str">
        <f aca="false">IF($AG227=Constants!$B$7,POWER(Constants!$B$11,X227)*POWER(Constants!$B$12,Z227),"")</f>
        <v/>
      </c>
      <c r="AJ227" s="99" t="str">
        <f aca="false">IF(AND($AG227=Constants!$B$7, U227, V227) ,IF(OR($AA227="",$AC227=""),"",MAX(0, $AC227-$AA227)),"")</f>
        <v/>
      </c>
      <c r="AK227" s="99" t="str">
        <f aca="false">IF(AND($AG227=Constants!$B$7, U227, V227),IF(OR($AA227="",$AC227=""),$AK$6,""),"")</f>
        <v/>
      </c>
      <c r="AL227" s="99" t="str">
        <f aca="false">IF($AG227=Constants!$B$7,IF(AND(U227,V227,W227,Y227),IF($AJ227="",0,IF($AJ$6=0,Constants!$B$9,Constants!$B$9*AJ227/$AJ$6)), 0),"")</f>
        <v/>
      </c>
      <c r="AM227" s="99" t="str">
        <f aca="false">IF(AL227&lt;&gt;"", AL227*AI227,"")</f>
        <v/>
      </c>
      <c r="AN227" s="99" t="str">
        <f aca="false">IF(AND($AG227=Constants!$B$7, U227, V227) ,IF($AB227="", "", IF(OR($AC227="",$AC227=0),"",MAX(0,1-ABS($AC227-$AB227)/$AC227))),"")</f>
        <v/>
      </c>
      <c r="AO227" s="99" t="str">
        <f aca="false">IF(AND($AG227=Constants!$B$7, U227, V227),IF(AND($AA227&lt;&gt;"",$AB227&lt;&gt;"",$AC227=0),$AO$6,""),"")</f>
        <v/>
      </c>
      <c r="AP227" s="99" t="str">
        <f aca="false">IF($AG227=Constants!$B$7 ,IF(AND(U227,V227,W227,Y227,ISNUMBER(AB227)),IF($AN227="",0,IF($AN$6=0,Constants!$B$10,Constants!$B$10*AN227/$AN$6)), 0),"")</f>
        <v/>
      </c>
      <c r="AQ227" s="99" t="str">
        <f aca="false">IF(AP227&lt;&gt;"", AP227*AI227,"")</f>
        <v/>
      </c>
      <c r="AR227" s="99" t="str">
        <f aca="false">IF($AG227=Constants!$B$7,IF($AD227="",0,IF($AR$6=0,Constants!$B$8,Constants!$B$8*AD227/$AR$6)),"")</f>
        <v/>
      </c>
      <c r="AS227" s="99" t="str">
        <f aca="false">IF($AG227&lt;&gt;Constants!$B$7,$AG227,IF(AK227&amp;AO227&lt;&gt;"",Constants!$B$14,AM227+AQ227+AR227))</f>
        <v/>
      </c>
      <c r="AT227" s="99" t="str">
        <f aca="false">IF(ISBLANK($C227),"",IF($AG227=Constants!$B$7,IF(ISNUMBER(AS227),RANK(AS227,$AS$8:$AS$507),Constants!$B$14),$AG227))</f>
        <v/>
      </c>
      <c r="AU227" s="99" t="str">
        <f aca="false">IF(ISBLANK($C227), "",AM227)</f>
        <v/>
      </c>
      <c r="AV227" s="99" t="str">
        <f aca="false">IF(ISBLANK($C227),"",IF($AG227=Constants!$B$7,RANK(AU227,AU$8:AU$507),$AG227))</f>
        <v/>
      </c>
      <c r="AW227" s="99" t="str">
        <f aca="false">IF(ISBLANK($C227), "",AR227)</f>
        <v/>
      </c>
      <c r="AX227" s="99" t="str">
        <f aca="false">IF(ISBLANK($C227),"",IF($AG227=Constants!$B$7,RANK(AW227,AW$8:AW$507),$AG227))</f>
        <v/>
      </c>
      <c r="AY227" s="99" t="str">
        <f aca="false">IF(ISBLANK($C227), "",AE227)</f>
        <v/>
      </c>
      <c r="AZ227" s="99" t="str">
        <f aca="false">IF(ISBLANK($C227),"",
IF($AG227=Constants!$B$7,
  IF(ISNUMBER(AT227),
    COUNTIFS($AT$8:$AT$507,"&lt;"&amp;$AT227)
    + COUNTIFS($AT$8:$AT$507,$AT227,$AV$8:$AV$507,"&lt;"&amp;$AV227)
    + COUNTIFS($AT$8:$AT$507,$AT227,$AV$8:$AV$507,$AV227,$AX$8:$AX$507,"&lt;"&amp;$AX227)
    + COUNTIFS($AT$8:$AT$507,$AT227,$AV$8:$AV$507,$AV227,$AX$8:$AX$507,$AX227,$AY$8:$AY$507,"&lt;"&amp;$AY227)
    + 1,
  Constants!$B$14),
$AG227))</f>
        <v/>
      </c>
      <c r="BA227" s="99" t="str">
        <f aca="false">IF(ISBLANK(C227),"",IF($AG227=Constants!$B$7, IF(ISNUMBER(AT227),AT227-AZ227,Constants!$B$14),$AG227))</f>
        <v/>
      </c>
      <c r="BB227" s="103"/>
      <c r="BC227" s="104" t="str">
        <f aca="false">IF(ISBLANK($C227),"",TRIM(AK227&amp;" "&amp;AO227))</f>
        <v/>
      </c>
      <c r="BD227" s="105" t="str">
        <f aca="false">IF(ISBLANK($C227),"",IF($AG227&lt;&gt;Constants!$B$7,$AG227,AR227))</f>
        <v/>
      </c>
      <c r="BE227" s="105" t="str">
        <f aca="false">IF(ISBLANK($C227),"",IF($AG227&lt;&gt;Constants!$B$7,$AG227,AM227))</f>
        <v/>
      </c>
      <c r="BF227" s="105" t="str">
        <f aca="false">IF(ISBLANK($C227),"",IF($AG227&lt;&gt;Constants!$B$7,$AG227,AQ227))</f>
        <v/>
      </c>
      <c r="BG227" s="106" t="str">
        <f aca="false">IF(ISBLANK($C227),"",IF($AG227&lt;&gt;Constants!$B$7, $AG227 ,AS227))</f>
        <v/>
      </c>
      <c r="BH227" s="107" t="str">
        <f aca="false">IF(ISBLANK($C227),"",IF($AG227&lt;&gt;Constants!$B$7, $AG227 ,AH227))</f>
        <v/>
      </c>
      <c r="BI227" s="105" t="str">
        <f aca="false">IF(ISBLANK(C227),"",BA227)</f>
        <v/>
      </c>
      <c r="BJ227" s="105" t="str">
        <f aca="false">IF(ISBLANK(C227),"",AZ227)</f>
        <v/>
      </c>
      <c r="BK227" s="108" t="str">
        <f aca="false">IF(ISBLANK(C227),"",IFERROR(_xlfn.SWITCH(BJ227, Constants!$B$4, COUNTA($C$8:$C726)+2, Constants!$B$5, COUNTA($C$8:$C726)+1, Constants!$B$6, COUNTA($C$8:$C726)),BJ227))</f>
        <v/>
      </c>
      <c r="BL227" s="5"/>
      <c r="BM227" s="109" t="n">
        <f aca="false">IF(OR(ISNUMBER(BJ227),BJ227="DQ",BJ227="P",BJ227="NS"),
    1,
    0
)</f>
        <v>0</v>
      </c>
      <c r="BN227" s="109" t="n">
        <v>220</v>
      </c>
      <c r="BO227" s="109" t="str">
        <f aca="false">IF(ISBLANK($C227),"",IF(ISNUMBER(BK227),BK227+ROW($B227)/1000,""))</f>
        <v/>
      </c>
      <c r="BP227" s="109" t="str">
        <f aca="false">IF(ISNUMBER(BO227), RANK(BO227,BO$8:BO$507,1), "")</f>
        <v/>
      </c>
      <c r="BQ227" s="109" t="str">
        <f aca="false">IF(ISBLANK($C227),
    "",
    $B227
)</f>
        <v/>
      </c>
      <c r="BR227" s="109" t="str">
        <f aca="false">IF(ISBLANK($C227),
    "",
    $C227
)</f>
        <v/>
      </c>
      <c r="BS227" s="109" t="str">
        <f aca="false">IF(ISBLANK($C227),
    "",
    $D227
)</f>
        <v/>
      </c>
      <c r="BT227" s="110" t="str">
        <f aca="false">BH227</f>
        <v/>
      </c>
      <c r="BU227" s="111" t="str">
        <f aca="false">BG227</f>
        <v/>
      </c>
      <c r="BV227" s="109" t="str">
        <f aca="false">IF(ISBLANK($C227),
    "",
    BJ227
)</f>
        <v/>
      </c>
      <c r="BW227" s="112" t="str">
        <f aca="false">IF(BN227&gt;BM$7,
    "",
    VLOOKUP(BN227,BP$8:BV726,7,FALSE())
)</f>
        <v/>
      </c>
      <c r="BX227" s="113" t="str">
        <f aca="false">IF(BN227&gt;BM$7,
    "",
    VLOOKUP(BN227,BP$8:BV726,2,FALSE())
)</f>
        <v/>
      </c>
      <c r="BY227" s="113" t="str">
        <f aca="false">IF(BN227&gt;BM$7,
    "",
    VLOOKUP(BN227,BP$8:BV726,3,FALSE())
)</f>
        <v/>
      </c>
      <c r="BZ227" s="113" t="str">
        <f aca="false">IF(BN227&gt;BM$7,
    "",
    VLOOKUP(BN227,BP$8:BV726,4,FALSE())
)</f>
        <v/>
      </c>
      <c r="CA227" s="113" t="str">
        <f aca="false">IF(BN227&gt;BM$7,
    "",
    VLOOKUP(BN227,BP$8:BV726,5,FALSE())
)</f>
        <v/>
      </c>
      <c r="CB227" s="114" t="str">
        <f aca="false">IF(BN227&gt;BM$7,
    "",
    VLOOKUP(BN227,BP$8:BV726,6,FALSE())
)</f>
        <v/>
      </c>
      <c r="CC227" s="53"/>
    </row>
    <row r="228" customFormat="false" ht="15.75" hidden="false" customHeight="false" outlineLevel="0" collapsed="false">
      <c r="A228" s="5"/>
      <c r="B228" s="125"/>
      <c r="C228" s="126"/>
      <c r="D228" s="115"/>
      <c r="E228" s="119"/>
      <c r="F228" s="119"/>
      <c r="G228" s="91"/>
      <c r="H228" s="92"/>
      <c r="I228" s="92"/>
      <c r="J228" s="128"/>
      <c r="K228" s="128"/>
      <c r="L228" s="128"/>
      <c r="M228" s="94"/>
      <c r="N228" s="94"/>
      <c r="O228" s="94"/>
      <c r="P228" s="95"/>
      <c r="Q228" s="96"/>
      <c r="R228" s="128"/>
      <c r="S228" s="98"/>
      <c r="T228" s="99"/>
      <c r="U228" s="99" t="str">
        <f aca="false">IF(ISBLANK($C228),"",IF(G228=Constants!$B$2, TRUE(), IF(G228=Constants!$B$3, FALSE(), TRUE())))</f>
        <v/>
      </c>
      <c r="V228" s="99" t="str">
        <f aca="false">IF(ISBLANK($C228),"",IF(H228=Constants!$B$2, TRUE(), IF(H228=Constants!$B$3, FALSE(), TRUE())))</f>
        <v/>
      </c>
      <c r="W228" s="99" t="str">
        <f aca="false">IF(ISBLANK($C228),"",IF(I228=Constants!$B$2, TRUE(), IF(I228=Constants!$B$3, FALSE(), TRUE())))</f>
        <v/>
      </c>
      <c r="X228" s="99" t="str">
        <f aca="false">IF(ISBLANK($C228),"",IF(AND(ISNUMBER(J228),J228&gt;0),INT(J228),0))</f>
        <v/>
      </c>
      <c r="Y228" s="99" t="str">
        <f aca="false">IF(ISBLANK($C228),"",IF(K228=Constants!$B$2, TRUE(), IF(K228=Constants!$B$3, FALSE(), TRUE())))</f>
        <v/>
      </c>
      <c r="Z228" s="100" t="str">
        <f aca="false">IF(ISBLANK($C228),"",IF(AND(ISNUMBER(L228),L228&gt;0),INT(L228),0))</f>
        <v/>
      </c>
      <c r="AA228" s="101" t="str">
        <f aca="false">IF(ISBLANK($C228),"",IF(ISNUMBER(M228), M228, ""))</f>
        <v/>
      </c>
      <c r="AB228" s="101" t="str">
        <f aca="false">IF(ISBLANK($C228),"",IF(ISNUMBER(N228), N228, ""))</f>
        <v/>
      </c>
      <c r="AC228" s="101" t="str">
        <f aca="false">IF(ISBLANK($C228),"",IF(ISNUMBER(O228), O228, ""))</f>
        <v/>
      </c>
      <c r="AD228" s="102" t="str">
        <f aca="false">IF(ISBLANK($C228),"",IF(ISNUMBER(P228), P228, ""))</f>
        <v/>
      </c>
      <c r="AE228" s="102" t="str">
        <f aca="false">IF(ISBLANK($C228),"",IF(ISNUMBER(Q228), Q228, Constants!$B$13))</f>
        <v/>
      </c>
      <c r="AF228" s="99" t="str">
        <f aca="false">IF(ISBLANK($C228),"",IF(R228=Constants!$B$2, TRUE(), IF(R228=Constants!$B$3, FALSE(), FALSE())))</f>
        <v/>
      </c>
      <c r="AG228" s="99" t="str">
        <f aca="false">IF(ISBLANK(C228), "", IF(AF228, Constants!$B$4,IF(COUNTA(G228:P228)=0, Constants!$B$5, Constants!$B$7)))</f>
        <v/>
      </c>
      <c r="AH228" s="99" t="str">
        <f aca="false">IF(ISBLANK($C228), "",IF($AG228=Constants!$B$7,1,$AG228))</f>
        <v/>
      </c>
      <c r="AI228" s="99" t="str">
        <f aca="false">IF($AG228=Constants!$B$7,POWER(Constants!$B$11,X228)*POWER(Constants!$B$12,Z228),"")</f>
        <v/>
      </c>
      <c r="AJ228" s="99" t="str">
        <f aca="false">IF(AND($AG228=Constants!$B$7, U228, V228) ,IF(OR($AA228="",$AC228=""),"",MAX(0, $AC228-$AA228)),"")</f>
        <v/>
      </c>
      <c r="AK228" s="99" t="str">
        <f aca="false">IF(AND($AG228=Constants!$B$7, U228, V228),IF(OR($AA228="",$AC228=""),$AK$6,""),"")</f>
        <v/>
      </c>
      <c r="AL228" s="99" t="str">
        <f aca="false">IF($AG228=Constants!$B$7,IF(AND(U228,V228,W228,Y228),IF($AJ228="",0,IF($AJ$6=0,Constants!$B$9,Constants!$B$9*AJ228/$AJ$6)), 0),"")</f>
        <v/>
      </c>
      <c r="AM228" s="99" t="str">
        <f aca="false">IF(AL228&lt;&gt;"", AL228*AI228,"")</f>
        <v/>
      </c>
      <c r="AN228" s="99" t="str">
        <f aca="false">IF(AND($AG228=Constants!$B$7, U228, V228) ,IF($AB228="", "", IF(OR($AC228="",$AC228=0),"",MAX(0,1-ABS($AC228-$AB228)/$AC228))),"")</f>
        <v/>
      </c>
      <c r="AO228" s="99" t="str">
        <f aca="false">IF(AND($AG228=Constants!$B$7, U228, V228),IF(AND($AA228&lt;&gt;"",$AB228&lt;&gt;"",$AC228=0),$AO$6,""),"")</f>
        <v/>
      </c>
      <c r="AP228" s="99" t="str">
        <f aca="false">IF($AG228=Constants!$B$7 ,IF(AND(U228,V228,W228,Y228,ISNUMBER(AB228)),IF($AN228="",0,IF($AN$6=0,Constants!$B$10,Constants!$B$10*AN228/$AN$6)), 0),"")</f>
        <v/>
      </c>
      <c r="AQ228" s="99" t="str">
        <f aca="false">IF(AP228&lt;&gt;"", AP228*AI228,"")</f>
        <v/>
      </c>
      <c r="AR228" s="99" t="str">
        <f aca="false">IF($AG228=Constants!$B$7,IF($AD228="",0,IF($AR$6=0,Constants!$B$8,Constants!$B$8*AD228/$AR$6)),"")</f>
        <v/>
      </c>
      <c r="AS228" s="99" t="str">
        <f aca="false">IF($AG228&lt;&gt;Constants!$B$7,$AG228,IF(AK228&amp;AO228&lt;&gt;"",Constants!$B$14,AM228+AQ228+AR228))</f>
        <v/>
      </c>
      <c r="AT228" s="99" t="str">
        <f aca="false">IF(ISBLANK($C228),"",IF($AG228=Constants!$B$7,IF(ISNUMBER(AS228),RANK(AS228,$AS$8:$AS$507),Constants!$B$14),$AG228))</f>
        <v/>
      </c>
      <c r="AU228" s="99" t="str">
        <f aca="false">IF(ISBLANK($C228), "",AM228)</f>
        <v/>
      </c>
      <c r="AV228" s="99" t="str">
        <f aca="false">IF(ISBLANK($C228),"",IF($AG228=Constants!$B$7,RANK(AU228,AU$8:AU$507),$AG228))</f>
        <v/>
      </c>
      <c r="AW228" s="99" t="str">
        <f aca="false">IF(ISBLANK($C228), "",AR228)</f>
        <v/>
      </c>
      <c r="AX228" s="99" t="str">
        <f aca="false">IF(ISBLANK($C228),"",IF($AG228=Constants!$B$7,RANK(AW228,AW$8:AW$507),$AG228))</f>
        <v/>
      </c>
      <c r="AY228" s="99" t="str">
        <f aca="false">IF(ISBLANK($C228), "",AE228)</f>
        <v/>
      </c>
      <c r="AZ228" s="99" t="str">
        <f aca="false">IF(ISBLANK($C228),"",
IF($AG228=Constants!$B$7,
  IF(ISNUMBER(AT228),
    COUNTIFS($AT$8:$AT$507,"&lt;"&amp;$AT228)
    + COUNTIFS($AT$8:$AT$507,$AT228,$AV$8:$AV$507,"&lt;"&amp;$AV228)
    + COUNTIFS($AT$8:$AT$507,$AT228,$AV$8:$AV$507,$AV228,$AX$8:$AX$507,"&lt;"&amp;$AX228)
    + COUNTIFS($AT$8:$AT$507,$AT228,$AV$8:$AV$507,$AV228,$AX$8:$AX$507,$AX228,$AY$8:$AY$507,"&lt;"&amp;$AY228)
    + 1,
  Constants!$B$14),
$AG228))</f>
        <v/>
      </c>
      <c r="BA228" s="99" t="str">
        <f aca="false">IF(ISBLANK(C228),"",IF($AG228=Constants!$B$7, IF(ISNUMBER(AT228),AT228-AZ228,Constants!$B$14),$AG228))</f>
        <v/>
      </c>
      <c r="BB228" s="103"/>
      <c r="BC228" s="104" t="str">
        <f aca="false">IF(ISBLANK($C228),"",TRIM(AK228&amp;" "&amp;AO228))</f>
        <v/>
      </c>
      <c r="BD228" s="105" t="str">
        <f aca="false">IF(ISBLANK($C228),"",IF($AG228&lt;&gt;Constants!$B$7,$AG228,AR228))</f>
        <v/>
      </c>
      <c r="BE228" s="105" t="str">
        <f aca="false">IF(ISBLANK($C228),"",IF($AG228&lt;&gt;Constants!$B$7,$AG228,AM228))</f>
        <v/>
      </c>
      <c r="BF228" s="105" t="str">
        <f aca="false">IF(ISBLANK($C228),"",IF($AG228&lt;&gt;Constants!$B$7,$AG228,AQ228))</f>
        <v/>
      </c>
      <c r="BG228" s="106" t="str">
        <f aca="false">IF(ISBLANK($C228),"",IF($AG228&lt;&gt;Constants!$B$7, $AG228 ,AS228))</f>
        <v/>
      </c>
      <c r="BH228" s="107" t="str">
        <f aca="false">IF(ISBLANK($C228),"",IF($AG228&lt;&gt;Constants!$B$7, $AG228 ,AH228))</f>
        <v/>
      </c>
      <c r="BI228" s="105" t="str">
        <f aca="false">IF(ISBLANK(C228),"",BA228)</f>
        <v/>
      </c>
      <c r="BJ228" s="105" t="str">
        <f aca="false">IF(ISBLANK(C228),"",AZ228)</f>
        <v/>
      </c>
      <c r="BK228" s="108" t="str">
        <f aca="false">IF(ISBLANK(C228),"",IFERROR(_xlfn.SWITCH(BJ228, Constants!$B$4, COUNTA($C$8:$C727)+2, Constants!$B$5, COUNTA($C$8:$C727)+1, Constants!$B$6, COUNTA($C$8:$C727)),BJ228))</f>
        <v/>
      </c>
      <c r="BL228" s="5"/>
      <c r="BM228" s="109" t="n">
        <f aca="false">IF(OR(ISNUMBER(BJ228),BJ228="DQ",BJ228="P",BJ228="NS"),
    1,
    0
)</f>
        <v>0</v>
      </c>
      <c r="BN228" s="109" t="n">
        <v>221</v>
      </c>
      <c r="BO228" s="109" t="str">
        <f aca="false">IF(ISBLANK($C228),"",IF(ISNUMBER(BK228),BK228+ROW($B228)/1000,""))</f>
        <v/>
      </c>
      <c r="BP228" s="109" t="str">
        <f aca="false">IF(ISNUMBER(BO228), RANK(BO228,BO$8:BO$507,1), "")</f>
        <v/>
      </c>
      <c r="BQ228" s="109" t="str">
        <f aca="false">IF(ISBLANK($C228),
    "",
    $B228
)</f>
        <v/>
      </c>
      <c r="BR228" s="109" t="str">
        <f aca="false">IF(ISBLANK($C228),
    "",
    $C228
)</f>
        <v/>
      </c>
      <c r="BS228" s="109" t="str">
        <f aca="false">IF(ISBLANK($C228),
    "",
    $D228
)</f>
        <v/>
      </c>
      <c r="BT228" s="110" t="str">
        <f aca="false">BH228</f>
        <v/>
      </c>
      <c r="BU228" s="111" t="str">
        <f aca="false">BG228</f>
        <v/>
      </c>
      <c r="BV228" s="109" t="str">
        <f aca="false">IF(ISBLANK($C228),
    "",
    BJ228
)</f>
        <v/>
      </c>
      <c r="BW228" s="112" t="str">
        <f aca="false">IF(BN228&gt;BM$7,
    "",
    VLOOKUP(BN228,BP$8:BV727,7,FALSE())
)</f>
        <v/>
      </c>
      <c r="BX228" s="113" t="str">
        <f aca="false">IF(BN228&gt;BM$7,
    "",
    VLOOKUP(BN228,BP$8:BV727,2,FALSE())
)</f>
        <v/>
      </c>
      <c r="BY228" s="113" t="str">
        <f aca="false">IF(BN228&gt;BM$7,
    "",
    VLOOKUP(BN228,BP$8:BV727,3,FALSE())
)</f>
        <v/>
      </c>
      <c r="BZ228" s="113" t="str">
        <f aca="false">IF(BN228&gt;BM$7,
    "",
    VLOOKUP(BN228,BP$8:BV727,4,FALSE())
)</f>
        <v/>
      </c>
      <c r="CA228" s="113" t="str">
        <f aca="false">IF(BN228&gt;BM$7,
    "",
    VLOOKUP(BN228,BP$8:BV727,5,FALSE())
)</f>
        <v/>
      </c>
      <c r="CB228" s="114" t="str">
        <f aca="false">IF(BN228&gt;BM$7,
    "",
    VLOOKUP(BN228,BP$8:BV727,6,FALSE())
)</f>
        <v/>
      </c>
      <c r="CC228" s="53"/>
    </row>
    <row r="229" customFormat="false" ht="15.75" hidden="false" customHeight="false" outlineLevel="0" collapsed="false">
      <c r="A229" s="5"/>
      <c r="B229" s="125"/>
      <c r="C229" s="126"/>
      <c r="D229" s="115"/>
      <c r="E229" s="119"/>
      <c r="F229" s="119"/>
      <c r="G229" s="91"/>
      <c r="H229" s="92"/>
      <c r="I229" s="92"/>
      <c r="J229" s="128"/>
      <c r="K229" s="128"/>
      <c r="L229" s="128"/>
      <c r="M229" s="94"/>
      <c r="N229" s="94"/>
      <c r="O229" s="94"/>
      <c r="P229" s="95"/>
      <c r="Q229" s="96"/>
      <c r="R229" s="128"/>
      <c r="S229" s="98"/>
      <c r="T229" s="99"/>
      <c r="U229" s="99" t="str">
        <f aca="false">IF(ISBLANK($C229),"",IF(G229=Constants!$B$2, TRUE(), IF(G229=Constants!$B$3, FALSE(), TRUE())))</f>
        <v/>
      </c>
      <c r="V229" s="99" t="str">
        <f aca="false">IF(ISBLANK($C229),"",IF(H229=Constants!$B$2, TRUE(), IF(H229=Constants!$B$3, FALSE(), TRUE())))</f>
        <v/>
      </c>
      <c r="W229" s="99" t="str">
        <f aca="false">IF(ISBLANK($C229),"",IF(I229=Constants!$B$2, TRUE(), IF(I229=Constants!$B$3, FALSE(), TRUE())))</f>
        <v/>
      </c>
      <c r="X229" s="99" t="str">
        <f aca="false">IF(ISBLANK($C229),"",IF(AND(ISNUMBER(J229),J229&gt;0),INT(J229),0))</f>
        <v/>
      </c>
      <c r="Y229" s="99" t="str">
        <f aca="false">IF(ISBLANK($C229),"",IF(K229=Constants!$B$2, TRUE(), IF(K229=Constants!$B$3, FALSE(), TRUE())))</f>
        <v/>
      </c>
      <c r="Z229" s="100" t="str">
        <f aca="false">IF(ISBLANK($C229),"",IF(AND(ISNUMBER(L229),L229&gt;0),INT(L229),0))</f>
        <v/>
      </c>
      <c r="AA229" s="101" t="str">
        <f aca="false">IF(ISBLANK($C229),"",IF(ISNUMBER(M229), M229, ""))</f>
        <v/>
      </c>
      <c r="AB229" s="101" t="str">
        <f aca="false">IF(ISBLANK($C229),"",IF(ISNUMBER(N229), N229, ""))</f>
        <v/>
      </c>
      <c r="AC229" s="101" t="str">
        <f aca="false">IF(ISBLANK($C229),"",IF(ISNUMBER(O229), O229, ""))</f>
        <v/>
      </c>
      <c r="AD229" s="102" t="str">
        <f aca="false">IF(ISBLANK($C229),"",IF(ISNUMBER(P229), P229, ""))</f>
        <v/>
      </c>
      <c r="AE229" s="102" t="str">
        <f aca="false">IF(ISBLANK($C229),"",IF(ISNUMBER(Q229), Q229, Constants!$B$13))</f>
        <v/>
      </c>
      <c r="AF229" s="99" t="str">
        <f aca="false">IF(ISBLANK($C229),"",IF(R229=Constants!$B$2, TRUE(), IF(R229=Constants!$B$3, FALSE(), FALSE())))</f>
        <v/>
      </c>
      <c r="AG229" s="99" t="str">
        <f aca="false">IF(ISBLANK(C229), "", IF(AF229, Constants!$B$4,IF(COUNTA(G229:P229)=0, Constants!$B$5, Constants!$B$7)))</f>
        <v/>
      </c>
      <c r="AH229" s="99" t="str">
        <f aca="false">IF(ISBLANK($C229), "",IF($AG229=Constants!$B$7,1,$AG229))</f>
        <v/>
      </c>
      <c r="AI229" s="99" t="str">
        <f aca="false">IF($AG229=Constants!$B$7,POWER(Constants!$B$11,X229)*POWER(Constants!$B$12,Z229),"")</f>
        <v/>
      </c>
      <c r="AJ229" s="99" t="str">
        <f aca="false">IF(AND($AG229=Constants!$B$7, U229, V229) ,IF(OR($AA229="",$AC229=""),"",MAX(0, $AC229-$AA229)),"")</f>
        <v/>
      </c>
      <c r="AK229" s="99" t="str">
        <f aca="false">IF(AND($AG229=Constants!$B$7, U229, V229),IF(OR($AA229="",$AC229=""),$AK$6,""),"")</f>
        <v/>
      </c>
      <c r="AL229" s="99" t="str">
        <f aca="false">IF($AG229=Constants!$B$7,IF(AND(U229,V229,W229,Y229),IF($AJ229="",0,IF($AJ$6=0,Constants!$B$9,Constants!$B$9*AJ229/$AJ$6)), 0),"")</f>
        <v/>
      </c>
      <c r="AM229" s="99" t="str">
        <f aca="false">IF(AL229&lt;&gt;"", AL229*AI229,"")</f>
        <v/>
      </c>
      <c r="AN229" s="99" t="str">
        <f aca="false">IF(AND($AG229=Constants!$B$7, U229, V229) ,IF($AB229="", "", IF(OR($AC229="",$AC229=0),"",MAX(0,1-ABS($AC229-$AB229)/$AC229))),"")</f>
        <v/>
      </c>
      <c r="AO229" s="99" t="str">
        <f aca="false">IF(AND($AG229=Constants!$B$7, U229, V229),IF(AND($AA229&lt;&gt;"",$AB229&lt;&gt;"",$AC229=0),$AO$6,""),"")</f>
        <v/>
      </c>
      <c r="AP229" s="99" t="str">
        <f aca="false">IF($AG229=Constants!$B$7 ,IF(AND(U229,V229,W229,Y229,ISNUMBER(AB229)),IF($AN229="",0,IF($AN$6=0,Constants!$B$10,Constants!$B$10*AN229/$AN$6)), 0),"")</f>
        <v/>
      </c>
      <c r="AQ229" s="99" t="str">
        <f aca="false">IF(AP229&lt;&gt;"", AP229*AI229,"")</f>
        <v/>
      </c>
      <c r="AR229" s="99" t="str">
        <f aca="false">IF($AG229=Constants!$B$7,IF($AD229="",0,IF($AR$6=0,Constants!$B$8,Constants!$B$8*AD229/$AR$6)),"")</f>
        <v/>
      </c>
      <c r="AS229" s="99" t="str">
        <f aca="false">IF($AG229&lt;&gt;Constants!$B$7,$AG229,IF(AK229&amp;AO229&lt;&gt;"",Constants!$B$14,AM229+AQ229+AR229))</f>
        <v/>
      </c>
      <c r="AT229" s="99" t="str">
        <f aca="false">IF(ISBLANK($C229),"",IF($AG229=Constants!$B$7,IF(ISNUMBER(AS229),RANK(AS229,$AS$8:$AS$507),Constants!$B$14),$AG229))</f>
        <v/>
      </c>
      <c r="AU229" s="99" t="str">
        <f aca="false">IF(ISBLANK($C229), "",AM229)</f>
        <v/>
      </c>
      <c r="AV229" s="99" t="str">
        <f aca="false">IF(ISBLANK($C229),"",IF($AG229=Constants!$B$7,RANK(AU229,AU$8:AU$507),$AG229))</f>
        <v/>
      </c>
      <c r="AW229" s="99" t="str">
        <f aca="false">IF(ISBLANK($C229), "",AR229)</f>
        <v/>
      </c>
      <c r="AX229" s="99" t="str">
        <f aca="false">IF(ISBLANK($C229),"",IF($AG229=Constants!$B$7,RANK(AW229,AW$8:AW$507),$AG229))</f>
        <v/>
      </c>
      <c r="AY229" s="99" t="str">
        <f aca="false">IF(ISBLANK($C229), "",AE229)</f>
        <v/>
      </c>
      <c r="AZ229" s="99" t="str">
        <f aca="false">IF(ISBLANK($C229),"",
IF($AG229=Constants!$B$7,
  IF(ISNUMBER(AT229),
    COUNTIFS($AT$8:$AT$507,"&lt;"&amp;$AT229)
    + COUNTIFS($AT$8:$AT$507,$AT229,$AV$8:$AV$507,"&lt;"&amp;$AV229)
    + COUNTIFS($AT$8:$AT$507,$AT229,$AV$8:$AV$507,$AV229,$AX$8:$AX$507,"&lt;"&amp;$AX229)
    + COUNTIFS($AT$8:$AT$507,$AT229,$AV$8:$AV$507,$AV229,$AX$8:$AX$507,$AX229,$AY$8:$AY$507,"&lt;"&amp;$AY229)
    + 1,
  Constants!$B$14),
$AG229))</f>
        <v/>
      </c>
      <c r="BA229" s="99" t="str">
        <f aca="false">IF(ISBLANK(C229),"",IF($AG229=Constants!$B$7, IF(ISNUMBER(AT229),AT229-AZ229,Constants!$B$14),$AG229))</f>
        <v/>
      </c>
      <c r="BB229" s="103"/>
      <c r="BC229" s="104" t="str">
        <f aca="false">IF(ISBLANK($C229),"",TRIM(AK229&amp;" "&amp;AO229))</f>
        <v/>
      </c>
      <c r="BD229" s="105" t="str">
        <f aca="false">IF(ISBLANK($C229),"",IF($AG229&lt;&gt;Constants!$B$7,$AG229,AR229))</f>
        <v/>
      </c>
      <c r="BE229" s="105" t="str">
        <f aca="false">IF(ISBLANK($C229),"",IF($AG229&lt;&gt;Constants!$B$7,$AG229,AM229))</f>
        <v/>
      </c>
      <c r="BF229" s="105" t="str">
        <f aca="false">IF(ISBLANK($C229),"",IF($AG229&lt;&gt;Constants!$B$7,$AG229,AQ229))</f>
        <v/>
      </c>
      <c r="BG229" s="106" t="str">
        <f aca="false">IF(ISBLANK($C229),"",IF($AG229&lt;&gt;Constants!$B$7, $AG229 ,AS229))</f>
        <v/>
      </c>
      <c r="BH229" s="107" t="str">
        <f aca="false">IF(ISBLANK($C229),"",IF($AG229&lt;&gt;Constants!$B$7, $AG229 ,AH229))</f>
        <v/>
      </c>
      <c r="BI229" s="105" t="str">
        <f aca="false">IF(ISBLANK(C229),"",BA229)</f>
        <v/>
      </c>
      <c r="BJ229" s="105" t="str">
        <f aca="false">IF(ISBLANK(C229),"",AZ229)</f>
        <v/>
      </c>
      <c r="BK229" s="108" t="str">
        <f aca="false">IF(ISBLANK(C229),"",IFERROR(_xlfn.SWITCH(BJ229, Constants!$B$4, COUNTA($C$8:$C728)+2, Constants!$B$5, COUNTA($C$8:$C728)+1, Constants!$B$6, COUNTA($C$8:$C728)),BJ229))</f>
        <v/>
      </c>
      <c r="BL229" s="5"/>
      <c r="BM229" s="109" t="n">
        <f aca="false">IF(OR(ISNUMBER(BJ229),BJ229="DQ",BJ229="P",BJ229="NS"),
    1,
    0
)</f>
        <v>0</v>
      </c>
      <c r="BN229" s="109" t="n">
        <v>222</v>
      </c>
      <c r="BO229" s="109" t="str">
        <f aca="false">IF(ISBLANK($C229),"",IF(ISNUMBER(BK229),BK229+ROW($B229)/1000,""))</f>
        <v/>
      </c>
      <c r="BP229" s="109" t="str">
        <f aca="false">IF(ISNUMBER(BO229), RANK(BO229,BO$8:BO$507,1), "")</f>
        <v/>
      </c>
      <c r="BQ229" s="109" t="str">
        <f aca="false">IF(ISBLANK($C229),
    "",
    $B229
)</f>
        <v/>
      </c>
      <c r="BR229" s="109" t="str">
        <f aca="false">IF(ISBLANK($C229),
    "",
    $C229
)</f>
        <v/>
      </c>
      <c r="BS229" s="109" t="str">
        <f aca="false">IF(ISBLANK($C229),
    "",
    $D229
)</f>
        <v/>
      </c>
      <c r="BT229" s="110" t="str">
        <f aca="false">BH229</f>
        <v/>
      </c>
      <c r="BU229" s="111" t="str">
        <f aca="false">BG229</f>
        <v/>
      </c>
      <c r="BV229" s="109" t="str">
        <f aca="false">IF(ISBLANK($C229),
    "",
    BJ229
)</f>
        <v/>
      </c>
      <c r="BW229" s="112" t="str">
        <f aca="false">IF(BN229&gt;BM$7,
    "",
    VLOOKUP(BN229,BP$8:BV728,7,FALSE())
)</f>
        <v/>
      </c>
      <c r="BX229" s="113" t="str">
        <f aca="false">IF(BN229&gt;BM$7,
    "",
    VLOOKUP(BN229,BP$8:BV728,2,FALSE())
)</f>
        <v/>
      </c>
      <c r="BY229" s="113" t="str">
        <f aca="false">IF(BN229&gt;BM$7,
    "",
    VLOOKUP(BN229,BP$8:BV728,3,FALSE())
)</f>
        <v/>
      </c>
      <c r="BZ229" s="113" t="str">
        <f aca="false">IF(BN229&gt;BM$7,
    "",
    VLOOKUP(BN229,BP$8:BV728,4,FALSE())
)</f>
        <v/>
      </c>
      <c r="CA229" s="113" t="str">
        <f aca="false">IF(BN229&gt;BM$7,
    "",
    VLOOKUP(BN229,BP$8:BV728,5,FALSE())
)</f>
        <v/>
      </c>
      <c r="CB229" s="114" t="str">
        <f aca="false">IF(BN229&gt;BM$7,
    "",
    VLOOKUP(BN229,BP$8:BV728,6,FALSE())
)</f>
        <v/>
      </c>
      <c r="CC229" s="53"/>
    </row>
    <row r="230" customFormat="false" ht="15.75" hidden="false" customHeight="false" outlineLevel="0" collapsed="false">
      <c r="A230" s="5"/>
      <c r="B230" s="129"/>
      <c r="C230" s="55"/>
      <c r="D230" s="56"/>
      <c r="E230" s="123"/>
      <c r="F230" s="123"/>
      <c r="G230" s="58"/>
      <c r="H230" s="59"/>
      <c r="I230" s="59"/>
      <c r="J230" s="83"/>
      <c r="K230" s="83"/>
      <c r="L230" s="83"/>
      <c r="M230" s="61"/>
      <c r="N230" s="61"/>
      <c r="O230" s="61"/>
      <c r="P230" s="62"/>
      <c r="Q230" s="63"/>
      <c r="R230" s="83"/>
      <c r="S230" s="65"/>
      <c r="T230" s="66"/>
      <c r="U230" s="66" t="str">
        <f aca="false">IF(ISBLANK($C230),"",IF(G230=Constants!$B$2, TRUE(), IF(G230=Constants!$B$3, FALSE(), TRUE())))</f>
        <v/>
      </c>
      <c r="V230" s="66" t="str">
        <f aca="false">IF(ISBLANK($C230),"",IF(H230=Constants!$B$2, TRUE(), IF(H230=Constants!$B$3, FALSE(), TRUE())))</f>
        <v/>
      </c>
      <c r="W230" s="66" t="str">
        <f aca="false">IF(ISBLANK($C230),"",IF(I230=Constants!$B$2, TRUE(), IF(I230=Constants!$B$3, FALSE(), TRUE())))</f>
        <v/>
      </c>
      <c r="X230" s="66" t="str">
        <f aca="false">IF(ISBLANK($C230),"",IF(AND(ISNUMBER(J230),J230&gt;0),INT(J230),0))</f>
        <v/>
      </c>
      <c r="Y230" s="66" t="str">
        <f aca="false">IF(ISBLANK($C230),"",IF(K230=Constants!$B$2, TRUE(), IF(K230=Constants!$B$3, FALSE(), TRUE())))</f>
        <v/>
      </c>
      <c r="Z230" s="66" t="str">
        <f aca="false">IF(ISBLANK($C230),"",IF(AND(ISNUMBER(L230),L230&gt;0),INT(L230),0))</f>
        <v/>
      </c>
      <c r="AA230" s="68" t="str">
        <f aca="false">IF(ISBLANK($C230),"",IF(ISNUMBER(M230), M230, ""))</f>
        <v/>
      </c>
      <c r="AB230" s="68" t="str">
        <f aca="false">IF(ISBLANK($C230),"",IF(ISNUMBER(N230), N230, ""))</f>
        <v/>
      </c>
      <c r="AC230" s="68" t="str">
        <f aca="false">IF(ISBLANK($C230),"",IF(ISNUMBER(O230), O230, ""))</f>
        <v/>
      </c>
      <c r="AD230" s="69" t="str">
        <f aca="false">IF(ISBLANK($C230),"",IF(ISNUMBER(P230), P230, ""))</f>
        <v/>
      </c>
      <c r="AE230" s="69" t="str">
        <f aca="false">IF(ISBLANK($C230),"",IF(ISNUMBER(Q230), Q230, Constants!$B$13))</f>
        <v/>
      </c>
      <c r="AF230" s="66" t="str">
        <f aca="false">IF(ISBLANK($C230),"",IF(R230=Constants!$B$2, TRUE(), IF(R230=Constants!$B$3, FALSE(), FALSE())))</f>
        <v/>
      </c>
      <c r="AG230" s="66" t="str">
        <f aca="false">IF(ISBLANK(C230), "", IF(AF230, Constants!$B$4,IF(COUNTA(G230:P230)=0, Constants!$B$5, Constants!$B$7)))</f>
        <v/>
      </c>
      <c r="AH230" s="66" t="str">
        <f aca="false">IF(ISBLANK($C230), "",IF($AG230=Constants!$B$7,1,$AG230))</f>
        <v/>
      </c>
      <c r="AI230" s="66" t="str">
        <f aca="false">IF($AG230=Constants!$B$7,POWER(Constants!$B$11,X230)*POWER(Constants!$B$12,Z230),"")</f>
        <v/>
      </c>
      <c r="AJ230" s="66" t="str">
        <f aca="false">IF(AND($AG230=Constants!$B$7, U230, V230) ,IF(OR($AA230="",$AC230=""),"",MAX(0, $AC230-$AA230)),"")</f>
        <v/>
      </c>
      <c r="AK230" s="66" t="str">
        <f aca="false">IF(AND($AG230=Constants!$B$7, U230, V230),IF(OR($AA230="",$AC230=""),$AK$6,""),"")</f>
        <v/>
      </c>
      <c r="AL230" s="66" t="str">
        <f aca="false">IF($AG230=Constants!$B$7,IF(AND(U230,V230,W230,Y230),IF($AJ230="",0,IF($AJ$6=0,Constants!$B$9,Constants!$B$9*AJ230/$AJ$6)), 0),"")</f>
        <v/>
      </c>
      <c r="AM230" s="66" t="str">
        <f aca="false">IF(AL230&lt;&gt;"", AL230*AI230,"")</f>
        <v/>
      </c>
      <c r="AN230" s="66" t="str">
        <f aca="false">IF(AND($AG230=Constants!$B$7, U230, V230) ,IF($AB230="", "", IF(OR($AC230="",$AC230=0),"",MAX(0,1-ABS($AC230-$AB230)/$AC230))),"")</f>
        <v/>
      </c>
      <c r="AO230" s="66" t="str">
        <f aca="false">IF(AND($AG230=Constants!$B$7, U230, V230),IF(AND($AA230&lt;&gt;"",$AB230&lt;&gt;"",$AC230=0),$AO$6,""),"")</f>
        <v/>
      </c>
      <c r="AP230" s="66" t="str">
        <f aca="false">IF($AG230=Constants!$B$7 ,IF(AND(U230,V230,W230,Y230,ISNUMBER(AB230)),IF($AN230="",0,IF($AN$6=0,Constants!$B$10,Constants!$B$10*AN230/$AN$6)), 0),"")</f>
        <v/>
      </c>
      <c r="AQ230" s="66" t="str">
        <f aca="false">IF(AP230&lt;&gt;"", AP230*AI230,"")</f>
        <v/>
      </c>
      <c r="AR230" s="66" t="str">
        <f aca="false">IF($AG230=Constants!$B$7,IF($AD230="",0,IF($AR$6=0,Constants!$B$8,Constants!$B$8*AD230/$AR$6)),"")</f>
        <v/>
      </c>
      <c r="AS230" s="66" t="str">
        <f aca="false">IF($AG230&lt;&gt;Constants!$B$7,$AG230,IF(AK230&amp;AO230&lt;&gt;"",Constants!$B$14,AM230+AQ230+AR230))</f>
        <v/>
      </c>
      <c r="AT230" s="66" t="str">
        <f aca="false">IF(ISBLANK($C230),"",IF($AG230=Constants!$B$7,IF(ISNUMBER(AS230),RANK(AS230,$AS$8:$AS$507),Constants!$B$14),$AG230))</f>
        <v/>
      </c>
      <c r="AU230" s="66" t="str">
        <f aca="false">IF(ISBLANK($C230), "",AM230)</f>
        <v/>
      </c>
      <c r="AV230" s="66" t="str">
        <f aca="false">IF(ISBLANK($C230),"",IF($AG230=Constants!$B$7,RANK(AU230,AU$8:AU$507),$AG230))</f>
        <v/>
      </c>
      <c r="AW230" s="66" t="str">
        <f aca="false">IF(ISBLANK($C230), "",AR230)</f>
        <v/>
      </c>
      <c r="AX230" s="66" t="str">
        <f aca="false">IF(ISBLANK($C230),"",IF($AG230=Constants!$B$7,RANK(AW230,AW$8:AW$507),$AG230))</f>
        <v/>
      </c>
      <c r="AY230" s="66" t="str">
        <f aca="false">IF(ISBLANK($C230), "",AE230)</f>
        <v/>
      </c>
      <c r="AZ230" s="66" t="str">
        <f aca="false">IF(ISBLANK($C230),"",
IF($AG230=Constants!$B$7,
  IF(ISNUMBER(AT230),
    COUNTIFS($AT$8:$AT$507,"&lt;"&amp;$AT230)
    + COUNTIFS($AT$8:$AT$507,$AT230,$AV$8:$AV$507,"&lt;"&amp;$AV230)
    + COUNTIFS($AT$8:$AT$507,$AT230,$AV$8:$AV$507,$AV230,$AX$8:$AX$507,"&lt;"&amp;$AX230)
    + COUNTIFS($AT$8:$AT$507,$AT230,$AV$8:$AV$507,$AV230,$AX$8:$AX$507,$AX230,$AY$8:$AY$507,"&lt;"&amp;$AY230)
    + 1,
  Constants!$B$14),
$AG230))</f>
        <v/>
      </c>
      <c r="BA230" s="66" t="str">
        <f aca="false">IF(ISBLANK(C230),"",IF($AG230=Constants!$B$7, IF(ISNUMBER(AT230),AT230-AZ230,Constants!$B$14),$AG230))</f>
        <v/>
      </c>
      <c r="BB230" s="70"/>
      <c r="BC230" s="84" t="str">
        <f aca="false">IF(ISBLANK($C230),"",TRIM(AK230&amp;" "&amp;AO230))</f>
        <v/>
      </c>
      <c r="BD230" s="72" t="str">
        <f aca="false">IF(ISBLANK($C230),"",IF($AG230&lt;&gt;Constants!$B$7,$AG230,AR230))</f>
        <v/>
      </c>
      <c r="BE230" s="72" t="str">
        <f aca="false">IF(ISBLANK($C230),"",IF($AG230&lt;&gt;Constants!$B$7,$AG230,AM230))</f>
        <v/>
      </c>
      <c r="BF230" s="72" t="str">
        <f aca="false">IF(ISBLANK($C230),"",IF($AG230&lt;&gt;Constants!$B$7,$AG230,AQ230))</f>
        <v/>
      </c>
      <c r="BG230" s="73" t="str">
        <f aca="false">IF(ISBLANK($C230),"",IF($AG230&lt;&gt;Constants!$B$7, $AG230 ,AS230))</f>
        <v/>
      </c>
      <c r="BH230" s="74" t="str">
        <f aca="false">IF(ISBLANK($C230),"",IF($AG230&lt;&gt;Constants!$B$7, $AG230 ,AH230))</f>
        <v/>
      </c>
      <c r="BI230" s="72" t="str">
        <f aca="false">IF(ISBLANK(C230),"",BA230)</f>
        <v/>
      </c>
      <c r="BJ230" s="72" t="str">
        <f aca="false">IF(ISBLANK(C230),"",AZ230)</f>
        <v/>
      </c>
      <c r="BK230" s="75" t="str">
        <f aca="false">IF(ISBLANK(C230),"",IFERROR(_xlfn.SWITCH(BJ230, Constants!$B$4, COUNTA($C$8:$C729)+2, Constants!$B$5, COUNTA($C$8:$C729)+1, Constants!$B$6, COUNTA($C$8:$C729)),BJ230))</f>
        <v/>
      </c>
      <c r="BL230" s="5"/>
      <c r="BM230" s="76" t="n">
        <f aca="false">IF(OR(ISNUMBER(BJ230),BJ230="DQ",BJ230="P",BJ230="NS"),
    1,
    0
)</f>
        <v>0</v>
      </c>
      <c r="BN230" s="76" t="n">
        <v>223</v>
      </c>
      <c r="BO230" s="76" t="str">
        <f aca="false">IF(ISBLANK($C230),"",IF(ISNUMBER(BK230),BK230+ROW($B230)/1000,""))</f>
        <v/>
      </c>
      <c r="BP230" s="76" t="str">
        <f aca="false">IF(ISNUMBER(BO230), RANK(BO230,BO$8:BO$507,1), "")</f>
        <v/>
      </c>
      <c r="BQ230" s="76" t="str">
        <f aca="false">IF(ISBLANK($C230),
    "",
    $B230
)</f>
        <v/>
      </c>
      <c r="BR230" s="76" t="str">
        <f aca="false">IF(ISBLANK($C230),
    "",
    $C230
)</f>
        <v/>
      </c>
      <c r="BS230" s="76" t="str">
        <f aca="false">IF(ISBLANK($C230),
    "",
    $D230
)</f>
        <v/>
      </c>
      <c r="BT230" s="77" t="str">
        <f aca="false">BH230</f>
        <v/>
      </c>
      <c r="BU230" s="78" t="str">
        <f aca="false">BG230</f>
        <v/>
      </c>
      <c r="BV230" s="76" t="str">
        <f aca="false">IF(ISBLANK($C230),
    "",
    BJ230
)</f>
        <v/>
      </c>
      <c r="BW230" s="79" t="str">
        <f aca="false">IF(BN230&gt;BM$7,
    "",
    VLOOKUP(BN230,BP$8:BV729,7,FALSE())
)</f>
        <v/>
      </c>
      <c r="BX230" s="80" t="str">
        <f aca="false">IF(BN230&gt;BM$7,
    "",
    VLOOKUP(BN230,BP$8:BV729,2,FALSE())
)</f>
        <v/>
      </c>
      <c r="BY230" s="80" t="str">
        <f aca="false">IF(BN230&gt;BM$7,
    "",
    VLOOKUP(BN230,BP$8:BV729,3,FALSE())
)</f>
        <v/>
      </c>
      <c r="BZ230" s="80" t="str">
        <f aca="false">IF(BN230&gt;BM$7,
    "",
    VLOOKUP(BN230,BP$8:BV729,4,FALSE())
)</f>
        <v/>
      </c>
      <c r="CA230" s="80" t="str">
        <f aca="false">IF(BN230&gt;BM$7,
    "",
    VLOOKUP(BN230,BP$8:BV729,5,FALSE())
)</f>
        <v/>
      </c>
      <c r="CB230" s="81" t="str">
        <f aca="false">IF(BN230&gt;BM$7,
    "",
    VLOOKUP(BN230,BP$8:BV729,6,FALSE())
)</f>
        <v/>
      </c>
      <c r="CC230" s="53"/>
    </row>
    <row r="231" customFormat="false" ht="15.75" hidden="false" customHeight="false" outlineLevel="0" collapsed="false">
      <c r="A231" s="5"/>
      <c r="B231" s="129"/>
      <c r="C231" s="55"/>
      <c r="D231" s="56"/>
      <c r="E231" s="123"/>
      <c r="F231" s="123"/>
      <c r="G231" s="58"/>
      <c r="H231" s="59"/>
      <c r="I231" s="59"/>
      <c r="J231" s="83"/>
      <c r="K231" s="83"/>
      <c r="L231" s="83"/>
      <c r="M231" s="61"/>
      <c r="N231" s="61"/>
      <c r="O231" s="61"/>
      <c r="P231" s="62"/>
      <c r="Q231" s="63"/>
      <c r="R231" s="83"/>
      <c r="S231" s="65"/>
      <c r="T231" s="66"/>
      <c r="U231" s="66" t="str">
        <f aca="false">IF(ISBLANK($C231),"",IF(G231=Constants!$B$2, TRUE(), IF(G231=Constants!$B$3, FALSE(), TRUE())))</f>
        <v/>
      </c>
      <c r="V231" s="66" t="str">
        <f aca="false">IF(ISBLANK($C231),"",IF(H231=Constants!$B$2, TRUE(), IF(H231=Constants!$B$3, FALSE(), TRUE())))</f>
        <v/>
      </c>
      <c r="W231" s="66" t="str">
        <f aca="false">IF(ISBLANK($C231),"",IF(I231=Constants!$B$2, TRUE(), IF(I231=Constants!$B$3, FALSE(), TRUE())))</f>
        <v/>
      </c>
      <c r="X231" s="66" t="str">
        <f aca="false">IF(ISBLANK($C231),"",IF(AND(ISNUMBER(J231),J231&gt;0),INT(J231),0))</f>
        <v/>
      </c>
      <c r="Y231" s="66" t="str">
        <f aca="false">IF(ISBLANK($C231),"",IF(K231=Constants!$B$2, TRUE(), IF(K231=Constants!$B$3, FALSE(), TRUE())))</f>
        <v/>
      </c>
      <c r="Z231" s="66" t="str">
        <f aca="false">IF(ISBLANK($C231),"",IF(AND(ISNUMBER(L231),L231&gt;0),INT(L231),0))</f>
        <v/>
      </c>
      <c r="AA231" s="68" t="str">
        <f aca="false">IF(ISBLANK($C231),"",IF(ISNUMBER(M231), M231, ""))</f>
        <v/>
      </c>
      <c r="AB231" s="68" t="str">
        <f aca="false">IF(ISBLANK($C231),"",IF(ISNUMBER(N231), N231, ""))</f>
        <v/>
      </c>
      <c r="AC231" s="68" t="str">
        <f aca="false">IF(ISBLANK($C231),"",IF(ISNUMBER(O231), O231, ""))</f>
        <v/>
      </c>
      <c r="AD231" s="69" t="str">
        <f aca="false">IF(ISBLANK($C231),"",IF(ISNUMBER(P231), P231, ""))</f>
        <v/>
      </c>
      <c r="AE231" s="69" t="str">
        <f aca="false">IF(ISBLANK($C231),"",IF(ISNUMBER(Q231), Q231, Constants!$B$13))</f>
        <v/>
      </c>
      <c r="AF231" s="66" t="str">
        <f aca="false">IF(ISBLANK($C231),"",IF(R231=Constants!$B$2, TRUE(), IF(R231=Constants!$B$3, FALSE(), FALSE())))</f>
        <v/>
      </c>
      <c r="AG231" s="66" t="str">
        <f aca="false">IF(ISBLANK(C231), "", IF(AF231, Constants!$B$4,IF(COUNTA(G231:P231)=0, Constants!$B$5, Constants!$B$7)))</f>
        <v/>
      </c>
      <c r="AH231" s="66" t="str">
        <f aca="false">IF(ISBLANK($C231), "",IF($AG231=Constants!$B$7,1,$AG231))</f>
        <v/>
      </c>
      <c r="AI231" s="66" t="str">
        <f aca="false">IF($AG231=Constants!$B$7,POWER(Constants!$B$11,X231)*POWER(Constants!$B$12,Z231),"")</f>
        <v/>
      </c>
      <c r="AJ231" s="66" t="str">
        <f aca="false">IF(AND($AG231=Constants!$B$7, U231, V231) ,IF(OR($AA231="",$AC231=""),"",MAX(0, $AC231-$AA231)),"")</f>
        <v/>
      </c>
      <c r="AK231" s="66" t="str">
        <f aca="false">IF(AND($AG231=Constants!$B$7, U231, V231),IF(OR($AA231="",$AC231=""),$AK$6,""),"")</f>
        <v/>
      </c>
      <c r="AL231" s="66" t="str">
        <f aca="false">IF($AG231=Constants!$B$7,IF(AND(U231,V231,W231,Y231),IF($AJ231="",0,IF($AJ$6=0,Constants!$B$9,Constants!$B$9*AJ231/$AJ$6)), 0),"")</f>
        <v/>
      </c>
      <c r="AM231" s="66" t="str">
        <f aca="false">IF(AL231&lt;&gt;"", AL231*AI231,"")</f>
        <v/>
      </c>
      <c r="AN231" s="66" t="str">
        <f aca="false">IF(AND($AG231=Constants!$B$7, U231, V231) ,IF($AB231="", "", IF(OR($AC231="",$AC231=0),"",MAX(0,1-ABS($AC231-$AB231)/$AC231))),"")</f>
        <v/>
      </c>
      <c r="AO231" s="66" t="str">
        <f aca="false">IF(AND($AG231=Constants!$B$7, U231, V231),IF(AND($AA231&lt;&gt;"",$AB231&lt;&gt;"",$AC231=0),$AO$6,""),"")</f>
        <v/>
      </c>
      <c r="AP231" s="66" t="str">
        <f aca="false">IF($AG231=Constants!$B$7 ,IF(AND(U231,V231,W231,Y231,ISNUMBER(AB231)),IF($AN231="",0,IF($AN$6=0,Constants!$B$10,Constants!$B$10*AN231/$AN$6)), 0),"")</f>
        <v/>
      </c>
      <c r="AQ231" s="66" t="str">
        <f aca="false">IF(AP231&lt;&gt;"", AP231*AI231,"")</f>
        <v/>
      </c>
      <c r="AR231" s="66" t="str">
        <f aca="false">IF($AG231=Constants!$B$7,IF($AD231="",0,IF($AR$6=0,Constants!$B$8,Constants!$B$8*AD231/$AR$6)),"")</f>
        <v/>
      </c>
      <c r="AS231" s="66" t="str">
        <f aca="false">IF($AG231&lt;&gt;Constants!$B$7,$AG231,IF(AK231&amp;AO231&lt;&gt;"",Constants!$B$14,AM231+AQ231+AR231))</f>
        <v/>
      </c>
      <c r="AT231" s="66" t="str">
        <f aca="false">IF(ISBLANK($C231),"",IF($AG231=Constants!$B$7,IF(ISNUMBER(AS231),RANK(AS231,$AS$8:$AS$507),Constants!$B$14),$AG231))</f>
        <v/>
      </c>
      <c r="AU231" s="66" t="str">
        <f aca="false">IF(ISBLANK($C231), "",AM231)</f>
        <v/>
      </c>
      <c r="AV231" s="66" t="str">
        <f aca="false">IF(ISBLANK($C231),"",IF($AG231=Constants!$B$7,RANK(AU231,AU$8:AU$507),$AG231))</f>
        <v/>
      </c>
      <c r="AW231" s="66" t="str">
        <f aca="false">IF(ISBLANK($C231), "",AR231)</f>
        <v/>
      </c>
      <c r="AX231" s="66" t="str">
        <f aca="false">IF(ISBLANK($C231),"",IF($AG231=Constants!$B$7,RANK(AW231,AW$8:AW$507),$AG231))</f>
        <v/>
      </c>
      <c r="AY231" s="66" t="str">
        <f aca="false">IF(ISBLANK($C231), "",AE231)</f>
        <v/>
      </c>
      <c r="AZ231" s="66" t="str">
        <f aca="false">IF(ISBLANK($C231),"",
IF($AG231=Constants!$B$7,
  IF(ISNUMBER(AT231),
    COUNTIFS($AT$8:$AT$507,"&lt;"&amp;$AT231)
    + COUNTIFS($AT$8:$AT$507,$AT231,$AV$8:$AV$507,"&lt;"&amp;$AV231)
    + COUNTIFS($AT$8:$AT$507,$AT231,$AV$8:$AV$507,$AV231,$AX$8:$AX$507,"&lt;"&amp;$AX231)
    + COUNTIFS($AT$8:$AT$507,$AT231,$AV$8:$AV$507,$AV231,$AX$8:$AX$507,$AX231,$AY$8:$AY$507,"&lt;"&amp;$AY231)
    + 1,
  Constants!$B$14),
$AG231))</f>
        <v/>
      </c>
      <c r="BA231" s="66" t="str">
        <f aca="false">IF(ISBLANK(C231),"",IF($AG231=Constants!$B$7, IF(ISNUMBER(AT231),AT231-AZ231,Constants!$B$14),$AG231))</f>
        <v/>
      </c>
      <c r="BB231" s="70"/>
      <c r="BC231" s="84" t="str">
        <f aca="false">IF(ISBLANK($C231),"",TRIM(AK231&amp;" "&amp;AO231))</f>
        <v/>
      </c>
      <c r="BD231" s="72" t="str">
        <f aca="false">IF(ISBLANK($C231),"",IF($AG231&lt;&gt;Constants!$B$7,$AG231,AR231))</f>
        <v/>
      </c>
      <c r="BE231" s="72" t="str">
        <f aca="false">IF(ISBLANK($C231),"",IF($AG231&lt;&gt;Constants!$B$7,$AG231,AM231))</f>
        <v/>
      </c>
      <c r="BF231" s="72" t="str">
        <f aca="false">IF(ISBLANK($C231),"",IF($AG231&lt;&gt;Constants!$B$7,$AG231,AQ231))</f>
        <v/>
      </c>
      <c r="BG231" s="73" t="str">
        <f aca="false">IF(ISBLANK($C231),"",IF($AG231&lt;&gt;Constants!$B$7, $AG231 ,AS231))</f>
        <v/>
      </c>
      <c r="BH231" s="74" t="str">
        <f aca="false">IF(ISBLANK($C231),"",IF($AG231&lt;&gt;Constants!$B$7, $AG231 ,AH231))</f>
        <v/>
      </c>
      <c r="BI231" s="72" t="str">
        <f aca="false">IF(ISBLANK(C231),"",BA231)</f>
        <v/>
      </c>
      <c r="BJ231" s="72" t="str">
        <f aca="false">IF(ISBLANK(C231),"",AZ231)</f>
        <v/>
      </c>
      <c r="BK231" s="75" t="str">
        <f aca="false">IF(ISBLANK(C231),"",IFERROR(_xlfn.SWITCH(BJ231, Constants!$B$4, COUNTA($C$8:$C730)+2, Constants!$B$5, COUNTA($C$8:$C730)+1, Constants!$B$6, COUNTA($C$8:$C730)),BJ231))</f>
        <v/>
      </c>
      <c r="BL231" s="5"/>
      <c r="BM231" s="76" t="n">
        <f aca="false">IF(OR(ISNUMBER(BJ231),BJ231="DQ",BJ231="P",BJ231="NS"),
    1,
    0
)</f>
        <v>0</v>
      </c>
      <c r="BN231" s="76" t="n">
        <v>224</v>
      </c>
      <c r="BO231" s="76" t="str">
        <f aca="false">IF(ISBLANK($C231),"",IF(ISNUMBER(BK231),BK231+ROW($B231)/1000,""))</f>
        <v/>
      </c>
      <c r="BP231" s="76" t="str">
        <f aca="false">IF(ISNUMBER(BO231), RANK(BO231,BO$8:BO$507,1), "")</f>
        <v/>
      </c>
      <c r="BQ231" s="76" t="str">
        <f aca="false">IF(ISBLANK($C231),
    "",
    $B231
)</f>
        <v/>
      </c>
      <c r="BR231" s="76" t="str">
        <f aca="false">IF(ISBLANK($C231),
    "",
    $C231
)</f>
        <v/>
      </c>
      <c r="BS231" s="76" t="str">
        <f aca="false">IF(ISBLANK($C231),
    "",
    $D231
)</f>
        <v/>
      </c>
      <c r="BT231" s="77" t="str">
        <f aca="false">BH231</f>
        <v/>
      </c>
      <c r="BU231" s="78" t="str">
        <f aca="false">BG231</f>
        <v/>
      </c>
      <c r="BV231" s="76" t="str">
        <f aca="false">IF(ISBLANK($C231),
    "",
    BJ231
)</f>
        <v/>
      </c>
      <c r="BW231" s="79" t="str">
        <f aca="false">IF(BN231&gt;BM$7,
    "",
    VLOOKUP(BN231,BP$8:BV730,7,FALSE())
)</f>
        <v/>
      </c>
      <c r="BX231" s="80" t="str">
        <f aca="false">IF(BN231&gt;BM$7,
    "",
    VLOOKUP(BN231,BP$8:BV730,2,FALSE())
)</f>
        <v/>
      </c>
      <c r="BY231" s="80" t="str">
        <f aca="false">IF(BN231&gt;BM$7,
    "",
    VLOOKUP(BN231,BP$8:BV730,3,FALSE())
)</f>
        <v/>
      </c>
      <c r="BZ231" s="80" t="str">
        <f aca="false">IF(BN231&gt;BM$7,
    "",
    VLOOKUP(BN231,BP$8:BV730,4,FALSE())
)</f>
        <v/>
      </c>
      <c r="CA231" s="80" t="str">
        <f aca="false">IF(BN231&gt;BM$7,
    "",
    VLOOKUP(BN231,BP$8:BV730,5,FALSE())
)</f>
        <v/>
      </c>
      <c r="CB231" s="81" t="str">
        <f aca="false">IF(BN231&gt;BM$7,
    "",
    VLOOKUP(BN231,BP$8:BV730,6,FALSE())
)</f>
        <v/>
      </c>
      <c r="CC231" s="53"/>
    </row>
    <row r="232" customFormat="false" ht="15.75" hidden="false" customHeight="false" outlineLevel="0" collapsed="false">
      <c r="A232" s="5"/>
      <c r="B232" s="129"/>
      <c r="C232" s="55"/>
      <c r="D232" s="56"/>
      <c r="E232" s="123"/>
      <c r="F232" s="123"/>
      <c r="G232" s="58"/>
      <c r="H232" s="59"/>
      <c r="I232" s="59"/>
      <c r="J232" s="83"/>
      <c r="K232" s="83"/>
      <c r="L232" s="83"/>
      <c r="M232" s="61"/>
      <c r="N232" s="61"/>
      <c r="O232" s="61"/>
      <c r="P232" s="62"/>
      <c r="Q232" s="63"/>
      <c r="R232" s="83"/>
      <c r="S232" s="65"/>
      <c r="T232" s="66"/>
      <c r="U232" s="66" t="str">
        <f aca="false">IF(ISBLANK($C232),"",IF(G232=Constants!$B$2, TRUE(), IF(G232=Constants!$B$3, FALSE(), TRUE())))</f>
        <v/>
      </c>
      <c r="V232" s="66" t="str">
        <f aca="false">IF(ISBLANK($C232),"",IF(H232=Constants!$B$2, TRUE(), IF(H232=Constants!$B$3, FALSE(), TRUE())))</f>
        <v/>
      </c>
      <c r="W232" s="66" t="str">
        <f aca="false">IF(ISBLANK($C232),"",IF(I232=Constants!$B$2, TRUE(), IF(I232=Constants!$B$3, FALSE(), TRUE())))</f>
        <v/>
      </c>
      <c r="X232" s="66" t="str">
        <f aca="false">IF(ISBLANK($C232),"",IF(AND(ISNUMBER(J232),J232&gt;0),INT(J232),0))</f>
        <v/>
      </c>
      <c r="Y232" s="66" t="str">
        <f aca="false">IF(ISBLANK($C232),"",IF(K232=Constants!$B$2, TRUE(), IF(K232=Constants!$B$3, FALSE(), TRUE())))</f>
        <v/>
      </c>
      <c r="Z232" s="66" t="str">
        <f aca="false">IF(ISBLANK($C232),"",IF(AND(ISNUMBER(L232),L232&gt;0),INT(L232),0))</f>
        <v/>
      </c>
      <c r="AA232" s="68" t="str">
        <f aca="false">IF(ISBLANK($C232),"",IF(ISNUMBER(M232), M232, ""))</f>
        <v/>
      </c>
      <c r="AB232" s="68" t="str">
        <f aca="false">IF(ISBLANK($C232),"",IF(ISNUMBER(N232), N232, ""))</f>
        <v/>
      </c>
      <c r="AC232" s="68" t="str">
        <f aca="false">IF(ISBLANK($C232),"",IF(ISNUMBER(O232), O232, ""))</f>
        <v/>
      </c>
      <c r="AD232" s="69" t="str">
        <f aca="false">IF(ISBLANK($C232),"",IF(ISNUMBER(P232), P232, ""))</f>
        <v/>
      </c>
      <c r="AE232" s="69" t="str">
        <f aca="false">IF(ISBLANK($C232),"",IF(ISNUMBER(Q232), Q232, Constants!$B$13))</f>
        <v/>
      </c>
      <c r="AF232" s="66" t="str">
        <f aca="false">IF(ISBLANK($C232),"",IF(R232=Constants!$B$2, TRUE(), IF(R232=Constants!$B$3, FALSE(), FALSE())))</f>
        <v/>
      </c>
      <c r="AG232" s="66" t="str">
        <f aca="false">IF(ISBLANK(C232), "", IF(AF232, Constants!$B$4,IF(COUNTA(G232:P232)=0, Constants!$B$5, Constants!$B$7)))</f>
        <v/>
      </c>
      <c r="AH232" s="66" t="str">
        <f aca="false">IF(ISBLANK($C232), "",IF($AG232=Constants!$B$7,1,$AG232))</f>
        <v/>
      </c>
      <c r="AI232" s="66" t="str">
        <f aca="false">IF($AG232=Constants!$B$7,POWER(Constants!$B$11,X232)*POWER(Constants!$B$12,Z232),"")</f>
        <v/>
      </c>
      <c r="AJ232" s="66" t="str">
        <f aca="false">IF(AND($AG232=Constants!$B$7, U232, V232) ,IF(OR($AA232="",$AC232=""),"",MAX(0, $AC232-$AA232)),"")</f>
        <v/>
      </c>
      <c r="AK232" s="66" t="str">
        <f aca="false">IF(AND($AG232=Constants!$B$7, U232, V232),IF(OR($AA232="",$AC232=""),$AK$6,""),"")</f>
        <v/>
      </c>
      <c r="AL232" s="66" t="str">
        <f aca="false">IF($AG232=Constants!$B$7,IF(AND(U232,V232,W232,Y232),IF($AJ232="",0,IF($AJ$6=0,Constants!$B$9,Constants!$B$9*AJ232/$AJ$6)), 0),"")</f>
        <v/>
      </c>
      <c r="AM232" s="66" t="str">
        <f aca="false">IF(AL232&lt;&gt;"", AL232*AI232,"")</f>
        <v/>
      </c>
      <c r="AN232" s="66" t="str">
        <f aca="false">IF(AND($AG232=Constants!$B$7, U232, V232) ,IF($AB232="", "", IF(OR($AC232="",$AC232=0),"",MAX(0,1-ABS($AC232-$AB232)/$AC232))),"")</f>
        <v/>
      </c>
      <c r="AO232" s="66" t="str">
        <f aca="false">IF(AND($AG232=Constants!$B$7, U232, V232),IF(AND($AA232&lt;&gt;"",$AB232&lt;&gt;"",$AC232=0),$AO$6,""),"")</f>
        <v/>
      </c>
      <c r="AP232" s="66" t="str">
        <f aca="false">IF($AG232=Constants!$B$7 ,IF(AND(U232,V232,W232,Y232,ISNUMBER(AB232)),IF($AN232="",0,IF($AN$6=0,Constants!$B$10,Constants!$B$10*AN232/$AN$6)), 0),"")</f>
        <v/>
      </c>
      <c r="AQ232" s="66" t="str">
        <f aca="false">IF(AP232&lt;&gt;"", AP232*AI232,"")</f>
        <v/>
      </c>
      <c r="AR232" s="66" t="str">
        <f aca="false">IF($AG232=Constants!$B$7,IF($AD232="",0,IF($AR$6=0,Constants!$B$8,Constants!$B$8*AD232/$AR$6)),"")</f>
        <v/>
      </c>
      <c r="AS232" s="66" t="str">
        <f aca="false">IF($AG232&lt;&gt;Constants!$B$7,$AG232,IF(AK232&amp;AO232&lt;&gt;"",Constants!$B$14,AM232+AQ232+AR232))</f>
        <v/>
      </c>
      <c r="AT232" s="66" t="str">
        <f aca="false">IF(ISBLANK($C232),"",IF($AG232=Constants!$B$7,IF(ISNUMBER(AS232),RANK(AS232,$AS$8:$AS$507),Constants!$B$14),$AG232))</f>
        <v/>
      </c>
      <c r="AU232" s="66" t="str">
        <f aca="false">IF(ISBLANK($C232), "",AM232)</f>
        <v/>
      </c>
      <c r="AV232" s="66" t="str">
        <f aca="false">IF(ISBLANK($C232),"",IF($AG232=Constants!$B$7,RANK(AU232,AU$8:AU$507),$AG232))</f>
        <v/>
      </c>
      <c r="AW232" s="66" t="str">
        <f aca="false">IF(ISBLANK($C232), "",AR232)</f>
        <v/>
      </c>
      <c r="AX232" s="66" t="str">
        <f aca="false">IF(ISBLANK($C232),"",IF($AG232=Constants!$B$7,RANK(AW232,AW$8:AW$507),$AG232))</f>
        <v/>
      </c>
      <c r="AY232" s="66" t="str">
        <f aca="false">IF(ISBLANK($C232), "",AE232)</f>
        <v/>
      </c>
      <c r="AZ232" s="66" t="str">
        <f aca="false">IF(ISBLANK($C232),"",
IF($AG232=Constants!$B$7,
  IF(ISNUMBER(AT232),
    COUNTIFS($AT$8:$AT$507,"&lt;"&amp;$AT232)
    + COUNTIFS($AT$8:$AT$507,$AT232,$AV$8:$AV$507,"&lt;"&amp;$AV232)
    + COUNTIFS($AT$8:$AT$507,$AT232,$AV$8:$AV$507,$AV232,$AX$8:$AX$507,"&lt;"&amp;$AX232)
    + COUNTIFS($AT$8:$AT$507,$AT232,$AV$8:$AV$507,$AV232,$AX$8:$AX$507,$AX232,$AY$8:$AY$507,"&lt;"&amp;$AY232)
    + 1,
  Constants!$B$14),
$AG232))</f>
        <v/>
      </c>
      <c r="BA232" s="66" t="str">
        <f aca="false">IF(ISBLANK(C232),"",IF($AG232=Constants!$B$7, IF(ISNUMBER(AT232),AT232-AZ232,Constants!$B$14),$AG232))</f>
        <v/>
      </c>
      <c r="BB232" s="70"/>
      <c r="BC232" s="84" t="str">
        <f aca="false">IF(ISBLANK($C232),"",TRIM(AK232&amp;" "&amp;AO232))</f>
        <v/>
      </c>
      <c r="BD232" s="72" t="str">
        <f aca="false">IF(ISBLANK($C232),"",IF($AG232&lt;&gt;Constants!$B$7,$AG232,AR232))</f>
        <v/>
      </c>
      <c r="BE232" s="72" t="str">
        <f aca="false">IF(ISBLANK($C232),"",IF($AG232&lt;&gt;Constants!$B$7,$AG232,AM232))</f>
        <v/>
      </c>
      <c r="BF232" s="72" t="str">
        <f aca="false">IF(ISBLANK($C232),"",IF($AG232&lt;&gt;Constants!$B$7,$AG232,AQ232))</f>
        <v/>
      </c>
      <c r="BG232" s="73" t="str">
        <f aca="false">IF(ISBLANK($C232),"",IF($AG232&lt;&gt;Constants!$B$7, $AG232 ,AS232))</f>
        <v/>
      </c>
      <c r="BH232" s="74" t="str">
        <f aca="false">IF(ISBLANK($C232),"",IF($AG232&lt;&gt;Constants!$B$7, $AG232 ,AH232))</f>
        <v/>
      </c>
      <c r="BI232" s="72" t="str">
        <f aca="false">IF(ISBLANK(C232),"",BA232)</f>
        <v/>
      </c>
      <c r="BJ232" s="72" t="str">
        <f aca="false">IF(ISBLANK(C232),"",AZ232)</f>
        <v/>
      </c>
      <c r="BK232" s="75" t="str">
        <f aca="false">IF(ISBLANK(C232),"",IFERROR(_xlfn.SWITCH(BJ232, Constants!$B$4, COUNTA($C$8:$C731)+2, Constants!$B$5, COUNTA($C$8:$C731)+1, Constants!$B$6, COUNTA($C$8:$C731)),BJ232))</f>
        <v/>
      </c>
      <c r="BL232" s="5"/>
      <c r="BM232" s="76" t="n">
        <f aca="false">IF(OR(ISNUMBER(BJ232),BJ232="DQ",BJ232="P",BJ232="NS"),
    1,
    0
)</f>
        <v>0</v>
      </c>
      <c r="BN232" s="76" t="n">
        <v>225</v>
      </c>
      <c r="BO232" s="76" t="str">
        <f aca="false">IF(ISBLANK($C232),"",IF(ISNUMBER(BK232),BK232+ROW($B232)/1000,""))</f>
        <v/>
      </c>
      <c r="BP232" s="76" t="str">
        <f aca="false">IF(ISNUMBER(BO232), RANK(BO232,BO$8:BO$507,1), "")</f>
        <v/>
      </c>
      <c r="BQ232" s="76" t="str">
        <f aca="false">IF(ISBLANK($C232),
    "",
    $B232
)</f>
        <v/>
      </c>
      <c r="BR232" s="76" t="str">
        <f aca="false">IF(ISBLANK($C232),
    "",
    $C232
)</f>
        <v/>
      </c>
      <c r="BS232" s="76" t="str">
        <f aca="false">IF(ISBLANK($C232),
    "",
    $D232
)</f>
        <v/>
      </c>
      <c r="BT232" s="77" t="str">
        <f aca="false">BH232</f>
        <v/>
      </c>
      <c r="BU232" s="78" t="str">
        <f aca="false">BG232</f>
        <v/>
      </c>
      <c r="BV232" s="76" t="str">
        <f aca="false">IF(ISBLANK($C232),
    "",
    BJ232
)</f>
        <v/>
      </c>
      <c r="BW232" s="79" t="str">
        <f aca="false">IF(BN232&gt;BM$7,
    "",
    VLOOKUP(BN232,BP$8:BV731,7,FALSE())
)</f>
        <v/>
      </c>
      <c r="BX232" s="80" t="str">
        <f aca="false">IF(BN232&gt;BM$7,
    "",
    VLOOKUP(BN232,BP$8:BV731,2,FALSE())
)</f>
        <v/>
      </c>
      <c r="BY232" s="80" t="str">
        <f aca="false">IF(BN232&gt;BM$7,
    "",
    VLOOKUP(BN232,BP$8:BV731,3,FALSE())
)</f>
        <v/>
      </c>
      <c r="BZ232" s="80" t="str">
        <f aca="false">IF(BN232&gt;BM$7,
    "",
    VLOOKUP(BN232,BP$8:BV731,4,FALSE())
)</f>
        <v/>
      </c>
      <c r="CA232" s="80" t="str">
        <f aca="false">IF(BN232&gt;BM$7,
    "",
    VLOOKUP(BN232,BP$8:BV731,5,FALSE())
)</f>
        <v/>
      </c>
      <c r="CB232" s="81" t="str">
        <f aca="false">IF(BN232&gt;BM$7,
    "",
    VLOOKUP(BN232,BP$8:BV731,6,FALSE())
)</f>
        <v/>
      </c>
      <c r="CC232" s="53"/>
    </row>
    <row r="233" customFormat="false" ht="15.75" hidden="false" customHeight="false" outlineLevel="0" collapsed="false">
      <c r="A233" s="5"/>
      <c r="B233" s="125"/>
      <c r="C233" s="126"/>
      <c r="D233" s="115"/>
      <c r="E233" s="119"/>
      <c r="F233" s="119"/>
      <c r="G233" s="91"/>
      <c r="H233" s="92"/>
      <c r="I233" s="92"/>
      <c r="J233" s="128"/>
      <c r="K233" s="128"/>
      <c r="L233" s="128"/>
      <c r="M233" s="94"/>
      <c r="N233" s="94"/>
      <c r="O233" s="94"/>
      <c r="P233" s="95"/>
      <c r="Q233" s="96"/>
      <c r="R233" s="128"/>
      <c r="S233" s="98"/>
      <c r="T233" s="99"/>
      <c r="U233" s="99" t="str">
        <f aca="false">IF(ISBLANK($C233),"",IF(G233=Constants!$B$2, TRUE(), IF(G233=Constants!$B$3, FALSE(), TRUE())))</f>
        <v/>
      </c>
      <c r="V233" s="99" t="str">
        <f aca="false">IF(ISBLANK($C233),"",IF(H233=Constants!$B$2, TRUE(), IF(H233=Constants!$B$3, FALSE(), TRUE())))</f>
        <v/>
      </c>
      <c r="W233" s="99" t="str">
        <f aca="false">IF(ISBLANK($C233),"",IF(I233=Constants!$B$2, TRUE(), IF(I233=Constants!$B$3, FALSE(), TRUE())))</f>
        <v/>
      </c>
      <c r="X233" s="99" t="str">
        <f aca="false">IF(ISBLANK($C233),"",IF(AND(ISNUMBER(J233),J233&gt;0),INT(J233),0))</f>
        <v/>
      </c>
      <c r="Y233" s="99" t="str">
        <f aca="false">IF(ISBLANK($C233),"",IF(K233=Constants!$B$2, TRUE(), IF(K233=Constants!$B$3, FALSE(), TRUE())))</f>
        <v/>
      </c>
      <c r="Z233" s="100" t="str">
        <f aca="false">IF(ISBLANK($C233),"",IF(AND(ISNUMBER(L233),L233&gt;0),INT(L233),0))</f>
        <v/>
      </c>
      <c r="AA233" s="101" t="str">
        <f aca="false">IF(ISBLANK($C233),"",IF(ISNUMBER(M233), M233, ""))</f>
        <v/>
      </c>
      <c r="AB233" s="101" t="str">
        <f aca="false">IF(ISBLANK($C233),"",IF(ISNUMBER(N233), N233, ""))</f>
        <v/>
      </c>
      <c r="AC233" s="101" t="str">
        <f aca="false">IF(ISBLANK($C233),"",IF(ISNUMBER(O233), O233, ""))</f>
        <v/>
      </c>
      <c r="AD233" s="102" t="str">
        <f aca="false">IF(ISBLANK($C233),"",IF(ISNUMBER(P233), P233, ""))</f>
        <v/>
      </c>
      <c r="AE233" s="102" t="str">
        <f aca="false">IF(ISBLANK($C233),"",IF(ISNUMBER(Q233), Q233, Constants!$B$13))</f>
        <v/>
      </c>
      <c r="AF233" s="99" t="str">
        <f aca="false">IF(ISBLANK($C233),"",IF(R233=Constants!$B$2, TRUE(), IF(R233=Constants!$B$3, FALSE(), FALSE())))</f>
        <v/>
      </c>
      <c r="AG233" s="99" t="str">
        <f aca="false">IF(ISBLANK(C233), "", IF(AF233, Constants!$B$4,IF(COUNTA(G233:P233)=0, Constants!$B$5, Constants!$B$7)))</f>
        <v/>
      </c>
      <c r="AH233" s="99" t="str">
        <f aca="false">IF(ISBLANK($C233), "",IF($AG233=Constants!$B$7,1,$AG233))</f>
        <v/>
      </c>
      <c r="AI233" s="99" t="str">
        <f aca="false">IF($AG233=Constants!$B$7,POWER(Constants!$B$11,X233)*POWER(Constants!$B$12,Z233),"")</f>
        <v/>
      </c>
      <c r="AJ233" s="99" t="str">
        <f aca="false">IF(AND($AG233=Constants!$B$7, U233, V233) ,IF(OR($AA233="",$AC233=""),"",MAX(0, $AC233-$AA233)),"")</f>
        <v/>
      </c>
      <c r="AK233" s="99" t="str">
        <f aca="false">IF(AND($AG233=Constants!$B$7, U233, V233),IF(OR($AA233="",$AC233=""),$AK$6,""),"")</f>
        <v/>
      </c>
      <c r="AL233" s="99" t="str">
        <f aca="false">IF($AG233=Constants!$B$7,IF(AND(U233,V233,W233,Y233),IF($AJ233="",0,IF($AJ$6=0,Constants!$B$9,Constants!$B$9*AJ233/$AJ$6)), 0),"")</f>
        <v/>
      </c>
      <c r="AM233" s="99" t="str">
        <f aca="false">IF(AL233&lt;&gt;"", AL233*AI233,"")</f>
        <v/>
      </c>
      <c r="AN233" s="99" t="str">
        <f aca="false">IF(AND($AG233=Constants!$B$7, U233, V233) ,IF($AB233="", "", IF(OR($AC233="",$AC233=0),"",MAX(0,1-ABS($AC233-$AB233)/$AC233))),"")</f>
        <v/>
      </c>
      <c r="AO233" s="99" t="str">
        <f aca="false">IF(AND($AG233=Constants!$B$7, U233, V233),IF(AND($AA233&lt;&gt;"",$AB233&lt;&gt;"",$AC233=0),$AO$6,""),"")</f>
        <v/>
      </c>
      <c r="AP233" s="99" t="str">
        <f aca="false">IF($AG233=Constants!$B$7 ,IF(AND(U233,V233,W233,Y233,ISNUMBER(AB233)),IF($AN233="",0,IF($AN$6=0,Constants!$B$10,Constants!$B$10*AN233/$AN$6)), 0),"")</f>
        <v/>
      </c>
      <c r="AQ233" s="99" t="str">
        <f aca="false">IF(AP233&lt;&gt;"", AP233*AI233,"")</f>
        <v/>
      </c>
      <c r="AR233" s="99" t="str">
        <f aca="false">IF($AG233=Constants!$B$7,IF($AD233="",0,IF($AR$6=0,Constants!$B$8,Constants!$B$8*AD233/$AR$6)),"")</f>
        <v/>
      </c>
      <c r="AS233" s="99" t="str">
        <f aca="false">IF($AG233&lt;&gt;Constants!$B$7,$AG233,IF(AK233&amp;AO233&lt;&gt;"",Constants!$B$14,AM233+AQ233+AR233))</f>
        <v/>
      </c>
      <c r="AT233" s="99" t="str">
        <f aca="false">IF(ISBLANK($C233),"",IF($AG233=Constants!$B$7,IF(ISNUMBER(AS233),RANK(AS233,$AS$8:$AS$507),Constants!$B$14),$AG233))</f>
        <v/>
      </c>
      <c r="AU233" s="99" t="str">
        <f aca="false">IF(ISBLANK($C233), "",AM233)</f>
        <v/>
      </c>
      <c r="AV233" s="99" t="str">
        <f aca="false">IF(ISBLANK($C233),"",IF($AG233=Constants!$B$7,RANK(AU233,AU$8:AU$507),$AG233))</f>
        <v/>
      </c>
      <c r="AW233" s="99" t="str">
        <f aca="false">IF(ISBLANK($C233), "",AR233)</f>
        <v/>
      </c>
      <c r="AX233" s="99" t="str">
        <f aca="false">IF(ISBLANK($C233),"",IF($AG233=Constants!$B$7,RANK(AW233,AW$8:AW$507),$AG233))</f>
        <v/>
      </c>
      <c r="AY233" s="99" t="str">
        <f aca="false">IF(ISBLANK($C233), "",AE233)</f>
        <v/>
      </c>
      <c r="AZ233" s="99" t="str">
        <f aca="false">IF(ISBLANK($C233),"",
IF($AG233=Constants!$B$7,
  IF(ISNUMBER(AT233),
    COUNTIFS($AT$8:$AT$507,"&lt;"&amp;$AT233)
    + COUNTIFS($AT$8:$AT$507,$AT233,$AV$8:$AV$507,"&lt;"&amp;$AV233)
    + COUNTIFS($AT$8:$AT$507,$AT233,$AV$8:$AV$507,$AV233,$AX$8:$AX$507,"&lt;"&amp;$AX233)
    + COUNTIFS($AT$8:$AT$507,$AT233,$AV$8:$AV$507,$AV233,$AX$8:$AX$507,$AX233,$AY$8:$AY$507,"&lt;"&amp;$AY233)
    + 1,
  Constants!$B$14),
$AG233))</f>
        <v/>
      </c>
      <c r="BA233" s="99" t="str">
        <f aca="false">IF(ISBLANK(C233),"",IF($AG233=Constants!$B$7, IF(ISNUMBER(AT233),AT233-AZ233,Constants!$B$14),$AG233))</f>
        <v/>
      </c>
      <c r="BB233" s="103"/>
      <c r="BC233" s="104" t="str">
        <f aca="false">IF(ISBLANK($C233),"",TRIM(AK233&amp;" "&amp;AO233))</f>
        <v/>
      </c>
      <c r="BD233" s="105" t="str">
        <f aca="false">IF(ISBLANK($C233),"",IF($AG233&lt;&gt;Constants!$B$7,$AG233,AR233))</f>
        <v/>
      </c>
      <c r="BE233" s="105" t="str">
        <f aca="false">IF(ISBLANK($C233),"",IF($AG233&lt;&gt;Constants!$B$7,$AG233,AM233))</f>
        <v/>
      </c>
      <c r="BF233" s="105" t="str">
        <f aca="false">IF(ISBLANK($C233),"",IF($AG233&lt;&gt;Constants!$B$7,$AG233,AQ233))</f>
        <v/>
      </c>
      <c r="BG233" s="106" t="str">
        <f aca="false">IF(ISBLANK($C233),"",IF($AG233&lt;&gt;Constants!$B$7, $AG233 ,AS233))</f>
        <v/>
      </c>
      <c r="BH233" s="107" t="str">
        <f aca="false">IF(ISBLANK($C233),"",IF($AG233&lt;&gt;Constants!$B$7, $AG233 ,AH233))</f>
        <v/>
      </c>
      <c r="BI233" s="105" t="str">
        <f aca="false">IF(ISBLANK(C233),"",BA233)</f>
        <v/>
      </c>
      <c r="BJ233" s="105" t="str">
        <f aca="false">IF(ISBLANK(C233),"",AZ233)</f>
        <v/>
      </c>
      <c r="BK233" s="108" t="str">
        <f aca="false">IF(ISBLANK(C233),"",IFERROR(_xlfn.SWITCH(BJ233, Constants!$B$4, COUNTA($C$8:$C732)+2, Constants!$B$5, COUNTA($C$8:$C732)+1, Constants!$B$6, COUNTA($C$8:$C732)),BJ233))</f>
        <v/>
      </c>
      <c r="BL233" s="5"/>
      <c r="BM233" s="109" t="n">
        <f aca="false">IF(OR(ISNUMBER(BJ233),BJ233="DQ",BJ233="P",BJ233="NS"),
    1,
    0
)</f>
        <v>0</v>
      </c>
      <c r="BN233" s="109" t="n">
        <v>226</v>
      </c>
      <c r="BO233" s="109" t="str">
        <f aca="false">IF(ISBLANK($C233),"",IF(ISNUMBER(BK233),BK233+ROW($B233)/1000,""))</f>
        <v/>
      </c>
      <c r="BP233" s="109" t="str">
        <f aca="false">IF(ISNUMBER(BO233), RANK(BO233,BO$8:BO$507,1), "")</f>
        <v/>
      </c>
      <c r="BQ233" s="109" t="str">
        <f aca="false">IF(ISBLANK($C233),
    "",
    $B233
)</f>
        <v/>
      </c>
      <c r="BR233" s="109" t="str">
        <f aca="false">IF(ISBLANK($C233),
    "",
    $C233
)</f>
        <v/>
      </c>
      <c r="BS233" s="109" t="str">
        <f aca="false">IF(ISBLANK($C233),
    "",
    $D233
)</f>
        <v/>
      </c>
      <c r="BT233" s="110" t="str">
        <f aca="false">BH233</f>
        <v/>
      </c>
      <c r="BU233" s="111" t="str">
        <f aca="false">BG233</f>
        <v/>
      </c>
      <c r="BV233" s="109" t="str">
        <f aca="false">IF(ISBLANK($C233),
    "",
    BJ233
)</f>
        <v/>
      </c>
      <c r="BW233" s="112" t="str">
        <f aca="false">IF(BN233&gt;BM$7,
    "",
    VLOOKUP(BN233,BP$8:BV732,7,FALSE())
)</f>
        <v/>
      </c>
      <c r="BX233" s="113" t="str">
        <f aca="false">IF(BN233&gt;BM$7,
    "",
    VLOOKUP(BN233,BP$8:BV732,2,FALSE())
)</f>
        <v/>
      </c>
      <c r="BY233" s="113" t="str">
        <f aca="false">IF(BN233&gt;BM$7,
    "",
    VLOOKUP(BN233,BP$8:BV732,3,FALSE())
)</f>
        <v/>
      </c>
      <c r="BZ233" s="113" t="str">
        <f aca="false">IF(BN233&gt;BM$7,
    "",
    VLOOKUP(BN233,BP$8:BV732,4,FALSE())
)</f>
        <v/>
      </c>
      <c r="CA233" s="113" t="str">
        <f aca="false">IF(BN233&gt;BM$7,
    "",
    VLOOKUP(BN233,BP$8:BV732,5,FALSE())
)</f>
        <v/>
      </c>
      <c r="CB233" s="114" t="str">
        <f aca="false">IF(BN233&gt;BM$7,
    "",
    VLOOKUP(BN233,BP$8:BV732,6,FALSE())
)</f>
        <v/>
      </c>
      <c r="CC233" s="53"/>
    </row>
    <row r="234" customFormat="false" ht="15.75" hidden="false" customHeight="false" outlineLevel="0" collapsed="false">
      <c r="A234" s="5"/>
      <c r="B234" s="125"/>
      <c r="C234" s="126"/>
      <c r="D234" s="115"/>
      <c r="E234" s="119"/>
      <c r="F234" s="119"/>
      <c r="G234" s="91"/>
      <c r="H234" s="92"/>
      <c r="I234" s="92"/>
      <c r="J234" s="128"/>
      <c r="K234" s="128"/>
      <c r="L234" s="128"/>
      <c r="M234" s="94"/>
      <c r="N234" s="94"/>
      <c r="O234" s="94"/>
      <c r="P234" s="95"/>
      <c r="Q234" s="96"/>
      <c r="R234" s="128"/>
      <c r="S234" s="98"/>
      <c r="T234" s="99"/>
      <c r="U234" s="99" t="str">
        <f aca="false">IF(ISBLANK($C234),"",IF(G234=Constants!$B$2, TRUE(), IF(G234=Constants!$B$3, FALSE(), TRUE())))</f>
        <v/>
      </c>
      <c r="V234" s="99" t="str">
        <f aca="false">IF(ISBLANK($C234),"",IF(H234=Constants!$B$2, TRUE(), IF(H234=Constants!$B$3, FALSE(), TRUE())))</f>
        <v/>
      </c>
      <c r="W234" s="99" t="str">
        <f aca="false">IF(ISBLANK($C234),"",IF(I234=Constants!$B$2, TRUE(), IF(I234=Constants!$B$3, FALSE(), TRUE())))</f>
        <v/>
      </c>
      <c r="X234" s="99" t="str">
        <f aca="false">IF(ISBLANK($C234),"",IF(AND(ISNUMBER(J234),J234&gt;0),INT(J234),0))</f>
        <v/>
      </c>
      <c r="Y234" s="99" t="str">
        <f aca="false">IF(ISBLANK($C234),"",IF(K234=Constants!$B$2, TRUE(), IF(K234=Constants!$B$3, FALSE(), TRUE())))</f>
        <v/>
      </c>
      <c r="Z234" s="100" t="str">
        <f aca="false">IF(ISBLANK($C234),"",IF(AND(ISNUMBER(L234),L234&gt;0),INT(L234),0))</f>
        <v/>
      </c>
      <c r="AA234" s="101" t="str">
        <f aca="false">IF(ISBLANK($C234),"",IF(ISNUMBER(M234), M234, ""))</f>
        <v/>
      </c>
      <c r="AB234" s="101" t="str">
        <f aca="false">IF(ISBLANK($C234),"",IF(ISNUMBER(N234), N234, ""))</f>
        <v/>
      </c>
      <c r="AC234" s="101" t="str">
        <f aca="false">IF(ISBLANK($C234),"",IF(ISNUMBER(O234), O234, ""))</f>
        <v/>
      </c>
      <c r="AD234" s="102" t="str">
        <f aca="false">IF(ISBLANK($C234),"",IF(ISNUMBER(P234), P234, ""))</f>
        <v/>
      </c>
      <c r="AE234" s="102" t="str">
        <f aca="false">IF(ISBLANK($C234),"",IF(ISNUMBER(Q234), Q234, Constants!$B$13))</f>
        <v/>
      </c>
      <c r="AF234" s="99" t="str">
        <f aca="false">IF(ISBLANK($C234),"",IF(R234=Constants!$B$2, TRUE(), IF(R234=Constants!$B$3, FALSE(), FALSE())))</f>
        <v/>
      </c>
      <c r="AG234" s="99" t="str">
        <f aca="false">IF(ISBLANK(C234), "", IF(AF234, Constants!$B$4,IF(COUNTA(G234:P234)=0, Constants!$B$5, Constants!$B$7)))</f>
        <v/>
      </c>
      <c r="AH234" s="99" t="str">
        <f aca="false">IF(ISBLANK($C234), "",IF($AG234=Constants!$B$7,1,$AG234))</f>
        <v/>
      </c>
      <c r="AI234" s="99" t="str">
        <f aca="false">IF($AG234=Constants!$B$7,POWER(Constants!$B$11,X234)*POWER(Constants!$B$12,Z234),"")</f>
        <v/>
      </c>
      <c r="AJ234" s="99" t="str">
        <f aca="false">IF(AND($AG234=Constants!$B$7, U234, V234) ,IF(OR($AA234="",$AC234=""),"",MAX(0, $AC234-$AA234)),"")</f>
        <v/>
      </c>
      <c r="AK234" s="99" t="str">
        <f aca="false">IF(AND($AG234=Constants!$B$7, U234, V234),IF(OR($AA234="",$AC234=""),$AK$6,""),"")</f>
        <v/>
      </c>
      <c r="AL234" s="99" t="str">
        <f aca="false">IF($AG234=Constants!$B$7,IF(AND(U234,V234,W234,Y234),IF($AJ234="",0,IF($AJ$6=0,Constants!$B$9,Constants!$B$9*AJ234/$AJ$6)), 0),"")</f>
        <v/>
      </c>
      <c r="AM234" s="99" t="str">
        <f aca="false">IF(AL234&lt;&gt;"", AL234*AI234,"")</f>
        <v/>
      </c>
      <c r="AN234" s="99" t="str">
        <f aca="false">IF(AND($AG234=Constants!$B$7, U234, V234) ,IF($AB234="", "", IF(OR($AC234="",$AC234=0),"",MAX(0,1-ABS($AC234-$AB234)/$AC234))),"")</f>
        <v/>
      </c>
      <c r="AO234" s="99" t="str">
        <f aca="false">IF(AND($AG234=Constants!$B$7, U234, V234),IF(AND($AA234&lt;&gt;"",$AB234&lt;&gt;"",$AC234=0),$AO$6,""),"")</f>
        <v/>
      </c>
      <c r="AP234" s="99" t="str">
        <f aca="false">IF($AG234=Constants!$B$7 ,IF(AND(U234,V234,W234,Y234,ISNUMBER(AB234)),IF($AN234="",0,IF($AN$6=0,Constants!$B$10,Constants!$B$10*AN234/$AN$6)), 0),"")</f>
        <v/>
      </c>
      <c r="AQ234" s="99" t="str">
        <f aca="false">IF(AP234&lt;&gt;"", AP234*AI234,"")</f>
        <v/>
      </c>
      <c r="AR234" s="99" t="str">
        <f aca="false">IF($AG234=Constants!$B$7,IF($AD234="",0,IF($AR$6=0,Constants!$B$8,Constants!$B$8*AD234/$AR$6)),"")</f>
        <v/>
      </c>
      <c r="AS234" s="99" t="str">
        <f aca="false">IF($AG234&lt;&gt;Constants!$B$7,$AG234,IF(AK234&amp;AO234&lt;&gt;"",Constants!$B$14,AM234+AQ234+AR234))</f>
        <v/>
      </c>
      <c r="AT234" s="99" t="str">
        <f aca="false">IF(ISBLANK($C234),"",IF($AG234=Constants!$B$7,IF(ISNUMBER(AS234),RANK(AS234,$AS$8:$AS$507),Constants!$B$14),$AG234))</f>
        <v/>
      </c>
      <c r="AU234" s="99" t="str">
        <f aca="false">IF(ISBLANK($C234), "",AM234)</f>
        <v/>
      </c>
      <c r="AV234" s="99" t="str">
        <f aca="false">IF(ISBLANK($C234),"",IF($AG234=Constants!$B$7,RANK(AU234,AU$8:AU$507),$AG234))</f>
        <v/>
      </c>
      <c r="AW234" s="99" t="str">
        <f aca="false">IF(ISBLANK($C234), "",AR234)</f>
        <v/>
      </c>
      <c r="AX234" s="99" t="str">
        <f aca="false">IF(ISBLANK($C234),"",IF($AG234=Constants!$B$7,RANK(AW234,AW$8:AW$507),$AG234))</f>
        <v/>
      </c>
      <c r="AY234" s="99" t="str">
        <f aca="false">IF(ISBLANK($C234), "",AE234)</f>
        <v/>
      </c>
      <c r="AZ234" s="99" t="str">
        <f aca="false">IF(ISBLANK($C234),"",
IF($AG234=Constants!$B$7,
  IF(ISNUMBER(AT234),
    COUNTIFS($AT$8:$AT$507,"&lt;"&amp;$AT234)
    + COUNTIFS($AT$8:$AT$507,$AT234,$AV$8:$AV$507,"&lt;"&amp;$AV234)
    + COUNTIFS($AT$8:$AT$507,$AT234,$AV$8:$AV$507,$AV234,$AX$8:$AX$507,"&lt;"&amp;$AX234)
    + COUNTIFS($AT$8:$AT$507,$AT234,$AV$8:$AV$507,$AV234,$AX$8:$AX$507,$AX234,$AY$8:$AY$507,"&lt;"&amp;$AY234)
    + 1,
  Constants!$B$14),
$AG234))</f>
        <v/>
      </c>
      <c r="BA234" s="99" t="str">
        <f aca="false">IF(ISBLANK(C234),"",IF($AG234=Constants!$B$7, IF(ISNUMBER(AT234),AT234-AZ234,Constants!$B$14),$AG234))</f>
        <v/>
      </c>
      <c r="BB234" s="103"/>
      <c r="BC234" s="104" t="str">
        <f aca="false">IF(ISBLANK($C234),"",TRIM(AK234&amp;" "&amp;AO234))</f>
        <v/>
      </c>
      <c r="BD234" s="105" t="str">
        <f aca="false">IF(ISBLANK($C234),"",IF($AG234&lt;&gt;Constants!$B$7,$AG234,AR234))</f>
        <v/>
      </c>
      <c r="BE234" s="105" t="str">
        <f aca="false">IF(ISBLANK($C234),"",IF($AG234&lt;&gt;Constants!$B$7,$AG234,AM234))</f>
        <v/>
      </c>
      <c r="BF234" s="105" t="str">
        <f aca="false">IF(ISBLANK($C234),"",IF($AG234&lt;&gt;Constants!$B$7,$AG234,AQ234))</f>
        <v/>
      </c>
      <c r="BG234" s="106" t="str">
        <f aca="false">IF(ISBLANK($C234),"",IF($AG234&lt;&gt;Constants!$B$7, $AG234 ,AS234))</f>
        <v/>
      </c>
      <c r="BH234" s="107" t="str">
        <f aca="false">IF(ISBLANK($C234),"",IF($AG234&lt;&gt;Constants!$B$7, $AG234 ,AH234))</f>
        <v/>
      </c>
      <c r="BI234" s="105" t="str">
        <f aca="false">IF(ISBLANK(C234),"",BA234)</f>
        <v/>
      </c>
      <c r="BJ234" s="105" t="str">
        <f aca="false">IF(ISBLANK(C234),"",AZ234)</f>
        <v/>
      </c>
      <c r="BK234" s="108" t="str">
        <f aca="false">IF(ISBLANK(C234),"",IFERROR(_xlfn.SWITCH(BJ234, Constants!$B$4, COUNTA($C$8:$C733)+2, Constants!$B$5, COUNTA($C$8:$C733)+1, Constants!$B$6, COUNTA($C$8:$C733)),BJ234))</f>
        <v/>
      </c>
      <c r="BL234" s="5"/>
      <c r="BM234" s="109" t="n">
        <f aca="false">IF(OR(ISNUMBER(BJ234),BJ234="DQ",BJ234="P",BJ234="NS"),
    1,
    0
)</f>
        <v>0</v>
      </c>
      <c r="BN234" s="109" t="n">
        <v>227</v>
      </c>
      <c r="BO234" s="109" t="str">
        <f aca="false">IF(ISBLANK($C234),"",IF(ISNUMBER(BK234),BK234+ROW($B234)/1000,""))</f>
        <v/>
      </c>
      <c r="BP234" s="109" t="str">
        <f aca="false">IF(ISNUMBER(BO234), RANK(BO234,BO$8:BO$507,1), "")</f>
        <v/>
      </c>
      <c r="BQ234" s="109" t="str">
        <f aca="false">IF(ISBLANK($C234),
    "",
    $B234
)</f>
        <v/>
      </c>
      <c r="BR234" s="109" t="str">
        <f aca="false">IF(ISBLANK($C234),
    "",
    $C234
)</f>
        <v/>
      </c>
      <c r="BS234" s="109" t="str">
        <f aca="false">IF(ISBLANK($C234),
    "",
    $D234
)</f>
        <v/>
      </c>
      <c r="BT234" s="110" t="str">
        <f aca="false">BH234</f>
        <v/>
      </c>
      <c r="BU234" s="111" t="str">
        <f aca="false">BG234</f>
        <v/>
      </c>
      <c r="BV234" s="109" t="str">
        <f aca="false">IF(ISBLANK($C234),
    "",
    BJ234
)</f>
        <v/>
      </c>
      <c r="BW234" s="112" t="str">
        <f aca="false">IF(BN234&gt;BM$7,
    "",
    VLOOKUP(BN234,BP$8:BV733,7,FALSE())
)</f>
        <v/>
      </c>
      <c r="BX234" s="113" t="str">
        <f aca="false">IF(BN234&gt;BM$7,
    "",
    VLOOKUP(BN234,BP$8:BV733,2,FALSE())
)</f>
        <v/>
      </c>
      <c r="BY234" s="113" t="str">
        <f aca="false">IF(BN234&gt;BM$7,
    "",
    VLOOKUP(BN234,BP$8:BV733,3,FALSE())
)</f>
        <v/>
      </c>
      <c r="BZ234" s="113" t="str">
        <f aca="false">IF(BN234&gt;BM$7,
    "",
    VLOOKUP(BN234,BP$8:BV733,4,FALSE())
)</f>
        <v/>
      </c>
      <c r="CA234" s="113" t="str">
        <f aca="false">IF(BN234&gt;BM$7,
    "",
    VLOOKUP(BN234,BP$8:BV733,5,FALSE())
)</f>
        <v/>
      </c>
      <c r="CB234" s="114" t="str">
        <f aca="false">IF(BN234&gt;BM$7,
    "",
    VLOOKUP(BN234,BP$8:BV733,6,FALSE())
)</f>
        <v/>
      </c>
      <c r="CC234" s="53"/>
    </row>
    <row r="235" customFormat="false" ht="15.75" hidden="false" customHeight="false" outlineLevel="0" collapsed="false">
      <c r="A235" s="5"/>
      <c r="B235" s="125"/>
      <c r="C235" s="126"/>
      <c r="D235" s="115"/>
      <c r="E235" s="119"/>
      <c r="F235" s="119"/>
      <c r="G235" s="91"/>
      <c r="H235" s="92"/>
      <c r="I235" s="92"/>
      <c r="J235" s="128"/>
      <c r="K235" s="128"/>
      <c r="L235" s="128"/>
      <c r="M235" s="94"/>
      <c r="N235" s="94"/>
      <c r="O235" s="94"/>
      <c r="P235" s="95"/>
      <c r="Q235" s="96"/>
      <c r="R235" s="128"/>
      <c r="S235" s="98"/>
      <c r="T235" s="99"/>
      <c r="U235" s="99" t="str">
        <f aca="false">IF(ISBLANK($C235),"",IF(G235=Constants!$B$2, TRUE(), IF(G235=Constants!$B$3, FALSE(), TRUE())))</f>
        <v/>
      </c>
      <c r="V235" s="99" t="str">
        <f aca="false">IF(ISBLANK($C235),"",IF(H235=Constants!$B$2, TRUE(), IF(H235=Constants!$B$3, FALSE(), TRUE())))</f>
        <v/>
      </c>
      <c r="W235" s="99" t="str">
        <f aca="false">IF(ISBLANK($C235),"",IF(I235=Constants!$B$2, TRUE(), IF(I235=Constants!$B$3, FALSE(), TRUE())))</f>
        <v/>
      </c>
      <c r="X235" s="99" t="str">
        <f aca="false">IF(ISBLANK($C235),"",IF(AND(ISNUMBER(J235),J235&gt;0),INT(J235),0))</f>
        <v/>
      </c>
      <c r="Y235" s="99" t="str">
        <f aca="false">IF(ISBLANK($C235),"",IF(K235=Constants!$B$2, TRUE(), IF(K235=Constants!$B$3, FALSE(), TRUE())))</f>
        <v/>
      </c>
      <c r="Z235" s="100" t="str">
        <f aca="false">IF(ISBLANK($C235),"",IF(AND(ISNUMBER(L235),L235&gt;0),INT(L235),0))</f>
        <v/>
      </c>
      <c r="AA235" s="101" t="str">
        <f aca="false">IF(ISBLANK($C235),"",IF(ISNUMBER(M235), M235, ""))</f>
        <v/>
      </c>
      <c r="AB235" s="101" t="str">
        <f aca="false">IF(ISBLANK($C235),"",IF(ISNUMBER(N235), N235, ""))</f>
        <v/>
      </c>
      <c r="AC235" s="101" t="str">
        <f aca="false">IF(ISBLANK($C235),"",IF(ISNUMBER(O235), O235, ""))</f>
        <v/>
      </c>
      <c r="AD235" s="102" t="str">
        <f aca="false">IF(ISBLANK($C235),"",IF(ISNUMBER(P235), P235, ""))</f>
        <v/>
      </c>
      <c r="AE235" s="102" t="str">
        <f aca="false">IF(ISBLANK($C235),"",IF(ISNUMBER(Q235), Q235, Constants!$B$13))</f>
        <v/>
      </c>
      <c r="AF235" s="99" t="str">
        <f aca="false">IF(ISBLANK($C235),"",IF(R235=Constants!$B$2, TRUE(), IF(R235=Constants!$B$3, FALSE(), FALSE())))</f>
        <v/>
      </c>
      <c r="AG235" s="99" t="str">
        <f aca="false">IF(ISBLANK(C235), "", IF(AF235, Constants!$B$4,IF(COUNTA(G235:P235)=0, Constants!$B$5, Constants!$B$7)))</f>
        <v/>
      </c>
      <c r="AH235" s="99" t="str">
        <f aca="false">IF(ISBLANK($C235), "",IF($AG235=Constants!$B$7,1,$AG235))</f>
        <v/>
      </c>
      <c r="AI235" s="99" t="str">
        <f aca="false">IF($AG235=Constants!$B$7,POWER(Constants!$B$11,X235)*POWER(Constants!$B$12,Z235),"")</f>
        <v/>
      </c>
      <c r="AJ235" s="99" t="str">
        <f aca="false">IF(AND($AG235=Constants!$B$7, U235, V235) ,IF(OR($AA235="",$AC235=""),"",MAX(0, $AC235-$AA235)),"")</f>
        <v/>
      </c>
      <c r="AK235" s="99" t="str">
        <f aca="false">IF(AND($AG235=Constants!$B$7, U235, V235),IF(OR($AA235="",$AC235=""),$AK$6,""),"")</f>
        <v/>
      </c>
      <c r="AL235" s="99" t="str">
        <f aca="false">IF($AG235=Constants!$B$7,IF(AND(U235,V235,W235,Y235),IF($AJ235="",0,IF($AJ$6=0,Constants!$B$9,Constants!$B$9*AJ235/$AJ$6)), 0),"")</f>
        <v/>
      </c>
      <c r="AM235" s="99" t="str">
        <f aca="false">IF(AL235&lt;&gt;"", AL235*AI235,"")</f>
        <v/>
      </c>
      <c r="AN235" s="99" t="str">
        <f aca="false">IF(AND($AG235=Constants!$B$7, U235, V235) ,IF($AB235="", "", IF(OR($AC235="",$AC235=0),"",MAX(0,1-ABS($AC235-$AB235)/$AC235))),"")</f>
        <v/>
      </c>
      <c r="AO235" s="99" t="str">
        <f aca="false">IF(AND($AG235=Constants!$B$7, U235, V235),IF(AND($AA235&lt;&gt;"",$AB235&lt;&gt;"",$AC235=0),$AO$6,""),"")</f>
        <v/>
      </c>
      <c r="AP235" s="99" t="str">
        <f aca="false">IF($AG235=Constants!$B$7 ,IF(AND(U235,V235,W235,Y235,ISNUMBER(AB235)),IF($AN235="",0,IF($AN$6=0,Constants!$B$10,Constants!$B$10*AN235/$AN$6)), 0),"")</f>
        <v/>
      </c>
      <c r="AQ235" s="99" t="str">
        <f aca="false">IF(AP235&lt;&gt;"", AP235*AI235,"")</f>
        <v/>
      </c>
      <c r="AR235" s="99" t="str">
        <f aca="false">IF($AG235=Constants!$B$7,IF($AD235="",0,IF($AR$6=0,Constants!$B$8,Constants!$B$8*AD235/$AR$6)),"")</f>
        <v/>
      </c>
      <c r="AS235" s="99" t="str">
        <f aca="false">IF($AG235&lt;&gt;Constants!$B$7,$AG235,IF(AK235&amp;AO235&lt;&gt;"",Constants!$B$14,AM235+AQ235+AR235))</f>
        <v/>
      </c>
      <c r="AT235" s="99" t="str">
        <f aca="false">IF(ISBLANK($C235),"",IF($AG235=Constants!$B$7,IF(ISNUMBER(AS235),RANK(AS235,$AS$8:$AS$507),Constants!$B$14),$AG235))</f>
        <v/>
      </c>
      <c r="AU235" s="99" t="str">
        <f aca="false">IF(ISBLANK($C235), "",AM235)</f>
        <v/>
      </c>
      <c r="AV235" s="99" t="str">
        <f aca="false">IF(ISBLANK($C235),"",IF($AG235=Constants!$B$7,RANK(AU235,AU$8:AU$507),$AG235))</f>
        <v/>
      </c>
      <c r="AW235" s="99" t="str">
        <f aca="false">IF(ISBLANK($C235), "",AR235)</f>
        <v/>
      </c>
      <c r="AX235" s="99" t="str">
        <f aca="false">IF(ISBLANK($C235),"",IF($AG235=Constants!$B$7,RANK(AW235,AW$8:AW$507),$AG235))</f>
        <v/>
      </c>
      <c r="AY235" s="99" t="str">
        <f aca="false">IF(ISBLANK($C235), "",AE235)</f>
        <v/>
      </c>
      <c r="AZ235" s="99" t="str">
        <f aca="false">IF(ISBLANK($C235),"",
IF($AG235=Constants!$B$7,
  IF(ISNUMBER(AT235),
    COUNTIFS($AT$8:$AT$507,"&lt;"&amp;$AT235)
    + COUNTIFS($AT$8:$AT$507,$AT235,$AV$8:$AV$507,"&lt;"&amp;$AV235)
    + COUNTIFS($AT$8:$AT$507,$AT235,$AV$8:$AV$507,$AV235,$AX$8:$AX$507,"&lt;"&amp;$AX235)
    + COUNTIFS($AT$8:$AT$507,$AT235,$AV$8:$AV$507,$AV235,$AX$8:$AX$507,$AX235,$AY$8:$AY$507,"&lt;"&amp;$AY235)
    + 1,
  Constants!$B$14),
$AG235))</f>
        <v/>
      </c>
      <c r="BA235" s="99" t="str">
        <f aca="false">IF(ISBLANK(C235),"",IF($AG235=Constants!$B$7, IF(ISNUMBER(AT235),AT235-AZ235,Constants!$B$14),$AG235))</f>
        <v/>
      </c>
      <c r="BB235" s="103"/>
      <c r="BC235" s="104" t="str">
        <f aca="false">IF(ISBLANK($C235),"",TRIM(AK235&amp;" "&amp;AO235))</f>
        <v/>
      </c>
      <c r="BD235" s="105" t="str">
        <f aca="false">IF(ISBLANK($C235),"",IF($AG235&lt;&gt;Constants!$B$7,$AG235,AR235))</f>
        <v/>
      </c>
      <c r="BE235" s="105" t="str">
        <f aca="false">IF(ISBLANK($C235),"",IF($AG235&lt;&gt;Constants!$B$7,$AG235,AM235))</f>
        <v/>
      </c>
      <c r="BF235" s="105" t="str">
        <f aca="false">IF(ISBLANK($C235),"",IF($AG235&lt;&gt;Constants!$B$7,$AG235,AQ235))</f>
        <v/>
      </c>
      <c r="BG235" s="106" t="str">
        <f aca="false">IF(ISBLANK($C235),"",IF($AG235&lt;&gt;Constants!$B$7, $AG235 ,AS235))</f>
        <v/>
      </c>
      <c r="BH235" s="107" t="str">
        <f aca="false">IF(ISBLANK($C235),"",IF($AG235&lt;&gt;Constants!$B$7, $AG235 ,AH235))</f>
        <v/>
      </c>
      <c r="BI235" s="105" t="str">
        <f aca="false">IF(ISBLANK(C235),"",BA235)</f>
        <v/>
      </c>
      <c r="BJ235" s="105" t="str">
        <f aca="false">IF(ISBLANK(C235),"",AZ235)</f>
        <v/>
      </c>
      <c r="BK235" s="108" t="str">
        <f aca="false">IF(ISBLANK(C235),"",IFERROR(_xlfn.SWITCH(BJ235, Constants!$B$4, COUNTA($C$8:$C734)+2, Constants!$B$5, COUNTA($C$8:$C734)+1, Constants!$B$6, COUNTA($C$8:$C734)),BJ235))</f>
        <v/>
      </c>
      <c r="BL235" s="5"/>
      <c r="BM235" s="109" t="n">
        <f aca="false">IF(OR(ISNUMBER(BJ235),BJ235="DQ",BJ235="P",BJ235="NS"),
    1,
    0
)</f>
        <v>0</v>
      </c>
      <c r="BN235" s="109" t="n">
        <v>228</v>
      </c>
      <c r="BO235" s="109" t="str">
        <f aca="false">IF(ISBLANK($C235),"",IF(ISNUMBER(BK235),BK235+ROW($B235)/1000,""))</f>
        <v/>
      </c>
      <c r="BP235" s="109" t="str">
        <f aca="false">IF(ISNUMBER(BO235), RANK(BO235,BO$8:BO$507,1), "")</f>
        <v/>
      </c>
      <c r="BQ235" s="109" t="str">
        <f aca="false">IF(ISBLANK($C235),
    "",
    $B235
)</f>
        <v/>
      </c>
      <c r="BR235" s="109" t="str">
        <f aca="false">IF(ISBLANK($C235),
    "",
    $C235
)</f>
        <v/>
      </c>
      <c r="BS235" s="109" t="str">
        <f aca="false">IF(ISBLANK($C235),
    "",
    $D235
)</f>
        <v/>
      </c>
      <c r="BT235" s="110" t="str">
        <f aca="false">BH235</f>
        <v/>
      </c>
      <c r="BU235" s="111" t="str">
        <f aca="false">BG235</f>
        <v/>
      </c>
      <c r="BV235" s="109" t="str">
        <f aca="false">IF(ISBLANK($C235),
    "",
    BJ235
)</f>
        <v/>
      </c>
      <c r="BW235" s="112" t="str">
        <f aca="false">IF(BN235&gt;BM$7,
    "",
    VLOOKUP(BN235,BP$8:BV734,7,FALSE())
)</f>
        <v/>
      </c>
      <c r="BX235" s="113" t="str">
        <f aca="false">IF(BN235&gt;BM$7,
    "",
    VLOOKUP(BN235,BP$8:BV734,2,FALSE())
)</f>
        <v/>
      </c>
      <c r="BY235" s="113" t="str">
        <f aca="false">IF(BN235&gt;BM$7,
    "",
    VLOOKUP(BN235,BP$8:BV734,3,FALSE())
)</f>
        <v/>
      </c>
      <c r="BZ235" s="113" t="str">
        <f aca="false">IF(BN235&gt;BM$7,
    "",
    VLOOKUP(BN235,BP$8:BV734,4,FALSE())
)</f>
        <v/>
      </c>
      <c r="CA235" s="113" t="str">
        <f aca="false">IF(BN235&gt;BM$7,
    "",
    VLOOKUP(BN235,BP$8:BV734,5,FALSE())
)</f>
        <v/>
      </c>
      <c r="CB235" s="114" t="str">
        <f aca="false">IF(BN235&gt;BM$7,
    "",
    VLOOKUP(BN235,BP$8:BV734,6,FALSE())
)</f>
        <v/>
      </c>
      <c r="CC235" s="53"/>
    </row>
    <row r="236" customFormat="false" ht="15.75" hidden="false" customHeight="false" outlineLevel="0" collapsed="false">
      <c r="A236" s="5"/>
      <c r="B236" s="129"/>
      <c r="C236" s="55"/>
      <c r="D236" s="56"/>
      <c r="E236" s="123"/>
      <c r="F236" s="123"/>
      <c r="G236" s="58"/>
      <c r="H236" s="59"/>
      <c r="I236" s="59"/>
      <c r="J236" s="83"/>
      <c r="K236" s="83"/>
      <c r="L236" s="83"/>
      <c r="M236" s="61"/>
      <c r="N236" s="61"/>
      <c r="O236" s="61"/>
      <c r="P236" s="62"/>
      <c r="Q236" s="63"/>
      <c r="R236" s="83"/>
      <c r="S236" s="65"/>
      <c r="T236" s="66"/>
      <c r="U236" s="66" t="str">
        <f aca="false">IF(ISBLANK($C236),"",IF(G236=Constants!$B$2, TRUE(), IF(G236=Constants!$B$3, FALSE(), TRUE())))</f>
        <v/>
      </c>
      <c r="V236" s="66" t="str">
        <f aca="false">IF(ISBLANK($C236),"",IF(H236=Constants!$B$2, TRUE(), IF(H236=Constants!$B$3, FALSE(), TRUE())))</f>
        <v/>
      </c>
      <c r="W236" s="66" t="str">
        <f aca="false">IF(ISBLANK($C236),"",IF(I236=Constants!$B$2, TRUE(), IF(I236=Constants!$B$3, FALSE(), TRUE())))</f>
        <v/>
      </c>
      <c r="X236" s="66" t="str">
        <f aca="false">IF(ISBLANK($C236),"",IF(AND(ISNUMBER(J236),J236&gt;0),INT(J236),0))</f>
        <v/>
      </c>
      <c r="Y236" s="66" t="str">
        <f aca="false">IF(ISBLANK($C236),"",IF(K236=Constants!$B$2, TRUE(), IF(K236=Constants!$B$3, FALSE(), TRUE())))</f>
        <v/>
      </c>
      <c r="Z236" s="66" t="str">
        <f aca="false">IF(ISBLANK($C236),"",IF(AND(ISNUMBER(L236),L236&gt;0),INT(L236),0))</f>
        <v/>
      </c>
      <c r="AA236" s="68" t="str">
        <f aca="false">IF(ISBLANK($C236),"",IF(ISNUMBER(M236), M236, ""))</f>
        <v/>
      </c>
      <c r="AB236" s="68" t="str">
        <f aca="false">IF(ISBLANK($C236),"",IF(ISNUMBER(N236), N236, ""))</f>
        <v/>
      </c>
      <c r="AC236" s="68" t="str">
        <f aca="false">IF(ISBLANK($C236),"",IF(ISNUMBER(O236), O236, ""))</f>
        <v/>
      </c>
      <c r="AD236" s="69" t="str">
        <f aca="false">IF(ISBLANK($C236),"",IF(ISNUMBER(P236), P236, ""))</f>
        <v/>
      </c>
      <c r="AE236" s="69" t="str">
        <f aca="false">IF(ISBLANK($C236),"",IF(ISNUMBER(Q236), Q236, Constants!$B$13))</f>
        <v/>
      </c>
      <c r="AF236" s="66" t="str">
        <f aca="false">IF(ISBLANK($C236),"",IF(R236=Constants!$B$2, TRUE(), IF(R236=Constants!$B$3, FALSE(), FALSE())))</f>
        <v/>
      </c>
      <c r="AG236" s="66" t="str">
        <f aca="false">IF(ISBLANK(C236), "", IF(AF236, Constants!$B$4,IF(COUNTA(G236:P236)=0, Constants!$B$5, Constants!$B$7)))</f>
        <v/>
      </c>
      <c r="AH236" s="66" t="str">
        <f aca="false">IF(ISBLANK($C236), "",IF($AG236=Constants!$B$7,1,$AG236))</f>
        <v/>
      </c>
      <c r="AI236" s="66" t="str">
        <f aca="false">IF($AG236=Constants!$B$7,POWER(Constants!$B$11,X236)*POWER(Constants!$B$12,Z236),"")</f>
        <v/>
      </c>
      <c r="AJ236" s="66" t="str">
        <f aca="false">IF(AND($AG236=Constants!$B$7, U236, V236) ,IF(OR($AA236="",$AC236=""),"",MAX(0, $AC236-$AA236)),"")</f>
        <v/>
      </c>
      <c r="AK236" s="66" t="str">
        <f aca="false">IF(AND($AG236=Constants!$B$7, U236, V236),IF(OR($AA236="",$AC236=""),$AK$6,""),"")</f>
        <v/>
      </c>
      <c r="AL236" s="66" t="str">
        <f aca="false">IF($AG236=Constants!$B$7,IF(AND(U236,V236,W236,Y236),IF($AJ236="",0,IF($AJ$6=0,Constants!$B$9,Constants!$B$9*AJ236/$AJ$6)), 0),"")</f>
        <v/>
      </c>
      <c r="AM236" s="66" t="str">
        <f aca="false">IF(AL236&lt;&gt;"", AL236*AI236,"")</f>
        <v/>
      </c>
      <c r="AN236" s="66" t="str">
        <f aca="false">IF(AND($AG236=Constants!$B$7, U236, V236) ,IF($AB236="", "", IF(OR($AC236="",$AC236=0),"",MAX(0,1-ABS($AC236-$AB236)/$AC236))),"")</f>
        <v/>
      </c>
      <c r="AO236" s="66" t="str">
        <f aca="false">IF(AND($AG236=Constants!$B$7, U236, V236),IF(AND($AA236&lt;&gt;"",$AB236&lt;&gt;"",$AC236=0),$AO$6,""),"")</f>
        <v/>
      </c>
      <c r="AP236" s="66" t="str">
        <f aca="false">IF($AG236=Constants!$B$7 ,IF(AND(U236,V236,W236,Y236,ISNUMBER(AB236)),IF($AN236="",0,IF($AN$6=0,Constants!$B$10,Constants!$B$10*AN236/$AN$6)), 0),"")</f>
        <v/>
      </c>
      <c r="AQ236" s="66" t="str">
        <f aca="false">IF(AP236&lt;&gt;"", AP236*AI236,"")</f>
        <v/>
      </c>
      <c r="AR236" s="66" t="str">
        <f aca="false">IF($AG236=Constants!$B$7,IF($AD236="",0,IF($AR$6=0,Constants!$B$8,Constants!$B$8*AD236/$AR$6)),"")</f>
        <v/>
      </c>
      <c r="AS236" s="66" t="str">
        <f aca="false">IF($AG236&lt;&gt;Constants!$B$7,$AG236,IF(AK236&amp;AO236&lt;&gt;"",Constants!$B$14,AM236+AQ236+AR236))</f>
        <v/>
      </c>
      <c r="AT236" s="66" t="str">
        <f aca="false">IF(ISBLANK($C236),"",IF($AG236=Constants!$B$7,IF(ISNUMBER(AS236),RANK(AS236,$AS$8:$AS$507),Constants!$B$14),$AG236))</f>
        <v/>
      </c>
      <c r="AU236" s="66" t="str">
        <f aca="false">IF(ISBLANK($C236), "",AM236)</f>
        <v/>
      </c>
      <c r="AV236" s="66" t="str">
        <f aca="false">IF(ISBLANK($C236),"",IF($AG236=Constants!$B$7,RANK(AU236,AU$8:AU$507),$AG236))</f>
        <v/>
      </c>
      <c r="AW236" s="66" t="str">
        <f aca="false">IF(ISBLANK($C236), "",AR236)</f>
        <v/>
      </c>
      <c r="AX236" s="66" t="str">
        <f aca="false">IF(ISBLANK($C236),"",IF($AG236=Constants!$B$7,RANK(AW236,AW$8:AW$507),$AG236))</f>
        <v/>
      </c>
      <c r="AY236" s="66" t="str">
        <f aca="false">IF(ISBLANK($C236), "",AE236)</f>
        <v/>
      </c>
      <c r="AZ236" s="66" t="str">
        <f aca="false">IF(ISBLANK($C236),"",
IF($AG236=Constants!$B$7,
  IF(ISNUMBER(AT236),
    COUNTIFS($AT$8:$AT$507,"&lt;"&amp;$AT236)
    + COUNTIFS($AT$8:$AT$507,$AT236,$AV$8:$AV$507,"&lt;"&amp;$AV236)
    + COUNTIFS($AT$8:$AT$507,$AT236,$AV$8:$AV$507,$AV236,$AX$8:$AX$507,"&lt;"&amp;$AX236)
    + COUNTIFS($AT$8:$AT$507,$AT236,$AV$8:$AV$507,$AV236,$AX$8:$AX$507,$AX236,$AY$8:$AY$507,"&lt;"&amp;$AY236)
    + 1,
  Constants!$B$14),
$AG236))</f>
        <v/>
      </c>
      <c r="BA236" s="66" t="str">
        <f aca="false">IF(ISBLANK(C236),"",IF($AG236=Constants!$B$7, IF(ISNUMBER(AT236),AT236-AZ236,Constants!$B$14),$AG236))</f>
        <v/>
      </c>
      <c r="BB236" s="70"/>
      <c r="BC236" s="84" t="str">
        <f aca="false">IF(ISBLANK($C236),"",TRIM(AK236&amp;" "&amp;AO236))</f>
        <v/>
      </c>
      <c r="BD236" s="72" t="str">
        <f aca="false">IF(ISBLANK($C236),"",IF($AG236&lt;&gt;Constants!$B$7,$AG236,AR236))</f>
        <v/>
      </c>
      <c r="BE236" s="72" t="str">
        <f aca="false">IF(ISBLANK($C236),"",IF($AG236&lt;&gt;Constants!$B$7,$AG236,AM236))</f>
        <v/>
      </c>
      <c r="BF236" s="72" t="str">
        <f aca="false">IF(ISBLANK($C236),"",IF($AG236&lt;&gt;Constants!$B$7,$AG236,AQ236))</f>
        <v/>
      </c>
      <c r="BG236" s="73" t="str">
        <f aca="false">IF(ISBLANK($C236),"",IF($AG236&lt;&gt;Constants!$B$7, $AG236 ,AS236))</f>
        <v/>
      </c>
      <c r="BH236" s="74" t="str">
        <f aca="false">IF(ISBLANK($C236),"",IF($AG236&lt;&gt;Constants!$B$7, $AG236 ,AH236))</f>
        <v/>
      </c>
      <c r="BI236" s="72" t="str">
        <f aca="false">IF(ISBLANK(C236),"",BA236)</f>
        <v/>
      </c>
      <c r="BJ236" s="72" t="str">
        <f aca="false">IF(ISBLANK(C236),"",AZ236)</f>
        <v/>
      </c>
      <c r="BK236" s="75" t="str">
        <f aca="false">IF(ISBLANK(C236),"",IFERROR(_xlfn.SWITCH(BJ236, Constants!$B$4, COUNTA($C$8:$C735)+2, Constants!$B$5, COUNTA($C$8:$C735)+1, Constants!$B$6, COUNTA($C$8:$C735)),BJ236))</f>
        <v/>
      </c>
      <c r="BL236" s="5"/>
      <c r="BM236" s="76" t="n">
        <f aca="false">IF(OR(ISNUMBER(BJ236),BJ236="DQ",BJ236="P",BJ236="NS"),
    1,
    0
)</f>
        <v>0</v>
      </c>
      <c r="BN236" s="76" t="n">
        <v>229</v>
      </c>
      <c r="BO236" s="76" t="str">
        <f aca="false">IF(ISBLANK($C236),"",IF(ISNUMBER(BK236),BK236+ROW($B236)/1000,""))</f>
        <v/>
      </c>
      <c r="BP236" s="76" t="str">
        <f aca="false">IF(ISNUMBER(BO236), RANK(BO236,BO$8:BO$507,1), "")</f>
        <v/>
      </c>
      <c r="BQ236" s="76" t="str">
        <f aca="false">IF(ISBLANK($C236),
    "",
    $B236
)</f>
        <v/>
      </c>
      <c r="BR236" s="76" t="str">
        <f aca="false">IF(ISBLANK($C236),
    "",
    $C236
)</f>
        <v/>
      </c>
      <c r="BS236" s="76" t="str">
        <f aca="false">IF(ISBLANK($C236),
    "",
    $D236
)</f>
        <v/>
      </c>
      <c r="BT236" s="77" t="str">
        <f aca="false">BH236</f>
        <v/>
      </c>
      <c r="BU236" s="78" t="str">
        <f aca="false">BG236</f>
        <v/>
      </c>
      <c r="BV236" s="76" t="str">
        <f aca="false">IF(ISBLANK($C236),
    "",
    BJ236
)</f>
        <v/>
      </c>
      <c r="BW236" s="79" t="str">
        <f aca="false">IF(BN236&gt;BM$7,
    "",
    VLOOKUP(BN236,BP$8:BV735,7,FALSE())
)</f>
        <v/>
      </c>
      <c r="BX236" s="80" t="str">
        <f aca="false">IF(BN236&gt;BM$7,
    "",
    VLOOKUP(BN236,BP$8:BV735,2,FALSE())
)</f>
        <v/>
      </c>
      <c r="BY236" s="80" t="str">
        <f aca="false">IF(BN236&gt;BM$7,
    "",
    VLOOKUP(BN236,BP$8:BV735,3,FALSE())
)</f>
        <v/>
      </c>
      <c r="BZ236" s="80" t="str">
        <f aca="false">IF(BN236&gt;BM$7,
    "",
    VLOOKUP(BN236,BP$8:BV735,4,FALSE())
)</f>
        <v/>
      </c>
      <c r="CA236" s="80" t="str">
        <f aca="false">IF(BN236&gt;BM$7,
    "",
    VLOOKUP(BN236,BP$8:BV735,5,FALSE())
)</f>
        <v/>
      </c>
      <c r="CB236" s="81" t="str">
        <f aca="false">IF(BN236&gt;BM$7,
    "",
    VLOOKUP(BN236,BP$8:BV735,6,FALSE())
)</f>
        <v/>
      </c>
      <c r="CC236" s="53"/>
    </row>
    <row r="237" customFormat="false" ht="15.75" hidden="false" customHeight="false" outlineLevel="0" collapsed="false">
      <c r="A237" s="5"/>
      <c r="B237" s="129"/>
      <c r="C237" s="55"/>
      <c r="D237" s="56"/>
      <c r="E237" s="123"/>
      <c r="F237" s="123"/>
      <c r="G237" s="58"/>
      <c r="H237" s="59"/>
      <c r="I237" s="59"/>
      <c r="J237" s="83"/>
      <c r="K237" s="83"/>
      <c r="L237" s="83"/>
      <c r="M237" s="61"/>
      <c r="N237" s="61"/>
      <c r="O237" s="61"/>
      <c r="P237" s="62"/>
      <c r="Q237" s="63"/>
      <c r="R237" s="83"/>
      <c r="S237" s="65"/>
      <c r="T237" s="66"/>
      <c r="U237" s="66" t="str">
        <f aca="false">IF(ISBLANK($C237),"",IF(G237=Constants!$B$2, TRUE(), IF(G237=Constants!$B$3, FALSE(), TRUE())))</f>
        <v/>
      </c>
      <c r="V237" s="66" t="str">
        <f aca="false">IF(ISBLANK($C237),"",IF(H237=Constants!$B$2, TRUE(), IF(H237=Constants!$B$3, FALSE(), TRUE())))</f>
        <v/>
      </c>
      <c r="W237" s="66" t="str">
        <f aca="false">IF(ISBLANK($C237),"",IF(I237=Constants!$B$2, TRUE(), IF(I237=Constants!$B$3, FALSE(), TRUE())))</f>
        <v/>
      </c>
      <c r="X237" s="66" t="str">
        <f aca="false">IF(ISBLANK($C237),"",IF(AND(ISNUMBER(J237),J237&gt;0),INT(J237),0))</f>
        <v/>
      </c>
      <c r="Y237" s="66" t="str">
        <f aca="false">IF(ISBLANK($C237),"",IF(K237=Constants!$B$2, TRUE(), IF(K237=Constants!$B$3, FALSE(), TRUE())))</f>
        <v/>
      </c>
      <c r="Z237" s="66" t="str">
        <f aca="false">IF(ISBLANK($C237),"",IF(AND(ISNUMBER(L237),L237&gt;0),INT(L237),0))</f>
        <v/>
      </c>
      <c r="AA237" s="68" t="str">
        <f aca="false">IF(ISBLANK($C237),"",IF(ISNUMBER(M237), M237, ""))</f>
        <v/>
      </c>
      <c r="AB237" s="68" t="str">
        <f aca="false">IF(ISBLANK($C237),"",IF(ISNUMBER(N237), N237, ""))</f>
        <v/>
      </c>
      <c r="AC237" s="68" t="str">
        <f aca="false">IF(ISBLANK($C237),"",IF(ISNUMBER(O237), O237, ""))</f>
        <v/>
      </c>
      <c r="AD237" s="69" t="str">
        <f aca="false">IF(ISBLANK($C237),"",IF(ISNUMBER(P237), P237, ""))</f>
        <v/>
      </c>
      <c r="AE237" s="69" t="str">
        <f aca="false">IF(ISBLANK($C237),"",IF(ISNUMBER(Q237), Q237, Constants!$B$13))</f>
        <v/>
      </c>
      <c r="AF237" s="66" t="str">
        <f aca="false">IF(ISBLANK($C237),"",IF(R237=Constants!$B$2, TRUE(), IF(R237=Constants!$B$3, FALSE(), FALSE())))</f>
        <v/>
      </c>
      <c r="AG237" s="66" t="str">
        <f aca="false">IF(ISBLANK(C237), "", IF(AF237, Constants!$B$4,IF(COUNTA(G237:P237)=0, Constants!$B$5, Constants!$B$7)))</f>
        <v/>
      </c>
      <c r="AH237" s="66" t="str">
        <f aca="false">IF(ISBLANK($C237), "",IF($AG237=Constants!$B$7,1,$AG237))</f>
        <v/>
      </c>
      <c r="AI237" s="66" t="str">
        <f aca="false">IF($AG237=Constants!$B$7,POWER(Constants!$B$11,X237)*POWER(Constants!$B$12,Z237),"")</f>
        <v/>
      </c>
      <c r="AJ237" s="66" t="str">
        <f aca="false">IF(AND($AG237=Constants!$B$7, U237, V237) ,IF(OR($AA237="",$AC237=""),"",MAX(0, $AC237-$AA237)),"")</f>
        <v/>
      </c>
      <c r="AK237" s="66" t="str">
        <f aca="false">IF(AND($AG237=Constants!$B$7, U237, V237),IF(OR($AA237="",$AC237=""),$AK$6,""),"")</f>
        <v/>
      </c>
      <c r="AL237" s="66" t="str">
        <f aca="false">IF($AG237=Constants!$B$7,IF(AND(U237,V237,W237,Y237),IF($AJ237="",0,IF($AJ$6=0,Constants!$B$9,Constants!$B$9*AJ237/$AJ$6)), 0),"")</f>
        <v/>
      </c>
      <c r="AM237" s="66" t="str">
        <f aca="false">IF(AL237&lt;&gt;"", AL237*AI237,"")</f>
        <v/>
      </c>
      <c r="AN237" s="66" t="str">
        <f aca="false">IF(AND($AG237=Constants!$B$7, U237, V237) ,IF($AB237="", "", IF(OR($AC237="",$AC237=0),"",MAX(0,1-ABS($AC237-$AB237)/$AC237))),"")</f>
        <v/>
      </c>
      <c r="AO237" s="66" t="str">
        <f aca="false">IF(AND($AG237=Constants!$B$7, U237, V237),IF(AND($AA237&lt;&gt;"",$AB237&lt;&gt;"",$AC237=0),$AO$6,""),"")</f>
        <v/>
      </c>
      <c r="AP237" s="66" t="str">
        <f aca="false">IF($AG237=Constants!$B$7 ,IF(AND(U237,V237,W237,Y237,ISNUMBER(AB237)),IF($AN237="",0,IF($AN$6=0,Constants!$B$10,Constants!$B$10*AN237/$AN$6)), 0),"")</f>
        <v/>
      </c>
      <c r="AQ237" s="66" t="str">
        <f aca="false">IF(AP237&lt;&gt;"", AP237*AI237,"")</f>
        <v/>
      </c>
      <c r="AR237" s="66" t="str">
        <f aca="false">IF($AG237=Constants!$B$7,IF($AD237="",0,IF($AR$6=0,Constants!$B$8,Constants!$B$8*AD237/$AR$6)),"")</f>
        <v/>
      </c>
      <c r="AS237" s="66" t="str">
        <f aca="false">IF($AG237&lt;&gt;Constants!$B$7,$AG237,IF(AK237&amp;AO237&lt;&gt;"",Constants!$B$14,AM237+AQ237+AR237))</f>
        <v/>
      </c>
      <c r="AT237" s="66" t="str">
        <f aca="false">IF(ISBLANK($C237),"",IF($AG237=Constants!$B$7,IF(ISNUMBER(AS237),RANK(AS237,$AS$8:$AS$507),Constants!$B$14),$AG237))</f>
        <v/>
      </c>
      <c r="AU237" s="66" t="str">
        <f aca="false">IF(ISBLANK($C237), "",AM237)</f>
        <v/>
      </c>
      <c r="AV237" s="66" t="str">
        <f aca="false">IF(ISBLANK($C237),"",IF($AG237=Constants!$B$7,RANK(AU237,AU$8:AU$507),$AG237))</f>
        <v/>
      </c>
      <c r="AW237" s="66" t="str">
        <f aca="false">IF(ISBLANK($C237), "",AR237)</f>
        <v/>
      </c>
      <c r="AX237" s="66" t="str">
        <f aca="false">IF(ISBLANK($C237),"",IF($AG237=Constants!$B$7,RANK(AW237,AW$8:AW$507),$AG237))</f>
        <v/>
      </c>
      <c r="AY237" s="66" t="str">
        <f aca="false">IF(ISBLANK($C237), "",AE237)</f>
        <v/>
      </c>
      <c r="AZ237" s="66" t="str">
        <f aca="false">IF(ISBLANK($C237),"",
IF($AG237=Constants!$B$7,
  IF(ISNUMBER(AT237),
    COUNTIFS($AT$8:$AT$507,"&lt;"&amp;$AT237)
    + COUNTIFS($AT$8:$AT$507,$AT237,$AV$8:$AV$507,"&lt;"&amp;$AV237)
    + COUNTIFS($AT$8:$AT$507,$AT237,$AV$8:$AV$507,$AV237,$AX$8:$AX$507,"&lt;"&amp;$AX237)
    + COUNTIFS($AT$8:$AT$507,$AT237,$AV$8:$AV$507,$AV237,$AX$8:$AX$507,$AX237,$AY$8:$AY$507,"&lt;"&amp;$AY237)
    + 1,
  Constants!$B$14),
$AG237))</f>
        <v/>
      </c>
      <c r="BA237" s="66" t="str">
        <f aca="false">IF(ISBLANK(C237),"",IF($AG237=Constants!$B$7, IF(ISNUMBER(AT237),AT237-AZ237,Constants!$B$14),$AG237))</f>
        <v/>
      </c>
      <c r="BB237" s="70"/>
      <c r="BC237" s="84" t="str">
        <f aca="false">IF(ISBLANK($C237),"",TRIM(AK237&amp;" "&amp;AO237))</f>
        <v/>
      </c>
      <c r="BD237" s="72" t="str">
        <f aca="false">IF(ISBLANK($C237),"",IF($AG237&lt;&gt;Constants!$B$7,$AG237,AR237))</f>
        <v/>
      </c>
      <c r="BE237" s="72" t="str">
        <f aca="false">IF(ISBLANK($C237),"",IF($AG237&lt;&gt;Constants!$B$7,$AG237,AM237))</f>
        <v/>
      </c>
      <c r="BF237" s="72" t="str">
        <f aca="false">IF(ISBLANK($C237),"",IF($AG237&lt;&gt;Constants!$B$7,$AG237,AQ237))</f>
        <v/>
      </c>
      <c r="BG237" s="73" t="str">
        <f aca="false">IF(ISBLANK($C237),"",IF($AG237&lt;&gt;Constants!$B$7, $AG237 ,AS237))</f>
        <v/>
      </c>
      <c r="BH237" s="74" t="str">
        <f aca="false">IF(ISBLANK($C237),"",IF($AG237&lt;&gt;Constants!$B$7, $AG237 ,AH237))</f>
        <v/>
      </c>
      <c r="BI237" s="72" t="str">
        <f aca="false">IF(ISBLANK(C237),"",BA237)</f>
        <v/>
      </c>
      <c r="BJ237" s="72" t="str">
        <f aca="false">IF(ISBLANK(C237),"",AZ237)</f>
        <v/>
      </c>
      <c r="BK237" s="75" t="str">
        <f aca="false">IF(ISBLANK(C237),"",IFERROR(_xlfn.SWITCH(BJ237, Constants!$B$4, COUNTA($C$8:$C736)+2, Constants!$B$5, COUNTA($C$8:$C736)+1, Constants!$B$6, COUNTA($C$8:$C736)),BJ237))</f>
        <v/>
      </c>
      <c r="BL237" s="5"/>
      <c r="BM237" s="76" t="n">
        <f aca="false">IF(OR(ISNUMBER(BJ237),BJ237="DQ",BJ237="P",BJ237="NS"),
    1,
    0
)</f>
        <v>0</v>
      </c>
      <c r="BN237" s="76" t="n">
        <v>230</v>
      </c>
      <c r="BO237" s="76" t="str">
        <f aca="false">IF(ISBLANK($C237),"",IF(ISNUMBER(BK237),BK237+ROW($B237)/1000,""))</f>
        <v/>
      </c>
      <c r="BP237" s="76" t="str">
        <f aca="false">IF(ISNUMBER(BO237), RANK(BO237,BO$8:BO$507,1), "")</f>
        <v/>
      </c>
      <c r="BQ237" s="76" t="str">
        <f aca="false">IF(ISBLANK($C237),
    "",
    $B237
)</f>
        <v/>
      </c>
      <c r="BR237" s="76" t="str">
        <f aca="false">IF(ISBLANK($C237),
    "",
    $C237
)</f>
        <v/>
      </c>
      <c r="BS237" s="76" t="str">
        <f aca="false">IF(ISBLANK($C237),
    "",
    $D237
)</f>
        <v/>
      </c>
      <c r="BT237" s="77" t="str">
        <f aca="false">BH237</f>
        <v/>
      </c>
      <c r="BU237" s="78" t="str">
        <f aca="false">BG237</f>
        <v/>
      </c>
      <c r="BV237" s="76" t="str">
        <f aca="false">IF(ISBLANK($C237),
    "",
    BJ237
)</f>
        <v/>
      </c>
      <c r="BW237" s="79" t="str">
        <f aca="false">IF(BN237&gt;BM$7,
    "",
    VLOOKUP(BN237,BP$8:BV736,7,FALSE())
)</f>
        <v/>
      </c>
      <c r="BX237" s="80" t="str">
        <f aca="false">IF(BN237&gt;BM$7,
    "",
    VLOOKUP(BN237,BP$8:BV736,2,FALSE())
)</f>
        <v/>
      </c>
      <c r="BY237" s="80" t="str">
        <f aca="false">IF(BN237&gt;BM$7,
    "",
    VLOOKUP(BN237,BP$8:BV736,3,FALSE())
)</f>
        <v/>
      </c>
      <c r="BZ237" s="80" t="str">
        <f aca="false">IF(BN237&gt;BM$7,
    "",
    VLOOKUP(BN237,BP$8:BV736,4,FALSE())
)</f>
        <v/>
      </c>
      <c r="CA237" s="80" t="str">
        <f aca="false">IF(BN237&gt;BM$7,
    "",
    VLOOKUP(BN237,BP$8:BV736,5,FALSE())
)</f>
        <v/>
      </c>
      <c r="CB237" s="81" t="str">
        <f aca="false">IF(BN237&gt;BM$7,
    "",
    VLOOKUP(BN237,BP$8:BV736,6,FALSE())
)</f>
        <v/>
      </c>
      <c r="CC237" s="53"/>
    </row>
    <row r="238" customFormat="false" ht="15.75" hidden="false" customHeight="false" outlineLevel="0" collapsed="false">
      <c r="A238" s="5"/>
      <c r="B238" s="129"/>
      <c r="C238" s="55"/>
      <c r="D238" s="56"/>
      <c r="E238" s="123"/>
      <c r="F238" s="123"/>
      <c r="G238" s="58"/>
      <c r="H238" s="59"/>
      <c r="I238" s="59"/>
      <c r="J238" s="83"/>
      <c r="K238" s="83"/>
      <c r="L238" s="83"/>
      <c r="M238" s="61"/>
      <c r="N238" s="61"/>
      <c r="O238" s="61"/>
      <c r="P238" s="62"/>
      <c r="Q238" s="63"/>
      <c r="R238" s="83"/>
      <c r="S238" s="65"/>
      <c r="T238" s="66"/>
      <c r="U238" s="66" t="str">
        <f aca="false">IF(ISBLANK($C238),"",IF(G238=Constants!$B$2, TRUE(), IF(G238=Constants!$B$3, FALSE(), TRUE())))</f>
        <v/>
      </c>
      <c r="V238" s="66" t="str">
        <f aca="false">IF(ISBLANK($C238),"",IF(H238=Constants!$B$2, TRUE(), IF(H238=Constants!$B$3, FALSE(), TRUE())))</f>
        <v/>
      </c>
      <c r="W238" s="66" t="str">
        <f aca="false">IF(ISBLANK($C238),"",IF(I238=Constants!$B$2, TRUE(), IF(I238=Constants!$B$3, FALSE(), TRUE())))</f>
        <v/>
      </c>
      <c r="X238" s="66" t="str">
        <f aca="false">IF(ISBLANK($C238),"",IF(AND(ISNUMBER(J238),J238&gt;0),INT(J238),0))</f>
        <v/>
      </c>
      <c r="Y238" s="66" t="str">
        <f aca="false">IF(ISBLANK($C238),"",IF(K238=Constants!$B$2, TRUE(), IF(K238=Constants!$B$3, FALSE(), TRUE())))</f>
        <v/>
      </c>
      <c r="Z238" s="66" t="str">
        <f aca="false">IF(ISBLANK($C238),"",IF(AND(ISNUMBER(L238),L238&gt;0),INT(L238),0))</f>
        <v/>
      </c>
      <c r="AA238" s="68" t="str">
        <f aca="false">IF(ISBLANK($C238),"",IF(ISNUMBER(M238), M238, ""))</f>
        <v/>
      </c>
      <c r="AB238" s="68" t="str">
        <f aca="false">IF(ISBLANK($C238),"",IF(ISNUMBER(N238), N238, ""))</f>
        <v/>
      </c>
      <c r="AC238" s="68" t="str">
        <f aca="false">IF(ISBLANK($C238),"",IF(ISNUMBER(O238), O238, ""))</f>
        <v/>
      </c>
      <c r="AD238" s="69" t="str">
        <f aca="false">IF(ISBLANK($C238),"",IF(ISNUMBER(P238), P238, ""))</f>
        <v/>
      </c>
      <c r="AE238" s="69" t="str">
        <f aca="false">IF(ISBLANK($C238),"",IF(ISNUMBER(Q238), Q238, Constants!$B$13))</f>
        <v/>
      </c>
      <c r="AF238" s="66" t="str">
        <f aca="false">IF(ISBLANK($C238),"",IF(R238=Constants!$B$2, TRUE(), IF(R238=Constants!$B$3, FALSE(), FALSE())))</f>
        <v/>
      </c>
      <c r="AG238" s="66" t="str">
        <f aca="false">IF(ISBLANK(C238), "", IF(AF238, Constants!$B$4,IF(COUNTA(G238:P238)=0, Constants!$B$5, Constants!$B$7)))</f>
        <v/>
      </c>
      <c r="AH238" s="66" t="str">
        <f aca="false">IF(ISBLANK($C238), "",IF($AG238=Constants!$B$7,1,$AG238))</f>
        <v/>
      </c>
      <c r="AI238" s="66" t="str">
        <f aca="false">IF($AG238=Constants!$B$7,POWER(Constants!$B$11,X238)*POWER(Constants!$B$12,Z238),"")</f>
        <v/>
      </c>
      <c r="AJ238" s="66" t="str">
        <f aca="false">IF(AND($AG238=Constants!$B$7, U238, V238) ,IF(OR($AA238="",$AC238=""),"",MAX(0, $AC238-$AA238)),"")</f>
        <v/>
      </c>
      <c r="AK238" s="66" t="str">
        <f aca="false">IF(AND($AG238=Constants!$B$7, U238, V238),IF(OR($AA238="",$AC238=""),$AK$6,""),"")</f>
        <v/>
      </c>
      <c r="AL238" s="66" t="str">
        <f aca="false">IF($AG238=Constants!$B$7,IF(AND(U238,V238,W238,Y238),IF($AJ238="",0,IF($AJ$6=0,Constants!$B$9,Constants!$B$9*AJ238/$AJ$6)), 0),"")</f>
        <v/>
      </c>
      <c r="AM238" s="66" t="str">
        <f aca="false">IF(AL238&lt;&gt;"", AL238*AI238,"")</f>
        <v/>
      </c>
      <c r="AN238" s="66" t="str">
        <f aca="false">IF(AND($AG238=Constants!$B$7, U238, V238) ,IF($AB238="", "", IF(OR($AC238="",$AC238=0),"",MAX(0,1-ABS($AC238-$AB238)/$AC238))),"")</f>
        <v/>
      </c>
      <c r="AO238" s="66" t="str">
        <f aca="false">IF(AND($AG238=Constants!$B$7, U238, V238),IF(AND($AA238&lt;&gt;"",$AB238&lt;&gt;"",$AC238=0),$AO$6,""),"")</f>
        <v/>
      </c>
      <c r="AP238" s="66" t="str">
        <f aca="false">IF($AG238=Constants!$B$7 ,IF(AND(U238,V238,W238,Y238,ISNUMBER(AB238)),IF($AN238="",0,IF($AN$6=0,Constants!$B$10,Constants!$B$10*AN238/$AN$6)), 0),"")</f>
        <v/>
      </c>
      <c r="AQ238" s="66" t="str">
        <f aca="false">IF(AP238&lt;&gt;"", AP238*AI238,"")</f>
        <v/>
      </c>
      <c r="AR238" s="66" t="str">
        <f aca="false">IF($AG238=Constants!$B$7,IF($AD238="",0,IF($AR$6=0,Constants!$B$8,Constants!$B$8*AD238/$AR$6)),"")</f>
        <v/>
      </c>
      <c r="AS238" s="66" t="str">
        <f aca="false">IF($AG238&lt;&gt;Constants!$B$7,$AG238,IF(AK238&amp;AO238&lt;&gt;"",Constants!$B$14,AM238+AQ238+AR238))</f>
        <v/>
      </c>
      <c r="AT238" s="66" t="str">
        <f aca="false">IF(ISBLANK($C238),"",IF($AG238=Constants!$B$7,IF(ISNUMBER(AS238),RANK(AS238,$AS$8:$AS$507),Constants!$B$14),$AG238))</f>
        <v/>
      </c>
      <c r="AU238" s="66" t="str">
        <f aca="false">IF(ISBLANK($C238), "",AM238)</f>
        <v/>
      </c>
      <c r="AV238" s="66" t="str">
        <f aca="false">IF(ISBLANK($C238),"",IF($AG238=Constants!$B$7,RANK(AU238,AU$8:AU$507),$AG238))</f>
        <v/>
      </c>
      <c r="AW238" s="66" t="str">
        <f aca="false">IF(ISBLANK($C238), "",AR238)</f>
        <v/>
      </c>
      <c r="AX238" s="66" t="str">
        <f aca="false">IF(ISBLANK($C238),"",IF($AG238=Constants!$B$7,RANK(AW238,AW$8:AW$507),$AG238))</f>
        <v/>
      </c>
      <c r="AY238" s="66" t="str">
        <f aca="false">IF(ISBLANK($C238), "",AE238)</f>
        <v/>
      </c>
      <c r="AZ238" s="66" t="str">
        <f aca="false">IF(ISBLANK($C238),"",
IF($AG238=Constants!$B$7,
  IF(ISNUMBER(AT238),
    COUNTIFS($AT$8:$AT$507,"&lt;"&amp;$AT238)
    + COUNTIFS($AT$8:$AT$507,$AT238,$AV$8:$AV$507,"&lt;"&amp;$AV238)
    + COUNTIFS($AT$8:$AT$507,$AT238,$AV$8:$AV$507,$AV238,$AX$8:$AX$507,"&lt;"&amp;$AX238)
    + COUNTIFS($AT$8:$AT$507,$AT238,$AV$8:$AV$507,$AV238,$AX$8:$AX$507,$AX238,$AY$8:$AY$507,"&lt;"&amp;$AY238)
    + 1,
  Constants!$B$14),
$AG238))</f>
        <v/>
      </c>
      <c r="BA238" s="66" t="str">
        <f aca="false">IF(ISBLANK(C238),"",IF($AG238=Constants!$B$7, IF(ISNUMBER(AT238),AT238-AZ238,Constants!$B$14),$AG238))</f>
        <v/>
      </c>
      <c r="BB238" s="70"/>
      <c r="BC238" s="84" t="str">
        <f aca="false">IF(ISBLANK($C238),"",TRIM(AK238&amp;" "&amp;AO238))</f>
        <v/>
      </c>
      <c r="BD238" s="72" t="str">
        <f aca="false">IF(ISBLANK($C238),"",IF($AG238&lt;&gt;Constants!$B$7,$AG238,AR238))</f>
        <v/>
      </c>
      <c r="BE238" s="72" t="str">
        <f aca="false">IF(ISBLANK($C238),"",IF($AG238&lt;&gt;Constants!$B$7,$AG238,AM238))</f>
        <v/>
      </c>
      <c r="BF238" s="72" t="str">
        <f aca="false">IF(ISBLANK($C238),"",IF($AG238&lt;&gt;Constants!$B$7,$AG238,AQ238))</f>
        <v/>
      </c>
      <c r="BG238" s="73" t="str">
        <f aca="false">IF(ISBLANK($C238),"",IF($AG238&lt;&gt;Constants!$B$7, $AG238 ,AS238))</f>
        <v/>
      </c>
      <c r="BH238" s="74" t="str">
        <f aca="false">IF(ISBLANK($C238),"",IF($AG238&lt;&gt;Constants!$B$7, $AG238 ,AH238))</f>
        <v/>
      </c>
      <c r="BI238" s="72" t="str">
        <f aca="false">IF(ISBLANK(C238),"",BA238)</f>
        <v/>
      </c>
      <c r="BJ238" s="72" t="str">
        <f aca="false">IF(ISBLANK(C238),"",AZ238)</f>
        <v/>
      </c>
      <c r="BK238" s="75" t="str">
        <f aca="false">IF(ISBLANK(C238),"",IFERROR(_xlfn.SWITCH(BJ238, Constants!$B$4, COUNTA($C$8:$C737)+2, Constants!$B$5, COUNTA($C$8:$C737)+1, Constants!$B$6, COUNTA($C$8:$C737)),BJ238))</f>
        <v/>
      </c>
      <c r="BL238" s="5"/>
      <c r="BM238" s="76" t="n">
        <f aca="false">IF(OR(ISNUMBER(BJ238),BJ238="DQ",BJ238="P",BJ238="NS"),
    1,
    0
)</f>
        <v>0</v>
      </c>
      <c r="BN238" s="76" t="n">
        <v>231</v>
      </c>
      <c r="BO238" s="76" t="str">
        <f aca="false">IF(ISBLANK($C238),"",IF(ISNUMBER(BK238),BK238+ROW($B238)/1000,""))</f>
        <v/>
      </c>
      <c r="BP238" s="76" t="str">
        <f aca="false">IF(ISNUMBER(BO238), RANK(BO238,BO$8:BO$507,1), "")</f>
        <v/>
      </c>
      <c r="BQ238" s="76" t="str">
        <f aca="false">IF(ISBLANK($C238),
    "",
    $B238
)</f>
        <v/>
      </c>
      <c r="BR238" s="76" t="str">
        <f aca="false">IF(ISBLANK($C238),
    "",
    $C238
)</f>
        <v/>
      </c>
      <c r="BS238" s="76" t="str">
        <f aca="false">IF(ISBLANK($C238),
    "",
    $D238
)</f>
        <v/>
      </c>
      <c r="BT238" s="77" t="str">
        <f aca="false">BH238</f>
        <v/>
      </c>
      <c r="BU238" s="78" t="str">
        <f aca="false">BG238</f>
        <v/>
      </c>
      <c r="BV238" s="76" t="str">
        <f aca="false">IF(ISBLANK($C238),
    "",
    BJ238
)</f>
        <v/>
      </c>
      <c r="BW238" s="79" t="str">
        <f aca="false">IF(BN238&gt;BM$7,
    "",
    VLOOKUP(BN238,BP$8:BV737,7,FALSE())
)</f>
        <v/>
      </c>
      <c r="BX238" s="80" t="str">
        <f aca="false">IF(BN238&gt;BM$7,
    "",
    VLOOKUP(BN238,BP$8:BV737,2,FALSE())
)</f>
        <v/>
      </c>
      <c r="BY238" s="80" t="str">
        <f aca="false">IF(BN238&gt;BM$7,
    "",
    VLOOKUP(BN238,BP$8:BV737,3,FALSE())
)</f>
        <v/>
      </c>
      <c r="BZ238" s="80" t="str">
        <f aca="false">IF(BN238&gt;BM$7,
    "",
    VLOOKUP(BN238,BP$8:BV737,4,FALSE())
)</f>
        <v/>
      </c>
      <c r="CA238" s="80" t="str">
        <f aca="false">IF(BN238&gt;BM$7,
    "",
    VLOOKUP(BN238,BP$8:BV737,5,FALSE())
)</f>
        <v/>
      </c>
      <c r="CB238" s="81" t="str">
        <f aca="false">IF(BN238&gt;BM$7,
    "",
    VLOOKUP(BN238,BP$8:BV737,6,FALSE())
)</f>
        <v/>
      </c>
      <c r="CC238" s="53"/>
    </row>
    <row r="239" customFormat="false" ht="15.75" hidden="false" customHeight="false" outlineLevel="0" collapsed="false">
      <c r="A239" s="5"/>
      <c r="B239" s="125"/>
      <c r="C239" s="126"/>
      <c r="D239" s="115"/>
      <c r="E239" s="119"/>
      <c r="F239" s="119"/>
      <c r="G239" s="91"/>
      <c r="H239" s="92"/>
      <c r="I239" s="92"/>
      <c r="J239" s="128"/>
      <c r="K239" s="128"/>
      <c r="L239" s="128"/>
      <c r="M239" s="94"/>
      <c r="N239" s="94"/>
      <c r="O239" s="94"/>
      <c r="P239" s="95"/>
      <c r="Q239" s="96"/>
      <c r="R239" s="128"/>
      <c r="S239" s="98"/>
      <c r="T239" s="99"/>
      <c r="U239" s="99" t="str">
        <f aca="false">IF(ISBLANK($C239),"",IF(G239=Constants!$B$2, TRUE(), IF(G239=Constants!$B$3, FALSE(), TRUE())))</f>
        <v/>
      </c>
      <c r="V239" s="99" t="str">
        <f aca="false">IF(ISBLANK($C239),"",IF(H239=Constants!$B$2, TRUE(), IF(H239=Constants!$B$3, FALSE(), TRUE())))</f>
        <v/>
      </c>
      <c r="W239" s="99" t="str">
        <f aca="false">IF(ISBLANK($C239),"",IF(I239=Constants!$B$2, TRUE(), IF(I239=Constants!$B$3, FALSE(), TRUE())))</f>
        <v/>
      </c>
      <c r="X239" s="99" t="str">
        <f aca="false">IF(ISBLANK($C239),"",IF(AND(ISNUMBER(J239),J239&gt;0),INT(J239),0))</f>
        <v/>
      </c>
      <c r="Y239" s="99" t="str">
        <f aca="false">IF(ISBLANK($C239),"",IF(K239=Constants!$B$2, TRUE(), IF(K239=Constants!$B$3, FALSE(), TRUE())))</f>
        <v/>
      </c>
      <c r="Z239" s="100" t="str">
        <f aca="false">IF(ISBLANK($C239),"",IF(AND(ISNUMBER(L239),L239&gt;0),INT(L239),0))</f>
        <v/>
      </c>
      <c r="AA239" s="101" t="str">
        <f aca="false">IF(ISBLANK($C239),"",IF(ISNUMBER(M239), M239, ""))</f>
        <v/>
      </c>
      <c r="AB239" s="101" t="str">
        <f aca="false">IF(ISBLANK($C239),"",IF(ISNUMBER(N239), N239, ""))</f>
        <v/>
      </c>
      <c r="AC239" s="101" t="str">
        <f aca="false">IF(ISBLANK($C239),"",IF(ISNUMBER(O239), O239, ""))</f>
        <v/>
      </c>
      <c r="AD239" s="102" t="str">
        <f aca="false">IF(ISBLANK($C239),"",IF(ISNUMBER(P239), P239, ""))</f>
        <v/>
      </c>
      <c r="AE239" s="102" t="str">
        <f aca="false">IF(ISBLANK($C239),"",IF(ISNUMBER(Q239), Q239, Constants!$B$13))</f>
        <v/>
      </c>
      <c r="AF239" s="99" t="str">
        <f aca="false">IF(ISBLANK($C239),"",IF(R239=Constants!$B$2, TRUE(), IF(R239=Constants!$B$3, FALSE(), FALSE())))</f>
        <v/>
      </c>
      <c r="AG239" s="99" t="str">
        <f aca="false">IF(ISBLANK(C239), "", IF(AF239, Constants!$B$4,IF(COUNTA(G239:P239)=0, Constants!$B$5, Constants!$B$7)))</f>
        <v/>
      </c>
      <c r="AH239" s="99" t="str">
        <f aca="false">IF(ISBLANK($C239), "",IF($AG239=Constants!$B$7,1,$AG239))</f>
        <v/>
      </c>
      <c r="AI239" s="99" t="str">
        <f aca="false">IF($AG239=Constants!$B$7,POWER(Constants!$B$11,X239)*POWER(Constants!$B$12,Z239),"")</f>
        <v/>
      </c>
      <c r="AJ239" s="99" t="str">
        <f aca="false">IF(AND($AG239=Constants!$B$7, U239, V239) ,IF(OR($AA239="",$AC239=""),"",MAX(0, $AC239-$AA239)),"")</f>
        <v/>
      </c>
      <c r="AK239" s="99" t="str">
        <f aca="false">IF(AND($AG239=Constants!$B$7, U239, V239),IF(OR($AA239="",$AC239=""),$AK$6,""),"")</f>
        <v/>
      </c>
      <c r="AL239" s="99" t="str">
        <f aca="false">IF($AG239=Constants!$B$7,IF(AND(U239,V239,W239,Y239),IF($AJ239="",0,IF($AJ$6=0,Constants!$B$9,Constants!$B$9*AJ239/$AJ$6)), 0),"")</f>
        <v/>
      </c>
      <c r="AM239" s="99" t="str">
        <f aca="false">IF(AL239&lt;&gt;"", AL239*AI239,"")</f>
        <v/>
      </c>
      <c r="AN239" s="99" t="str">
        <f aca="false">IF(AND($AG239=Constants!$B$7, U239, V239) ,IF($AB239="", "", IF(OR($AC239="",$AC239=0),"",MAX(0,1-ABS($AC239-$AB239)/$AC239))),"")</f>
        <v/>
      </c>
      <c r="AO239" s="99" t="str">
        <f aca="false">IF(AND($AG239=Constants!$B$7, U239, V239),IF(AND($AA239&lt;&gt;"",$AB239&lt;&gt;"",$AC239=0),$AO$6,""),"")</f>
        <v/>
      </c>
      <c r="AP239" s="99" t="str">
        <f aca="false">IF($AG239=Constants!$B$7 ,IF(AND(U239,V239,W239,Y239,ISNUMBER(AB239)),IF($AN239="",0,IF($AN$6=0,Constants!$B$10,Constants!$B$10*AN239/$AN$6)), 0),"")</f>
        <v/>
      </c>
      <c r="AQ239" s="99" t="str">
        <f aca="false">IF(AP239&lt;&gt;"", AP239*AI239,"")</f>
        <v/>
      </c>
      <c r="AR239" s="99" t="str">
        <f aca="false">IF($AG239=Constants!$B$7,IF($AD239="",0,IF($AR$6=0,Constants!$B$8,Constants!$B$8*AD239/$AR$6)),"")</f>
        <v/>
      </c>
      <c r="AS239" s="99" t="str">
        <f aca="false">IF($AG239&lt;&gt;Constants!$B$7,$AG239,IF(AK239&amp;AO239&lt;&gt;"",Constants!$B$14,AM239+AQ239+AR239))</f>
        <v/>
      </c>
      <c r="AT239" s="99" t="str">
        <f aca="false">IF(ISBLANK($C239),"",IF($AG239=Constants!$B$7,IF(ISNUMBER(AS239),RANK(AS239,$AS$8:$AS$507),Constants!$B$14),$AG239))</f>
        <v/>
      </c>
      <c r="AU239" s="99" t="str">
        <f aca="false">IF(ISBLANK($C239), "",AM239)</f>
        <v/>
      </c>
      <c r="AV239" s="99" t="str">
        <f aca="false">IF(ISBLANK($C239),"",IF($AG239=Constants!$B$7,RANK(AU239,AU$8:AU$507),$AG239))</f>
        <v/>
      </c>
      <c r="AW239" s="99" t="str">
        <f aca="false">IF(ISBLANK($C239), "",AR239)</f>
        <v/>
      </c>
      <c r="AX239" s="99" t="str">
        <f aca="false">IF(ISBLANK($C239),"",IF($AG239=Constants!$B$7,RANK(AW239,AW$8:AW$507),$AG239))</f>
        <v/>
      </c>
      <c r="AY239" s="99" t="str">
        <f aca="false">IF(ISBLANK($C239), "",AE239)</f>
        <v/>
      </c>
      <c r="AZ239" s="99" t="str">
        <f aca="false">IF(ISBLANK($C239),"",
IF($AG239=Constants!$B$7,
  IF(ISNUMBER(AT239),
    COUNTIFS($AT$8:$AT$507,"&lt;"&amp;$AT239)
    + COUNTIFS($AT$8:$AT$507,$AT239,$AV$8:$AV$507,"&lt;"&amp;$AV239)
    + COUNTIFS($AT$8:$AT$507,$AT239,$AV$8:$AV$507,$AV239,$AX$8:$AX$507,"&lt;"&amp;$AX239)
    + COUNTIFS($AT$8:$AT$507,$AT239,$AV$8:$AV$507,$AV239,$AX$8:$AX$507,$AX239,$AY$8:$AY$507,"&lt;"&amp;$AY239)
    + 1,
  Constants!$B$14),
$AG239))</f>
        <v/>
      </c>
      <c r="BA239" s="99" t="str">
        <f aca="false">IF(ISBLANK(C239),"",IF($AG239=Constants!$B$7, IF(ISNUMBER(AT239),AT239-AZ239,Constants!$B$14),$AG239))</f>
        <v/>
      </c>
      <c r="BB239" s="103"/>
      <c r="BC239" s="104" t="str">
        <f aca="false">IF(ISBLANK($C239),"",TRIM(AK239&amp;" "&amp;AO239))</f>
        <v/>
      </c>
      <c r="BD239" s="105" t="str">
        <f aca="false">IF(ISBLANK($C239),"",IF($AG239&lt;&gt;Constants!$B$7,$AG239,AR239))</f>
        <v/>
      </c>
      <c r="BE239" s="105" t="str">
        <f aca="false">IF(ISBLANK($C239),"",IF($AG239&lt;&gt;Constants!$B$7,$AG239,AM239))</f>
        <v/>
      </c>
      <c r="BF239" s="105" t="str">
        <f aca="false">IF(ISBLANK($C239),"",IF($AG239&lt;&gt;Constants!$B$7,$AG239,AQ239))</f>
        <v/>
      </c>
      <c r="BG239" s="106" t="str">
        <f aca="false">IF(ISBLANK($C239),"",IF($AG239&lt;&gt;Constants!$B$7, $AG239 ,AS239))</f>
        <v/>
      </c>
      <c r="BH239" s="107" t="str">
        <f aca="false">IF(ISBLANK($C239),"",IF($AG239&lt;&gt;Constants!$B$7, $AG239 ,AH239))</f>
        <v/>
      </c>
      <c r="BI239" s="105" t="str">
        <f aca="false">IF(ISBLANK(C239),"",BA239)</f>
        <v/>
      </c>
      <c r="BJ239" s="105" t="str">
        <f aca="false">IF(ISBLANK(C239),"",AZ239)</f>
        <v/>
      </c>
      <c r="BK239" s="108" t="str">
        <f aca="false">IF(ISBLANK(C239),"",IFERROR(_xlfn.SWITCH(BJ239, Constants!$B$4, COUNTA($C$8:$C738)+2, Constants!$B$5, COUNTA($C$8:$C738)+1, Constants!$B$6, COUNTA($C$8:$C738)),BJ239))</f>
        <v/>
      </c>
      <c r="BL239" s="5"/>
      <c r="BM239" s="109" t="n">
        <f aca="false">IF(OR(ISNUMBER(BJ239),BJ239="DQ",BJ239="P",BJ239="NS"),
    1,
    0
)</f>
        <v>0</v>
      </c>
      <c r="BN239" s="109" t="n">
        <v>232</v>
      </c>
      <c r="BO239" s="109" t="str">
        <f aca="false">IF(ISBLANK($C239),"",IF(ISNUMBER(BK239),BK239+ROW($B239)/1000,""))</f>
        <v/>
      </c>
      <c r="BP239" s="109" t="str">
        <f aca="false">IF(ISNUMBER(BO239), RANK(BO239,BO$8:BO$507,1), "")</f>
        <v/>
      </c>
      <c r="BQ239" s="109" t="str">
        <f aca="false">IF(ISBLANK($C239),
    "",
    $B239
)</f>
        <v/>
      </c>
      <c r="BR239" s="109" t="str">
        <f aca="false">IF(ISBLANK($C239),
    "",
    $C239
)</f>
        <v/>
      </c>
      <c r="BS239" s="109" t="str">
        <f aca="false">IF(ISBLANK($C239),
    "",
    $D239
)</f>
        <v/>
      </c>
      <c r="BT239" s="110" t="str">
        <f aca="false">BH239</f>
        <v/>
      </c>
      <c r="BU239" s="111" t="str">
        <f aca="false">BG239</f>
        <v/>
      </c>
      <c r="BV239" s="109" t="str">
        <f aca="false">IF(ISBLANK($C239),
    "",
    BJ239
)</f>
        <v/>
      </c>
      <c r="BW239" s="112" t="str">
        <f aca="false">IF(BN239&gt;BM$7,
    "",
    VLOOKUP(BN239,BP$8:BV738,7,FALSE())
)</f>
        <v/>
      </c>
      <c r="BX239" s="113" t="str">
        <f aca="false">IF(BN239&gt;BM$7,
    "",
    VLOOKUP(BN239,BP$8:BV738,2,FALSE())
)</f>
        <v/>
      </c>
      <c r="BY239" s="113" t="str">
        <f aca="false">IF(BN239&gt;BM$7,
    "",
    VLOOKUP(BN239,BP$8:BV738,3,FALSE())
)</f>
        <v/>
      </c>
      <c r="BZ239" s="113" t="str">
        <f aca="false">IF(BN239&gt;BM$7,
    "",
    VLOOKUP(BN239,BP$8:BV738,4,FALSE())
)</f>
        <v/>
      </c>
      <c r="CA239" s="113" t="str">
        <f aca="false">IF(BN239&gt;BM$7,
    "",
    VLOOKUP(BN239,BP$8:BV738,5,FALSE())
)</f>
        <v/>
      </c>
      <c r="CB239" s="114" t="str">
        <f aca="false">IF(BN239&gt;BM$7,
    "",
    VLOOKUP(BN239,BP$8:BV738,6,FALSE())
)</f>
        <v/>
      </c>
      <c r="CC239" s="53"/>
    </row>
    <row r="240" customFormat="false" ht="15.75" hidden="false" customHeight="false" outlineLevel="0" collapsed="false">
      <c r="A240" s="5"/>
      <c r="B240" s="125"/>
      <c r="C240" s="126"/>
      <c r="D240" s="115"/>
      <c r="E240" s="119"/>
      <c r="F240" s="119"/>
      <c r="G240" s="91"/>
      <c r="H240" s="92"/>
      <c r="I240" s="92"/>
      <c r="J240" s="128"/>
      <c r="K240" s="128"/>
      <c r="L240" s="128"/>
      <c r="M240" s="94"/>
      <c r="N240" s="94"/>
      <c r="O240" s="94"/>
      <c r="P240" s="95"/>
      <c r="Q240" s="96"/>
      <c r="R240" s="128"/>
      <c r="S240" s="98"/>
      <c r="T240" s="99"/>
      <c r="U240" s="99" t="str">
        <f aca="false">IF(ISBLANK($C240),"",IF(G240=Constants!$B$2, TRUE(), IF(G240=Constants!$B$3, FALSE(), TRUE())))</f>
        <v/>
      </c>
      <c r="V240" s="99" t="str">
        <f aca="false">IF(ISBLANK($C240),"",IF(H240=Constants!$B$2, TRUE(), IF(H240=Constants!$B$3, FALSE(), TRUE())))</f>
        <v/>
      </c>
      <c r="W240" s="99" t="str">
        <f aca="false">IF(ISBLANK($C240),"",IF(I240=Constants!$B$2, TRUE(), IF(I240=Constants!$B$3, FALSE(), TRUE())))</f>
        <v/>
      </c>
      <c r="X240" s="99" t="str">
        <f aca="false">IF(ISBLANK($C240),"",IF(AND(ISNUMBER(J240),J240&gt;0),INT(J240),0))</f>
        <v/>
      </c>
      <c r="Y240" s="99" t="str">
        <f aca="false">IF(ISBLANK($C240),"",IF(K240=Constants!$B$2, TRUE(), IF(K240=Constants!$B$3, FALSE(), TRUE())))</f>
        <v/>
      </c>
      <c r="Z240" s="100" t="str">
        <f aca="false">IF(ISBLANK($C240),"",IF(AND(ISNUMBER(L240),L240&gt;0),INT(L240),0))</f>
        <v/>
      </c>
      <c r="AA240" s="101" t="str">
        <f aca="false">IF(ISBLANK($C240),"",IF(ISNUMBER(M240), M240, ""))</f>
        <v/>
      </c>
      <c r="AB240" s="101" t="str">
        <f aca="false">IF(ISBLANK($C240),"",IF(ISNUMBER(N240), N240, ""))</f>
        <v/>
      </c>
      <c r="AC240" s="101" t="str">
        <f aca="false">IF(ISBLANK($C240),"",IF(ISNUMBER(O240), O240, ""))</f>
        <v/>
      </c>
      <c r="AD240" s="102" t="str">
        <f aca="false">IF(ISBLANK($C240),"",IF(ISNUMBER(P240), P240, ""))</f>
        <v/>
      </c>
      <c r="AE240" s="102" t="str">
        <f aca="false">IF(ISBLANK($C240),"",IF(ISNUMBER(Q240), Q240, Constants!$B$13))</f>
        <v/>
      </c>
      <c r="AF240" s="99" t="str">
        <f aca="false">IF(ISBLANK($C240),"",IF(R240=Constants!$B$2, TRUE(), IF(R240=Constants!$B$3, FALSE(), FALSE())))</f>
        <v/>
      </c>
      <c r="AG240" s="99" t="str">
        <f aca="false">IF(ISBLANK(C240), "", IF(AF240, Constants!$B$4,IF(COUNTA(G240:P240)=0, Constants!$B$5, Constants!$B$7)))</f>
        <v/>
      </c>
      <c r="AH240" s="99" t="str">
        <f aca="false">IF(ISBLANK($C240), "",IF($AG240=Constants!$B$7,1,$AG240))</f>
        <v/>
      </c>
      <c r="AI240" s="99" t="str">
        <f aca="false">IF($AG240=Constants!$B$7,POWER(Constants!$B$11,X240)*POWER(Constants!$B$12,Z240),"")</f>
        <v/>
      </c>
      <c r="AJ240" s="99" t="str">
        <f aca="false">IF(AND($AG240=Constants!$B$7, U240, V240) ,IF(OR($AA240="",$AC240=""),"",MAX(0, $AC240-$AA240)),"")</f>
        <v/>
      </c>
      <c r="AK240" s="99" t="str">
        <f aca="false">IF(AND($AG240=Constants!$B$7, U240, V240),IF(OR($AA240="",$AC240=""),$AK$6,""),"")</f>
        <v/>
      </c>
      <c r="AL240" s="99" t="str">
        <f aca="false">IF($AG240=Constants!$B$7,IF(AND(U240,V240,W240,Y240),IF($AJ240="",0,IF($AJ$6=0,Constants!$B$9,Constants!$B$9*AJ240/$AJ$6)), 0),"")</f>
        <v/>
      </c>
      <c r="AM240" s="99" t="str">
        <f aca="false">IF(AL240&lt;&gt;"", AL240*AI240,"")</f>
        <v/>
      </c>
      <c r="AN240" s="99" t="str">
        <f aca="false">IF(AND($AG240=Constants!$B$7, U240, V240) ,IF($AB240="", "", IF(OR($AC240="",$AC240=0),"",MAX(0,1-ABS($AC240-$AB240)/$AC240))),"")</f>
        <v/>
      </c>
      <c r="AO240" s="99" t="str">
        <f aca="false">IF(AND($AG240=Constants!$B$7, U240, V240),IF(AND($AA240&lt;&gt;"",$AB240&lt;&gt;"",$AC240=0),$AO$6,""),"")</f>
        <v/>
      </c>
      <c r="AP240" s="99" t="str">
        <f aca="false">IF($AG240=Constants!$B$7 ,IF(AND(U240,V240,W240,Y240,ISNUMBER(AB240)),IF($AN240="",0,IF($AN$6=0,Constants!$B$10,Constants!$B$10*AN240/$AN$6)), 0),"")</f>
        <v/>
      </c>
      <c r="AQ240" s="99" t="str">
        <f aca="false">IF(AP240&lt;&gt;"", AP240*AI240,"")</f>
        <v/>
      </c>
      <c r="AR240" s="99" t="str">
        <f aca="false">IF($AG240=Constants!$B$7,IF($AD240="",0,IF($AR$6=0,Constants!$B$8,Constants!$B$8*AD240/$AR$6)),"")</f>
        <v/>
      </c>
      <c r="AS240" s="99" t="str">
        <f aca="false">IF($AG240&lt;&gt;Constants!$B$7,$AG240,IF(AK240&amp;AO240&lt;&gt;"",Constants!$B$14,AM240+AQ240+AR240))</f>
        <v/>
      </c>
      <c r="AT240" s="99" t="str">
        <f aca="false">IF(ISBLANK($C240),"",IF($AG240=Constants!$B$7,IF(ISNUMBER(AS240),RANK(AS240,$AS$8:$AS$507),Constants!$B$14),$AG240))</f>
        <v/>
      </c>
      <c r="AU240" s="99" t="str">
        <f aca="false">IF(ISBLANK($C240), "",AM240)</f>
        <v/>
      </c>
      <c r="AV240" s="99" t="str">
        <f aca="false">IF(ISBLANK($C240),"",IF($AG240=Constants!$B$7,RANK(AU240,AU$8:AU$507),$AG240))</f>
        <v/>
      </c>
      <c r="AW240" s="99" t="str">
        <f aca="false">IF(ISBLANK($C240), "",AR240)</f>
        <v/>
      </c>
      <c r="AX240" s="99" t="str">
        <f aca="false">IF(ISBLANK($C240),"",IF($AG240=Constants!$B$7,RANK(AW240,AW$8:AW$507),$AG240))</f>
        <v/>
      </c>
      <c r="AY240" s="99" t="str">
        <f aca="false">IF(ISBLANK($C240), "",AE240)</f>
        <v/>
      </c>
      <c r="AZ240" s="99" t="str">
        <f aca="false">IF(ISBLANK($C240),"",
IF($AG240=Constants!$B$7,
  IF(ISNUMBER(AT240),
    COUNTIFS($AT$8:$AT$507,"&lt;"&amp;$AT240)
    + COUNTIFS($AT$8:$AT$507,$AT240,$AV$8:$AV$507,"&lt;"&amp;$AV240)
    + COUNTIFS($AT$8:$AT$507,$AT240,$AV$8:$AV$507,$AV240,$AX$8:$AX$507,"&lt;"&amp;$AX240)
    + COUNTIFS($AT$8:$AT$507,$AT240,$AV$8:$AV$507,$AV240,$AX$8:$AX$507,$AX240,$AY$8:$AY$507,"&lt;"&amp;$AY240)
    + 1,
  Constants!$B$14),
$AG240))</f>
        <v/>
      </c>
      <c r="BA240" s="99" t="str">
        <f aca="false">IF(ISBLANK(C240),"",IF($AG240=Constants!$B$7, IF(ISNUMBER(AT240),AT240-AZ240,Constants!$B$14),$AG240))</f>
        <v/>
      </c>
      <c r="BB240" s="103"/>
      <c r="BC240" s="104" t="str">
        <f aca="false">IF(ISBLANK($C240),"",TRIM(AK240&amp;" "&amp;AO240))</f>
        <v/>
      </c>
      <c r="BD240" s="105" t="str">
        <f aca="false">IF(ISBLANK($C240),"",IF($AG240&lt;&gt;Constants!$B$7,$AG240,AR240))</f>
        <v/>
      </c>
      <c r="BE240" s="105" t="str">
        <f aca="false">IF(ISBLANK($C240),"",IF($AG240&lt;&gt;Constants!$B$7,$AG240,AM240))</f>
        <v/>
      </c>
      <c r="BF240" s="105" t="str">
        <f aca="false">IF(ISBLANK($C240),"",IF($AG240&lt;&gt;Constants!$B$7,$AG240,AQ240))</f>
        <v/>
      </c>
      <c r="BG240" s="106" t="str">
        <f aca="false">IF(ISBLANK($C240),"",IF($AG240&lt;&gt;Constants!$B$7, $AG240 ,AS240))</f>
        <v/>
      </c>
      <c r="BH240" s="107" t="str">
        <f aca="false">IF(ISBLANK($C240),"",IF($AG240&lt;&gt;Constants!$B$7, $AG240 ,AH240))</f>
        <v/>
      </c>
      <c r="BI240" s="105" t="str">
        <f aca="false">IF(ISBLANK(C240),"",BA240)</f>
        <v/>
      </c>
      <c r="BJ240" s="105" t="str">
        <f aca="false">IF(ISBLANK(C240),"",AZ240)</f>
        <v/>
      </c>
      <c r="BK240" s="108" t="str">
        <f aca="false">IF(ISBLANK(C240),"",IFERROR(_xlfn.SWITCH(BJ240, Constants!$B$4, COUNTA($C$8:$C739)+2, Constants!$B$5, COUNTA($C$8:$C739)+1, Constants!$B$6, COUNTA($C$8:$C739)),BJ240))</f>
        <v/>
      </c>
      <c r="BL240" s="5"/>
      <c r="BM240" s="109" t="n">
        <f aca="false">IF(OR(ISNUMBER(BJ240),BJ240="DQ",BJ240="P",BJ240="NS"),
    1,
    0
)</f>
        <v>0</v>
      </c>
      <c r="BN240" s="109" t="n">
        <v>233</v>
      </c>
      <c r="BO240" s="109" t="str">
        <f aca="false">IF(ISBLANK($C240),"",IF(ISNUMBER(BK240),BK240+ROW($B240)/1000,""))</f>
        <v/>
      </c>
      <c r="BP240" s="109" t="str">
        <f aca="false">IF(ISNUMBER(BO240), RANK(BO240,BO$8:BO$507,1), "")</f>
        <v/>
      </c>
      <c r="BQ240" s="109" t="str">
        <f aca="false">IF(ISBLANK($C240),
    "",
    $B240
)</f>
        <v/>
      </c>
      <c r="BR240" s="109" t="str">
        <f aca="false">IF(ISBLANK($C240),
    "",
    $C240
)</f>
        <v/>
      </c>
      <c r="BS240" s="109" t="str">
        <f aca="false">IF(ISBLANK($C240),
    "",
    $D240
)</f>
        <v/>
      </c>
      <c r="BT240" s="110" t="str">
        <f aca="false">BH240</f>
        <v/>
      </c>
      <c r="BU240" s="111" t="str">
        <f aca="false">BG240</f>
        <v/>
      </c>
      <c r="BV240" s="109" t="str">
        <f aca="false">IF(ISBLANK($C240),
    "",
    BJ240
)</f>
        <v/>
      </c>
      <c r="BW240" s="112" t="str">
        <f aca="false">IF(BN240&gt;BM$7,
    "",
    VLOOKUP(BN240,BP$8:BV739,7,FALSE())
)</f>
        <v/>
      </c>
      <c r="BX240" s="113" t="str">
        <f aca="false">IF(BN240&gt;BM$7,
    "",
    VLOOKUP(BN240,BP$8:BV739,2,FALSE())
)</f>
        <v/>
      </c>
      <c r="BY240" s="113" t="str">
        <f aca="false">IF(BN240&gt;BM$7,
    "",
    VLOOKUP(BN240,BP$8:BV739,3,FALSE())
)</f>
        <v/>
      </c>
      <c r="BZ240" s="113" t="str">
        <f aca="false">IF(BN240&gt;BM$7,
    "",
    VLOOKUP(BN240,BP$8:BV739,4,FALSE())
)</f>
        <v/>
      </c>
      <c r="CA240" s="113" t="str">
        <f aca="false">IF(BN240&gt;BM$7,
    "",
    VLOOKUP(BN240,BP$8:BV739,5,FALSE())
)</f>
        <v/>
      </c>
      <c r="CB240" s="114" t="str">
        <f aca="false">IF(BN240&gt;BM$7,
    "",
    VLOOKUP(BN240,BP$8:BV739,6,FALSE())
)</f>
        <v/>
      </c>
      <c r="CC240" s="53"/>
    </row>
    <row r="241" customFormat="false" ht="15.75" hidden="false" customHeight="false" outlineLevel="0" collapsed="false">
      <c r="A241" s="5"/>
      <c r="B241" s="125"/>
      <c r="C241" s="126"/>
      <c r="D241" s="115"/>
      <c r="E241" s="119"/>
      <c r="F241" s="119"/>
      <c r="G241" s="91"/>
      <c r="H241" s="92"/>
      <c r="I241" s="92"/>
      <c r="J241" s="128"/>
      <c r="K241" s="128"/>
      <c r="L241" s="128"/>
      <c r="M241" s="94"/>
      <c r="N241" s="94"/>
      <c r="O241" s="94"/>
      <c r="P241" s="95"/>
      <c r="Q241" s="96"/>
      <c r="R241" s="128"/>
      <c r="S241" s="98"/>
      <c r="T241" s="99"/>
      <c r="U241" s="99" t="str">
        <f aca="false">IF(ISBLANK($C241),"",IF(G241=Constants!$B$2, TRUE(), IF(G241=Constants!$B$3, FALSE(), TRUE())))</f>
        <v/>
      </c>
      <c r="V241" s="99" t="str">
        <f aca="false">IF(ISBLANK($C241),"",IF(H241=Constants!$B$2, TRUE(), IF(H241=Constants!$B$3, FALSE(), TRUE())))</f>
        <v/>
      </c>
      <c r="W241" s="99" t="str">
        <f aca="false">IF(ISBLANK($C241),"",IF(I241=Constants!$B$2, TRUE(), IF(I241=Constants!$B$3, FALSE(), TRUE())))</f>
        <v/>
      </c>
      <c r="X241" s="99" t="str">
        <f aca="false">IF(ISBLANK($C241),"",IF(AND(ISNUMBER(J241),J241&gt;0),INT(J241),0))</f>
        <v/>
      </c>
      <c r="Y241" s="99" t="str">
        <f aca="false">IF(ISBLANK($C241),"",IF(K241=Constants!$B$2, TRUE(), IF(K241=Constants!$B$3, FALSE(), TRUE())))</f>
        <v/>
      </c>
      <c r="Z241" s="100" t="str">
        <f aca="false">IF(ISBLANK($C241),"",IF(AND(ISNUMBER(L241),L241&gt;0),INT(L241),0))</f>
        <v/>
      </c>
      <c r="AA241" s="101" t="str">
        <f aca="false">IF(ISBLANK($C241),"",IF(ISNUMBER(M241), M241, ""))</f>
        <v/>
      </c>
      <c r="AB241" s="101" t="str">
        <f aca="false">IF(ISBLANK($C241),"",IF(ISNUMBER(N241), N241, ""))</f>
        <v/>
      </c>
      <c r="AC241" s="101" t="str">
        <f aca="false">IF(ISBLANK($C241),"",IF(ISNUMBER(O241), O241, ""))</f>
        <v/>
      </c>
      <c r="AD241" s="102" t="str">
        <f aca="false">IF(ISBLANK($C241),"",IF(ISNUMBER(P241), P241, ""))</f>
        <v/>
      </c>
      <c r="AE241" s="102" t="str">
        <f aca="false">IF(ISBLANK($C241),"",IF(ISNUMBER(Q241), Q241, Constants!$B$13))</f>
        <v/>
      </c>
      <c r="AF241" s="99" t="str">
        <f aca="false">IF(ISBLANK($C241),"",IF(R241=Constants!$B$2, TRUE(), IF(R241=Constants!$B$3, FALSE(), FALSE())))</f>
        <v/>
      </c>
      <c r="AG241" s="99" t="str">
        <f aca="false">IF(ISBLANK(C241), "", IF(AF241, Constants!$B$4,IF(COUNTA(G241:P241)=0, Constants!$B$5, Constants!$B$7)))</f>
        <v/>
      </c>
      <c r="AH241" s="99" t="str">
        <f aca="false">IF(ISBLANK($C241), "",IF($AG241=Constants!$B$7,1,$AG241))</f>
        <v/>
      </c>
      <c r="AI241" s="99" t="str">
        <f aca="false">IF($AG241=Constants!$B$7,POWER(Constants!$B$11,X241)*POWER(Constants!$B$12,Z241),"")</f>
        <v/>
      </c>
      <c r="AJ241" s="99" t="str">
        <f aca="false">IF(AND($AG241=Constants!$B$7, U241, V241) ,IF(OR($AA241="",$AC241=""),"",MAX(0, $AC241-$AA241)),"")</f>
        <v/>
      </c>
      <c r="AK241" s="99" t="str">
        <f aca="false">IF(AND($AG241=Constants!$B$7, U241, V241),IF(OR($AA241="",$AC241=""),$AK$6,""),"")</f>
        <v/>
      </c>
      <c r="AL241" s="99" t="str">
        <f aca="false">IF($AG241=Constants!$B$7,IF(AND(U241,V241,W241,Y241),IF($AJ241="",0,IF($AJ$6=0,Constants!$B$9,Constants!$B$9*AJ241/$AJ$6)), 0),"")</f>
        <v/>
      </c>
      <c r="AM241" s="99" t="str">
        <f aca="false">IF(AL241&lt;&gt;"", AL241*AI241,"")</f>
        <v/>
      </c>
      <c r="AN241" s="99" t="str">
        <f aca="false">IF(AND($AG241=Constants!$B$7, U241, V241) ,IF($AB241="", "", IF(OR($AC241="",$AC241=0),"",MAX(0,1-ABS($AC241-$AB241)/$AC241))),"")</f>
        <v/>
      </c>
      <c r="AO241" s="99" t="str">
        <f aca="false">IF(AND($AG241=Constants!$B$7, U241, V241),IF(AND($AA241&lt;&gt;"",$AB241&lt;&gt;"",$AC241=0),$AO$6,""),"")</f>
        <v/>
      </c>
      <c r="AP241" s="99" t="str">
        <f aca="false">IF($AG241=Constants!$B$7 ,IF(AND(U241,V241,W241,Y241,ISNUMBER(AB241)),IF($AN241="",0,IF($AN$6=0,Constants!$B$10,Constants!$B$10*AN241/$AN$6)), 0),"")</f>
        <v/>
      </c>
      <c r="AQ241" s="99" t="str">
        <f aca="false">IF(AP241&lt;&gt;"", AP241*AI241,"")</f>
        <v/>
      </c>
      <c r="AR241" s="99" t="str">
        <f aca="false">IF($AG241=Constants!$B$7,IF($AD241="",0,IF($AR$6=0,Constants!$B$8,Constants!$B$8*AD241/$AR$6)),"")</f>
        <v/>
      </c>
      <c r="AS241" s="99" t="str">
        <f aca="false">IF($AG241&lt;&gt;Constants!$B$7,$AG241,IF(AK241&amp;AO241&lt;&gt;"",Constants!$B$14,AM241+AQ241+AR241))</f>
        <v/>
      </c>
      <c r="AT241" s="99" t="str">
        <f aca="false">IF(ISBLANK($C241),"",IF($AG241=Constants!$B$7,IF(ISNUMBER(AS241),RANK(AS241,$AS$8:$AS$507),Constants!$B$14),$AG241))</f>
        <v/>
      </c>
      <c r="AU241" s="99" t="str">
        <f aca="false">IF(ISBLANK($C241), "",AM241)</f>
        <v/>
      </c>
      <c r="AV241" s="99" t="str">
        <f aca="false">IF(ISBLANK($C241),"",IF($AG241=Constants!$B$7,RANK(AU241,AU$8:AU$507),$AG241))</f>
        <v/>
      </c>
      <c r="AW241" s="99" t="str">
        <f aca="false">IF(ISBLANK($C241), "",AR241)</f>
        <v/>
      </c>
      <c r="AX241" s="99" t="str">
        <f aca="false">IF(ISBLANK($C241),"",IF($AG241=Constants!$B$7,RANK(AW241,AW$8:AW$507),$AG241))</f>
        <v/>
      </c>
      <c r="AY241" s="99" t="str">
        <f aca="false">IF(ISBLANK($C241), "",AE241)</f>
        <v/>
      </c>
      <c r="AZ241" s="99" t="str">
        <f aca="false">IF(ISBLANK($C241),"",
IF($AG241=Constants!$B$7,
  IF(ISNUMBER(AT241),
    COUNTIFS($AT$8:$AT$507,"&lt;"&amp;$AT241)
    + COUNTIFS($AT$8:$AT$507,$AT241,$AV$8:$AV$507,"&lt;"&amp;$AV241)
    + COUNTIFS($AT$8:$AT$507,$AT241,$AV$8:$AV$507,$AV241,$AX$8:$AX$507,"&lt;"&amp;$AX241)
    + COUNTIFS($AT$8:$AT$507,$AT241,$AV$8:$AV$507,$AV241,$AX$8:$AX$507,$AX241,$AY$8:$AY$507,"&lt;"&amp;$AY241)
    + 1,
  Constants!$B$14),
$AG241))</f>
        <v/>
      </c>
      <c r="BA241" s="99" t="str">
        <f aca="false">IF(ISBLANK(C241),"",IF($AG241=Constants!$B$7, IF(ISNUMBER(AT241),AT241-AZ241,Constants!$B$14),$AG241))</f>
        <v/>
      </c>
      <c r="BB241" s="103"/>
      <c r="BC241" s="104" t="str">
        <f aca="false">IF(ISBLANK($C241),"",TRIM(AK241&amp;" "&amp;AO241))</f>
        <v/>
      </c>
      <c r="BD241" s="105" t="str">
        <f aca="false">IF(ISBLANK($C241),"",IF($AG241&lt;&gt;Constants!$B$7,$AG241,AR241))</f>
        <v/>
      </c>
      <c r="BE241" s="105" t="str">
        <f aca="false">IF(ISBLANK($C241),"",IF($AG241&lt;&gt;Constants!$B$7,$AG241,AM241))</f>
        <v/>
      </c>
      <c r="BF241" s="105" t="str">
        <f aca="false">IF(ISBLANK($C241),"",IF($AG241&lt;&gt;Constants!$B$7,$AG241,AQ241))</f>
        <v/>
      </c>
      <c r="BG241" s="106" t="str">
        <f aca="false">IF(ISBLANK($C241),"",IF($AG241&lt;&gt;Constants!$B$7, $AG241 ,AS241))</f>
        <v/>
      </c>
      <c r="BH241" s="107" t="str">
        <f aca="false">IF(ISBLANK($C241),"",IF($AG241&lt;&gt;Constants!$B$7, $AG241 ,AH241))</f>
        <v/>
      </c>
      <c r="BI241" s="105" t="str">
        <f aca="false">IF(ISBLANK(C241),"",BA241)</f>
        <v/>
      </c>
      <c r="BJ241" s="105" t="str">
        <f aca="false">IF(ISBLANK(C241),"",AZ241)</f>
        <v/>
      </c>
      <c r="BK241" s="108" t="str">
        <f aca="false">IF(ISBLANK(C241),"",IFERROR(_xlfn.SWITCH(BJ241, Constants!$B$4, COUNTA($C$8:$C740)+2, Constants!$B$5, COUNTA($C$8:$C740)+1, Constants!$B$6, COUNTA($C$8:$C740)),BJ241))</f>
        <v/>
      </c>
      <c r="BL241" s="5"/>
      <c r="BM241" s="109" t="n">
        <f aca="false">IF(OR(ISNUMBER(BJ241),BJ241="DQ",BJ241="P",BJ241="NS"),
    1,
    0
)</f>
        <v>0</v>
      </c>
      <c r="BN241" s="109" t="n">
        <v>234</v>
      </c>
      <c r="BO241" s="109" t="str">
        <f aca="false">IF(ISBLANK($C241),"",IF(ISNUMBER(BK241),BK241+ROW($B241)/1000,""))</f>
        <v/>
      </c>
      <c r="BP241" s="109" t="str">
        <f aca="false">IF(ISNUMBER(BO241), RANK(BO241,BO$8:BO$507,1), "")</f>
        <v/>
      </c>
      <c r="BQ241" s="109" t="str">
        <f aca="false">IF(ISBLANK($C241),
    "",
    $B241
)</f>
        <v/>
      </c>
      <c r="BR241" s="109" t="str">
        <f aca="false">IF(ISBLANK($C241),
    "",
    $C241
)</f>
        <v/>
      </c>
      <c r="BS241" s="109" t="str">
        <f aca="false">IF(ISBLANK($C241),
    "",
    $D241
)</f>
        <v/>
      </c>
      <c r="BT241" s="110" t="str">
        <f aca="false">BH241</f>
        <v/>
      </c>
      <c r="BU241" s="111" t="str">
        <f aca="false">BG241</f>
        <v/>
      </c>
      <c r="BV241" s="109" t="str">
        <f aca="false">IF(ISBLANK($C241),
    "",
    BJ241
)</f>
        <v/>
      </c>
      <c r="BW241" s="112" t="str">
        <f aca="false">IF(BN241&gt;BM$7,
    "",
    VLOOKUP(BN241,BP$8:BV740,7,FALSE())
)</f>
        <v/>
      </c>
      <c r="BX241" s="113" t="str">
        <f aca="false">IF(BN241&gt;BM$7,
    "",
    VLOOKUP(BN241,BP$8:BV740,2,FALSE())
)</f>
        <v/>
      </c>
      <c r="BY241" s="113" t="str">
        <f aca="false">IF(BN241&gt;BM$7,
    "",
    VLOOKUP(BN241,BP$8:BV740,3,FALSE())
)</f>
        <v/>
      </c>
      <c r="BZ241" s="113" t="str">
        <f aca="false">IF(BN241&gt;BM$7,
    "",
    VLOOKUP(BN241,BP$8:BV740,4,FALSE())
)</f>
        <v/>
      </c>
      <c r="CA241" s="113" t="str">
        <f aca="false">IF(BN241&gt;BM$7,
    "",
    VLOOKUP(BN241,BP$8:BV740,5,FALSE())
)</f>
        <v/>
      </c>
      <c r="CB241" s="114" t="str">
        <f aca="false">IF(BN241&gt;BM$7,
    "",
    VLOOKUP(BN241,BP$8:BV740,6,FALSE())
)</f>
        <v/>
      </c>
      <c r="CC241" s="53"/>
    </row>
    <row r="242" customFormat="false" ht="15.75" hidden="false" customHeight="false" outlineLevel="0" collapsed="false">
      <c r="A242" s="5"/>
      <c r="B242" s="129"/>
      <c r="C242" s="55"/>
      <c r="D242" s="56"/>
      <c r="E242" s="123"/>
      <c r="F242" s="123"/>
      <c r="G242" s="58"/>
      <c r="H242" s="59"/>
      <c r="I242" s="59"/>
      <c r="J242" s="83"/>
      <c r="K242" s="83"/>
      <c r="L242" s="83"/>
      <c r="M242" s="61"/>
      <c r="N242" s="61"/>
      <c r="O242" s="61"/>
      <c r="P242" s="62"/>
      <c r="Q242" s="63"/>
      <c r="R242" s="83"/>
      <c r="S242" s="65"/>
      <c r="T242" s="66"/>
      <c r="U242" s="66" t="str">
        <f aca="false">IF(ISBLANK($C242),"",IF(G242=Constants!$B$2, TRUE(), IF(G242=Constants!$B$3, FALSE(), TRUE())))</f>
        <v/>
      </c>
      <c r="V242" s="66" t="str">
        <f aca="false">IF(ISBLANK($C242),"",IF(H242=Constants!$B$2, TRUE(), IF(H242=Constants!$B$3, FALSE(), TRUE())))</f>
        <v/>
      </c>
      <c r="W242" s="66" t="str">
        <f aca="false">IF(ISBLANK($C242),"",IF(I242=Constants!$B$2, TRUE(), IF(I242=Constants!$B$3, FALSE(), TRUE())))</f>
        <v/>
      </c>
      <c r="X242" s="66" t="str">
        <f aca="false">IF(ISBLANK($C242),"",IF(AND(ISNUMBER(J242),J242&gt;0),INT(J242),0))</f>
        <v/>
      </c>
      <c r="Y242" s="66" t="str">
        <f aca="false">IF(ISBLANK($C242),"",IF(K242=Constants!$B$2, TRUE(), IF(K242=Constants!$B$3, FALSE(), TRUE())))</f>
        <v/>
      </c>
      <c r="Z242" s="66" t="str">
        <f aca="false">IF(ISBLANK($C242),"",IF(AND(ISNUMBER(L242),L242&gt;0),INT(L242),0))</f>
        <v/>
      </c>
      <c r="AA242" s="68" t="str">
        <f aca="false">IF(ISBLANK($C242),"",IF(ISNUMBER(M242), M242, ""))</f>
        <v/>
      </c>
      <c r="AB242" s="68" t="str">
        <f aca="false">IF(ISBLANK($C242),"",IF(ISNUMBER(N242), N242, ""))</f>
        <v/>
      </c>
      <c r="AC242" s="68" t="str">
        <f aca="false">IF(ISBLANK($C242),"",IF(ISNUMBER(O242), O242, ""))</f>
        <v/>
      </c>
      <c r="AD242" s="69" t="str">
        <f aca="false">IF(ISBLANK($C242),"",IF(ISNUMBER(P242), P242, ""))</f>
        <v/>
      </c>
      <c r="AE242" s="69" t="str">
        <f aca="false">IF(ISBLANK($C242),"",IF(ISNUMBER(Q242), Q242, Constants!$B$13))</f>
        <v/>
      </c>
      <c r="AF242" s="66" t="str">
        <f aca="false">IF(ISBLANK($C242),"",IF(R242=Constants!$B$2, TRUE(), IF(R242=Constants!$B$3, FALSE(), FALSE())))</f>
        <v/>
      </c>
      <c r="AG242" s="66" t="str">
        <f aca="false">IF(ISBLANK(C242), "", IF(AF242, Constants!$B$4,IF(COUNTA(G242:P242)=0, Constants!$B$5, Constants!$B$7)))</f>
        <v/>
      </c>
      <c r="AH242" s="66" t="str">
        <f aca="false">IF(ISBLANK($C242), "",IF($AG242=Constants!$B$7,1,$AG242))</f>
        <v/>
      </c>
      <c r="AI242" s="66" t="str">
        <f aca="false">IF($AG242=Constants!$B$7,POWER(Constants!$B$11,X242)*POWER(Constants!$B$12,Z242),"")</f>
        <v/>
      </c>
      <c r="AJ242" s="66" t="str">
        <f aca="false">IF(AND($AG242=Constants!$B$7, U242, V242) ,IF(OR($AA242="",$AC242=""),"",MAX(0, $AC242-$AA242)),"")</f>
        <v/>
      </c>
      <c r="AK242" s="66" t="str">
        <f aca="false">IF(AND($AG242=Constants!$B$7, U242, V242),IF(OR($AA242="",$AC242=""),$AK$6,""),"")</f>
        <v/>
      </c>
      <c r="AL242" s="66" t="str">
        <f aca="false">IF($AG242=Constants!$B$7,IF(AND(U242,V242,W242,Y242),IF($AJ242="",0,IF($AJ$6=0,Constants!$B$9,Constants!$B$9*AJ242/$AJ$6)), 0),"")</f>
        <v/>
      </c>
      <c r="AM242" s="66" t="str">
        <f aca="false">IF(AL242&lt;&gt;"", AL242*AI242,"")</f>
        <v/>
      </c>
      <c r="AN242" s="66" t="str">
        <f aca="false">IF(AND($AG242=Constants!$B$7, U242, V242) ,IF($AB242="", "", IF(OR($AC242="",$AC242=0),"",MAX(0,1-ABS($AC242-$AB242)/$AC242))),"")</f>
        <v/>
      </c>
      <c r="AO242" s="66" t="str">
        <f aca="false">IF(AND($AG242=Constants!$B$7, U242, V242),IF(AND($AA242&lt;&gt;"",$AB242&lt;&gt;"",$AC242=0),$AO$6,""),"")</f>
        <v/>
      </c>
      <c r="AP242" s="66" t="str">
        <f aca="false">IF($AG242=Constants!$B$7 ,IF(AND(U242,V242,W242,Y242,ISNUMBER(AB242)),IF($AN242="",0,IF($AN$6=0,Constants!$B$10,Constants!$B$10*AN242/$AN$6)), 0),"")</f>
        <v/>
      </c>
      <c r="AQ242" s="66" t="str">
        <f aca="false">IF(AP242&lt;&gt;"", AP242*AI242,"")</f>
        <v/>
      </c>
      <c r="AR242" s="66" t="str">
        <f aca="false">IF($AG242=Constants!$B$7,IF($AD242="",0,IF($AR$6=0,Constants!$B$8,Constants!$B$8*AD242/$AR$6)),"")</f>
        <v/>
      </c>
      <c r="AS242" s="66" t="str">
        <f aca="false">IF($AG242&lt;&gt;Constants!$B$7,$AG242,IF(AK242&amp;AO242&lt;&gt;"",Constants!$B$14,AM242+AQ242+AR242))</f>
        <v/>
      </c>
      <c r="AT242" s="66" t="str">
        <f aca="false">IF(ISBLANK($C242),"",IF($AG242=Constants!$B$7,IF(ISNUMBER(AS242),RANK(AS242,$AS$8:$AS$507),Constants!$B$14),$AG242))</f>
        <v/>
      </c>
      <c r="AU242" s="66" t="str">
        <f aca="false">IF(ISBLANK($C242), "",AM242)</f>
        <v/>
      </c>
      <c r="AV242" s="66" t="str">
        <f aca="false">IF(ISBLANK($C242),"",IF($AG242=Constants!$B$7,RANK(AU242,AU$8:AU$507),$AG242))</f>
        <v/>
      </c>
      <c r="AW242" s="66" t="str">
        <f aca="false">IF(ISBLANK($C242), "",AR242)</f>
        <v/>
      </c>
      <c r="AX242" s="66" t="str">
        <f aca="false">IF(ISBLANK($C242),"",IF($AG242=Constants!$B$7,RANK(AW242,AW$8:AW$507),$AG242))</f>
        <v/>
      </c>
      <c r="AY242" s="66" t="str">
        <f aca="false">IF(ISBLANK($C242), "",AE242)</f>
        <v/>
      </c>
      <c r="AZ242" s="66" t="str">
        <f aca="false">IF(ISBLANK($C242),"",
IF($AG242=Constants!$B$7,
  IF(ISNUMBER(AT242),
    COUNTIFS($AT$8:$AT$507,"&lt;"&amp;$AT242)
    + COUNTIFS($AT$8:$AT$507,$AT242,$AV$8:$AV$507,"&lt;"&amp;$AV242)
    + COUNTIFS($AT$8:$AT$507,$AT242,$AV$8:$AV$507,$AV242,$AX$8:$AX$507,"&lt;"&amp;$AX242)
    + COUNTIFS($AT$8:$AT$507,$AT242,$AV$8:$AV$507,$AV242,$AX$8:$AX$507,$AX242,$AY$8:$AY$507,"&lt;"&amp;$AY242)
    + 1,
  Constants!$B$14),
$AG242))</f>
        <v/>
      </c>
      <c r="BA242" s="66" t="str">
        <f aca="false">IF(ISBLANK(C242),"",IF($AG242=Constants!$B$7, IF(ISNUMBER(AT242),AT242-AZ242,Constants!$B$14),$AG242))</f>
        <v/>
      </c>
      <c r="BB242" s="70"/>
      <c r="BC242" s="84" t="str">
        <f aca="false">IF(ISBLANK($C242),"",TRIM(AK242&amp;" "&amp;AO242))</f>
        <v/>
      </c>
      <c r="BD242" s="72" t="str">
        <f aca="false">IF(ISBLANK($C242),"",IF($AG242&lt;&gt;Constants!$B$7,$AG242,AR242))</f>
        <v/>
      </c>
      <c r="BE242" s="72" t="str">
        <f aca="false">IF(ISBLANK($C242),"",IF($AG242&lt;&gt;Constants!$B$7,$AG242,AM242))</f>
        <v/>
      </c>
      <c r="BF242" s="72" t="str">
        <f aca="false">IF(ISBLANK($C242),"",IF($AG242&lt;&gt;Constants!$B$7,$AG242,AQ242))</f>
        <v/>
      </c>
      <c r="BG242" s="73" t="str">
        <f aca="false">IF(ISBLANK($C242),"",IF($AG242&lt;&gt;Constants!$B$7, $AG242 ,AS242))</f>
        <v/>
      </c>
      <c r="BH242" s="74" t="str">
        <f aca="false">IF(ISBLANK($C242),"",IF($AG242&lt;&gt;Constants!$B$7, $AG242 ,AH242))</f>
        <v/>
      </c>
      <c r="BI242" s="72" t="str">
        <f aca="false">IF(ISBLANK(C242),"",BA242)</f>
        <v/>
      </c>
      <c r="BJ242" s="72" t="str">
        <f aca="false">IF(ISBLANK(C242),"",AZ242)</f>
        <v/>
      </c>
      <c r="BK242" s="75" t="str">
        <f aca="false">IF(ISBLANK(C242),"",IFERROR(_xlfn.SWITCH(BJ242, Constants!$B$4, COUNTA($C$8:$C741)+2, Constants!$B$5, COUNTA($C$8:$C741)+1, Constants!$B$6, COUNTA($C$8:$C741)),BJ242))</f>
        <v/>
      </c>
      <c r="BL242" s="5"/>
      <c r="BM242" s="76" t="n">
        <f aca="false">IF(OR(ISNUMBER(BJ242),BJ242="DQ",BJ242="P",BJ242="NS"),
    1,
    0
)</f>
        <v>0</v>
      </c>
      <c r="BN242" s="76" t="n">
        <v>235</v>
      </c>
      <c r="BO242" s="76" t="str">
        <f aca="false">IF(ISBLANK($C242),"",IF(ISNUMBER(BK242),BK242+ROW($B242)/1000,""))</f>
        <v/>
      </c>
      <c r="BP242" s="76" t="str">
        <f aca="false">IF(ISNUMBER(BO242), RANK(BO242,BO$8:BO$507,1), "")</f>
        <v/>
      </c>
      <c r="BQ242" s="76" t="str">
        <f aca="false">IF(ISBLANK($C242),
    "",
    $B242
)</f>
        <v/>
      </c>
      <c r="BR242" s="76" t="str">
        <f aca="false">IF(ISBLANK($C242),
    "",
    $C242
)</f>
        <v/>
      </c>
      <c r="BS242" s="76" t="str">
        <f aca="false">IF(ISBLANK($C242),
    "",
    $D242
)</f>
        <v/>
      </c>
      <c r="BT242" s="77" t="str">
        <f aca="false">BH242</f>
        <v/>
      </c>
      <c r="BU242" s="78" t="str">
        <f aca="false">BG242</f>
        <v/>
      </c>
      <c r="BV242" s="76" t="str">
        <f aca="false">IF(ISBLANK($C242),
    "",
    BJ242
)</f>
        <v/>
      </c>
      <c r="BW242" s="79" t="str">
        <f aca="false">IF(BN242&gt;BM$7,
    "",
    VLOOKUP(BN242,BP$8:BV741,7,FALSE())
)</f>
        <v/>
      </c>
      <c r="BX242" s="80" t="str">
        <f aca="false">IF(BN242&gt;BM$7,
    "",
    VLOOKUP(BN242,BP$8:BV741,2,FALSE())
)</f>
        <v/>
      </c>
      <c r="BY242" s="80" t="str">
        <f aca="false">IF(BN242&gt;BM$7,
    "",
    VLOOKUP(BN242,BP$8:BV741,3,FALSE())
)</f>
        <v/>
      </c>
      <c r="BZ242" s="80" t="str">
        <f aca="false">IF(BN242&gt;BM$7,
    "",
    VLOOKUP(BN242,BP$8:BV741,4,FALSE())
)</f>
        <v/>
      </c>
      <c r="CA242" s="80" t="str">
        <f aca="false">IF(BN242&gt;BM$7,
    "",
    VLOOKUP(BN242,BP$8:BV741,5,FALSE())
)</f>
        <v/>
      </c>
      <c r="CB242" s="81" t="str">
        <f aca="false">IF(BN242&gt;BM$7,
    "",
    VLOOKUP(BN242,BP$8:BV741,6,FALSE())
)</f>
        <v/>
      </c>
      <c r="CC242" s="53"/>
    </row>
    <row r="243" customFormat="false" ht="15.75" hidden="false" customHeight="false" outlineLevel="0" collapsed="false">
      <c r="A243" s="5"/>
      <c r="B243" s="129"/>
      <c r="C243" s="55"/>
      <c r="D243" s="56"/>
      <c r="E243" s="123"/>
      <c r="F243" s="123"/>
      <c r="G243" s="58"/>
      <c r="H243" s="59"/>
      <c r="I243" s="59"/>
      <c r="J243" s="83"/>
      <c r="K243" s="83"/>
      <c r="L243" s="83"/>
      <c r="M243" s="61"/>
      <c r="N243" s="61"/>
      <c r="O243" s="61"/>
      <c r="P243" s="62"/>
      <c r="Q243" s="63"/>
      <c r="R243" s="83"/>
      <c r="S243" s="65"/>
      <c r="T243" s="66"/>
      <c r="U243" s="66" t="str">
        <f aca="false">IF(ISBLANK($C243),"",IF(G243=Constants!$B$2, TRUE(), IF(G243=Constants!$B$3, FALSE(), TRUE())))</f>
        <v/>
      </c>
      <c r="V243" s="66" t="str">
        <f aca="false">IF(ISBLANK($C243),"",IF(H243=Constants!$B$2, TRUE(), IF(H243=Constants!$B$3, FALSE(), TRUE())))</f>
        <v/>
      </c>
      <c r="W243" s="66" t="str">
        <f aca="false">IF(ISBLANK($C243),"",IF(I243=Constants!$B$2, TRUE(), IF(I243=Constants!$B$3, FALSE(), TRUE())))</f>
        <v/>
      </c>
      <c r="X243" s="66" t="str">
        <f aca="false">IF(ISBLANK($C243),"",IF(AND(ISNUMBER(J243),J243&gt;0),INT(J243),0))</f>
        <v/>
      </c>
      <c r="Y243" s="66" t="str">
        <f aca="false">IF(ISBLANK($C243),"",IF(K243=Constants!$B$2, TRUE(), IF(K243=Constants!$B$3, FALSE(), TRUE())))</f>
        <v/>
      </c>
      <c r="Z243" s="66" t="str">
        <f aca="false">IF(ISBLANK($C243),"",IF(AND(ISNUMBER(L243),L243&gt;0),INT(L243),0))</f>
        <v/>
      </c>
      <c r="AA243" s="68" t="str">
        <f aca="false">IF(ISBLANK($C243),"",IF(ISNUMBER(M243), M243, ""))</f>
        <v/>
      </c>
      <c r="AB243" s="68" t="str">
        <f aca="false">IF(ISBLANK($C243),"",IF(ISNUMBER(N243), N243, ""))</f>
        <v/>
      </c>
      <c r="AC243" s="68" t="str">
        <f aca="false">IF(ISBLANK($C243),"",IF(ISNUMBER(O243), O243, ""))</f>
        <v/>
      </c>
      <c r="AD243" s="69" t="str">
        <f aca="false">IF(ISBLANK($C243),"",IF(ISNUMBER(P243), P243, ""))</f>
        <v/>
      </c>
      <c r="AE243" s="69" t="str">
        <f aca="false">IF(ISBLANK($C243),"",IF(ISNUMBER(Q243), Q243, Constants!$B$13))</f>
        <v/>
      </c>
      <c r="AF243" s="66" t="str">
        <f aca="false">IF(ISBLANK($C243),"",IF(R243=Constants!$B$2, TRUE(), IF(R243=Constants!$B$3, FALSE(), FALSE())))</f>
        <v/>
      </c>
      <c r="AG243" s="66" t="str">
        <f aca="false">IF(ISBLANK(C243), "", IF(AF243, Constants!$B$4,IF(COUNTA(G243:P243)=0, Constants!$B$5, Constants!$B$7)))</f>
        <v/>
      </c>
      <c r="AH243" s="66" t="str">
        <f aca="false">IF(ISBLANK($C243), "",IF($AG243=Constants!$B$7,1,$AG243))</f>
        <v/>
      </c>
      <c r="AI243" s="66" t="str">
        <f aca="false">IF($AG243=Constants!$B$7,POWER(Constants!$B$11,X243)*POWER(Constants!$B$12,Z243),"")</f>
        <v/>
      </c>
      <c r="AJ243" s="66" t="str">
        <f aca="false">IF(AND($AG243=Constants!$B$7, U243, V243) ,IF(OR($AA243="",$AC243=""),"",MAX(0, $AC243-$AA243)),"")</f>
        <v/>
      </c>
      <c r="AK243" s="66" t="str">
        <f aca="false">IF(AND($AG243=Constants!$B$7, U243, V243),IF(OR($AA243="",$AC243=""),$AK$6,""),"")</f>
        <v/>
      </c>
      <c r="AL243" s="66" t="str">
        <f aca="false">IF($AG243=Constants!$B$7,IF(AND(U243,V243,W243,Y243),IF($AJ243="",0,IF($AJ$6=0,Constants!$B$9,Constants!$B$9*AJ243/$AJ$6)), 0),"")</f>
        <v/>
      </c>
      <c r="AM243" s="66" t="str">
        <f aca="false">IF(AL243&lt;&gt;"", AL243*AI243,"")</f>
        <v/>
      </c>
      <c r="AN243" s="66" t="str">
        <f aca="false">IF(AND($AG243=Constants!$B$7, U243, V243) ,IF($AB243="", "", IF(OR($AC243="",$AC243=0),"",MAX(0,1-ABS($AC243-$AB243)/$AC243))),"")</f>
        <v/>
      </c>
      <c r="AO243" s="66" t="str">
        <f aca="false">IF(AND($AG243=Constants!$B$7, U243, V243),IF(AND($AA243&lt;&gt;"",$AB243&lt;&gt;"",$AC243=0),$AO$6,""),"")</f>
        <v/>
      </c>
      <c r="AP243" s="66" t="str">
        <f aca="false">IF($AG243=Constants!$B$7 ,IF(AND(U243,V243,W243,Y243,ISNUMBER(AB243)),IF($AN243="",0,IF($AN$6=0,Constants!$B$10,Constants!$B$10*AN243/$AN$6)), 0),"")</f>
        <v/>
      </c>
      <c r="AQ243" s="66" t="str">
        <f aca="false">IF(AP243&lt;&gt;"", AP243*AI243,"")</f>
        <v/>
      </c>
      <c r="AR243" s="66" t="str">
        <f aca="false">IF($AG243=Constants!$B$7,IF($AD243="",0,IF($AR$6=0,Constants!$B$8,Constants!$B$8*AD243/$AR$6)),"")</f>
        <v/>
      </c>
      <c r="AS243" s="66" t="str">
        <f aca="false">IF($AG243&lt;&gt;Constants!$B$7,$AG243,IF(AK243&amp;AO243&lt;&gt;"",Constants!$B$14,AM243+AQ243+AR243))</f>
        <v/>
      </c>
      <c r="AT243" s="66" t="str">
        <f aca="false">IF(ISBLANK($C243),"",IF($AG243=Constants!$B$7,IF(ISNUMBER(AS243),RANK(AS243,$AS$8:$AS$507),Constants!$B$14),$AG243))</f>
        <v/>
      </c>
      <c r="AU243" s="66" t="str">
        <f aca="false">IF(ISBLANK($C243), "",AM243)</f>
        <v/>
      </c>
      <c r="AV243" s="66" t="str">
        <f aca="false">IF(ISBLANK($C243),"",IF($AG243=Constants!$B$7,RANK(AU243,AU$8:AU$507),$AG243))</f>
        <v/>
      </c>
      <c r="AW243" s="66" t="str">
        <f aca="false">IF(ISBLANK($C243), "",AR243)</f>
        <v/>
      </c>
      <c r="AX243" s="66" t="str">
        <f aca="false">IF(ISBLANK($C243),"",IF($AG243=Constants!$B$7,RANK(AW243,AW$8:AW$507),$AG243))</f>
        <v/>
      </c>
      <c r="AY243" s="66" t="str">
        <f aca="false">IF(ISBLANK($C243), "",AE243)</f>
        <v/>
      </c>
      <c r="AZ243" s="66" t="str">
        <f aca="false">IF(ISBLANK($C243),"",
IF($AG243=Constants!$B$7,
  IF(ISNUMBER(AT243),
    COUNTIFS($AT$8:$AT$507,"&lt;"&amp;$AT243)
    + COUNTIFS($AT$8:$AT$507,$AT243,$AV$8:$AV$507,"&lt;"&amp;$AV243)
    + COUNTIFS($AT$8:$AT$507,$AT243,$AV$8:$AV$507,$AV243,$AX$8:$AX$507,"&lt;"&amp;$AX243)
    + COUNTIFS($AT$8:$AT$507,$AT243,$AV$8:$AV$507,$AV243,$AX$8:$AX$507,$AX243,$AY$8:$AY$507,"&lt;"&amp;$AY243)
    + 1,
  Constants!$B$14),
$AG243))</f>
        <v/>
      </c>
      <c r="BA243" s="66" t="str">
        <f aca="false">IF(ISBLANK(C243),"",IF($AG243=Constants!$B$7, IF(ISNUMBER(AT243),AT243-AZ243,Constants!$B$14),$AG243))</f>
        <v/>
      </c>
      <c r="BB243" s="70"/>
      <c r="BC243" s="84" t="str">
        <f aca="false">IF(ISBLANK($C243),"",TRIM(AK243&amp;" "&amp;AO243))</f>
        <v/>
      </c>
      <c r="BD243" s="72" t="str">
        <f aca="false">IF(ISBLANK($C243),"",IF($AG243&lt;&gt;Constants!$B$7,$AG243,AR243))</f>
        <v/>
      </c>
      <c r="BE243" s="72" t="str">
        <f aca="false">IF(ISBLANK($C243),"",IF($AG243&lt;&gt;Constants!$B$7,$AG243,AM243))</f>
        <v/>
      </c>
      <c r="BF243" s="72" t="str">
        <f aca="false">IF(ISBLANK($C243),"",IF($AG243&lt;&gt;Constants!$B$7,$AG243,AQ243))</f>
        <v/>
      </c>
      <c r="BG243" s="73" t="str">
        <f aca="false">IF(ISBLANK($C243),"",IF($AG243&lt;&gt;Constants!$B$7, $AG243 ,AS243))</f>
        <v/>
      </c>
      <c r="BH243" s="74" t="str">
        <f aca="false">IF(ISBLANK($C243),"",IF($AG243&lt;&gt;Constants!$B$7, $AG243 ,AH243))</f>
        <v/>
      </c>
      <c r="BI243" s="72" t="str">
        <f aca="false">IF(ISBLANK(C243),"",BA243)</f>
        <v/>
      </c>
      <c r="BJ243" s="72" t="str">
        <f aca="false">IF(ISBLANK(C243),"",AZ243)</f>
        <v/>
      </c>
      <c r="BK243" s="75" t="str">
        <f aca="false">IF(ISBLANK(C243),"",IFERROR(_xlfn.SWITCH(BJ243, Constants!$B$4, COUNTA($C$8:$C742)+2, Constants!$B$5, COUNTA($C$8:$C742)+1, Constants!$B$6, COUNTA($C$8:$C742)),BJ243))</f>
        <v/>
      </c>
      <c r="BL243" s="5"/>
      <c r="BM243" s="76" t="n">
        <f aca="false">IF(OR(ISNUMBER(BJ243),BJ243="DQ",BJ243="P",BJ243="NS"),
    1,
    0
)</f>
        <v>0</v>
      </c>
      <c r="BN243" s="76" t="n">
        <v>236</v>
      </c>
      <c r="BO243" s="76" t="str">
        <f aca="false">IF(ISBLANK($C243),"",IF(ISNUMBER(BK243),BK243+ROW($B243)/1000,""))</f>
        <v/>
      </c>
      <c r="BP243" s="76" t="str">
        <f aca="false">IF(ISNUMBER(BO243), RANK(BO243,BO$8:BO$507,1), "")</f>
        <v/>
      </c>
      <c r="BQ243" s="76" t="str">
        <f aca="false">IF(ISBLANK($C243),
    "",
    $B243
)</f>
        <v/>
      </c>
      <c r="BR243" s="76" t="str">
        <f aca="false">IF(ISBLANK($C243),
    "",
    $C243
)</f>
        <v/>
      </c>
      <c r="BS243" s="76" t="str">
        <f aca="false">IF(ISBLANK($C243),
    "",
    $D243
)</f>
        <v/>
      </c>
      <c r="BT243" s="77" t="str">
        <f aca="false">BH243</f>
        <v/>
      </c>
      <c r="BU243" s="78" t="str">
        <f aca="false">BG243</f>
        <v/>
      </c>
      <c r="BV243" s="76" t="str">
        <f aca="false">IF(ISBLANK($C243),
    "",
    BJ243
)</f>
        <v/>
      </c>
      <c r="BW243" s="79" t="str">
        <f aca="false">IF(BN243&gt;BM$7,
    "",
    VLOOKUP(BN243,BP$8:BV742,7,FALSE())
)</f>
        <v/>
      </c>
      <c r="BX243" s="80" t="str">
        <f aca="false">IF(BN243&gt;BM$7,
    "",
    VLOOKUP(BN243,BP$8:BV742,2,FALSE())
)</f>
        <v/>
      </c>
      <c r="BY243" s="80" t="str">
        <f aca="false">IF(BN243&gt;BM$7,
    "",
    VLOOKUP(BN243,BP$8:BV742,3,FALSE())
)</f>
        <v/>
      </c>
      <c r="BZ243" s="80" t="str">
        <f aca="false">IF(BN243&gt;BM$7,
    "",
    VLOOKUP(BN243,BP$8:BV742,4,FALSE())
)</f>
        <v/>
      </c>
      <c r="CA243" s="80" t="str">
        <f aca="false">IF(BN243&gt;BM$7,
    "",
    VLOOKUP(BN243,BP$8:BV742,5,FALSE())
)</f>
        <v/>
      </c>
      <c r="CB243" s="81" t="str">
        <f aca="false">IF(BN243&gt;BM$7,
    "",
    VLOOKUP(BN243,BP$8:BV742,6,FALSE())
)</f>
        <v/>
      </c>
      <c r="CC243" s="53"/>
    </row>
    <row r="244" customFormat="false" ht="15.75" hidden="false" customHeight="false" outlineLevel="0" collapsed="false">
      <c r="A244" s="5"/>
      <c r="B244" s="129"/>
      <c r="C244" s="55"/>
      <c r="D244" s="56"/>
      <c r="E244" s="123"/>
      <c r="F244" s="123"/>
      <c r="G244" s="58"/>
      <c r="H244" s="59"/>
      <c r="I244" s="59"/>
      <c r="J244" s="83"/>
      <c r="K244" s="83"/>
      <c r="L244" s="83"/>
      <c r="M244" s="61"/>
      <c r="N244" s="61"/>
      <c r="O244" s="61"/>
      <c r="P244" s="62"/>
      <c r="Q244" s="63"/>
      <c r="R244" s="83"/>
      <c r="S244" s="65"/>
      <c r="T244" s="66"/>
      <c r="U244" s="66" t="str">
        <f aca="false">IF(ISBLANK($C244),"",IF(G244=Constants!$B$2, TRUE(), IF(G244=Constants!$B$3, FALSE(), TRUE())))</f>
        <v/>
      </c>
      <c r="V244" s="66" t="str">
        <f aca="false">IF(ISBLANK($C244),"",IF(H244=Constants!$B$2, TRUE(), IF(H244=Constants!$B$3, FALSE(), TRUE())))</f>
        <v/>
      </c>
      <c r="W244" s="66" t="str">
        <f aca="false">IF(ISBLANK($C244),"",IF(I244=Constants!$B$2, TRUE(), IF(I244=Constants!$B$3, FALSE(), TRUE())))</f>
        <v/>
      </c>
      <c r="X244" s="66" t="str">
        <f aca="false">IF(ISBLANK($C244),"",IF(AND(ISNUMBER(J244),J244&gt;0),INT(J244),0))</f>
        <v/>
      </c>
      <c r="Y244" s="66" t="str">
        <f aca="false">IF(ISBLANK($C244),"",IF(K244=Constants!$B$2, TRUE(), IF(K244=Constants!$B$3, FALSE(), TRUE())))</f>
        <v/>
      </c>
      <c r="Z244" s="66" t="str">
        <f aca="false">IF(ISBLANK($C244),"",IF(AND(ISNUMBER(L244),L244&gt;0),INT(L244),0))</f>
        <v/>
      </c>
      <c r="AA244" s="68" t="str">
        <f aca="false">IF(ISBLANK($C244),"",IF(ISNUMBER(M244), M244, ""))</f>
        <v/>
      </c>
      <c r="AB244" s="68" t="str">
        <f aca="false">IF(ISBLANK($C244),"",IF(ISNUMBER(N244), N244, ""))</f>
        <v/>
      </c>
      <c r="AC244" s="68" t="str">
        <f aca="false">IF(ISBLANK($C244),"",IF(ISNUMBER(O244), O244, ""))</f>
        <v/>
      </c>
      <c r="AD244" s="69" t="str">
        <f aca="false">IF(ISBLANK($C244),"",IF(ISNUMBER(P244), P244, ""))</f>
        <v/>
      </c>
      <c r="AE244" s="69" t="str">
        <f aca="false">IF(ISBLANK($C244),"",IF(ISNUMBER(Q244), Q244, Constants!$B$13))</f>
        <v/>
      </c>
      <c r="AF244" s="66" t="str">
        <f aca="false">IF(ISBLANK($C244),"",IF(R244=Constants!$B$2, TRUE(), IF(R244=Constants!$B$3, FALSE(), FALSE())))</f>
        <v/>
      </c>
      <c r="AG244" s="66" t="str">
        <f aca="false">IF(ISBLANK(C244), "", IF(AF244, Constants!$B$4,IF(COUNTA(G244:P244)=0, Constants!$B$5, Constants!$B$7)))</f>
        <v/>
      </c>
      <c r="AH244" s="66" t="str">
        <f aca="false">IF(ISBLANK($C244), "",IF($AG244=Constants!$B$7,1,$AG244))</f>
        <v/>
      </c>
      <c r="AI244" s="66" t="str">
        <f aca="false">IF($AG244=Constants!$B$7,POWER(Constants!$B$11,X244)*POWER(Constants!$B$12,Z244),"")</f>
        <v/>
      </c>
      <c r="AJ244" s="66" t="str">
        <f aca="false">IF(AND($AG244=Constants!$B$7, U244, V244) ,IF(OR($AA244="",$AC244=""),"",MAX(0, $AC244-$AA244)),"")</f>
        <v/>
      </c>
      <c r="AK244" s="66" t="str">
        <f aca="false">IF(AND($AG244=Constants!$B$7, U244, V244),IF(OR($AA244="",$AC244=""),$AK$6,""),"")</f>
        <v/>
      </c>
      <c r="AL244" s="66" t="str">
        <f aca="false">IF($AG244=Constants!$B$7,IF(AND(U244,V244,W244,Y244),IF($AJ244="",0,IF($AJ$6=0,Constants!$B$9,Constants!$B$9*AJ244/$AJ$6)), 0),"")</f>
        <v/>
      </c>
      <c r="AM244" s="66" t="str">
        <f aca="false">IF(AL244&lt;&gt;"", AL244*AI244,"")</f>
        <v/>
      </c>
      <c r="AN244" s="66" t="str">
        <f aca="false">IF(AND($AG244=Constants!$B$7, U244, V244) ,IF($AB244="", "", IF(OR($AC244="",$AC244=0),"",MAX(0,1-ABS($AC244-$AB244)/$AC244))),"")</f>
        <v/>
      </c>
      <c r="AO244" s="66" t="str">
        <f aca="false">IF(AND($AG244=Constants!$B$7, U244, V244),IF(AND($AA244&lt;&gt;"",$AB244&lt;&gt;"",$AC244=0),$AO$6,""),"")</f>
        <v/>
      </c>
      <c r="AP244" s="66" t="str">
        <f aca="false">IF($AG244=Constants!$B$7 ,IF(AND(U244,V244,W244,Y244,ISNUMBER(AB244)),IF($AN244="",0,IF($AN$6=0,Constants!$B$10,Constants!$B$10*AN244/$AN$6)), 0),"")</f>
        <v/>
      </c>
      <c r="AQ244" s="66" t="str">
        <f aca="false">IF(AP244&lt;&gt;"", AP244*AI244,"")</f>
        <v/>
      </c>
      <c r="AR244" s="66" t="str">
        <f aca="false">IF($AG244=Constants!$B$7,IF($AD244="",0,IF($AR$6=0,Constants!$B$8,Constants!$B$8*AD244/$AR$6)),"")</f>
        <v/>
      </c>
      <c r="AS244" s="66" t="str">
        <f aca="false">IF($AG244&lt;&gt;Constants!$B$7,$AG244,IF(AK244&amp;AO244&lt;&gt;"",Constants!$B$14,AM244+AQ244+AR244))</f>
        <v/>
      </c>
      <c r="AT244" s="66" t="str">
        <f aca="false">IF(ISBLANK($C244),"",IF($AG244=Constants!$B$7,IF(ISNUMBER(AS244),RANK(AS244,$AS$8:$AS$507),Constants!$B$14),$AG244))</f>
        <v/>
      </c>
      <c r="AU244" s="66" t="str">
        <f aca="false">IF(ISBLANK($C244), "",AM244)</f>
        <v/>
      </c>
      <c r="AV244" s="66" t="str">
        <f aca="false">IF(ISBLANK($C244),"",IF($AG244=Constants!$B$7,RANK(AU244,AU$8:AU$507),$AG244))</f>
        <v/>
      </c>
      <c r="AW244" s="66" t="str">
        <f aca="false">IF(ISBLANK($C244), "",AR244)</f>
        <v/>
      </c>
      <c r="AX244" s="66" t="str">
        <f aca="false">IF(ISBLANK($C244),"",IF($AG244=Constants!$B$7,RANK(AW244,AW$8:AW$507),$AG244))</f>
        <v/>
      </c>
      <c r="AY244" s="66" t="str">
        <f aca="false">IF(ISBLANK($C244), "",AE244)</f>
        <v/>
      </c>
      <c r="AZ244" s="66" t="str">
        <f aca="false">IF(ISBLANK($C244),"",
IF($AG244=Constants!$B$7,
  IF(ISNUMBER(AT244),
    COUNTIFS($AT$8:$AT$507,"&lt;"&amp;$AT244)
    + COUNTIFS($AT$8:$AT$507,$AT244,$AV$8:$AV$507,"&lt;"&amp;$AV244)
    + COUNTIFS($AT$8:$AT$507,$AT244,$AV$8:$AV$507,$AV244,$AX$8:$AX$507,"&lt;"&amp;$AX244)
    + COUNTIFS($AT$8:$AT$507,$AT244,$AV$8:$AV$507,$AV244,$AX$8:$AX$507,$AX244,$AY$8:$AY$507,"&lt;"&amp;$AY244)
    + 1,
  Constants!$B$14),
$AG244))</f>
        <v/>
      </c>
      <c r="BA244" s="66" t="str">
        <f aca="false">IF(ISBLANK(C244),"",IF($AG244=Constants!$B$7, IF(ISNUMBER(AT244),AT244-AZ244,Constants!$B$14),$AG244))</f>
        <v/>
      </c>
      <c r="BB244" s="70"/>
      <c r="BC244" s="84" t="str">
        <f aca="false">IF(ISBLANK($C244),"",TRIM(AK244&amp;" "&amp;AO244))</f>
        <v/>
      </c>
      <c r="BD244" s="72" t="str">
        <f aca="false">IF(ISBLANK($C244),"",IF($AG244&lt;&gt;Constants!$B$7,$AG244,AR244))</f>
        <v/>
      </c>
      <c r="BE244" s="72" t="str">
        <f aca="false">IF(ISBLANK($C244),"",IF($AG244&lt;&gt;Constants!$B$7,$AG244,AM244))</f>
        <v/>
      </c>
      <c r="BF244" s="72" t="str">
        <f aca="false">IF(ISBLANK($C244),"",IF($AG244&lt;&gt;Constants!$B$7,$AG244,AQ244))</f>
        <v/>
      </c>
      <c r="BG244" s="73" t="str">
        <f aca="false">IF(ISBLANK($C244),"",IF($AG244&lt;&gt;Constants!$B$7, $AG244 ,AS244))</f>
        <v/>
      </c>
      <c r="BH244" s="74" t="str">
        <f aca="false">IF(ISBLANK($C244),"",IF($AG244&lt;&gt;Constants!$B$7, $AG244 ,AH244))</f>
        <v/>
      </c>
      <c r="BI244" s="72" t="str">
        <f aca="false">IF(ISBLANK(C244),"",BA244)</f>
        <v/>
      </c>
      <c r="BJ244" s="72" t="str">
        <f aca="false">IF(ISBLANK(C244),"",AZ244)</f>
        <v/>
      </c>
      <c r="BK244" s="75" t="str">
        <f aca="false">IF(ISBLANK(C244),"",IFERROR(_xlfn.SWITCH(BJ244, Constants!$B$4, COUNTA($C$8:$C743)+2, Constants!$B$5, COUNTA($C$8:$C743)+1, Constants!$B$6, COUNTA($C$8:$C743)),BJ244))</f>
        <v/>
      </c>
      <c r="BL244" s="5"/>
      <c r="BM244" s="76" t="n">
        <f aca="false">IF(OR(ISNUMBER(BJ244),BJ244="DQ",BJ244="P",BJ244="NS"),
    1,
    0
)</f>
        <v>0</v>
      </c>
      <c r="BN244" s="76" t="n">
        <v>237</v>
      </c>
      <c r="BO244" s="76" t="str">
        <f aca="false">IF(ISBLANK($C244),"",IF(ISNUMBER(BK244),BK244+ROW($B244)/1000,""))</f>
        <v/>
      </c>
      <c r="BP244" s="76" t="str">
        <f aca="false">IF(ISNUMBER(BO244), RANK(BO244,BO$8:BO$507,1), "")</f>
        <v/>
      </c>
      <c r="BQ244" s="76" t="str">
        <f aca="false">IF(ISBLANK($C244),
    "",
    $B244
)</f>
        <v/>
      </c>
      <c r="BR244" s="76" t="str">
        <f aca="false">IF(ISBLANK($C244),
    "",
    $C244
)</f>
        <v/>
      </c>
      <c r="BS244" s="76" t="str">
        <f aca="false">IF(ISBLANK($C244),
    "",
    $D244
)</f>
        <v/>
      </c>
      <c r="BT244" s="77" t="str">
        <f aca="false">BH244</f>
        <v/>
      </c>
      <c r="BU244" s="78" t="str">
        <f aca="false">BG244</f>
        <v/>
      </c>
      <c r="BV244" s="76" t="str">
        <f aca="false">IF(ISBLANK($C244),
    "",
    BJ244
)</f>
        <v/>
      </c>
      <c r="BW244" s="79" t="str">
        <f aca="false">IF(BN244&gt;BM$7,
    "",
    VLOOKUP(BN244,BP$8:BV743,7,FALSE())
)</f>
        <v/>
      </c>
      <c r="BX244" s="80" t="str">
        <f aca="false">IF(BN244&gt;BM$7,
    "",
    VLOOKUP(BN244,BP$8:BV743,2,FALSE())
)</f>
        <v/>
      </c>
      <c r="BY244" s="80" t="str">
        <f aca="false">IF(BN244&gt;BM$7,
    "",
    VLOOKUP(BN244,BP$8:BV743,3,FALSE())
)</f>
        <v/>
      </c>
      <c r="BZ244" s="80" t="str">
        <f aca="false">IF(BN244&gt;BM$7,
    "",
    VLOOKUP(BN244,BP$8:BV743,4,FALSE())
)</f>
        <v/>
      </c>
      <c r="CA244" s="80" t="str">
        <f aca="false">IF(BN244&gt;BM$7,
    "",
    VLOOKUP(BN244,BP$8:BV743,5,FALSE())
)</f>
        <v/>
      </c>
      <c r="CB244" s="81" t="str">
        <f aca="false">IF(BN244&gt;BM$7,
    "",
    VLOOKUP(BN244,BP$8:BV743,6,FALSE())
)</f>
        <v/>
      </c>
      <c r="CC244" s="53"/>
    </row>
    <row r="245" customFormat="false" ht="15.75" hidden="false" customHeight="false" outlineLevel="0" collapsed="false">
      <c r="A245" s="5"/>
      <c r="B245" s="125"/>
      <c r="C245" s="126"/>
      <c r="D245" s="115"/>
      <c r="E245" s="119"/>
      <c r="F245" s="119"/>
      <c r="G245" s="91"/>
      <c r="H245" s="92"/>
      <c r="I245" s="92"/>
      <c r="J245" s="128"/>
      <c r="K245" s="128"/>
      <c r="L245" s="128"/>
      <c r="M245" s="94"/>
      <c r="N245" s="94"/>
      <c r="O245" s="94"/>
      <c r="P245" s="95"/>
      <c r="Q245" s="96"/>
      <c r="R245" s="128"/>
      <c r="S245" s="98"/>
      <c r="T245" s="99"/>
      <c r="U245" s="99" t="str">
        <f aca="false">IF(ISBLANK($C245),"",IF(G245=Constants!$B$2, TRUE(), IF(G245=Constants!$B$3, FALSE(), TRUE())))</f>
        <v/>
      </c>
      <c r="V245" s="99" t="str">
        <f aca="false">IF(ISBLANK($C245),"",IF(H245=Constants!$B$2, TRUE(), IF(H245=Constants!$B$3, FALSE(), TRUE())))</f>
        <v/>
      </c>
      <c r="W245" s="99" t="str">
        <f aca="false">IF(ISBLANK($C245),"",IF(I245=Constants!$B$2, TRUE(), IF(I245=Constants!$B$3, FALSE(), TRUE())))</f>
        <v/>
      </c>
      <c r="X245" s="99" t="str">
        <f aca="false">IF(ISBLANK($C245),"",IF(AND(ISNUMBER(J245),J245&gt;0),INT(J245),0))</f>
        <v/>
      </c>
      <c r="Y245" s="99" t="str">
        <f aca="false">IF(ISBLANK($C245),"",IF(K245=Constants!$B$2, TRUE(), IF(K245=Constants!$B$3, FALSE(), TRUE())))</f>
        <v/>
      </c>
      <c r="Z245" s="100" t="str">
        <f aca="false">IF(ISBLANK($C245),"",IF(AND(ISNUMBER(L245),L245&gt;0),INT(L245),0))</f>
        <v/>
      </c>
      <c r="AA245" s="101" t="str">
        <f aca="false">IF(ISBLANK($C245),"",IF(ISNUMBER(M245), M245, ""))</f>
        <v/>
      </c>
      <c r="AB245" s="101" t="str">
        <f aca="false">IF(ISBLANK($C245),"",IF(ISNUMBER(N245), N245, ""))</f>
        <v/>
      </c>
      <c r="AC245" s="101" t="str">
        <f aca="false">IF(ISBLANK($C245),"",IF(ISNUMBER(O245), O245, ""))</f>
        <v/>
      </c>
      <c r="AD245" s="102" t="str">
        <f aca="false">IF(ISBLANK($C245),"",IF(ISNUMBER(P245), P245, ""))</f>
        <v/>
      </c>
      <c r="AE245" s="102" t="str">
        <f aca="false">IF(ISBLANK($C245),"",IF(ISNUMBER(Q245), Q245, Constants!$B$13))</f>
        <v/>
      </c>
      <c r="AF245" s="99" t="str">
        <f aca="false">IF(ISBLANK($C245),"",IF(R245=Constants!$B$2, TRUE(), IF(R245=Constants!$B$3, FALSE(), FALSE())))</f>
        <v/>
      </c>
      <c r="AG245" s="99" t="str">
        <f aca="false">IF(ISBLANK(C245), "", IF(AF245, Constants!$B$4,IF(COUNTA(G245:P245)=0, Constants!$B$5, Constants!$B$7)))</f>
        <v/>
      </c>
      <c r="AH245" s="99" t="str">
        <f aca="false">IF(ISBLANK($C245), "",IF($AG245=Constants!$B$7,1,$AG245))</f>
        <v/>
      </c>
      <c r="AI245" s="99" t="str">
        <f aca="false">IF($AG245=Constants!$B$7,POWER(Constants!$B$11,X245)*POWER(Constants!$B$12,Z245),"")</f>
        <v/>
      </c>
      <c r="AJ245" s="99" t="str">
        <f aca="false">IF(AND($AG245=Constants!$B$7, U245, V245) ,IF(OR($AA245="",$AC245=""),"",MAX(0, $AC245-$AA245)),"")</f>
        <v/>
      </c>
      <c r="AK245" s="99" t="str">
        <f aca="false">IF(AND($AG245=Constants!$B$7, U245, V245),IF(OR($AA245="",$AC245=""),$AK$6,""),"")</f>
        <v/>
      </c>
      <c r="AL245" s="99" t="str">
        <f aca="false">IF($AG245=Constants!$B$7,IF(AND(U245,V245,W245,Y245),IF($AJ245="",0,IF($AJ$6=0,Constants!$B$9,Constants!$B$9*AJ245/$AJ$6)), 0),"")</f>
        <v/>
      </c>
      <c r="AM245" s="99" t="str">
        <f aca="false">IF(AL245&lt;&gt;"", AL245*AI245,"")</f>
        <v/>
      </c>
      <c r="AN245" s="99" t="str">
        <f aca="false">IF(AND($AG245=Constants!$B$7, U245, V245) ,IF($AB245="", "", IF(OR($AC245="",$AC245=0),"",MAX(0,1-ABS($AC245-$AB245)/$AC245))),"")</f>
        <v/>
      </c>
      <c r="AO245" s="99" t="str">
        <f aca="false">IF(AND($AG245=Constants!$B$7, U245, V245),IF(AND($AA245&lt;&gt;"",$AB245&lt;&gt;"",$AC245=0),$AO$6,""),"")</f>
        <v/>
      </c>
      <c r="AP245" s="99" t="str">
        <f aca="false">IF($AG245=Constants!$B$7 ,IF(AND(U245,V245,W245,Y245,ISNUMBER(AB245)),IF($AN245="",0,IF($AN$6=0,Constants!$B$10,Constants!$B$10*AN245/$AN$6)), 0),"")</f>
        <v/>
      </c>
      <c r="AQ245" s="99" t="str">
        <f aca="false">IF(AP245&lt;&gt;"", AP245*AI245,"")</f>
        <v/>
      </c>
      <c r="AR245" s="99" t="str">
        <f aca="false">IF($AG245=Constants!$B$7,IF($AD245="",0,IF($AR$6=0,Constants!$B$8,Constants!$B$8*AD245/$AR$6)),"")</f>
        <v/>
      </c>
      <c r="AS245" s="99" t="str">
        <f aca="false">IF($AG245&lt;&gt;Constants!$B$7,$AG245,IF(AK245&amp;AO245&lt;&gt;"",Constants!$B$14,AM245+AQ245+AR245))</f>
        <v/>
      </c>
      <c r="AT245" s="99" t="str">
        <f aca="false">IF(ISBLANK($C245),"",IF($AG245=Constants!$B$7,IF(ISNUMBER(AS245),RANK(AS245,$AS$8:$AS$507),Constants!$B$14),$AG245))</f>
        <v/>
      </c>
      <c r="AU245" s="99" t="str">
        <f aca="false">IF(ISBLANK($C245), "",AM245)</f>
        <v/>
      </c>
      <c r="AV245" s="99" t="str">
        <f aca="false">IF(ISBLANK($C245),"",IF($AG245=Constants!$B$7,RANK(AU245,AU$8:AU$507),$AG245))</f>
        <v/>
      </c>
      <c r="AW245" s="99" t="str">
        <f aca="false">IF(ISBLANK($C245), "",AR245)</f>
        <v/>
      </c>
      <c r="AX245" s="99" t="str">
        <f aca="false">IF(ISBLANK($C245),"",IF($AG245=Constants!$B$7,RANK(AW245,AW$8:AW$507),$AG245))</f>
        <v/>
      </c>
      <c r="AY245" s="99" t="str">
        <f aca="false">IF(ISBLANK($C245), "",AE245)</f>
        <v/>
      </c>
      <c r="AZ245" s="99" t="str">
        <f aca="false">IF(ISBLANK($C245),"",
IF($AG245=Constants!$B$7,
  IF(ISNUMBER(AT245),
    COUNTIFS($AT$8:$AT$507,"&lt;"&amp;$AT245)
    + COUNTIFS($AT$8:$AT$507,$AT245,$AV$8:$AV$507,"&lt;"&amp;$AV245)
    + COUNTIFS($AT$8:$AT$507,$AT245,$AV$8:$AV$507,$AV245,$AX$8:$AX$507,"&lt;"&amp;$AX245)
    + COUNTIFS($AT$8:$AT$507,$AT245,$AV$8:$AV$507,$AV245,$AX$8:$AX$507,$AX245,$AY$8:$AY$507,"&lt;"&amp;$AY245)
    + 1,
  Constants!$B$14),
$AG245))</f>
        <v/>
      </c>
      <c r="BA245" s="99" t="str">
        <f aca="false">IF(ISBLANK(C245),"",IF($AG245=Constants!$B$7, IF(ISNUMBER(AT245),AT245-AZ245,Constants!$B$14),$AG245))</f>
        <v/>
      </c>
      <c r="BB245" s="103"/>
      <c r="BC245" s="104" t="str">
        <f aca="false">IF(ISBLANK($C245),"",TRIM(AK245&amp;" "&amp;AO245))</f>
        <v/>
      </c>
      <c r="BD245" s="105" t="str">
        <f aca="false">IF(ISBLANK($C245),"",IF($AG245&lt;&gt;Constants!$B$7,$AG245,AR245))</f>
        <v/>
      </c>
      <c r="BE245" s="105" t="str">
        <f aca="false">IF(ISBLANK($C245),"",IF($AG245&lt;&gt;Constants!$B$7,$AG245,AM245))</f>
        <v/>
      </c>
      <c r="BF245" s="105" t="str">
        <f aca="false">IF(ISBLANK($C245),"",IF($AG245&lt;&gt;Constants!$B$7,$AG245,AQ245))</f>
        <v/>
      </c>
      <c r="BG245" s="106" t="str">
        <f aca="false">IF(ISBLANK($C245),"",IF($AG245&lt;&gt;Constants!$B$7, $AG245 ,AS245))</f>
        <v/>
      </c>
      <c r="BH245" s="107" t="str">
        <f aca="false">IF(ISBLANK($C245),"",IF($AG245&lt;&gt;Constants!$B$7, $AG245 ,AH245))</f>
        <v/>
      </c>
      <c r="BI245" s="105" t="str">
        <f aca="false">IF(ISBLANK(C245),"",BA245)</f>
        <v/>
      </c>
      <c r="BJ245" s="105" t="str">
        <f aca="false">IF(ISBLANK(C245),"",AZ245)</f>
        <v/>
      </c>
      <c r="BK245" s="108" t="str">
        <f aca="false">IF(ISBLANK(C245),"",IFERROR(_xlfn.SWITCH(BJ245, Constants!$B$4, COUNTA($C$8:$C744)+2, Constants!$B$5, COUNTA($C$8:$C744)+1, Constants!$B$6, COUNTA($C$8:$C744)),BJ245))</f>
        <v/>
      </c>
      <c r="BL245" s="5"/>
      <c r="BM245" s="109" t="n">
        <f aca="false">IF(OR(ISNUMBER(BJ245),BJ245="DQ",BJ245="P",BJ245="NS"),
    1,
    0
)</f>
        <v>0</v>
      </c>
      <c r="BN245" s="109" t="n">
        <v>238</v>
      </c>
      <c r="BO245" s="109" t="str">
        <f aca="false">IF(ISBLANK($C245),"",IF(ISNUMBER(BK245),BK245+ROW($B245)/1000,""))</f>
        <v/>
      </c>
      <c r="BP245" s="109" t="str">
        <f aca="false">IF(ISNUMBER(BO245), RANK(BO245,BO$8:BO$507,1), "")</f>
        <v/>
      </c>
      <c r="BQ245" s="109" t="str">
        <f aca="false">IF(ISBLANK($C245),
    "",
    $B245
)</f>
        <v/>
      </c>
      <c r="BR245" s="109" t="str">
        <f aca="false">IF(ISBLANK($C245),
    "",
    $C245
)</f>
        <v/>
      </c>
      <c r="BS245" s="109" t="str">
        <f aca="false">IF(ISBLANK($C245),
    "",
    $D245
)</f>
        <v/>
      </c>
      <c r="BT245" s="110" t="str">
        <f aca="false">BH245</f>
        <v/>
      </c>
      <c r="BU245" s="111" t="str">
        <f aca="false">BG245</f>
        <v/>
      </c>
      <c r="BV245" s="109" t="str">
        <f aca="false">IF(ISBLANK($C245),
    "",
    BJ245
)</f>
        <v/>
      </c>
      <c r="BW245" s="112" t="str">
        <f aca="false">IF(BN245&gt;BM$7,
    "",
    VLOOKUP(BN245,BP$8:BV744,7,FALSE())
)</f>
        <v/>
      </c>
      <c r="BX245" s="113" t="str">
        <f aca="false">IF(BN245&gt;BM$7,
    "",
    VLOOKUP(BN245,BP$8:BV744,2,FALSE())
)</f>
        <v/>
      </c>
      <c r="BY245" s="113" t="str">
        <f aca="false">IF(BN245&gt;BM$7,
    "",
    VLOOKUP(BN245,BP$8:BV744,3,FALSE())
)</f>
        <v/>
      </c>
      <c r="BZ245" s="113" t="str">
        <f aca="false">IF(BN245&gt;BM$7,
    "",
    VLOOKUP(BN245,BP$8:BV744,4,FALSE())
)</f>
        <v/>
      </c>
      <c r="CA245" s="113" t="str">
        <f aca="false">IF(BN245&gt;BM$7,
    "",
    VLOOKUP(BN245,BP$8:BV744,5,FALSE())
)</f>
        <v/>
      </c>
      <c r="CB245" s="114" t="str">
        <f aca="false">IF(BN245&gt;BM$7,
    "",
    VLOOKUP(BN245,BP$8:BV744,6,FALSE())
)</f>
        <v/>
      </c>
      <c r="CC245" s="53"/>
    </row>
    <row r="246" customFormat="false" ht="15.75" hidden="false" customHeight="false" outlineLevel="0" collapsed="false">
      <c r="A246" s="5"/>
      <c r="B246" s="125"/>
      <c r="C246" s="126"/>
      <c r="D246" s="115"/>
      <c r="E246" s="119"/>
      <c r="F246" s="119"/>
      <c r="G246" s="91"/>
      <c r="H246" s="92"/>
      <c r="I246" s="92"/>
      <c r="J246" s="128"/>
      <c r="K246" s="128"/>
      <c r="L246" s="128"/>
      <c r="M246" s="94"/>
      <c r="N246" s="94"/>
      <c r="O246" s="94"/>
      <c r="P246" s="95"/>
      <c r="Q246" s="96"/>
      <c r="R246" s="128"/>
      <c r="S246" s="98"/>
      <c r="T246" s="99"/>
      <c r="U246" s="99" t="str">
        <f aca="false">IF(ISBLANK($C246),"",IF(G246=Constants!$B$2, TRUE(), IF(G246=Constants!$B$3, FALSE(), TRUE())))</f>
        <v/>
      </c>
      <c r="V246" s="99" t="str">
        <f aca="false">IF(ISBLANK($C246),"",IF(H246=Constants!$B$2, TRUE(), IF(H246=Constants!$B$3, FALSE(), TRUE())))</f>
        <v/>
      </c>
      <c r="W246" s="99" t="str">
        <f aca="false">IF(ISBLANK($C246),"",IF(I246=Constants!$B$2, TRUE(), IF(I246=Constants!$B$3, FALSE(), TRUE())))</f>
        <v/>
      </c>
      <c r="X246" s="99" t="str">
        <f aca="false">IF(ISBLANK($C246),"",IF(AND(ISNUMBER(J246),J246&gt;0),INT(J246),0))</f>
        <v/>
      </c>
      <c r="Y246" s="99" t="str">
        <f aca="false">IF(ISBLANK($C246),"",IF(K246=Constants!$B$2, TRUE(), IF(K246=Constants!$B$3, FALSE(), TRUE())))</f>
        <v/>
      </c>
      <c r="Z246" s="100" t="str">
        <f aca="false">IF(ISBLANK($C246),"",IF(AND(ISNUMBER(L246),L246&gt;0),INT(L246),0))</f>
        <v/>
      </c>
      <c r="AA246" s="101" t="str">
        <f aca="false">IF(ISBLANK($C246),"",IF(ISNUMBER(M246), M246, ""))</f>
        <v/>
      </c>
      <c r="AB246" s="101" t="str">
        <f aca="false">IF(ISBLANK($C246),"",IF(ISNUMBER(N246), N246, ""))</f>
        <v/>
      </c>
      <c r="AC246" s="101" t="str">
        <f aca="false">IF(ISBLANK($C246),"",IF(ISNUMBER(O246), O246, ""))</f>
        <v/>
      </c>
      <c r="AD246" s="102" t="str">
        <f aca="false">IF(ISBLANK($C246),"",IF(ISNUMBER(P246), P246, ""))</f>
        <v/>
      </c>
      <c r="AE246" s="102" t="str">
        <f aca="false">IF(ISBLANK($C246),"",IF(ISNUMBER(Q246), Q246, Constants!$B$13))</f>
        <v/>
      </c>
      <c r="AF246" s="99" t="str">
        <f aca="false">IF(ISBLANK($C246),"",IF(R246=Constants!$B$2, TRUE(), IF(R246=Constants!$B$3, FALSE(), FALSE())))</f>
        <v/>
      </c>
      <c r="AG246" s="99" t="str">
        <f aca="false">IF(ISBLANK(C246), "", IF(AF246, Constants!$B$4,IF(COUNTA(G246:P246)=0, Constants!$B$5, Constants!$B$7)))</f>
        <v/>
      </c>
      <c r="AH246" s="99" t="str">
        <f aca="false">IF(ISBLANK($C246), "",IF($AG246=Constants!$B$7,1,$AG246))</f>
        <v/>
      </c>
      <c r="AI246" s="99" t="str">
        <f aca="false">IF($AG246=Constants!$B$7,POWER(Constants!$B$11,X246)*POWER(Constants!$B$12,Z246),"")</f>
        <v/>
      </c>
      <c r="AJ246" s="99" t="str">
        <f aca="false">IF(AND($AG246=Constants!$B$7, U246, V246) ,IF(OR($AA246="",$AC246=""),"",MAX(0, $AC246-$AA246)),"")</f>
        <v/>
      </c>
      <c r="AK246" s="99" t="str">
        <f aca="false">IF(AND($AG246=Constants!$B$7, U246, V246),IF(OR($AA246="",$AC246=""),$AK$6,""),"")</f>
        <v/>
      </c>
      <c r="AL246" s="99" t="str">
        <f aca="false">IF($AG246=Constants!$B$7,IF(AND(U246,V246,W246,Y246),IF($AJ246="",0,IF($AJ$6=0,Constants!$B$9,Constants!$B$9*AJ246/$AJ$6)), 0),"")</f>
        <v/>
      </c>
      <c r="AM246" s="99" t="str">
        <f aca="false">IF(AL246&lt;&gt;"", AL246*AI246,"")</f>
        <v/>
      </c>
      <c r="AN246" s="99" t="str">
        <f aca="false">IF(AND($AG246=Constants!$B$7, U246, V246) ,IF($AB246="", "", IF(OR($AC246="",$AC246=0),"",MAX(0,1-ABS($AC246-$AB246)/$AC246))),"")</f>
        <v/>
      </c>
      <c r="AO246" s="99" t="str">
        <f aca="false">IF(AND($AG246=Constants!$B$7, U246, V246),IF(AND($AA246&lt;&gt;"",$AB246&lt;&gt;"",$AC246=0),$AO$6,""),"")</f>
        <v/>
      </c>
      <c r="AP246" s="99" t="str">
        <f aca="false">IF($AG246=Constants!$B$7 ,IF(AND(U246,V246,W246,Y246,ISNUMBER(AB246)),IF($AN246="",0,IF($AN$6=0,Constants!$B$10,Constants!$B$10*AN246/$AN$6)), 0),"")</f>
        <v/>
      </c>
      <c r="AQ246" s="99" t="str">
        <f aca="false">IF(AP246&lt;&gt;"", AP246*AI246,"")</f>
        <v/>
      </c>
      <c r="AR246" s="99" t="str">
        <f aca="false">IF($AG246=Constants!$B$7,IF($AD246="",0,IF($AR$6=0,Constants!$B$8,Constants!$B$8*AD246/$AR$6)),"")</f>
        <v/>
      </c>
      <c r="AS246" s="99" t="str">
        <f aca="false">IF($AG246&lt;&gt;Constants!$B$7,$AG246,IF(AK246&amp;AO246&lt;&gt;"",Constants!$B$14,AM246+AQ246+AR246))</f>
        <v/>
      </c>
      <c r="AT246" s="99" t="str">
        <f aca="false">IF(ISBLANK($C246),"",IF($AG246=Constants!$B$7,IF(ISNUMBER(AS246),RANK(AS246,$AS$8:$AS$507),Constants!$B$14),$AG246))</f>
        <v/>
      </c>
      <c r="AU246" s="99" t="str">
        <f aca="false">IF(ISBLANK($C246), "",AM246)</f>
        <v/>
      </c>
      <c r="AV246" s="99" t="str">
        <f aca="false">IF(ISBLANK($C246),"",IF($AG246=Constants!$B$7,RANK(AU246,AU$8:AU$507),$AG246))</f>
        <v/>
      </c>
      <c r="AW246" s="99" t="str">
        <f aca="false">IF(ISBLANK($C246), "",AR246)</f>
        <v/>
      </c>
      <c r="AX246" s="99" t="str">
        <f aca="false">IF(ISBLANK($C246),"",IF($AG246=Constants!$B$7,RANK(AW246,AW$8:AW$507),$AG246))</f>
        <v/>
      </c>
      <c r="AY246" s="99" t="str">
        <f aca="false">IF(ISBLANK($C246), "",AE246)</f>
        <v/>
      </c>
      <c r="AZ246" s="99" t="str">
        <f aca="false">IF(ISBLANK($C246),"",
IF($AG246=Constants!$B$7,
  IF(ISNUMBER(AT246),
    COUNTIFS($AT$8:$AT$507,"&lt;"&amp;$AT246)
    + COUNTIFS($AT$8:$AT$507,$AT246,$AV$8:$AV$507,"&lt;"&amp;$AV246)
    + COUNTIFS($AT$8:$AT$507,$AT246,$AV$8:$AV$507,$AV246,$AX$8:$AX$507,"&lt;"&amp;$AX246)
    + COUNTIFS($AT$8:$AT$507,$AT246,$AV$8:$AV$507,$AV246,$AX$8:$AX$507,$AX246,$AY$8:$AY$507,"&lt;"&amp;$AY246)
    + 1,
  Constants!$B$14),
$AG246))</f>
        <v/>
      </c>
      <c r="BA246" s="99" t="str">
        <f aca="false">IF(ISBLANK(C246),"",IF($AG246=Constants!$B$7, IF(ISNUMBER(AT246),AT246-AZ246,Constants!$B$14),$AG246))</f>
        <v/>
      </c>
      <c r="BB246" s="103"/>
      <c r="BC246" s="104" t="str">
        <f aca="false">IF(ISBLANK($C246),"",TRIM(AK246&amp;" "&amp;AO246))</f>
        <v/>
      </c>
      <c r="BD246" s="105" t="str">
        <f aca="false">IF(ISBLANK($C246),"",IF($AG246&lt;&gt;Constants!$B$7,$AG246,AR246))</f>
        <v/>
      </c>
      <c r="BE246" s="105" t="str">
        <f aca="false">IF(ISBLANK($C246),"",IF($AG246&lt;&gt;Constants!$B$7,$AG246,AM246))</f>
        <v/>
      </c>
      <c r="BF246" s="105" t="str">
        <f aca="false">IF(ISBLANK($C246),"",IF($AG246&lt;&gt;Constants!$B$7,$AG246,AQ246))</f>
        <v/>
      </c>
      <c r="BG246" s="106" t="str">
        <f aca="false">IF(ISBLANK($C246),"",IF($AG246&lt;&gt;Constants!$B$7, $AG246 ,AS246))</f>
        <v/>
      </c>
      <c r="BH246" s="107" t="str">
        <f aca="false">IF(ISBLANK($C246),"",IF($AG246&lt;&gt;Constants!$B$7, $AG246 ,AH246))</f>
        <v/>
      </c>
      <c r="BI246" s="105" t="str">
        <f aca="false">IF(ISBLANK(C246),"",BA246)</f>
        <v/>
      </c>
      <c r="BJ246" s="105" t="str">
        <f aca="false">IF(ISBLANK(C246),"",AZ246)</f>
        <v/>
      </c>
      <c r="BK246" s="108" t="str">
        <f aca="false">IF(ISBLANK(C246),"",IFERROR(_xlfn.SWITCH(BJ246, Constants!$B$4, COUNTA($C$8:$C745)+2, Constants!$B$5, COUNTA($C$8:$C745)+1, Constants!$B$6, COUNTA($C$8:$C745)),BJ246))</f>
        <v/>
      </c>
      <c r="BL246" s="5"/>
      <c r="BM246" s="109" t="n">
        <f aca="false">IF(OR(ISNUMBER(BJ246),BJ246="DQ",BJ246="P",BJ246="NS"),
    1,
    0
)</f>
        <v>0</v>
      </c>
      <c r="BN246" s="109" t="n">
        <v>239</v>
      </c>
      <c r="BO246" s="109" t="str">
        <f aca="false">IF(ISBLANK($C246),"",IF(ISNUMBER(BK246),BK246+ROW($B246)/1000,""))</f>
        <v/>
      </c>
      <c r="BP246" s="109" t="str">
        <f aca="false">IF(ISNUMBER(BO246), RANK(BO246,BO$8:BO$507,1), "")</f>
        <v/>
      </c>
      <c r="BQ246" s="109" t="str">
        <f aca="false">IF(ISBLANK($C246),
    "",
    $B246
)</f>
        <v/>
      </c>
      <c r="BR246" s="109" t="str">
        <f aca="false">IF(ISBLANK($C246),
    "",
    $C246
)</f>
        <v/>
      </c>
      <c r="BS246" s="109" t="str">
        <f aca="false">IF(ISBLANK($C246),
    "",
    $D246
)</f>
        <v/>
      </c>
      <c r="BT246" s="110" t="str">
        <f aca="false">BH246</f>
        <v/>
      </c>
      <c r="BU246" s="111" t="str">
        <f aca="false">BG246</f>
        <v/>
      </c>
      <c r="BV246" s="109" t="str">
        <f aca="false">IF(ISBLANK($C246),
    "",
    BJ246
)</f>
        <v/>
      </c>
      <c r="BW246" s="112" t="str">
        <f aca="false">IF(BN246&gt;BM$7,
    "",
    VLOOKUP(BN246,BP$8:BV745,7,FALSE())
)</f>
        <v/>
      </c>
      <c r="BX246" s="113" t="str">
        <f aca="false">IF(BN246&gt;BM$7,
    "",
    VLOOKUP(BN246,BP$8:BV745,2,FALSE())
)</f>
        <v/>
      </c>
      <c r="BY246" s="113" t="str">
        <f aca="false">IF(BN246&gt;BM$7,
    "",
    VLOOKUP(BN246,BP$8:BV745,3,FALSE())
)</f>
        <v/>
      </c>
      <c r="BZ246" s="113" t="str">
        <f aca="false">IF(BN246&gt;BM$7,
    "",
    VLOOKUP(BN246,BP$8:BV745,4,FALSE())
)</f>
        <v/>
      </c>
      <c r="CA246" s="113" t="str">
        <f aca="false">IF(BN246&gt;BM$7,
    "",
    VLOOKUP(BN246,BP$8:BV745,5,FALSE())
)</f>
        <v/>
      </c>
      <c r="CB246" s="114" t="str">
        <f aca="false">IF(BN246&gt;BM$7,
    "",
    VLOOKUP(BN246,BP$8:BV745,6,FALSE())
)</f>
        <v/>
      </c>
      <c r="CC246" s="53"/>
    </row>
    <row r="247" customFormat="false" ht="15.75" hidden="false" customHeight="false" outlineLevel="0" collapsed="false">
      <c r="A247" s="5"/>
      <c r="B247" s="125"/>
      <c r="C247" s="126"/>
      <c r="D247" s="115"/>
      <c r="E247" s="119"/>
      <c r="F247" s="119"/>
      <c r="G247" s="91"/>
      <c r="H247" s="92"/>
      <c r="I247" s="92"/>
      <c r="J247" s="128"/>
      <c r="K247" s="128"/>
      <c r="L247" s="128"/>
      <c r="M247" s="94"/>
      <c r="N247" s="94"/>
      <c r="O247" s="94"/>
      <c r="P247" s="95"/>
      <c r="Q247" s="96"/>
      <c r="R247" s="128"/>
      <c r="S247" s="98"/>
      <c r="T247" s="99"/>
      <c r="U247" s="99" t="str">
        <f aca="false">IF(ISBLANK($C247),"",IF(G247=Constants!$B$2, TRUE(), IF(G247=Constants!$B$3, FALSE(), TRUE())))</f>
        <v/>
      </c>
      <c r="V247" s="99" t="str">
        <f aca="false">IF(ISBLANK($C247),"",IF(H247=Constants!$B$2, TRUE(), IF(H247=Constants!$B$3, FALSE(), TRUE())))</f>
        <v/>
      </c>
      <c r="W247" s="99" t="str">
        <f aca="false">IF(ISBLANK($C247),"",IF(I247=Constants!$B$2, TRUE(), IF(I247=Constants!$B$3, FALSE(), TRUE())))</f>
        <v/>
      </c>
      <c r="X247" s="99" t="str">
        <f aca="false">IF(ISBLANK($C247),"",IF(AND(ISNUMBER(J247),J247&gt;0),INT(J247),0))</f>
        <v/>
      </c>
      <c r="Y247" s="99" t="str">
        <f aca="false">IF(ISBLANK($C247),"",IF(K247=Constants!$B$2, TRUE(), IF(K247=Constants!$B$3, FALSE(), TRUE())))</f>
        <v/>
      </c>
      <c r="Z247" s="100" t="str">
        <f aca="false">IF(ISBLANK($C247),"",IF(AND(ISNUMBER(L247),L247&gt;0),INT(L247),0))</f>
        <v/>
      </c>
      <c r="AA247" s="101" t="str">
        <f aca="false">IF(ISBLANK($C247),"",IF(ISNUMBER(M247), M247, ""))</f>
        <v/>
      </c>
      <c r="AB247" s="101" t="str">
        <f aca="false">IF(ISBLANK($C247),"",IF(ISNUMBER(N247), N247, ""))</f>
        <v/>
      </c>
      <c r="AC247" s="101" t="str">
        <f aca="false">IF(ISBLANK($C247),"",IF(ISNUMBER(O247), O247, ""))</f>
        <v/>
      </c>
      <c r="AD247" s="102" t="str">
        <f aca="false">IF(ISBLANK($C247),"",IF(ISNUMBER(P247), P247, ""))</f>
        <v/>
      </c>
      <c r="AE247" s="102" t="str">
        <f aca="false">IF(ISBLANK($C247),"",IF(ISNUMBER(Q247), Q247, Constants!$B$13))</f>
        <v/>
      </c>
      <c r="AF247" s="99" t="str">
        <f aca="false">IF(ISBLANK($C247),"",IF(R247=Constants!$B$2, TRUE(), IF(R247=Constants!$B$3, FALSE(), FALSE())))</f>
        <v/>
      </c>
      <c r="AG247" s="99" t="str">
        <f aca="false">IF(ISBLANK(C247), "", IF(AF247, Constants!$B$4,IF(COUNTA(G247:P247)=0, Constants!$B$5, Constants!$B$7)))</f>
        <v/>
      </c>
      <c r="AH247" s="99" t="str">
        <f aca="false">IF(ISBLANK($C247), "",IF($AG247=Constants!$B$7,1,$AG247))</f>
        <v/>
      </c>
      <c r="AI247" s="99" t="str">
        <f aca="false">IF($AG247=Constants!$B$7,POWER(Constants!$B$11,X247)*POWER(Constants!$B$12,Z247),"")</f>
        <v/>
      </c>
      <c r="AJ247" s="99" t="str">
        <f aca="false">IF(AND($AG247=Constants!$B$7, U247, V247) ,IF(OR($AA247="",$AC247=""),"",MAX(0, $AC247-$AA247)),"")</f>
        <v/>
      </c>
      <c r="AK247" s="99" t="str">
        <f aca="false">IF(AND($AG247=Constants!$B$7, U247, V247),IF(OR($AA247="",$AC247=""),$AK$6,""),"")</f>
        <v/>
      </c>
      <c r="AL247" s="99" t="str">
        <f aca="false">IF($AG247=Constants!$B$7,IF(AND(U247,V247,W247,Y247),IF($AJ247="",0,IF($AJ$6=0,Constants!$B$9,Constants!$B$9*AJ247/$AJ$6)), 0),"")</f>
        <v/>
      </c>
      <c r="AM247" s="99" t="str">
        <f aca="false">IF(AL247&lt;&gt;"", AL247*AI247,"")</f>
        <v/>
      </c>
      <c r="AN247" s="99" t="str">
        <f aca="false">IF(AND($AG247=Constants!$B$7, U247, V247) ,IF($AB247="", "", IF(OR($AC247="",$AC247=0),"",MAX(0,1-ABS($AC247-$AB247)/$AC247))),"")</f>
        <v/>
      </c>
      <c r="AO247" s="99" t="str">
        <f aca="false">IF(AND($AG247=Constants!$B$7, U247, V247),IF(AND($AA247&lt;&gt;"",$AB247&lt;&gt;"",$AC247=0),$AO$6,""),"")</f>
        <v/>
      </c>
      <c r="AP247" s="99" t="str">
        <f aca="false">IF($AG247=Constants!$B$7 ,IF(AND(U247,V247,W247,Y247,ISNUMBER(AB247)),IF($AN247="",0,IF($AN$6=0,Constants!$B$10,Constants!$B$10*AN247/$AN$6)), 0),"")</f>
        <v/>
      </c>
      <c r="AQ247" s="99" t="str">
        <f aca="false">IF(AP247&lt;&gt;"", AP247*AI247,"")</f>
        <v/>
      </c>
      <c r="AR247" s="99" t="str">
        <f aca="false">IF($AG247=Constants!$B$7,IF($AD247="",0,IF($AR$6=0,Constants!$B$8,Constants!$B$8*AD247/$AR$6)),"")</f>
        <v/>
      </c>
      <c r="AS247" s="99" t="str">
        <f aca="false">IF($AG247&lt;&gt;Constants!$B$7,$AG247,IF(AK247&amp;AO247&lt;&gt;"",Constants!$B$14,AM247+AQ247+AR247))</f>
        <v/>
      </c>
      <c r="AT247" s="99" t="str">
        <f aca="false">IF(ISBLANK($C247),"",IF($AG247=Constants!$B$7,IF(ISNUMBER(AS247),RANK(AS247,$AS$8:$AS$507),Constants!$B$14),$AG247))</f>
        <v/>
      </c>
      <c r="AU247" s="99" t="str">
        <f aca="false">IF(ISBLANK($C247), "",AM247)</f>
        <v/>
      </c>
      <c r="AV247" s="99" t="str">
        <f aca="false">IF(ISBLANK($C247),"",IF($AG247=Constants!$B$7,RANK(AU247,AU$8:AU$507),$AG247))</f>
        <v/>
      </c>
      <c r="AW247" s="99" t="str">
        <f aca="false">IF(ISBLANK($C247), "",AR247)</f>
        <v/>
      </c>
      <c r="AX247" s="99" t="str">
        <f aca="false">IF(ISBLANK($C247),"",IF($AG247=Constants!$B$7,RANK(AW247,AW$8:AW$507),$AG247))</f>
        <v/>
      </c>
      <c r="AY247" s="99" t="str">
        <f aca="false">IF(ISBLANK($C247), "",AE247)</f>
        <v/>
      </c>
      <c r="AZ247" s="99" t="str">
        <f aca="false">IF(ISBLANK($C247),"",
IF($AG247=Constants!$B$7,
  IF(ISNUMBER(AT247),
    COUNTIFS($AT$8:$AT$507,"&lt;"&amp;$AT247)
    + COUNTIFS($AT$8:$AT$507,$AT247,$AV$8:$AV$507,"&lt;"&amp;$AV247)
    + COUNTIFS($AT$8:$AT$507,$AT247,$AV$8:$AV$507,$AV247,$AX$8:$AX$507,"&lt;"&amp;$AX247)
    + COUNTIFS($AT$8:$AT$507,$AT247,$AV$8:$AV$507,$AV247,$AX$8:$AX$507,$AX247,$AY$8:$AY$507,"&lt;"&amp;$AY247)
    + 1,
  Constants!$B$14),
$AG247))</f>
        <v/>
      </c>
      <c r="BA247" s="99" t="str">
        <f aca="false">IF(ISBLANK(C247),"",IF($AG247=Constants!$B$7, IF(ISNUMBER(AT247),AT247-AZ247,Constants!$B$14),$AG247))</f>
        <v/>
      </c>
      <c r="BB247" s="103"/>
      <c r="BC247" s="104" t="str">
        <f aca="false">IF(ISBLANK($C247),"",TRIM(AK247&amp;" "&amp;AO247))</f>
        <v/>
      </c>
      <c r="BD247" s="105" t="str">
        <f aca="false">IF(ISBLANK($C247),"",IF($AG247&lt;&gt;Constants!$B$7,$AG247,AR247))</f>
        <v/>
      </c>
      <c r="BE247" s="105" t="str">
        <f aca="false">IF(ISBLANK($C247),"",IF($AG247&lt;&gt;Constants!$B$7,$AG247,AM247))</f>
        <v/>
      </c>
      <c r="BF247" s="105" t="str">
        <f aca="false">IF(ISBLANK($C247),"",IF($AG247&lt;&gt;Constants!$B$7,$AG247,AQ247))</f>
        <v/>
      </c>
      <c r="BG247" s="106" t="str">
        <f aca="false">IF(ISBLANK($C247),"",IF($AG247&lt;&gt;Constants!$B$7, $AG247 ,AS247))</f>
        <v/>
      </c>
      <c r="BH247" s="107" t="str">
        <f aca="false">IF(ISBLANK($C247),"",IF($AG247&lt;&gt;Constants!$B$7, $AG247 ,AH247))</f>
        <v/>
      </c>
      <c r="BI247" s="105" t="str">
        <f aca="false">IF(ISBLANK(C247),"",BA247)</f>
        <v/>
      </c>
      <c r="BJ247" s="105" t="str">
        <f aca="false">IF(ISBLANK(C247),"",AZ247)</f>
        <v/>
      </c>
      <c r="BK247" s="108" t="str">
        <f aca="false">IF(ISBLANK(C247),"",IFERROR(_xlfn.SWITCH(BJ247, Constants!$B$4, COUNTA($C$8:$C746)+2, Constants!$B$5, COUNTA($C$8:$C746)+1, Constants!$B$6, COUNTA($C$8:$C746)),BJ247))</f>
        <v/>
      </c>
      <c r="BL247" s="5"/>
      <c r="BM247" s="109" t="n">
        <f aca="false">IF(OR(ISNUMBER(BJ247),BJ247="DQ",BJ247="P",BJ247="NS"),
    1,
    0
)</f>
        <v>0</v>
      </c>
      <c r="BN247" s="109" t="n">
        <v>240</v>
      </c>
      <c r="BO247" s="109" t="str">
        <f aca="false">IF(ISBLANK($C247),"",IF(ISNUMBER(BK247),BK247+ROW($B247)/1000,""))</f>
        <v/>
      </c>
      <c r="BP247" s="109" t="str">
        <f aca="false">IF(ISNUMBER(BO247), RANK(BO247,BO$8:BO$507,1), "")</f>
        <v/>
      </c>
      <c r="BQ247" s="109" t="str">
        <f aca="false">IF(ISBLANK($C247),
    "",
    $B247
)</f>
        <v/>
      </c>
      <c r="BR247" s="109" t="str">
        <f aca="false">IF(ISBLANK($C247),
    "",
    $C247
)</f>
        <v/>
      </c>
      <c r="BS247" s="109" t="str">
        <f aca="false">IF(ISBLANK($C247),
    "",
    $D247
)</f>
        <v/>
      </c>
      <c r="BT247" s="110" t="str">
        <f aca="false">BH247</f>
        <v/>
      </c>
      <c r="BU247" s="111" t="str">
        <f aca="false">BG247</f>
        <v/>
      </c>
      <c r="BV247" s="109" t="str">
        <f aca="false">IF(ISBLANK($C247),
    "",
    BJ247
)</f>
        <v/>
      </c>
      <c r="BW247" s="112" t="str">
        <f aca="false">IF(BN247&gt;BM$7,
    "",
    VLOOKUP(BN247,BP$8:BV746,7,FALSE())
)</f>
        <v/>
      </c>
      <c r="BX247" s="113" t="str">
        <f aca="false">IF(BN247&gt;BM$7,
    "",
    VLOOKUP(BN247,BP$8:BV746,2,FALSE())
)</f>
        <v/>
      </c>
      <c r="BY247" s="113" t="str">
        <f aca="false">IF(BN247&gt;BM$7,
    "",
    VLOOKUP(BN247,BP$8:BV746,3,FALSE())
)</f>
        <v/>
      </c>
      <c r="BZ247" s="113" t="str">
        <f aca="false">IF(BN247&gt;BM$7,
    "",
    VLOOKUP(BN247,BP$8:BV746,4,FALSE())
)</f>
        <v/>
      </c>
      <c r="CA247" s="113" t="str">
        <f aca="false">IF(BN247&gt;BM$7,
    "",
    VLOOKUP(BN247,BP$8:BV746,5,FALSE())
)</f>
        <v/>
      </c>
      <c r="CB247" s="114" t="str">
        <f aca="false">IF(BN247&gt;BM$7,
    "",
    VLOOKUP(BN247,BP$8:BV746,6,FALSE())
)</f>
        <v/>
      </c>
      <c r="CC247" s="53"/>
    </row>
    <row r="248" customFormat="false" ht="15.75" hidden="false" customHeight="false" outlineLevel="0" collapsed="false">
      <c r="A248" s="5"/>
      <c r="B248" s="129"/>
      <c r="C248" s="55"/>
      <c r="D248" s="56"/>
      <c r="E248" s="123"/>
      <c r="F248" s="123"/>
      <c r="G248" s="58"/>
      <c r="H248" s="59"/>
      <c r="I248" s="59"/>
      <c r="J248" s="83"/>
      <c r="K248" s="83"/>
      <c r="L248" s="83"/>
      <c r="M248" s="61"/>
      <c r="N248" s="61"/>
      <c r="O248" s="61"/>
      <c r="P248" s="62"/>
      <c r="Q248" s="63"/>
      <c r="R248" s="83"/>
      <c r="S248" s="65"/>
      <c r="T248" s="66"/>
      <c r="U248" s="66" t="str">
        <f aca="false">IF(ISBLANK($C248),"",IF(G248=Constants!$B$2, TRUE(), IF(G248=Constants!$B$3, FALSE(), TRUE())))</f>
        <v/>
      </c>
      <c r="V248" s="66" t="str">
        <f aca="false">IF(ISBLANK($C248),"",IF(H248=Constants!$B$2, TRUE(), IF(H248=Constants!$B$3, FALSE(), TRUE())))</f>
        <v/>
      </c>
      <c r="W248" s="66" t="str">
        <f aca="false">IF(ISBLANK($C248),"",IF(I248=Constants!$B$2, TRUE(), IF(I248=Constants!$B$3, FALSE(), TRUE())))</f>
        <v/>
      </c>
      <c r="X248" s="66" t="str">
        <f aca="false">IF(ISBLANK($C248),"",IF(AND(ISNUMBER(J248),J248&gt;0),INT(J248),0))</f>
        <v/>
      </c>
      <c r="Y248" s="66" t="str">
        <f aca="false">IF(ISBLANK($C248),"",IF(K248=Constants!$B$2, TRUE(), IF(K248=Constants!$B$3, FALSE(), TRUE())))</f>
        <v/>
      </c>
      <c r="Z248" s="66" t="str">
        <f aca="false">IF(ISBLANK($C248),"",IF(AND(ISNUMBER(L248),L248&gt;0),INT(L248),0))</f>
        <v/>
      </c>
      <c r="AA248" s="68" t="str">
        <f aca="false">IF(ISBLANK($C248),"",IF(ISNUMBER(M248), M248, ""))</f>
        <v/>
      </c>
      <c r="AB248" s="68" t="str">
        <f aca="false">IF(ISBLANK($C248),"",IF(ISNUMBER(N248), N248, ""))</f>
        <v/>
      </c>
      <c r="AC248" s="68" t="str">
        <f aca="false">IF(ISBLANK($C248),"",IF(ISNUMBER(O248), O248, ""))</f>
        <v/>
      </c>
      <c r="AD248" s="69" t="str">
        <f aca="false">IF(ISBLANK($C248),"",IF(ISNUMBER(P248), P248, ""))</f>
        <v/>
      </c>
      <c r="AE248" s="69" t="str">
        <f aca="false">IF(ISBLANK($C248),"",IF(ISNUMBER(Q248), Q248, Constants!$B$13))</f>
        <v/>
      </c>
      <c r="AF248" s="66" t="str">
        <f aca="false">IF(ISBLANK($C248),"",IF(R248=Constants!$B$2, TRUE(), IF(R248=Constants!$B$3, FALSE(), FALSE())))</f>
        <v/>
      </c>
      <c r="AG248" s="66" t="str">
        <f aca="false">IF(ISBLANK(C248), "", IF(AF248, Constants!$B$4,IF(COUNTA(G248:P248)=0, Constants!$B$5, Constants!$B$7)))</f>
        <v/>
      </c>
      <c r="AH248" s="66" t="str">
        <f aca="false">IF(ISBLANK($C248), "",IF($AG248=Constants!$B$7,1,$AG248))</f>
        <v/>
      </c>
      <c r="AI248" s="66" t="str">
        <f aca="false">IF($AG248=Constants!$B$7,POWER(Constants!$B$11,X248)*POWER(Constants!$B$12,Z248),"")</f>
        <v/>
      </c>
      <c r="AJ248" s="66" t="str">
        <f aca="false">IF(AND($AG248=Constants!$B$7, U248, V248) ,IF(OR($AA248="",$AC248=""),"",MAX(0, $AC248-$AA248)),"")</f>
        <v/>
      </c>
      <c r="AK248" s="66" t="str">
        <f aca="false">IF(AND($AG248=Constants!$B$7, U248, V248),IF(OR($AA248="",$AC248=""),$AK$6,""),"")</f>
        <v/>
      </c>
      <c r="AL248" s="66" t="str">
        <f aca="false">IF($AG248=Constants!$B$7,IF(AND(U248,V248,W248,Y248),IF($AJ248="",0,IF($AJ$6=0,Constants!$B$9,Constants!$B$9*AJ248/$AJ$6)), 0),"")</f>
        <v/>
      </c>
      <c r="AM248" s="66" t="str">
        <f aca="false">IF(AL248&lt;&gt;"", AL248*AI248,"")</f>
        <v/>
      </c>
      <c r="AN248" s="66" t="str">
        <f aca="false">IF(AND($AG248=Constants!$B$7, U248, V248) ,IF($AB248="", "", IF(OR($AC248="",$AC248=0),"",MAX(0,1-ABS($AC248-$AB248)/$AC248))),"")</f>
        <v/>
      </c>
      <c r="AO248" s="66" t="str">
        <f aca="false">IF(AND($AG248=Constants!$B$7, U248, V248),IF(AND($AA248&lt;&gt;"",$AB248&lt;&gt;"",$AC248=0),$AO$6,""),"")</f>
        <v/>
      </c>
      <c r="AP248" s="66" t="str">
        <f aca="false">IF($AG248=Constants!$B$7 ,IF(AND(U248,V248,W248,Y248,ISNUMBER(AB248)),IF($AN248="",0,IF($AN$6=0,Constants!$B$10,Constants!$B$10*AN248/$AN$6)), 0),"")</f>
        <v/>
      </c>
      <c r="AQ248" s="66" t="str">
        <f aca="false">IF(AP248&lt;&gt;"", AP248*AI248,"")</f>
        <v/>
      </c>
      <c r="AR248" s="66" t="str">
        <f aca="false">IF($AG248=Constants!$B$7,IF($AD248="",0,IF($AR$6=0,Constants!$B$8,Constants!$B$8*AD248/$AR$6)),"")</f>
        <v/>
      </c>
      <c r="AS248" s="66" t="str">
        <f aca="false">IF($AG248&lt;&gt;Constants!$B$7,$AG248,IF(AK248&amp;AO248&lt;&gt;"",Constants!$B$14,AM248+AQ248+AR248))</f>
        <v/>
      </c>
      <c r="AT248" s="66" t="str">
        <f aca="false">IF(ISBLANK($C248),"",IF($AG248=Constants!$B$7,IF(ISNUMBER(AS248),RANK(AS248,$AS$8:$AS$507),Constants!$B$14),$AG248))</f>
        <v/>
      </c>
      <c r="AU248" s="66" t="str">
        <f aca="false">IF(ISBLANK($C248), "",AM248)</f>
        <v/>
      </c>
      <c r="AV248" s="66" t="str">
        <f aca="false">IF(ISBLANK($C248),"",IF($AG248=Constants!$B$7,RANK(AU248,AU$8:AU$507),$AG248))</f>
        <v/>
      </c>
      <c r="AW248" s="66" t="str">
        <f aca="false">IF(ISBLANK($C248), "",AR248)</f>
        <v/>
      </c>
      <c r="AX248" s="66" t="str">
        <f aca="false">IF(ISBLANK($C248),"",IF($AG248=Constants!$B$7,RANK(AW248,AW$8:AW$507),$AG248))</f>
        <v/>
      </c>
      <c r="AY248" s="66" t="str">
        <f aca="false">IF(ISBLANK($C248), "",AE248)</f>
        <v/>
      </c>
      <c r="AZ248" s="66" t="str">
        <f aca="false">IF(ISBLANK($C248),"",
IF($AG248=Constants!$B$7,
  IF(ISNUMBER(AT248),
    COUNTIFS($AT$8:$AT$507,"&lt;"&amp;$AT248)
    + COUNTIFS($AT$8:$AT$507,$AT248,$AV$8:$AV$507,"&lt;"&amp;$AV248)
    + COUNTIFS($AT$8:$AT$507,$AT248,$AV$8:$AV$507,$AV248,$AX$8:$AX$507,"&lt;"&amp;$AX248)
    + COUNTIFS($AT$8:$AT$507,$AT248,$AV$8:$AV$507,$AV248,$AX$8:$AX$507,$AX248,$AY$8:$AY$507,"&lt;"&amp;$AY248)
    + 1,
  Constants!$B$14),
$AG248))</f>
        <v/>
      </c>
      <c r="BA248" s="66" t="str">
        <f aca="false">IF(ISBLANK(C248),"",IF($AG248=Constants!$B$7, IF(ISNUMBER(AT248),AT248-AZ248,Constants!$B$14),$AG248))</f>
        <v/>
      </c>
      <c r="BB248" s="70"/>
      <c r="BC248" s="84" t="str">
        <f aca="false">IF(ISBLANK($C248),"",TRIM(AK248&amp;" "&amp;AO248))</f>
        <v/>
      </c>
      <c r="BD248" s="72" t="str">
        <f aca="false">IF(ISBLANK($C248),"",IF($AG248&lt;&gt;Constants!$B$7,$AG248,AR248))</f>
        <v/>
      </c>
      <c r="BE248" s="72" t="str">
        <f aca="false">IF(ISBLANK($C248),"",IF($AG248&lt;&gt;Constants!$B$7,$AG248,AM248))</f>
        <v/>
      </c>
      <c r="BF248" s="72" t="str">
        <f aca="false">IF(ISBLANK($C248),"",IF($AG248&lt;&gt;Constants!$B$7,$AG248,AQ248))</f>
        <v/>
      </c>
      <c r="BG248" s="73" t="str">
        <f aca="false">IF(ISBLANK($C248),"",IF($AG248&lt;&gt;Constants!$B$7, $AG248 ,AS248))</f>
        <v/>
      </c>
      <c r="BH248" s="74" t="str">
        <f aca="false">IF(ISBLANK($C248),"",IF($AG248&lt;&gt;Constants!$B$7, $AG248 ,AH248))</f>
        <v/>
      </c>
      <c r="BI248" s="72" t="str">
        <f aca="false">IF(ISBLANK(C248),"",BA248)</f>
        <v/>
      </c>
      <c r="BJ248" s="72" t="str">
        <f aca="false">IF(ISBLANK(C248),"",AZ248)</f>
        <v/>
      </c>
      <c r="BK248" s="75" t="str">
        <f aca="false">IF(ISBLANK(C248),"",IFERROR(_xlfn.SWITCH(BJ248, Constants!$B$4, COUNTA($C$8:$C747)+2, Constants!$B$5, COUNTA($C$8:$C747)+1, Constants!$B$6, COUNTA($C$8:$C747)),BJ248))</f>
        <v/>
      </c>
      <c r="BL248" s="5"/>
      <c r="BM248" s="76" t="n">
        <f aca="false">IF(OR(ISNUMBER(BJ248),BJ248="DQ",BJ248="P",BJ248="NS"),
    1,
    0
)</f>
        <v>0</v>
      </c>
      <c r="BN248" s="76" t="n">
        <v>241</v>
      </c>
      <c r="BO248" s="76" t="str">
        <f aca="false">IF(ISBLANK($C248),"",IF(ISNUMBER(BK248),BK248+ROW($B248)/1000,""))</f>
        <v/>
      </c>
      <c r="BP248" s="76" t="str">
        <f aca="false">IF(ISNUMBER(BO248), RANK(BO248,BO$8:BO$507,1), "")</f>
        <v/>
      </c>
      <c r="BQ248" s="76" t="str">
        <f aca="false">IF(ISBLANK($C248),
    "",
    $B248
)</f>
        <v/>
      </c>
      <c r="BR248" s="76" t="str">
        <f aca="false">IF(ISBLANK($C248),
    "",
    $C248
)</f>
        <v/>
      </c>
      <c r="BS248" s="76" t="str">
        <f aca="false">IF(ISBLANK($C248),
    "",
    $D248
)</f>
        <v/>
      </c>
      <c r="BT248" s="77" t="str">
        <f aca="false">BH248</f>
        <v/>
      </c>
      <c r="BU248" s="78" t="str">
        <f aca="false">BG248</f>
        <v/>
      </c>
      <c r="BV248" s="76" t="str">
        <f aca="false">IF(ISBLANK($C248),
    "",
    BJ248
)</f>
        <v/>
      </c>
      <c r="BW248" s="79" t="str">
        <f aca="false">IF(BN248&gt;BM$7,
    "",
    VLOOKUP(BN248,BP$8:BV747,7,FALSE())
)</f>
        <v/>
      </c>
      <c r="BX248" s="80" t="str">
        <f aca="false">IF(BN248&gt;BM$7,
    "",
    VLOOKUP(BN248,BP$8:BV747,2,FALSE())
)</f>
        <v/>
      </c>
      <c r="BY248" s="80" t="str">
        <f aca="false">IF(BN248&gt;BM$7,
    "",
    VLOOKUP(BN248,BP$8:BV747,3,FALSE())
)</f>
        <v/>
      </c>
      <c r="BZ248" s="80" t="str">
        <f aca="false">IF(BN248&gt;BM$7,
    "",
    VLOOKUP(BN248,BP$8:BV747,4,FALSE())
)</f>
        <v/>
      </c>
      <c r="CA248" s="80" t="str">
        <f aca="false">IF(BN248&gt;BM$7,
    "",
    VLOOKUP(BN248,BP$8:BV747,5,FALSE())
)</f>
        <v/>
      </c>
      <c r="CB248" s="81" t="str">
        <f aca="false">IF(BN248&gt;BM$7,
    "",
    VLOOKUP(BN248,BP$8:BV747,6,FALSE())
)</f>
        <v/>
      </c>
      <c r="CC248" s="53"/>
    </row>
    <row r="249" customFormat="false" ht="15.75" hidden="false" customHeight="false" outlineLevel="0" collapsed="false">
      <c r="A249" s="5"/>
      <c r="B249" s="129"/>
      <c r="C249" s="55"/>
      <c r="D249" s="56"/>
      <c r="E249" s="123"/>
      <c r="F249" s="123"/>
      <c r="G249" s="58"/>
      <c r="H249" s="59"/>
      <c r="I249" s="59"/>
      <c r="J249" s="83"/>
      <c r="K249" s="83"/>
      <c r="L249" s="83"/>
      <c r="M249" s="61"/>
      <c r="N249" s="61"/>
      <c r="O249" s="61"/>
      <c r="P249" s="62"/>
      <c r="Q249" s="63"/>
      <c r="R249" s="83"/>
      <c r="S249" s="65"/>
      <c r="T249" s="66"/>
      <c r="U249" s="66" t="str">
        <f aca="false">IF(ISBLANK($C249),"",IF(G249=Constants!$B$2, TRUE(), IF(G249=Constants!$B$3, FALSE(), TRUE())))</f>
        <v/>
      </c>
      <c r="V249" s="66" t="str">
        <f aca="false">IF(ISBLANK($C249),"",IF(H249=Constants!$B$2, TRUE(), IF(H249=Constants!$B$3, FALSE(), TRUE())))</f>
        <v/>
      </c>
      <c r="W249" s="66" t="str">
        <f aca="false">IF(ISBLANK($C249),"",IF(I249=Constants!$B$2, TRUE(), IF(I249=Constants!$B$3, FALSE(), TRUE())))</f>
        <v/>
      </c>
      <c r="X249" s="66" t="str">
        <f aca="false">IF(ISBLANK($C249),"",IF(AND(ISNUMBER(J249),J249&gt;0),INT(J249),0))</f>
        <v/>
      </c>
      <c r="Y249" s="66" t="str">
        <f aca="false">IF(ISBLANK($C249),"",IF(K249=Constants!$B$2, TRUE(), IF(K249=Constants!$B$3, FALSE(), TRUE())))</f>
        <v/>
      </c>
      <c r="Z249" s="66" t="str">
        <f aca="false">IF(ISBLANK($C249),"",IF(AND(ISNUMBER(L249),L249&gt;0),INT(L249),0))</f>
        <v/>
      </c>
      <c r="AA249" s="68" t="str">
        <f aca="false">IF(ISBLANK($C249),"",IF(ISNUMBER(M249), M249, ""))</f>
        <v/>
      </c>
      <c r="AB249" s="68" t="str">
        <f aca="false">IF(ISBLANK($C249),"",IF(ISNUMBER(N249), N249, ""))</f>
        <v/>
      </c>
      <c r="AC249" s="68" t="str">
        <f aca="false">IF(ISBLANK($C249),"",IF(ISNUMBER(O249), O249, ""))</f>
        <v/>
      </c>
      <c r="AD249" s="69" t="str">
        <f aca="false">IF(ISBLANK($C249),"",IF(ISNUMBER(P249), P249, ""))</f>
        <v/>
      </c>
      <c r="AE249" s="69" t="str">
        <f aca="false">IF(ISBLANK($C249),"",IF(ISNUMBER(Q249), Q249, Constants!$B$13))</f>
        <v/>
      </c>
      <c r="AF249" s="66" t="str">
        <f aca="false">IF(ISBLANK($C249),"",IF(R249=Constants!$B$2, TRUE(), IF(R249=Constants!$B$3, FALSE(), FALSE())))</f>
        <v/>
      </c>
      <c r="AG249" s="66" t="str">
        <f aca="false">IF(ISBLANK(C249), "", IF(AF249, Constants!$B$4,IF(COUNTA(G249:P249)=0, Constants!$B$5, Constants!$B$7)))</f>
        <v/>
      </c>
      <c r="AH249" s="66" t="str">
        <f aca="false">IF(ISBLANK($C249), "",IF($AG249=Constants!$B$7,1,$AG249))</f>
        <v/>
      </c>
      <c r="AI249" s="66" t="str">
        <f aca="false">IF($AG249=Constants!$B$7,POWER(Constants!$B$11,X249)*POWER(Constants!$B$12,Z249),"")</f>
        <v/>
      </c>
      <c r="AJ249" s="66" t="str">
        <f aca="false">IF(AND($AG249=Constants!$B$7, U249, V249) ,IF(OR($AA249="",$AC249=""),"",MAX(0, $AC249-$AA249)),"")</f>
        <v/>
      </c>
      <c r="AK249" s="66" t="str">
        <f aca="false">IF(AND($AG249=Constants!$B$7, U249, V249),IF(OR($AA249="",$AC249=""),$AK$6,""),"")</f>
        <v/>
      </c>
      <c r="AL249" s="66" t="str">
        <f aca="false">IF($AG249=Constants!$B$7,IF(AND(U249,V249,W249,Y249),IF($AJ249="",0,IF($AJ$6=0,Constants!$B$9,Constants!$B$9*AJ249/$AJ$6)), 0),"")</f>
        <v/>
      </c>
      <c r="AM249" s="66" t="str">
        <f aca="false">IF(AL249&lt;&gt;"", AL249*AI249,"")</f>
        <v/>
      </c>
      <c r="AN249" s="66" t="str">
        <f aca="false">IF(AND($AG249=Constants!$B$7, U249, V249) ,IF($AB249="", "", IF(OR($AC249="",$AC249=0),"",MAX(0,1-ABS($AC249-$AB249)/$AC249))),"")</f>
        <v/>
      </c>
      <c r="AO249" s="66" t="str">
        <f aca="false">IF(AND($AG249=Constants!$B$7, U249, V249),IF(AND($AA249&lt;&gt;"",$AB249&lt;&gt;"",$AC249=0),$AO$6,""),"")</f>
        <v/>
      </c>
      <c r="AP249" s="66" t="str">
        <f aca="false">IF($AG249=Constants!$B$7 ,IF(AND(U249,V249,W249,Y249,ISNUMBER(AB249)),IF($AN249="",0,IF($AN$6=0,Constants!$B$10,Constants!$B$10*AN249/$AN$6)), 0),"")</f>
        <v/>
      </c>
      <c r="AQ249" s="66" t="str">
        <f aca="false">IF(AP249&lt;&gt;"", AP249*AI249,"")</f>
        <v/>
      </c>
      <c r="AR249" s="66" t="str">
        <f aca="false">IF($AG249=Constants!$B$7,IF($AD249="",0,IF($AR$6=0,Constants!$B$8,Constants!$B$8*AD249/$AR$6)),"")</f>
        <v/>
      </c>
      <c r="AS249" s="66" t="str">
        <f aca="false">IF($AG249&lt;&gt;Constants!$B$7,$AG249,IF(AK249&amp;AO249&lt;&gt;"",Constants!$B$14,AM249+AQ249+AR249))</f>
        <v/>
      </c>
      <c r="AT249" s="66" t="str">
        <f aca="false">IF(ISBLANK($C249),"",IF($AG249=Constants!$B$7,IF(ISNUMBER(AS249),RANK(AS249,$AS$8:$AS$507),Constants!$B$14),$AG249))</f>
        <v/>
      </c>
      <c r="AU249" s="66" t="str">
        <f aca="false">IF(ISBLANK($C249), "",AM249)</f>
        <v/>
      </c>
      <c r="AV249" s="66" t="str">
        <f aca="false">IF(ISBLANK($C249),"",IF($AG249=Constants!$B$7,RANK(AU249,AU$8:AU$507),$AG249))</f>
        <v/>
      </c>
      <c r="AW249" s="66" t="str">
        <f aca="false">IF(ISBLANK($C249), "",AR249)</f>
        <v/>
      </c>
      <c r="AX249" s="66" t="str">
        <f aca="false">IF(ISBLANK($C249),"",IF($AG249=Constants!$B$7,RANK(AW249,AW$8:AW$507),$AG249))</f>
        <v/>
      </c>
      <c r="AY249" s="66" t="str">
        <f aca="false">IF(ISBLANK($C249), "",AE249)</f>
        <v/>
      </c>
      <c r="AZ249" s="66" t="str">
        <f aca="false">IF(ISBLANK($C249),"",
IF($AG249=Constants!$B$7,
  IF(ISNUMBER(AT249),
    COUNTIFS($AT$8:$AT$507,"&lt;"&amp;$AT249)
    + COUNTIFS($AT$8:$AT$507,$AT249,$AV$8:$AV$507,"&lt;"&amp;$AV249)
    + COUNTIFS($AT$8:$AT$507,$AT249,$AV$8:$AV$507,$AV249,$AX$8:$AX$507,"&lt;"&amp;$AX249)
    + COUNTIFS($AT$8:$AT$507,$AT249,$AV$8:$AV$507,$AV249,$AX$8:$AX$507,$AX249,$AY$8:$AY$507,"&lt;"&amp;$AY249)
    + 1,
  Constants!$B$14),
$AG249))</f>
        <v/>
      </c>
      <c r="BA249" s="66" t="str">
        <f aca="false">IF(ISBLANK(C249),"",IF($AG249=Constants!$B$7, IF(ISNUMBER(AT249),AT249-AZ249,Constants!$B$14),$AG249))</f>
        <v/>
      </c>
      <c r="BB249" s="70"/>
      <c r="BC249" s="84" t="str">
        <f aca="false">IF(ISBLANK($C249),"",TRIM(AK249&amp;" "&amp;AO249))</f>
        <v/>
      </c>
      <c r="BD249" s="72" t="str">
        <f aca="false">IF(ISBLANK($C249),"",IF($AG249&lt;&gt;Constants!$B$7,$AG249,AR249))</f>
        <v/>
      </c>
      <c r="BE249" s="72" t="str">
        <f aca="false">IF(ISBLANK($C249),"",IF($AG249&lt;&gt;Constants!$B$7,$AG249,AM249))</f>
        <v/>
      </c>
      <c r="BF249" s="72" t="str">
        <f aca="false">IF(ISBLANK($C249),"",IF($AG249&lt;&gt;Constants!$B$7,$AG249,AQ249))</f>
        <v/>
      </c>
      <c r="BG249" s="73" t="str">
        <f aca="false">IF(ISBLANK($C249),"",IF($AG249&lt;&gt;Constants!$B$7, $AG249 ,AS249))</f>
        <v/>
      </c>
      <c r="BH249" s="74" t="str">
        <f aca="false">IF(ISBLANK($C249),"",IF($AG249&lt;&gt;Constants!$B$7, $AG249 ,AH249))</f>
        <v/>
      </c>
      <c r="BI249" s="72" t="str">
        <f aca="false">IF(ISBLANK(C249),"",BA249)</f>
        <v/>
      </c>
      <c r="BJ249" s="72" t="str">
        <f aca="false">IF(ISBLANK(C249),"",AZ249)</f>
        <v/>
      </c>
      <c r="BK249" s="75" t="str">
        <f aca="false">IF(ISBLANK(C249),"",IFERROR(_xlfn.SWITCH(BJ249, Constants!$B$4, COUNTA($C$8:$C748)+2, Constants!$B$5, COUNTA($C$8:$C748)+1, Constants!$B$6, COUNTA($C$8:$C748)),BJ249))</f>
        <v/>
      </c>
      <c r="BL249" s="5"/>
      <c r="BM249" s="76" t="n">
        <f aca="false">IF(OR(ISNUMBER(BJ249),BJ249="DQ",BJ249="P",BJ249="NS"),
    1,
    0
)</f>
        <v>0</v>
      </c>
      <c r="BN249" s="76" t="n">
        <v>242</v>
      </c>
      <c r="BO249" s="76" t="str">
        <f aca="false">IF(ISBLANK($C249),"",IF(ISNUMBER(BK249),BK249+ROW($B249)/1000,""))</f>
        <v/>
      </c>
      <c r="BP249" s="76" t="str">
        <f aca="false">IF(ISNUMBER(BO249), RANK(BO249,BO$8:BO$507,1), "")</f>
        <v/>
      </c>
      <c r="BQ249" s="76" t="str">
        <f aca="false">IF(ISBLANK($C249),
    "",
    $B249
)</f>
        <v/>
      </c>
      <c r="BR249" s="76" t="str">
        <f aca="false">IF(ISBLANK($C249),
    "",
    $C249
)</f>
        <v/>
      </c>
      <c r="BS249" s="76" t="str">
        <f aca="false">IF(ISBLANK($C249),
    "",
    $D249
)</f>
        <v/>
      </c>
      <c r="BT249" s="77" t="str">
        <f aca="false">BH249</f>
        <v/>
      </c>
      <c r="BU249" s="78" t="str">
        <f aca="false">BG249</f>
        <v/>
      </c>
      <c r="BV249" s="76" t="str">
        <f aca="false">IF(ISBLANK($C249),
    "",
    BJ249
)</f>
        <v/>
      </c>
      <c r="BW249" s="79" t="str">
        <f aca="false">IF(BN249&gt;BM$7,
    "",
    VLOOKUP(BN249,BP$8:BV748,7,FALSE())
)</f>
        <v/>
      </c>
      <c r="BX249" s="80" t="str">
        <f aca="false">IF(BN249&gt;BM$7,
    "",
    VLOOKUP(BN249,BP$8:BV748,2,FALSE())
)</f>
        <v/>
      </c>
      <c r="BY249" s="80" t="str">
        <f aca="false">IF(BN249&gt;BM$7,
    "",
    VLOOKUP(BN249,BP$8:BV748,3,FALSE())
)</f>
        <v/>
      </c>
      <c r="BZ249" s="80" t="str">
        <f aca="false">IF(BN249&gt;BM$7,
    "",
    VLOOKUP(BN249,BP$8:BV748,4,FALSE())
)</f>
        <v/>
      </c>
      <c r="CA249" s="80" t="str">
        <f aca="false">IF(BN249&gt;BM$7,
    "",
    VLOOKUP(BN249,BP$8:BV748,5,FALSE())
)</f>
        <v/>
      </c>
      <c r="CB249" s="81" t="str">
        <f aca="false">IF(BN249&gt;BM$7,
    "",
    VLOOKUP(BN249,BP$8:BV748,6,FALSE())
)</f>
        <v/>
      </c>
      <c r="CC249" s="53"/>
    </row>
    <row r="250" customFormat="false" ht="15.75" hidden="false" customHeight="false" outlineLevel="0" collapsed="false">
      <c r="A250" s="5"/>
      <c r="B250" s="129"/>
      <c r="C250" s="55"/>
      <c r="D250" s="56"/>
      <c r="E250" s="123"/>
      <c r="F250" s="123"/>
      <c r="G250" s="58"/>
      <c r="H250" s="59"/>
      <c r="I250" s="59"/>
      <c r="J250" s="83"/>
      <c r="K250" s="83"/>
      <c r="L250" s="83"/>
      <c r="M250" s="61"/>
      <c r="N250" s="61"/>
      <c r="O250" s="61"/>
      <c r="P250" s="62"/>
      <c r="Q250" s="63"/>
      <c r="R250" s="83"/>
      <c r="S250" s="65"/>
      <c r="T250" s="66"/>
      <c r="U250" s="66" t="str">
        <f aca="false">IF(ISBLANK($C250),"",IF(G250=Constants!$B$2, TRUE(), IF(G250=Constants!$B$3, FALSE(), TRUE())))</f>
        <v/>
      </c>
      <c r="V250" s="66" t="str">
        <f aca="false">IF(ISBLANK($C250),"",IF(H250=Constants!$B$2, TRUE(), IF(H250=Constants!$B$3, FALSE(), TRUE())))</f>
        <v/>
      </c>
      <c r="W250" s="66" t="str">
        <f aca="false">IF(ISBLANK($C250),"",IF(I250=Constants!$B$2, TRUE(), IF(I250=Constants!$B$3, FALSE(), TRUE())))</f>
        <v/>
      </c>
      <c r="X250" s="66" t="str">
        <f aca="false">IF(ISBLANK($C250),"",IF(AND(ISNUMBER(J250),J250&gt;0),INT(J250),0))</f>
        <v/>
      </c>
      <c r="Y250" s="66" t="str">
        <f aca="false">IF(ISBLANK($C250),"",IF(K250=Constants!$B$2, TRUE(), IF(K250=Constants!$B$3, FALSE(), TRUE())))</f>
        <v/>
      </c>
      <c r="Z250" s="66" t="str">
        <f aca="false">IF(ISBLANK($C250),"",IF(AND(ISNUMBER(L250),L250&gt;0),INT(L250),0))</f>
        <v/>
      </c>
      <c r="AA250" s="68" t="str">
        <f aca="false">IF(ISBLANK($C250),"",IF(ISNUMBER(M250), M250, ""))</f>
        <v/>
      </c>
      <c r="AB250" s="68" t="str">
        <f aca="false">IF(ISBLANK($C250),"",IF(ISNUMBER(N250), N250, ""))</f>
        <v/>
      </c>
      <c r="AC250" s="68" t="str">
        <f aca="false">IF(ISBLANK($C250),"",IF(ISNUMBER(O250), O250, ""))</f>
        <v/>
      </c>
      <c r="AD250" s="69" t="str">
        <f aca="false">IF(ISBLANK($C250),"",IF(ISNUMBER(P250), P250, ""))</f>
        <v/>
      </c>
      <c r="AE250" s="69" t="str">
        <f aca="false">IF(ISBLANK($C250),"",IF(ISNUMBER(Q250), Q250, Constants!$B$13))</f>
        <v/>
      </c>
      <c r="AF250" s="66" t="str">
        <f aca="false">IF(ISBLANK($C250),"",IF(R250=Constants!$B$2, TRUE(), IF(R250=Constants!$B$3, FALSE(), FALSE())))</f>
        <v/>
      </c>
      <c r="AG250" s="66" t="str">
        <f aca="false">IF(ISBLANK(C250), "", IF(AF250, Constants!$B$4,IF(COUNTA(G250:P250)=0, Constants!$B$5, Constants!$B$7)))</f>
        <v/>
      </c>
      <c r="AH250" s="66" t="str">
        <f aca="false">IF(ISBLANK($C250), "",IF($AG250=Constants!$B$7,1,$AG250))</f>
        <v/>
      </c>
      <c r="AI250" s="66" t="str">
        <f aca="false">IF($AG250=Constants!$B$7,POWER(Constants!$B$11,X250)*POWER(Constants!$B$12,Z250),"")</f>
        <v/>
      </c>
      <c r="AJ250" s="66" t="str">
        <f aca="false">IF(AND($AG250=Constants!$B$7, U250, V250) ,IF(OR($AA250="",$AC250=""),"",MAX(0, $AC250-$AA250)),"")</f>
        <v/>
      </c>
      <c r="AK250" s="66" t="str">
        <f aca="false">IF(AND($AG250=Constants!$B$7, U250, V250),IF(OR($AA250="",$AC250=""),$AK$6,""),"")</f>
        <v/>
      </c>
      <c r="AL250" s="66" t="str">
        <f aca="false">IF($AG250=Constants!$B$7,IF(AND(U250,V250,W250,Y250),IF($AJ250="",0,IF($AJ$6=0,Constants!$B$9,Constants!$B$9*AJ250/$AJ$6)), 0),"")</f>
        <v/>
      </c>
      <c r="AM250" s="66" t="str">
        <f aca="false">IF(AL250&lt;&gt;"", AL250*AI250,"")</f>
        <v/>
      </c>
      <c r="AN250" s="66" t="str">
        <f aca="false">IF(AND($AG250=Constants!$B$7, U250, V250) ,IF($AB250="", "", IF(OR($AC250="",$AC250=0),"",MAX(0,1-ABS($AC250-$AB250)/$AC250))),"")</f>
        <v/>
      </c>
      <c r="AO250" s="66" t="str">
        <f aca="false">IF(AND($AG250=Constants!$B$7, U250, V250),IF(AND($AA250&lt;&gt;"",$AB250&lt;&gt;"",$AC250=0),$AO$6,""),"")</f>
        <v/>
      </c>
      <c r="AP250" s="66" t="str">
        <f aca="false">IF($AG250=Constants!$B$7 ,IF(AND(U250,V250,W250,Y250,ISNUMBER(AB250)),IF($AN250="",0,IF($AN$6=0,Constants!$B$10,Constants!$B$10*AN250/$AN$6)), 0),"")</f>
        <v/>
      </c>
      <c r="AQ250" s="66" t="str">
        <f aca="false">IF(AP250&lt;&gt;"", AP250*AI250,"")</f>
        <v/>
      </c>
      <c r="AR250" s="66" t="str">
        <f aca="false">IF($AG250=Constants!$B$7,IF($AD250="",0,IF($AR$6=0,Constants!$B$8,Constants!$B$8*AD250/$AR$6)),"")</f>
        <v/>
      </c>
      <c r="AS250" s="66" t="str">
        <f aca="false">IF($AG250&lt;&gt;Constants!$B$7,$AG250,IF(AK250&amp;AO250&lt;&gt;"",Constants!$B$14,AM250+AQ250+AR250))</f>
        <v/>
      </c>
      <c r="AT250" s="66" t="str">
        <f aca="false">IF(ISBLANK($C250),"",IF($AG250=Constants!$B$7,IF(ISNUMBER(AS250),RANK(AS250,$AS$8:$AS$507),Constants!$B$14),$AG250))</f>
        <v/>
      </c>
      <c r="AU250" s="66" t="str">
        <f aca="false">IF(ISBLANK($C250), "",AM250)</f>
        <v/>
      </c>
      <c r="AV250" s="66" t="str">
        <f aca="false">IF(ISBLANK($C250),"",IF($AG250=Constants!$B$7,RANK(AU250,AU$8:AU$507),$AG250))</f>
        <v/>
      </c>
      <c r="AW250" s="66" t="str">
        <f aca="false">IF(ISBLANK($C250), "",AR250)</f>
        <v/>
      </c>
      <c r="AX250" s="66" t="str">
        <f aca="false">IF(ISBLANK($C250),"",IF($AG250=Constants!$B$7,RANK(AW250,AW$8:AW$507),$AG250))</f>
        <v/>
      </c>
      <c r="AY250" s="66" t="str">
        <f aca="false">IF(ISBLANK($C250), "",AE250)</f>
        <v/>
      </c>
      <c r="AZ250" s="66" t="str">
        <f aca="false">IF(ISBLANK($C250),"",
IF($AG250=Constants!$B$7,
  IF(ISNUMBER(AT250),
    COUNTIFS($AT$8:$AT$507,"&lt;"&amp;$AT250)
    + COUNTIFS($AT$8:$AT$507,$AT250,$AV$8:$AV$507,"&lt;"&amp;$AV250)
    + COUNTIFS($AT$8:$AT$507,$AT250,$AV$8:$AV$507,$AV250,$AX$8:$AX$507,"&lt;"&amp;$AX250)
    + COUNTIFS($AT$8:$AT$507,$AT250,$AV$8:$AV$507,$AV250,$AX$8:$AX$507,$AX250,$AY$8:$AY$507,"&lt;"&amp;$AY250)
    + 1,
  Constants!$B$14),
$AG250))</f>
        <v/>
      </c>
      <c r="BA250" s="66" t="str">
        <f aca="false">IF(ISBLANK(C250),"",IF($AG250=Constants!$B$7, IF(ISNUMBER(AT250),AT250-AZ250,Constants!$B$14),$AG250))</f>
        <v/>
      </c>
      <c r="BB250" s="70"/>
      <c r="BC250" s="84" t="str">
        <f aca="false">IF(ISBLANK($C250),"",TRIM(AK250&amp;" "&amp;AO250))</f>
        <v/>
      </c>
      <c r="BD250" s="72" t="str">
        <f aca="false">IF(ISBLANK($C250),"",IF($AG250&lt;&gt;Constants!$B$7,$AG250,AR250))</f>
        <v/>
      </c>
      <c r="BE250" s="72" t="str">
        <f aca="false">IF(ISBLANK($C250),"",IF($AG250&lt;&gt;Constants!$B$7,$AG250,AM250))</f>
        <v/>
      </c>
      <c r="BF250" s="72" t="str">
        <f aca="false">IF(ISBLANK($C250),"",IF($AG250&lt;&gt;Constants!$B$7,$AG250,AQ250))</f>
        <v/>
      </c>
      <c r="BG250" s="73" t="str">
        <f aca="false">IF(ISBLANK($C250),"",IF($AG250&lt;&gt;Constants!$B$7, $AG250 ,AS250))</f>
        <v/>
      </c>
      <c r="BH250" s="74" t="str">
        <f aca="false">IF(ISBLANK($C250),"",IF($AG250&lt;&gt;Constants!$B$7, $AG250 ,AH250))</f>
        <v/>
      </c>
      <c r="BI250" s="72" t="str">
        <f aca="false">IF(ISBLANK(C250),"",BA250)</f>
        <v/>
      </c>
      <c r="BJ250" s="72" t="str">
        <f aca="false">IF(ISBLANK(C250),"",AZ250)</f>
        <v/>
      </c>
      <c r="BK250" s="75" t="str">
        <f aca="false">IF(ISBLANK(C250),"",IFERROR(_xlfn.SWITCH(BJ250, Constants!$B$4, COUNTA($C$8:$C749)+2, Constants!$B$5, COUNTA($C$8:$C749)+1, Constants!$B$6, COUNTA($C$8:$C749)),BJ250))</f>
        <v/>
      </c>
      <c r="BL250" s="5"/>
      <c r="BM250" s="76" t="n">
        <f aca="false">IF(OR(ISNUMBER(BJ250),BJ250="DQ",BJ250="P",BJ250="NS"),
    1,
    0
)</f>
        <v>0</v>
      </c>
      <c r="BN250" s="76" t="n">
        <v>243</v>
      </c>
      <c r="BO250" s="76" t="str">
        <f aca="false">IF(ISBLANK($C250),"",IF(ISNUMBER(BK250),BK250+ROW($B250)/1000,""))</f>
        <v/>
      </c>
      <c r="BP250" s="76" t="str">
        <f aca="false">IF(ISNUMBER(BO250), RANK(BO250,BO$8:BO$507,1), "")</f>
        <v/>
      </c>
      <c r="BQ250" s="76" t="str">
        <f aca="false">IF(ISBLANK($C250),
    "",
    $B250
)</f>
        <v/>
      </c>
      <c r="BR250" s="76" t="str">
        <f aca="false">IF(ISBLANK($C250),
    "",
    $C250
)</f>
        <v/>
      </c>
      <c r="BS250" s="76" t="str">
        <f aca="false">IF(ISBLANK($C250),
    "",
    $D250
)</f>
        <v/>
      </c>
      <c r="BT250" s="77" t="str">
        <f aca="false">BH250</f>
        <v/>
      </c>
      <c r="BU250" s="78" t="str">
        <f aca="false">BG250</f>
        <v/>
      </c>
      <c r="BV250" s="76" t="str">
        <f aca="false">IF(ISBLANK($C250),
    "",
    BJ250
)</f>
        <v/>
      </c>
      <c r="BW250" s="79" t="str">
        <f aca="false">IF(BN250&gt;BM$7,
    "",
    VLOOKUP(BN250,BP$8:BV749,7,FALSE())
)</f>
        <v/>
      </c>
      <c r="BX250" s="80" t="str">
        <f aca="false">IF(BN250&gt;BM$7,
    "",
    VLOOKUP(BN250,BP$8:BV749,2,FALSE())
)</f>
        <v/>
      </c>
      <c r="BY250" s="80" t="str">
        <f aca="false">IF(BN250&gt;BM$7,
    "",
    VLOOKUP(BN250,BP$8:BV749,3,FALSE())
)</f>
        <v/>
      </c>
      <c r="BZ250" s="80" t="str">
        <f aca="false">IF(BN250&gt;BM$7,
    "",
    VLOOKUP(BN250,BP$8:BV749,4,FALSE())
)</f>
        <v/>
      </c>
      <c r="CA250" s="80" t="str">
        <f aca="false">IF(BN250&gt;BM$7,
    "",
    VLOOKUP(BN250,BP$8:BV749,5,FALSE())
)</f>
        <v/>
      </c>
      <c r="CB250" s="81" t="str">
        <f aca="false">IF(BN250&gt;BM$7,
    "",
    VLOOKUP(BN250,BP$8:BV749,6,FALSE())
)</f>
        <v/>
      </c>
      <c r="CC250" s="53"/>
    </row>
    <row r="251" customFormat="false" ht="15.75" hidden="false" customHeight="false" outlineLevel="0" collapsed="false">
      <c r="A251" s="5"/>
      <c r="B251" s="125"/>
      <c r="C251" s="126"/>
      <c r="D251" s="115"/>
      <c r="E251" s="119"/>
      <c r="F251" s="119"/>
      <c r="G251" s="91"/>
      <c r="H251" s="92"/>
      <c r="I251" s="92"/>
      <c r="J251" s="128"/>
      <c r="K251" s="128"/>
      <c r="L251" s="128"/>
      <c r="M251" s="94"/>
      <c r="N251" s="94"/>
      <c r="O251" s="94"/>
      <c r="P251" s="95"/>
      <c r="Q251" s="96"/>
      <c r="R251" s="128"/>
      <c r="S251" s="98"/>
      <c r="T251" s="99"/>
      <c r="U251" s="99" t="str">
        <f aca="false">IF(ISBLANK($C251),"",IF(G251=Constants!$B$2, TRUE(), IF(G251=Constants!$B$3, FALSE(), TRUE())))</f>
        <v/>
      </c>
      <c r="V251" s="99" t="str">
        <f aca="false">IF(ISBLANK($C251),"",IF(H251=Constants!$B$2, TRUE(), IF(H251=Constants!$B$3, FALSE(), TRUE())))</f>
        <v/>
      </c>
      <c r="W251" s="99" t="str">
        <f aca="false">IF(ISBLANK($C251),"",IF(I251=Constants!$B$2, TRUE(), IF(I251=Constants!$B$3, FALSE(), TRUE())))</f>
        <v/>
      </c>
      <c r="X251" s="99" t="str">
        <f aca="false">IF(ISBLANK($C251),"",IF(AND(ISNUMBER(J251),J251&gt;0),INT(J251),0))</f>
        <v/>
      </c>
      <c r="Y251" s="99" t="str">
        <f aca="false">IF(ISBLANK($C251),"",IF(K251=Constants!$B$2, TRUE(), IF(K251=Constants!$B$3, FALSE(), TRUE())))</f>
        <v/>
      </c>
      <c r="Z251" s="100" t="str">
        <f aca="false">IF(ISBLANK($C251),"",IF(AND(ISNUMBER(L251),L251&gt;0),INT(L251),0))</f>
        <v/>
      </c>
      <c r="AA251" s="101" t="str">
        <f aca="false">IF(ISBLANK($C251),"",IF(ISNUMBER(M251), M251, ""))</f>
        <v/>
      </c>
      <c r="AB251" s="101" t="str">
        <f aca="false">IF(ISBLANK($C251),"",IF(ISNUMBER(N251), N251, ""))</f>
        <v/>
      </c>
      <c r="AC251" s="101" t="str">
        <f aca="false">IF(ISBLANK($C251),"",IF(ISNUMBER(O251), O251, ""))</f>
        <v/>
      </c>
      <c r="AD251" s="102" t="str">
        <f aca="false">IF(ISBLANK($C251),"",IF(ISNUMBER(P251), P251, ""))</f>
        <v/>
      </c>
      <c r="AE251" s="102" t="str">
        <f aca="false">IF(ISBLANK($C251),"",IF(ISNUMBER(Q251), Q251, Constants!$B$13))</f>
        <v/>
      </c>
      <c r="AF251" s="99" t="str">
        <f aca="false">IF(ISBLANK($C251),"",IF(R251=Constants!$B$2, TRUE(), IF(R251=Constants!$B$3, FALSE(), FALSE())))</f>
        <v/>
      </c>
      <c r="AG251" s="99" t="str">
        <f aca="false">IF(ISBLANK(C251), "", IF(AF251, Constants!$B$4,IF(COUNTA(G251:P251)=0, Constants!$B$5, Constants!$B$7)))</f>
        <v/>
      </c>
      <c r="AH251" s="99" t="str">
        <f aca="false">IF(ISBLANK($C251), "",IF($AG251=Constants!$B$7,1,$AG251))</f>
        <v/>
      </c>
      <c r="AI251" s="99" t="str">
        <f aca="false">IF($AG251=Constants!$B$7,POWER(Constants!$B$11,X251)*POWER(Constants!$B$12,Z251),"")</f>
        <v/>
      </c>
      <c r="AJ251" s="99" t="str">
        <f aca="false">IF(AND($AG251=Constants!$B$7, U251, V251) ,IF(OR($AA251="",$AC251=""),"",MAX(0, $AC251-$AA251)),"")</f>
        <v/>
      </c>
      <c r="AK251" s="99" t="str">
        <f aca="false">IF(AND($AG251=Constants!$B$7, U251, V251),IF(OR($AA251="",$AC251=""),$AK$6,""),"")</f>
        <v/>
      </c>
      <c r="AL251" s="99" t="str">
        <f aca="false">IF($AG251=Constants!$B$7,IF(AND(U251,V251,W251,Y251),IF($AJ251="",0,IF($AJ$6=0,Constants!$B$9,Constants!$B$9*AJ251/$AJ$6)), 0),"")</f>
        <v/>
      </c>
      <c r="AM251" s="99" t="str">
        <f aca="false">IF(AL251&lt;&gt;"", AL251*AI251,"")</f>
        <v/>
      </c>
      <c r="AN251" s="99" t="str">
        <f aca="false">IF(AND($AG251=Constants!$B$7, U251, V251) ,IF($AB251="", "", IF(OR($AC251="",$AC251=0),"",MAX(0,1-ABS($AC251-$AB251)/$AC251))),"")</f>
        <v/>
      </c>
      <c r="AO251" s="99" t="str">
        <f aca="false">IF(AND($AG251=Constants!$B$7, U251, V251),IF(AND($AA251&lt;&gt;"",$AB251&lt;&gt;"",$AC251=0),$AO$6,""),"")</f>
        <v/>
      </c>
      <c r="AP251" s="99" t="str">
        <f aca="false">IF($AG251=Constants!$B$7 ,IF(AND(U251,V251,W251,Y251,ISNUMBER(AB251)),IF($AN251="",0,IF($AN$6=0,Constants!$B$10,Constants!$B$10*AN251/$AN$6)), 0),"")</f>
        <v/>
      </c>
      <c r="AQ251" s="99" t="str">
        <f aca="false">IF(AP251&lt;&gt;"", AP251*AI251,"")</f>
        <v/>
      </c>
      <c r="AR251" s="99" t="str">
        <f aca="false">IF($AG251=Constants!$B$7,IF($AD251="",0,IF($AR$6=0,Constants!$B$8,Constants!$B$8*AD251/$AR$6)),"")</f>
        <v/>
      </c>
      <c r="AS251" s="99" t="str">
        <f aca="false">IF($AG251&lt;&gt;Constants!$B$7,$AG251,IF(AK251&amp;AO251&lt;&gt;"",Constants!$B$14,AM251+AQ251+AR251))</f>
        <v/>
      </c>
      <c r="AT251" s="99" t="str">
        <f aca="false">IF(ISBLANK($C251),"",IF($AG251=Constants!$B$7,IF(ISNUMBER(AS251),RANK(AS251,$AS$8:$AS$507),Constants!$B$14),$AG251))</f>
        <v/>
      </c>
      <c r="AU251" s="99" t="str">
        <f aca="false">IF(ISBLANK($C251), "",AM251)</f>
        <v/>
      </c>
      <c r="AV251" s="99" t="str">
        <f aca="false">IF(ISBLANK($C251),"",IF($AG251=Constants!$B$7,RANK(AU251,AU$8:AU$507),$AG251))</f>
        <v/>
      </c>
      <c r="AW251" s="99" t="str">
        <f aca="false">IF(ISBLANK($C251), "",AR251)</f>
        <v/>
      </c>
      <c r="AX251" s="99" t="str">
        <f aca="false">IF(ISBLANK($C251),"",IF($AG251=Constants!$B$7,RANK(AW251,AW$8:AW$507),$AG251))</f>
        <v/>
      </c>
      <c r="AY251" s="99" t="str">
        <f aca="false">IF(ISBLANK($C251), "",AE251)</f>
        <v/>
      </c>
      <c r="AZ251" s="99" t="str">
        <f aca="false">IF(ISBLANK($C251),"",
IF($AG251=Constants!$B$7,
  IF(ISNUMBER(AT251),
    COUNTIFS($AT$8:$AT$507,"&lt;"&amp;$AT251)
    + COUNTIFS($AT$8:$AT$507,$AT251,$AV$8:$AV$507,"&lt;"&amp;$AV251)
    + COUNTIFS($AT$8:$AT$507,$AT251,$AV$8:$AV$507,$AV251,$AX$8:$AX$507,"&lt;"&amp;$AX251)
    + COUNTIFS($AT$8:$AT$507,$AT251,$AV$8:$AV$507,$AV251,$AX$8:$AX$507,$AX251,$AY$8:$AY$507,"&lt;"&amp;$AY251)
    + 1,
  Constants!$B$14),
$AG251))</f>
        <v/>
      </c>
      <c r="BA251" s="99" t="str">
        <f aca="false">IF(ISBLANK(C251),"",IF($AG251=Constants!$B$7, IF(ISNUMBER(AT251),AT251-AZ251,Constants!$B$14),$AG251))</f>
        <v/>
      </c>
      <c r="BB251" s="103"/>
      <c r="BC251" s="104" t="str">
        <f aca="false">IF(ISBLANK($C251),"",TRIM(AK251&amp;" "&amp;AO251))</f>
        <v/>
      </c>
      <c r="BD251" s="105" t="str">
        <f aca="false">IF(ISBLANK($C251),"",IF($AG251&lt;&gt;Constants!$B$7,$AG251,AR251))</f>
        <v/>
      </c>
      <c r="BE251" s="105" t="str">
        <f aca="false">IF(ISBLANK($C251),"",IF($AG251&lt;&gt;Constants!$B$7,$AG251,AM251))</f>
        <v/>
      </c>
      <c r="BF251" s="105" t="str">
        <f aca="false">IF(ISBLANK($C251),"",IF($AG251&lt;&gt;Constants!$B$7,$AG251,AQ251))</f>
        <v/>
      </c>
      <c r="BG251" s="106" t="str">
        <f aca="false">IF(ISBLANK($C251),"",IF($AG251&lt;&gt;Constants!$B$7, $AG251 ,AS251))</f>
        <v/>
      </c>
      <c r="BH251" s="107" t="str">
        <f aca="false">IF(ISBLANK($C251),"",IF($AG251&lt;&gt;Constants!$B$7, $AG251 ,AH251))</f>
        <v/>
      </c>
      <c r="BI251" s="105" t="str">
        <f aca="false">IF(ISBLANK(C251),"",BA251)</f>
        <v/>
      </c>
      <c r="BJ251" s="105" t="str">
        <f aca="false">IF(ISBLANK(C251),"",AZ251)</f>
        <v/>
      </c>
      <c r="BK251" s="108" t="str">
        <f aca="false">IF(ISBLANK(C251),"",IFERROR(_xlfn.SWITCH(BJ251, Constants!$B$4, COUNTA($C$8:$C750)+2, Constants!$B$5, COUNTA($C$8:$C750)+1, Constants!$B$6, COUNTA($C$8:$C750)),BJ251))</f>
        <v/>
      </c>
      <c r="BL251" s="5"/>
      <c r="BM251" s="109" t="n">
        <f aca="false">IF(OR(ISNUMBER(BJ251),BJ251="DQ",BJ251="P",BJ251="NS"),
    1,
    0
)</f>
        <v>0</v>
      </c>
      <c r="BN251" s="109" t="n">
        <v>244</v>
      </c>
      <c r="BO251" s="109" t="str">
        <f aca="false">IF(ISBLANK($C251),"",IF(ISNUMBER(BK251),BK251+ROW($B251)/1000,""))</f>
        <v/>
      </c>
      <c r="BP251" s="109" t="str">
        <f aca="false">IF(ISNUMBER(BO251), RANK(BO251,BO$8:BO$507,1), "")</f>
        <v/>
      </c>
      <c r="BQ251" s="109" t="str">
        <f aca="false">IF(ISBLANK($C251),
    "",
    $B251
)</f>
        <v/>
      </c>
      <c r="BR251" s="109" t="str">
        <f aca="false">IF(ISBLANK($C251),
    "",
    $C251
)</f>
        <v/>
      </c>
      <c r="BS251" s="109" t="str">
        <f aca="false">IF(ISBLANK($C251),
    "",
    $D251
)</f>
        <v/>
      </c>
      <c r="BT251" s="110" t="str">
        <f aca="false">BH251</f>
        <v/>
      </c>
      <c r="BU251" s="111" t="str">
        <f aca="false">BG251</f>
        <v/>
      </c>
      <c r="BV251" s="109" t="str">
        <f aca="false">IF(ISBLANK($C251),
    "",
    BJ251
)</f>
        <v/>
      </c>
      <c r="BW251" s="112" t="str">
        <f aca="false">IF(BN251&gt;BM$7,
    "",
    VLOOKUP(BN251,BP$8:BV750,7,FALSE())
)</f>
        <v/>
      </c>
      <c r="BX251" s="113" t="str">
        <f aca="false">IF(BN251&gt;BM$7,
    "",
    VLOOKUP(BN251,BP$8:BV750,2,FALSE())
)</f>
        <v/>
      </c>
      <c r="BY251" s="113" t="str">
        <f aca="false">IF(BN251&gt;BM$7,
    "",
    VLOOKUP(BN251,BP$8:BV750,3,FALSE())
)</f>
        <v/>
      </c>
      <c r="BZ251" s="113" t="str">
        <f aca="false">IF(BN251&gt;BM$7,
    "",
    VLOOKUP(BN251,BP$8:BV750,4,FALSE())
)</f>
        <v/>
      </c>
      <c r="CA251" s="113" t="str">
        <f aca="false">IF(BN251&gt;BM$7,
    "",
    VLOOKUP(BN251,BP$8:BV750,5,FALSE())
)</f>
        <v/>
      </c>
      <c r="CB251" s="114" t="str">
        <f aca="false">IF(BN251&gt;BM$7,
    "",
    VLOOKUP(BN251,BP$8:BV750,6,FALSE())
)</f>
        <v/>
      </c>
      <c r="CC251" s="53"/>
    </row>
    <row r="252" customFormat="false" ht="15.75" hidden="false" customHeight="false" outlineLevel="0" collapsed="false">
      <c r="A252" s="5"/>
      <c r="B252" s="125"/>
      <c r="C252" s="126"/>
      <c r="D252" s="115"/>
      <c r="E252" s="119"/>
      <c r="F252" s="119"/>
      <c r="G252" s="91"/>
      <c r="H252" s="92"/>
      <c r="I252" s="92"/>
      <c r="J252" s="128"/>
      <c r="K252" s="128"/>
      <c r="L252" s="128"/>
      <c r="M252" s="94"/>
      <c r="N252" s="94"/>
      <c r="O252" s="94"/>
      <c r="P252" s="95"/>
      <c r="Q252" s="96"/>
      <c r="R252" s="128"/>
      <c r="S252" s="98"/>
      <c r="T252" s="99"/>
      <c r="U252" s="99" t="str">
        <f aca="false">IF(ISBLANK($C252),"",IF(G252=Constants!$B$2, TRUE(), IF(G252=Constants!$B$3, FALSE(), TRUE())))</f>
        <v/>
      </c>
      <c r="V252" s="99" t="str">
        <f aca="false">IF(ISBLANK($C252),"",IF(H252=Constants!$B$2, TRUE(), IF(H252=Constants!$B$3, FALSE(), TRUE())))</f>
        <v/>
      </c>
      <c r="W252" s="99" t="str">
        <f aca="false">IF(ISBLANK($C252),"",IF(I252=Constants!$B$2, TRUE(), IF(I252=Constants!$B$3, FALSE(), TRUE())))</f>
        <v/>
      </c>
      <c r="X252" s="99" t="str">
        <f aca="false">IF(ISBLANK($C252),"",IF(AND(ISNUMBER(J252),J252&gt;0),INT(J252),0))</f>
        <v/>
      </c>
      <c r="Y252" s="99" t="str">
        <f aca="false">IF(ISBLANK($C252),"",IF(K252=Constants!$B$2, TRUE(), IF(K252=Constants!$B$3, FALSE(), TRUE())))</f>
        <v/>
      </c>
      <c r="Z252" s="100" t="str">
        <f aca="false">IF(ISBLANK($C252),"",IF(AND(ISNUMBER(L252),L252&gt;0),INT(L252),0))</f>
        <v/>
      </c>
      <c r="AA252" s="101" t="str">
        <f aca="false">IF(ISBLANK($C252),"",IF(ISNUMBER(M252), M252, ""))</f>
        <v/>
      </c>
      <c r="AB252" s="101" t="str">
        <f aca="false">IF(ISBLANK($C252),"",IF(ISNUMBER(N252), N252, ""))</f>
        <v/>
      </c>
      <c r="AC252" s="101" t="str">
        <f aca="false">IF(ISBLANK($C252),"",IF(ISNUMBER(O252), O252, ""))</f>
        <v/>
      </c>
      <c r="AD252" s="102" t="str">
        <f aca="false">IF(ISBLANK($C252),"",IF(ISNUMBER(P252), P252, ""))</f>
        <v/>
      </c>
      <c r="AE252" s="102" t="str">
        <f aca="false">IF(ISBLANK($C252),"",IF(ISNUMBER(Q252), Q252, Constants!$B$13))</f>
        <v/>
      </c>
      <c r="AF252" s="99" t="str">
        <f aca="false">IF(ISBLANK($C252),"",IF(R252=Constants!$B$2, TRUE(), IF(R252=Constants!$B$3, FALSE(), FALSE())))</f>
        <v/>
      </c>
      <c r="AG252" s="99" t="str">
        <f aca="false">IF(ISBLANK(C252), "", IF(AF252, Constants!$B$4,IF(COUNTA(G252:P252)=0, Constants!$B$5, Constants!$B$7)))</f>
        <v/>
      </c>
      <c r="AH252" s="99" t="str">
        <f aca="false">IF(ISBLANK($C252), "",IF($AG252=Constants!$B$7,1,$AG252))</f>
        <v/>
      </c>
      <c r="AI252" s="99" t="str">
        <f aca="false">IF($AG252=Constants!$B$7,POWER(Constants!$B$11,X252)*POWER(Constants!$B$12,Z252),"")</f>
        <v/>
      </c>
      <c r="AJ252" s="99" t="str">
        <f aca="false">IF(AND($AG252=Constants!$B$7, U252, V252) ,IF(OR($AA252="",$AC252=""),"",MAX(0, $AC252-$AA252)),"")</f>
        <v/>
      </c>
      <c r="AK252" s="99" t="str">
        <f aca="false">IF(AND($AG252=Constants!$B$7, U252, V252),IF(OR($AA252="",$AC252=""),$AK$6,""),"")</f>
        <v/>
      </c>
      <c r="AL252" s="99" t="str">
        <f aca="false">IF($AG252=Constants!$B$7,IF(AND(U252,V252,W252,Y252),IF($AJ252="",0,IF($AJ$6=0,Constants!$B$9,Constants!$B$9*AJ252/$AJ$6)), 0),"")</f>
        <v/>
      </c>
      <c r="AM252" s="99" t="str">
        <f aca="false">IF(AL252&lt;&gt;"", AL252*AI252,"")</f>
        <v/>
      </c>
      <c r="AN252" s="99" t="str">
        <f aca="false">IF(AND($AG252=Constants!$B$7, U252, V252) ,IF($AB252="", "", IF(OR($AC252="",$AC252=0),"",MAX(0,1-ABS($AC252-$AB252)/$AC252))),"")</f>
        <v/>
      </c>
      <c r="AO252" s="99" t="str">
        <f aca="false">IF(AND($AG252=Constants!$B$7, U252, V252),IF(AND($AA252&lt;&gt;"",$AB252&lt;&gt;"",$AC252=0),$AO$6,""),"")</f>
        <v/>
      </c>
      <c r="AP252" s="99" t="str">
        <f aca="false">IF($AG252=Constants!$B$7 ,IF(AND(U252,V252,W252,Y252,ISNUMBER(AB252)),IF($AN252="",0,IF($AN$6=0,Constants!$B$10,Constants!$B$10*AN252/$AN$6)), 0),"")</f>
        <v/>
      </c>
      <c r="AQ252" s="99" t="str">
        <f aca="false">IF(AP252&lt;&gt;"", AP252*AI252,"")</f>
        <v/>
      </c>
      <c r="AR252" s="99" t="str">
        <f aca="false">IF($AG252=Constants!$B$7,IF($AD252="",0,IF($AR$6=0,Constants!$B$8,Constants!$B$8*AD252/$AR$6)),"")</f>
        <v/>
      </c>
      <c r="AS252" s="99" t="str">
        <f aca="false">IF($AG252&lt;&gt;Constants!$B$7,$AG252,IF(AK252&amp;AO252&lt;&gt;"",Constants!$B$14,AM252+AQ252+AR252))</f>
        <v/>
      </c>
      <c r="AT252" s="99" t="str">
        <f aca="false">IF(ISBLANK($C252),"",IF($AG252=Constants!$B$7,IF(ISNUMBER(AS252),RANK(AS252,$AS$8:$AS$507),Constants!$B$14),$AG252))</f>
        <v/>
      </c>
      <c r="AU252" s="99" t="str">
        <f aca="false">IF(ISBLANK($C252), "",AM252)</f>
        <v/>
      </c>
      <c r="AV252" s="99" t="str">
        <f aca="false">IF(ISBLANK($C252),"",IF($AG252=Constants!$B$7,RANK(AU252,AU$8:AU$507),$AG252))</f>
        <v/>
      </c>
      <c r="AW252" s="99" t="str">
        <f aca="false">IF(ISBLANK($C252), "",AR252)</f>
        <v/>
      </c>
      <c r="AX252" s="99" t="str">
        <f aca="false">IF(ISBLANK($C252),"",IF($AG252=Constants!$B$7,RANK(AW252,AW$8:AW$507),$AG252))</f>
        <v/>
      </c>
      <c r="AY252" s="99" t="str">
        <f aca="false">IF(ISBLANK($C252), "",AE252)</f>
        <v/>
      </c>
      <c r="AZ252" s="99" t="str">
        <f aca="false">IF(ISBLANK($C252),"",
IF($AG252=Constants!$B$7,
  IF(ISNUMBER(AT252),
    COUNTIFS($AT$8:$AT$507,"&lt;"&amp;$AT252)
    + COUNTIFS($AT$8:$AT$507,$AT252,$AV$8:$AV$507,"&lt;"&amp;$AV252)
    + COUNTIFS($AT$8:$AT$507,$AT252,$AV$8:$AV$507,$AV252,$AX$8:$AX$507,"&lt;"&amp;$AX252)
    + COUNTIFS($AT$8:$AT$507,$AT252,$AV$8:$AV$507,$AV252,$AX$8:$AX$507,$AX252,$AY$8:$AY$507,"&lt;"&amp;$AY252)
    + 1,
  Constants!$B$14),
$AG252))</f>
        <v/>
      </c>
      <c r="BA252" s="99" t="str">
        <f aca="false">IF(ISBLANK(C252),"",IF($AG252=Constants!$B$7, IF(ISNUMBER(AT252),AT252-AZ252,Constants!$B$14),$AG252))</f>
        <v/>
      </c>
      <c r="BB252" s="103"/>
      <c r="BC252" s="104" t="str">
        <f aca="false">IF(ISBLANK($C252),"",TRIM(AK252&amp;" "&amp;AO252))</f>
        <v/>
      </c>
      <c r="BD252" s="105" t="str">
        <f aca="false">IF(ISBLANK($C252),"",IF($AG252&lt;&gt;Constants!$B$7,$AG252,AR252))</f>
        <v/>
      </c>
      <c r="BE252" s="105" t="str">
        <f aca="false">IF(ISBLANK($C252),"",IF($AG252&lt;&gt;Constants!$B$7,$AG252,AM252))</f>
        <v/>
      </c>
      <c r="BF252" s="105" t="str">
        <f aca="false">IF(ISBLANK($C252),"",IF($AG252&lt;&gt;Constants!$B$7,$AG252,AQ252))</f>
        <v/>
      </c>
      <c r="BG252" s="106" t="str">
        <f aca="false">IF(ISBLANK($C252),"",IF($AG252&lt;&gt;Constants!$B$7, $AG252 ,AS252))</f>
        <v/>
      </c>
      <c r="BH252" s="107" t="str">
        <f aca="false">IF(ISBLANK($C252),"",IF($AG252&lt;&gt;Constants!$B$7, $AG252 ,AH252))</f>
        <v/>
      </c>
      <c r="BI252" s="105" t="str">
        <f aca="false">IF(ISBLANK(C252),"",BA252)</f>
        <v/>
      </c>
      <c r="BJ252" s="105" t="str">
        <f aca="false">IF(ISBLANK(C252),"",AZ252)</f>
        <v/>
      </c>
      <c r="BK252" s="108" t="str">
        <f aca="false">IF(ISBLANK(C252),"",IFERROR(_xlfn.SWITCH(BJ252, Constants!$B$4, COUNTA($C$8:$C751)+2, Constants!$B$5, COUNTA($C$8:$C751)+1, Constants!$B$6, COUNTA($C$8:$C751)),BJ252))</f>
        <v/>
      </c>
      <c r="BL252" s="5"/>
      <c r="BM252" s="109" t="n">
        <f aca="false">IF(OR(ISNUMBER(BJ252),BJ252="DQ",BJ252="P",BJ252="NS"),
    1,
    0
)</f>
        <v>0</v>
      </c>
      <c r="BN252" s="109" t="n">
        <v>245</v>
      </c>
      <c r="BO252" s="109" t="str">
        <f aca="false">IF(ISBLANK($C252),"",IF(ISNUMBER(BK252),BK252+ROW($B252)/1000,""))</f>
        <v/>
      </c>
      <c r="BP252" s="109" t="str">
        <f aca="false">IF(ISNUMBER(BO252), RANK(BO252,BO$8:BO$507,1), "")</f>
        <v/>
      </c>
      <c r="BQ252" s="109" t="str">
        <f aca="false">IF(ISBLANK($C252),
    "",
    $B252
)</f>
        <v/>
      </c>
      <c r="BR252" s="109" t="str">
        <f aca="false">IF(ISBLANK($C252),
    "",
    $C252
)</f>
        <v/>
      </c>
      <c r="BS252" s="109" t="str">
        <f aca="false">IF(ISBLANK($C252),
    "",
    $D252
)</f>
        <v/>
      </c>
      <c r="BT252" s="110" t="str">
        <f aca="false">BH252</f>
        <v/>
      </c>
      <c r="BU252" s="111" t="str">
        <f aca="false">BG252</f>
        <v/>
      </c>
      <c r="BV252" s="109" t="str">
        <f aca="false">IF(ISBLANK($C252),
    "",
    BJ252
)</f>
        <v/>
      </c>
      <c r="BW252" s="112" t="str">
        <f aca="false">IF(BN252&gt;BM$7,
    "",
    VLOOKUP(BN252,BP$8:BV751,7,FALSE())
)</f>
        <v/>
      </c>
      <c r="BX252" s="113" t="str">
        <f aca="false">IF(BN252&gt;BM$7,
    "",
    VLOOKUP(BN252,BP$8:BV751,2,FALSE())
)</f>
        <v/>
      </c>
      <c r="BY252" s="113" t="str">
        <f aca="false">IF(BN252&gt;BM$7,
    "",
    VLOOKUP(BN252,BP$8:BV751,3,FALSE())
)</f>
        <v/>
      </c>
      <c r="BZ252" s="113" t="str">
        <f aca="false">IF(BN252&gt;BM$7,
    "",
    VLOOKUP(BN252,BP$8:BV751,4,FALSE())
)</f>
        <v/>
      </c>
      <c r="CA252" s="113" t="str">
        <f aca="false">IF(BN252&gt;BM$7,
    "",
    VLOOKUP(BN252,BP$8:BV751,5,FALSE())
)</f>
        <v/>
      </c>
      <c r="CB252" s="114" t="str">
        <f aca="false">IF(BN252&gt;BM$7,
    "",
    VLOOKUP(BN252,BP$8:BV751,6,FALSE())
)</f>
        <v/>
      </c>
      <c r="CC252" s="53"/>
    </row>
    <row r="253" customFormat="false" ht="15.75" hidden="false" customHeight="false" outlineLevel="0" collapsed="false">
      <c r="A253" s="5"/>
      <c r="B253" s="125"/>
      <c r="C253" s="126"/>
      <c r="D253" s="115"/>
      <c r="E253" s="119"/>
      <c r="F253" s="119"/>
      <c r="G253" s="91"/>
      <c r="H253" s="92"/>
      <c r="I253" s="92"/>
      <c r="J253" s="128"/>
      <c r="K253" s="128"/>
      <c r="L253" s="128"/>
      <c r="M253" s="94"/>
      <c r="N253" s="94"/>
      <c r="O253" s="94"/>
      <c r="P253" s="95"/>
      <c r="Q253" s="96"/>
      <c r="R253" s="128"/>
      <c r="S253" s="98"/>
      <c r="T253" s="99"/>
      <c r="U253" s="99" t="str">
        <f aca="false">IF(ISBLANK($C253),"",IF(G253=Constants!$B$2, TRUE(), IF(G253=Constants!$B$3, FALSE(), TRUE())))</f>
        <v/>
      </c>
      <c r="V253" s="99" t="str">
        <f aca="false">IF(ISBLANK($C253),"",IF(H253=Constants!$B$2, TRUE(), IF(H253=Constants!$B$3, FALSE(), TRUE())))</f>
        <v/>
      </c>
      <c r="W253" s="99" t="str">
        <f aca="false">IF(ISBLANK($C253),"",IF(I253=Constants!$B$2, TRUE(), IF(I253=Constants!$B$3, FALSE(), TRUE())))</f>
        <v/>
      </c>
      <c r="X253" s="99" t="str">
        <f aca="false">IF(ISBLANK($C253),"",IF(AND(ISNUMBER(J253),J253&gt;0),INT(J253),0))</f>
        <v/>
      </c>
      <c r="Y253" s="99" t="str">
        <f aca="false">IF(ISBLANK($C253),"",IF(K253=Constants!$B$2, TRUE(), IF(K253=Constants!$B$3, FALSE(), TRUE())))</f>
        <v/>
      </c>
      <c r="Z253" s="100" t="str">
        <f aca="false">IF(ISBLANK($C253),"",IF(AND(ISNUMBER(L253),L253&gt;0),INT(L253),0))</f>
        <v/>
      </c>
      <c r="AA253" s="101" t="str">
        <f aca="false">IF(ISBLANK($C253),"",IF(ISNUMBER(M253), M253, ""))</f>
        <v/>
      </c>
      <c r="AB253" s="101" t="str">
        <f aca="false">IF(ISBLANK($C253),"",IF(ISNUMBER(N253), N253, ""))</f>
        <v/>
      </c>
      <c r="AC253" s="101" t="str">
        <f aca="false">IF(ISBLANK($C253),"",IF(ISNUMBER(O253), O253, ""))</f>
        <v/>
      </c>
      <c r="AD253" s="102" t="str">
        <f aca="false">IF(ISBLANK($C253),"",IF(ISNUMBER(P253), P253, ""))</f>
        <v/>
      </c>
      <c r="AE253" s="102" t="str">
        <f aca="false">IF(ISBLANK($C253),"",IF(ISNUMBER(Q253), Q253, Constants!$B$13))</f>
        <v/>
      </c>
      <c r="AF253" s="99" t="str">
        <f aca="false">IF(ISBLANK($C253),"",IF(R253=Constants!$B$2, TRUE(), IF(R253=Constants!$B$3, FALSE(), FALSE())))</f>
        <v/>
      </c>
      <c r="AG253" s="99" t="str">
        <f aca="false">IF(ISBLANK(C253), "", IF(AF253, Constants!$B$4,IF(COUNTA(G253:P253)=0, Constants!$B$5, Constants!$B$7)))</f>
        <v/>
      </c>
      <c r="AH253" s="99" t="str">
        <f aca="false">IF(ISBLANK($C253), "",IF($AG253=Constants!$B$7,1,$AG253))</f>
        <v/>
      </c>
      <c r="AI253" s="99" t="str">
        <f aca="false">IF($AG253=Constants!$B$7,POWER(Constants!$B$11,X253)*POWER(Constants!$B$12,Z253),"")</f>
        <v/>
      </c>
      <c r="AJ253" s="99" t="str">
        <f aca="false">IF(AND($AG253=Constants!$B$7, U253, V253) ,IF(OR($AA253="",$AC253=""),"",MAX(0, $AC253-$AA253)),"")</f>
        <v/>
      </c>
      <c r="AK253" s="99" t="str">
        <f aca="false">IF(AND($AG253=Constants!$B$7, U253, V253),IF(OR($AA253="",$AC253=""),$AK$6,""),"")</f>
        <v/>
      </c>
      <c r="AL253" s="99" t="str">
        <f aca="false">IF($AG253=Constants!$B$7,IF(AND(U253,V253,W253,Y253),IF($AJ253="",0,IF($AJ$6=0,Constants!$B$9,Constants!$B$9*AJ253/$AJ$6)), 0),"")</f>
        <v/>
      </c>
      <c r="AM253" s="99" t="str">
        <f aca="false">IF(AL253&lt;&gt;"", AL253*AI253,"")</f>
        <v/>
      </c>
      <c r="AN253" s="99" t="str">
        <f aca="false">IF(AND($AG253=Constants!$B$7, U253, V253) ,IF($AB253="", "", IF(OR($AC253="",$AC253=0),"",MAX(0,1-ABS($AC253-$AB253)/$AC253))),"")</f>
        <v/>
      </c>
      <c r="AO253" s="99" t="str">
        <f aca="false">IF(AND($AG253=Constants!$B$7, U253, V253),IF(AND($AA253&lt;&gt;"",$AB253&lt;&gt;"",$AC253=0),$AO$6,""),"")</f>
        <v/>
      </c>
      <c r="AP253" s="99" t="str">
        <f aca="false">IF($AG253=Constants!$B$7 ,IF(AND(U253,V253,W253,Y253,ISNUMBER(AB253)),IF($AN253="",0,IF($AN$6=0,Constants!$B$10,Constants!$B$10*AN253/$AN$6)), 0),"")</f>
        <v/>
      </c>
      <c r="AQ253" s="99" t="str">
        <f aca="false">IF(AP253&lt;&gt;"", AP253*AI253,"")</f>
        <v/>
      </c>
      <c r="AR253" s="99" t="str">
        <f aca="false">IF($AG253=Constants!$B$7,IF($AD253="",0,IF($AR$6=0,Constants!$B$8,Constants!$B$8*AD253/$AR$6)),"")</f>
        <v/>
      </c>
      <c r="AS253" s="99" t="str">
        <f aca="false">IF($AG253&lt;&gt;Constants!$B$7,$AG253,IF(AK253&amp;AO253&lt;&gt;"",Constants!$B$14,AM253+AQ253+AR253))</f>
        <v/>
      </c>
      <c r="AT253" s="99" t="str">
        <f aca="false">IF(ISBLANK($C253),"",IF($AG253=Constants!$B$7,IF(ISNUMBER(AS253),RANK(AS253,$AS$8:$AS$507),Constants!$B$14),$AG253))</f>
        <v/>
      </c>
      <c r="AU253" s="99" t="str">
        <f aca="false">IF(ISBLANK($C253), "",AM253)</f>
        <v/>
      </c>
      <c r="AV253" s="99" t="str">
        <f aca="false">IF(ISBLANK($C253),"",IF($AG253=Constants!$B$7,RANK(AU253,AU$8:AU$507),$AG253))</f>
        <v/>
      </c>
      <c r="AW253" s="99" t="str">
        <f aca="false">IF(ISBLANK($C253), "",AR253)</f>
        <v/>
      </c>
      <c r="AX253" s="99" t="str">
        <f aca="false">IF(ISBLANK($C253),"",IF($AG253=Constants!$B$7,RANK(AW253,AW$8:AW$507),$AG253))</f>
        <v/>
      </c>
      <c r="AY253" s="99" t="str">
        <f aca="false">IF(ISBLANK($C253), "",AE253)</f>
        <v/>
      </c>
      <c r="AZ253" s="99" t="str">
        <f aca="false">IF(ISBLANK($C253),"",
IF($AG253=Constants!$B$7,
  IF(ISNUMBER(AT253),
    COUNTIFS($AT$8:$AT$507,"&lt;"&amp;$AT253)
    + COUNTIFS($AT$8:$AT$507,$AT253,$AV$8:$AV$507,"&lt;"&amp;$AV253)
    + COUNTIFS($AT$8:$AT$507,$AT253,$AV$8:$AV$507,$AV253,$AX$8:$AX$507,"&lt;"&amp;$AX253)
    + COUNTIFS($AT$8:$AT$507,$AT253,$AV$8:$AV$507,$AV253,$AX$8:$AX$507,$AX253,$AY$8:$AY$507,"&lt;"&amp;$AY253)
    + 1,
  Constants!$B$14),
$AG253))</f>
        <v/>
      </c>
      <c r="BA253" s="99" t="str">
        <f aca="false">IF(ISBLANK(C253),"",IF($AG253=Constants!$B$7, IF(ISNUMBER(AT253),AT253-AZ253,Constants!$B$14),$AG253))</f>
        <v/>
      </c>
      <c r="BB253" s="103"/>
      <c r="BC253" s="104" t="str">
        <f aca="false">IF(ISBLANK($C253),"",TRIM(AK253&amp;" "&amp;AO253))</f>
        <v/>
      </c>
      <c r="BD253" s="105" t="str">
        <f aca="false">IF(ISBLANK($C253),"",IF($AG253&lt;&gt;Constants!$B$7,$AG253,AR253))</f>
        <v/>
      </c>
      <c r="BE253" s="105" t="str">
        <f aca="false">IF(ISBLANK($C253),"",IF($AG253&lt;&gt;Constants!$B$7,$AG253,AM253))</f>
        <v/>
      </c>
      <c r="BF253" s="105" t="str">
        <f aca="false">IF(ISBLANK($C253),"",IF($AG253&lt;&gt;Constants!$B$7,$AG253,AQ253))</f>
        <v/>
      </c>
      <c r="BG253" s="106" t="str">
        <f aca="false">IF(ISBLANK($C253),"",IF($AG253&lt;&gt;Constants!$B$7, $AG253 ,AS253))</f>
        <v/>
      </c>
      <c r="BH253" s="107" t="str">
        <f aca="false">IF(ISBLANK($C253),"",IF($AG253&lt;&gt;Constants!$B$7, $AG253 ,AH253))</f>
        <v/>
      </c>
      <c r="BI253" s="105" t="str">
        <f aca="false">IF(ISBLANK(C253),"",BA253)</f>
        <v/>
      </c>
      <c r="BJ253" s="105" t="str">
        <f aca="false">IF(ISBLANK(C253),"",AZ253)</f>
        <v/>
      </c>
      <c r="BK253" s="108" t="str">
        <f aca="false">IF(ISBLANK(C253),"",IFERROR(_xlfn.SWITCH(BJ253, Constants!$B$4, COUNTA($C$8:$C752)+2, Constants!$B$5, COUNTA($C$8:$C752)+1, Constants!$B$6, COUNTA($C$8:$C752)),BJ253))</f>
        <v/>
      </c>
      <c r="BL253" s="5"/>
      <c r="BM253" s="109" t="n">
        <f aca="false">IF(OR(ISNUMBER(BJ253),BJ253="DQ",BJ253="P",BJ253="NS"),
    1,
    0
)</f>
        <v>0</v>
      </c>
      <c r="BN253" s="109" t="n">
        <v>246</v>
      </c>
      <c r="BO253" s="109" t="str">
        <f aca="false">IF(ISBLANK($C253),"",IF(ISNUMBER(BK253),BK253+ROW($B253)/1000,""))</f>
        <v/>
      </c>
      <c r="BP253" s="109" t="str">
        <f aca="false">IF(ISNUMBER(BO253), RANK(BO253,BO$8:BO$507,1), "")</f>
        <v/>
      </c>
      <c r="BQ253" s="109" t="str">
        <f aca="false">IF(ISBLANK($C253),
    "",
    $B253
)</f>
        <v/>
      </c>
      <c r="BR253" s="109" t="str">
        <f aca="false">IF(ISBLANK($C253),
    "",
    $C253
)</f>
        <v/>
      </c>
      <c r="BS253" s="109" t="str">
        <f aca="false">IF(ISBLANK($C253),
    "",
    $D253
)</f>
        <v/>
      </c>
      <c r="BT253" s="110" t="str">
        <f aca="false">BH253</f>
        <v/>
      </c>
      <c r="BU253" s="111" t="str">
        <f aca="false">BG253</f>
        <v/>
      </c>
      <c r="BV253" s="109" t="str">
        <f aca="false">IF(ISBLANK($C253),
    "",
    BJ253
)</f>
        <v/>
      </c>
      <c r="BW253" s="112" t="str">
        <f aca="false">IF(BN253&gt;BM$7,
    "",
    VLOOKUP(BN253,BP$8:BV752,7,FALSE())
)</f>
        <v/>
      </c>
      <c r="BX253" s="113" t="str">
        <f aca="false">IF(BN253&gt;BM$7,
    "",
    VLOOKUP(BN253,BP$8:BV752,2,FALSE())
)</f>
        <v/>
      </c>
      <c r="BY253" s="113" t="str">
        <f aca="false">IF(BN253&gt;BM$7,
    "",
    VLOOKUP(BN253,BP$8:BV752,3,FALSE())
)</f>
        <v/>
      </c>
      <c r="BZ253" s="113" t="str">
        <f aca="false">IF(BN253&gt;BM$7,
    "",
    VLOOKUP(BN253,BP$8:BV752,4,FALSE())
)</f>
        <v/>
      </c>
      <c r="CA253" s="113" t="str">
        <f aca="false">IF(BN253&gt;BM$7,
    "",
    VLOOKUP(BN253,BP$8:BV752,5,FALSE())
)</f>
        <v/>
      </c>
      <c r="CB253" s="114" t="str">
        <f aca="false">IF(BN253&gt;BM$7,
    "",
    VLOOKUP(BN253,BP$8:BV752,6,FALSE())
)</f>
        <v/>
      </c>
      <c r="CC253" s="53"/>
    </row>
    <row r="254" customFormat="false" ht="15.75" hidden="false" customHeight="false" outlineLevel="0" collapsed="false">
      <c r="A254" s="5"/>
      <c r="B254" s="129"/>
      <c r="C254" s="55"/>
      <c r="D254" s="56"/>
      <c r="E254" s="123"/>
      <c r="F254" s="123"/>
      <c r="G254" s="58"/>
      <c r="H254" s="59"/>
      <c r="I254" s="59"/>
      <c r="J254" s="83"/>
      <c r="K254" s="83"/>
      <c r="L254" s="83"/>
      <c r="M254" s="61"/>
      <c r="N254" s="61"/>
      <c r="O254" s="61"/>
      <c r="P254" s="62"/>
      <c r="Q254" s="63"/>
      <c r="R254" s="83"/>
      <c r="S254" s="65"/>
      <c r="T254" s="66"/>
      <c r="U254" s="66" t="str">
        <f aca="false">IF(ISBLANK($C254),"",IF(G254=Constants!$B$2, TRUE(), IF(G254=Constants!$B$3, FALSE(), TRUE())))</f>
        <v/>
      </c>
      <c r="V254" s="66" t="str">
        <f aca="false">IF(ISBLANK($C254),"",IF(H254=Constants!$B$2, TRUE(), IF(H254=Constants!$B$3, FALSE(), TRUE())))</f>
        <v/>
      </c>
      <c r="W254" s="66" t="str">
        <f aca="false">IF(ISBLANK($C254),"",IF(I254=Constants!$B$2, TRUE(), IF(I254=Constants!$B$3, FALSE(), TRUE())))</f>
        <v/>
      </c>
      <c r="X254" s="66" t="str">
        <f aca="false">IF(ISBLANK($C254),"",IF(AND(ISNUMBER(J254),J254&gt;0),INT(J254),0))</f>
        <v/>
      </c>
      <c r="Y254" s="66" t="str">
        <f aca="false">IF(ISBLANK($C254),"",IF(K254=Constants!$B$2, TRUE(), IF(K254=Constants!$B$3, FALSE(), TRUE())))</f>
        <v/>
      </c>
      <c r="Z254" s="66" t="str">
        <f aca="false">IF(ISBLANK($C254),"",IF(AND(ISNUMBER(L254),L254&gt;0),INT(L254),0))</f>
        <v/>
      </c>
      <c r="AA254" s="68" t="str">
        <f aca="false">IF(ISBLANK($C254),"",IF(ISNUMBER(M254), M254, ""))</f>
        <v/>
      </c>
      <c r="AB254" s="68" t="str">
        <f aca="false">IF(ISBLANK($C254),"",IF(ISNUMBER(N254), N254, ""))</f>
        <v/>
      </c>
      <c r="AC254" s="68" t="str">
        <f aca="false">IF(ISBLANK($C254),"",IF(ISNUMBER(O254), O254, ""))</f>
        <v/>
      </c>
      <c r="AD254" s="69" t="str">
        <f aca="false">IF(ISBLANK($C254),"",IF(ISNUMBER(P254), P254, ""))</f>
        <v/>
      </c>
      <c r="AE254" s="69" t="str">
        <f aca="false">IF(ISBLANK($C254),"",IF(ISNUMBER(Q254), Q254, Constants!$B$13))</f>
        <v/>
      </c>
      <c r="AF254" s="66" t="str">
        <f aca="false">IF(ISBLANK($C254),"",IF(R254=Constants!$B$2, TRUE(), IF(R254=Constants!$B$3, FALSE(), FALSE())))</f>
        <v/>
      </c>
      <c r="AG254" s="66" t="str">
        <f aca="false">IF(ISBLANK(C254), "", IF(AF254, Constants!$B$4,IF(COUNTA(G254:P254)=0, Constants!$B$5, Constants!$B$7)))</f>
        <v/>
      </c>
      <c r="AH254" s="66" t="str">
        <f aca="false">IF(ISBLANK($C254), "",IF($AG254=Constants!$B$7,1,$AG254))</f>
        <v/>
      </c>
      <c r="AI254" s="66" t="str">
        <f aca="false">IF($AG254=Constants!$B$7,POWER(Constants!$B$11,X254)*POWER(Constants!$B$12,Z254),"")</f>
        <v/>
      </c>
      <c r="AJ254" s="66" t="str">
        <f aca="false">IF(AND($AG254=Constants!$B$7, U254, V254) ,IF(OR($AA254="",$AC254=""),"",MAX(0, $AC254-$AA254)),"")</f>
        <v/>
      </c>
      <c r="AK254" s="66" t="str">
        <f aca="false">IF(AND($AG254=Constants!$B$7, U254, V254),IF(OR($AA254="",$AC254=""),$AK$6,""),"")</f>
        <v/>
      </c>
      <c r="AL254" s="66" t="str">
        <f aca="false">IF($AG254=Constants!$B$7,IF(AND(U254,V254,W254,Y254),IF($AJ254="",0,IF($AJ$6=0,Constants!$B$9,Constants!$B$9*AJ254/$AJ$6)), 0),"")</f>
        <v/>
      </c>
      <c r="AM254" s="66" t="str">
        <f aca="false">IF(AL254&lt;&gt;"", AL254*AI254,"")</f>
        <v/>
      </c>
      <c r="AN254" s="66" t="str">
        <f aca="false">IF(AND($AG254=Constants!$B$7, U254, V254) ,IF($AB254="", "", IF(OR($AC254="",$AC254=0),"",MAX(0,1-ABS($AC254-$AB254)/$AC254))),"")</f>
        <v/>
      </c>
      <c r="AO254" s="66" t="str">
        <f aca="false">IF(AND($AG254=Constants!$B$7, U254, V254),IF(AND($AA254&lt;&gt;"",$AB254&lt;&gt;"",$AC254=0),$AO$6,""),"")</f>
        <v/>
      </c>
      <c r="AP254" s="66" t="str">
        <f aca="false">IF($AG254=Constants!$B$7 ,IF(AND(U254,V254,W254,Y254,ISNUMBER(AB254)),IF($AN254="",0,IF($AN$6=0,Constants!$B$10,Constants!$B$10*AN254/$AN$6)), 0),"")</f>
        <v/>
      </c>
      <c r="AQ254" s="66" t="str">
        <f aca="false">IF(AP254&lt;&gt;"", AP254*AI254,"")</f>
        <v/>
      </c>
      <c r="AR254" s="66" t="str">
        <f aca="false">IF($AG254=Constants!$B$7,IF($AD254="",0,IF($AR$6=0,Constants!$B$8,Constants!$B$8*AD254/$AR$6)),"")</f>
        <v/>
      </c>
      <c r="AS254" s="66" t="str">
        <f aca="false">IF($AG254&lt;&gt;Constants!$B$7,$AG254,IF(AK254&amp;AO254&lt;&gt;"",Constants!$B$14,AM254+AQ254+AR254))</f>
        <v/>
      </c>
      <c r="AT254" s="66" t="str">
        <f aca="false">IF(ISBLANK($C254),"",IF($AG254=Constants!$B$7,IF(ISNUMBER(AS254),RANK(AS254,$AS$8:$AS$507),Constants!$B$14),$AG254))</f>
        <v/>
      </c>
      <c r="AU254" s="66" t="str">
        <f aca="false">IF(ISBLANK($C254), "",AM254)</f>
        <v/>
      </c>
      <c r="AV254" s="66" t="str">
        <f aca="false">IF(ISBLANK($C254),"",IF($AG254=Constants!$B$7,RANK(AU254,AU$8:AU$507),$AG254))</f>
        <v/>
      </c>
      <c r="AW254" s="66" t="str">
        <f aca="false">IF(ISBLANK($C254), "",AR254)</f>
        <v/>
      </c>
      <c r="AX254" s="66" t="str">
        <f aca="false">IF(ISBLANK($C254),"",IF($AG254=Constants!$B$7,RANK(AW254,AW$8:AW$507),$AG254))</f>
        <v/>
      </c>
      <c r="AY254" s="66" t="str">
        <f aca="false">IF(ISBLANK($C254), "",AE254)</f>
        <v/>
      </c>
      <c r="AZ254" s="66" t="str">
        <f aca="false">IF(ISBLANK($C254),"",
IF($AG254=Constants!$B$7,
  IF(ISNUMBER(AT254),
    COUNTIFS($AT$8:$AT$507,"&lt;"&amp;$AT254)
    + COUNTIFS($AT$8:$AT$507,$AT254,$AV$8:$AV$507,"&lt;"&amp;$AV254)
    + COUNTIFS($AT$8:$AT$507,$AT254,$AV$8:$AV$507,$AV254,$AX$8:$AX$507,"&lt;"&amp;$AX254)
    + COUNTIFS($AT$8:$AT$507,$AT254,$AV$8:$AV$507,$AV254,$AX$8:$AX$507,$AX254,$AY$8:$AY$507,"&lt;"&amp;$AY254)
    + 1,
  Constants!$B$14),
$AG254))</f>
        <v/>
      </c>
      <c r="BA254" s="66" t="str">
        <f aca="false">IF(ISBLANK(C254),"",IF($AG254=Constants!$B$7, IF(ISNUMBER(AT254),AT254-AZ254,Constants!$B$14),$AG254))</f>
        <v/>
      </c>
      <c r="BB254" s="70"/>
      <c r="BC254" s="84" t="str">
        <f aca="false">IF(ISBLANK($C254),"",TRIM(AK254&amp;" "&amp;AO254))</f>
        <v/>
      </c>
      <c r="BD254" s="72" t="str">
        <f aca="false">IF(ISBLANK($C254),"",IF($AG254&lt;&gt;Constants!$B$7,$AG254,AR254))</f>
        <v/>
      </c>
      <c r="BE254" s="72" t="str">
        <f aca="false">IF(ISBLANK($C254),"",IF($AG254&lt;&gt;Constants!$B$7,$AG254,AM254))</f>
        <v/>
      </c>
      <c r="BF254" s="72" t="str">
        <f aca="false">IF(ISBLANK($C254),"",IF($AG254&lt;&gt;Constants!$B$7,$AG254,AQ254))</f>
        <v/>
      </c>
      <c r="BG254" s="73" t="str">
        <f aca="false">IF(ISBLANK($C254),"",IF($AG254&lt;&gt;Constants!$B$7, $AG254 ,AS254))</f>
        <v/>
      </c>
      <c r="BH254" s="74" t="str">
        <f aca="false">IF(ISBLANK($C254),"",IF($AG254&lt;&gt;Constants!$B$7, $AG254 ,AH254))</f>
        <v/>
      </c>
      <c r="BI254" s="72" t="str">
        <f aca="false">IF(ISBLANK(C254),"",BA254)</f>
        <v/>
      </c>
      <c r="BJ254" s="72" t="str">
        <f aca="false">IF(ISBLANK(C254),"",AZ254)</f>
        <v/>
      </c>
      <c r="BK254" s="75" t="str">
        <f aca="false">IF(ISBLANK(C254),"",IFERROR(_xlfn.SWITCH(BJ254, Constants!$B$4, COUNTA($C$8:$C753)+2, Constants!$B$5, COUNTA($C$8:$C753)+1, Constants!$B$6, COUNTA($C$8:$C753)),BJ254))</f>
        <v/>
      </c>
      <c r="BL254" s="5"/>
      <c r="BM254" s="76" t="n">
        <f aca="false">IF(OR(ISNUMBER(BJ254),BJ254="DQ",BJ254="P",BJ254="NS"),
    1,
    0
)</f>
        <v>0</v>
      </c>
      <c r="BN254" s="76" t="n">
        <v>247</v>
      </c>
      <c r="BO254" s="76" t="str">
        <f aca="false">IF(ISBLANK($C254),"",IF(ISNUMBER(BK254),BK254+ROW($B254)/1000,""))</f>
        <v/>
      </c>
      <c r="BP254" s="76" t="str">
        <f aca="false">IF(ISNUMBER(BO254), RANK(BO254,BO$8:BO$507,1), "")</f>
        <v/>
      </c>
      <c r="BQ254" s="76" t="str">
        <f aca="false">IF(ISBLANK($C254),
    "",
    $B254
)</f>
        <v/>
      </c>
      <c r="BR254" s="76" t="str">
        <f aca="false">IF(ISBLANK($C254),
    "",
    $C254
)</f>
        <v/>
      </c>
      <c r="BS254" s="76" t="str">
        <f aca="false">IF(ISBLANK($C254),
    "",
    $D254
)</f>
        <v/>
      </c>
      <c r="BT254" s="77" t="str">
        <f aca="false">BH254</f>
        <v/>
      </c>
      <c r="BU254" s="78" t="str">
        <f aca="false">BG254</f>
        <v/>
      </c>
      <c r="BV254" s="76" t="str">
        <f aca="false">IF(ISBLANK($C254),
    "",
    BJ254
)</f>
        <v/>
      </c>
      <c r="BW254" s="79" t="str">
        <f aca="false">IF(BN254&gt;BM$7,
    "",
    VLOOKUP(BN254,BP$8:BV753,7,FALSE())
)</f>
        <v/>
      </c>
      <c r="BX254" s="80" t="str">
        <f aca="false">IF(BN254&gt;BM$7,
    "",
    VLOOKUP(BN254,BP$8:BV753,2,FALSE())
)</f>
        <v/>
      </c>
      <c r="BY254" s="80" t="str">
        <f aca="false">IF(BN254&gt;BM$7,
    "",
    VLOOKUP(BN254,BP$8:BV753,3,FALSE())
)</f>
        <v/>
      </c>
      <c r="BZ254" s="80" t="str">
        <f aca="false">IF(BN254&gt;BM$7,
    "",
    VLOOKUP(BN254,BP$8:BV753,4,FALSE())
)</f>
        <v/>
      </c>
      <c r="CA254" s="80" t="str">
        <f aca="false">IF(BN254&gt;BM$7,
    "",
    VLOOKUP(BN254,BP$8:BV753,5,FALSE())
)</f>
        <v/>
      </c>
      <c r="CB254" s="81" t="str">
        <f aca="false">IF(BN254&gt;BM$7,
    "",
    VLOOKUP(BN254,BP$8:BV753,6,FALSE())
)</f>
        <v/>
      </c>
      <c r="CC254" s="53"/>
    </row>
    <row r="255" customFormat="false" ht="15.75" hidden="false" customHeight="false" outlineLevel="0" collapsed="false">
      <c r="A255" s="5"/>
      <c r="B255" s="129"/>
      <c r="C255" s="55"/>
      <c r="D255" s="56"/>
      <c r="E255" s="123"/>
      <c r="F255" s="123"/>
      <c r="G255" s="58"/>
      <c r="H255" s="59"/>
      <c r="I255" s="59"/>
      <c r="J255" s="83"/>
      <c r="K255" s="83"/>
      <c r="L255" s="83"/>
      <c r="M255" s="61"/>
      <c r="N255" s="61"/>
      <c r="O255" s="61"/>
      <c r="P255" s="62"/>
      <c r="Q255" s="63"/>
      <c r="R255" s="83"/>
      <c r="S255" s="65"/>
      <c r="T255" s="66"/>
      <c r="U255" s="66" t="str">
        <f aca="false">IF(ISBLANK($C255),"",IF(G255=Constants!$B$2, TRUE(), IF(G255=Constants!$B$3, FALSE(), TRUE())))</f>
        <v/>
      </c>
      <c r="V255" s="66" t="str">
        <f aca="false">IF(ISBLANK($C255),"",IF(H255=Constants!$B$2, TRUE(), IF(H255=Constants!$B$3, FALSE(), TRUE())))</f>
        <v/>
      </c>
      <c r="W255" s="66" t="str">
        <f aca="false">IF(ISBLANK($C255),"",IF(I255=Constants!$B$2, TRUE(), IF(I255=Constants!$B$3, FALSE(), TRUE())))</f>
        <v/>
      </c>
      <c r="X255" s="66" t="str">
        <f aca="false">IF(ISBLANK($C255),"",IF(AND(ISNUMBER(J255),J255&gt;0),INT(J255),0))</f>
        <v/>
      </c>
      <c r="Y255" s="66" t="str">
        <f aca="false">IF(ISBLANK($C255),"",IF(K255=Constants!$B$2, TRUE(), IF(K255=Constants!$B$3, FALSE(), TRUE())))</f>
        <v/>
      </c>
      <c r="Z255" s="66" t="str">
        <f aca="false">IF(ISBLANK($C255),"",IF(AND(ISNUMBER(L255),L255&gt;0),INT(L255),0))</f>
        <v/>
      </c>
      <c r="AA255" s="68" t="str">
        <f aca="false">IF(ISBLANK($C255),"",IF(ISNUMBER(M255), M255, ""))</f>
        <v/>
      </c>
      <c r="AB255" s="68" t="str">
        <f aca="false">IF(ISBLANK($C255),"",IF(ISNUMBER(N255), N255, ""))</f>
        <v/>
      </c>
      <c r="AC255" s="68" t="str">
        <f aca="false">IF(ISBLANK($C255),"",IF(ISNUMBER(O255), O255, ""))</f>
        <v/>
      </c>
      <c r="AD255" s="69" t="str">
        <f aca="false">IF(ISBLANK($C255),"",IF(ISNUMBER(P255), P255, ""))</f>
        <v/>
      </c>
      <c r="AE255" s="69" t="str">
        <f aca="false">IF(ISBLANK($C255),"",IF(ISNUMBER(Q255), Q255, Constants!$B$13))</f>
        <v/>
      </c>
      <c r="AF255" s="66" t="str">
        <f aca="false">IF(ISBLANK($C255),"",IF(R255=Constants!$B$2, TRUE(), IF(R255=Constants!$B$3, FALSE(), FALSE())))</f>
        <v/>
      </c>
      <c r="AG255" s="66" t="str">
        <f aca="false">IF(ISBLANK(C255), "", IF(AF255, Constants!$B$4,IF(COUNTA(G255:P255)=0, Constants!$B$5, Constants!$B$7)))</f>
        <v/>
      </c>
      <c r="AH255" s="66" t="str">
        <f aca="false">IF(ISBLANK($C255), "",IF($AG255=Constants!$B$7,1,$AG255))</f>
        <v/>
      </c>
      <c r="AI255" s="66" t="str">
        <f aca="false">IF($AG255=Constants!$B$7,POWER(Constants!$B$11,X255)*POWER(Constants!$B$12,Z255),"")</f>
        <v/>
      </c>
      <c r="AJ255" s="66" t="str">
        <f aca="false">IF(AND($AG255=Constants!$B$7, U255, V255) ,IF(OR($AA255="",$AC255=""),"",MAX(0, $AC255-$AA255)),"")</f>
        <v/>
      </c>
      <c r="AK255" s="66" t="str">
        <f aca="false">IF(AND($AG255=Constants!$B$7, U255, V255),IF(OR($AA255="",$AC255=""),$AK$6,""),"")</f>
        <v/>
      </c>
      <c r="AL255" s="66" t="str">
        <f aca="false">IF($AG255=Constants!$B$7,IF(AND(U255,V255,W255,Y255),IF($AJ255="",0,IF($AJ$6=0,Constants!$B$9,Constants!$B$9*AJ255/$AJ$6)), 0),"")</f>
        <v/>
      </c>
      <c r="AM255" s="66" t="str">
        <f aca="false">IF(AL255&lt;&gt;"", AL255*AI255,"")</f>
        <v/>
      </c>
      <c r="AN255" s="66" t="str">
        <f aca="false">IF(AND($AG255=Constants!$B$7, U255, V255) ,IF($AB255="", "", IF(OR($AC255="",$AC255=0),"",MAX(0,1-ABS($AC255-$AB255)/$AC255))),"")</f>
        <v/>
      </c>
      <c r="AO255" s="66" t="str">
        <f aca="false">IF(AND($AG255=Constants!$B$7, U255, V255),IF(AND($AA255&lt;&gt;"",$AB255&lt;&gt;"",$AC255=0),$AO$6,""),"")</f>
        <v/>
      </c>
      <c r="AP255" s="66" t="str">
        <f aca="false">IF($AG255=Constants!$B$7 ,IF(AND(U255,V255,W255,Y255,ISNUMBER(AB255)),IF($AN255="",0,IF($AN$6=0,Constants!$B$10,Constants!$B$10*AN255/$AN$6)), 0),"")</f>
        <v/>
      </c>
      <c r="AQ255" s="66" t="str">
        <f aca="false">IF(AP255&lt;&gt;"", AP255*AI255,"")</f>
        <v/>
      </c>
      <c r="AR255" s="66" t="str">
        <f aca="false">IF($AG255=Constants!$B$7,IF($AD255="",0,IF($AR$6=0,Constants!$B$8,Constants!$B$8*AD255/$AR$6)),"")</f>
        <v/>
      </c>
      <c r="AS255" s="66" t="str">
        <f aca="false">IF($AG255&lt;&gt;Constants!$B$7,$AG255,IF(AK255&amp;AO255&lt;&gt;"",Constants!$B$14,AM255+AQ255+AR255))</f>
        <v/>
      </c>
      <c r="AT255" s="66" t="str">
        <f aca="false">IF(ISBLANK($C255),"",IF($AG255=Constants!$B$7,IF(ISNUMBER(AS255),RANK(AS255,$AS$8:$AS$507),Constants!$B$14),$AG255))</f>
        <v/>
      </c>
      <c r="AU255" s="66" t="str">
        <f aca="false">IF(ISBLANK($C255), "",AM255)</f>
        <v/>
      </c>
      <c r="AV255" s="66" t="str">
        <f aca="false">IF(ISBLANK($C255),"",IF($AG255=Constants!$B$7,RANK(AU255,AU$8:AU$507),$AG255))</f>
        <v/>
      </c>
      <c r="AW255" s="66" t="str">
        <f aca="false">IF(ISBLANK($C255), "",AR255)</f>
        <v/>
      </c>
      <c r="AX255" s="66" t="str">
        <f aca="false">IF(ISBLANK($C255),"",IF($AG255=Constants!$B$7,RANK(AW255,AW$8:AW$507),$AG255))</f>
        <v/>
      </c>
      <c r="AY255" s="66" t="str">
        <f aca="false">IF(ISBLANK($C255), "",AE255)</f>
        <v/>
      </c>
      <c r="AZ255" s="66" t="str">
        <f aca="false">IF(ISBLANK($C255),"",
IF($AG255=Constants!$B$7,
  IF(ISNUMBER(AT255),
    COUNTIFS($AT$8:$AT$507,"&lt;"&amp;$AT255)
    + COUNTIFS($AT$8:$AT$507,$AT255,$AV$8:$AV$507,"&lt;"&amp;$AV255)
    + COUNTIFS($AT$8:$AT$507,$AT255,$AV$8:$AV$507,$AV255,$AX$8:$AX$507,"&lt;"&amp;$AX255)
    + COUNTIFS($AT$8:$AT$507,$AT255,$AV$8:$AV$507,$AV255,$AX$8:$AX$507,$AX255,$AY$8:$AY$507,"&lt;"&amp;$AY255)
    + 1,
  Constants!$B$14),
$AG255))</f>
        <v/>
      </c>
      <c r="BA255" s="66" t="str">
        <f aca="false">IF(ISBLANK(C255),"",IF($AG255=Constants!$B$7, IF(ISNUMBER(AT255),AT255-AZ255,Constants!$B$14),$AG255))</f>
        <v/>
      </c>
      <c r="BB255" s="70"/>
      <c r="BC255" s="84" t="str">
        <f aca="false">IF(ISBLANK($C255),"",TRIM(AK255&amp;" "&amp;AO255))</f>
        <v/>
      </c>
      <c r="BD255" s="72" t="str">
        <f aca="false">IF(ISBLANK($C255),"",IF($AG255&lt;&gt;Constants!$B$7,$AG255,AR255))</f>
        <v/>
      </c>
      <c r="BE255" s="72" t="str">
        <f aca="false">IF(ISBLANK($C255),"",IF($AG255&lt;&gt;Constants!$B$7,$AG255,AM255))</f>
        <v/>
      </c>
      <c r="BF255" s="72" t="str">
        <f aca="false">IF(ISBLANK($C255),"",IF($AG255&lt;&gt;Constants!$B$7,$AG255,AQ255))</f>
        <v/>
      </c>
      <c r="BG255" s="73" t="str">
        <f aca="false">IF(ISBLANK($C255),"",IF($AG255&lt;&gt;Constants!$B$7, $AG255 ,AS255))</f>
        <v/>
      </c>
      <c r="BH255" s="74" t="str">
        <f aca="false">IF(ISBLANK($C255),"",IF($AG255&lt;&gt;Constants!$B$7, $AG255 ,AH255))</f>
        <v/>
      </c>
      <c r="BI255" s="72" t="str">
        <f aca="false">IF(ISBLANK(C255),"",BA255)</f>
        <v/>
      </c>
      <c r="BJ255" s="72" t="str">
        <f aca="false">IF(ISBLANK(C255),"",AZ255)</f>
        <v/>
      </c>
      <c r="BK255" s="75" t="str">
        <f aca="false">IF(ISBLANK(C255),"",IFERROR(_xlfn.SWITCH(BJ255, Constants!$B$4, COUNTA($C$8:$C754)+2, Constants!$B$5, COUNTA($C$8:$C754)+1, Constants!$B$6, COUNTA($C$8:$C754)),BJ255))</f>
        <v/>
      </c>
      <c r="BL255" s="5"/>
      <c r="BM255" s="76" t="n">
        <f aca="false">IF(OR(ISNUMBER(BJ255),BJ255="DQ",BJ255="P",BJ255="NS"),
    1,
    0
)</f>
        <v>0</v>
      </c>
      <c r="BN255" s="76" t="n">
        <v>248</v>
      </c>
      <c r="BO255" s="76" t="str">
        <f aca="false">IF(ISBLANK($C255),"",IF(ISNUMBER(BK255),BK255+ROW($B255)/1000,""))</f>
        <v/>
      </c>
      <c r="BP255" s="76" t="str">
        <f aca="false">IF(ISNUMBER(BO255), RANK(BO255,BO$8:BO$507,1), "")</f>
        <v/>
      </c>
      <c r="BQ255" s="76" t="str">
        <f aca="false">IF(ISBLANK($C255),
    "",
    $B255
)</f>
        <v/>
      </c>
      <c r="BR255" s="76" t="str">
        <f aca="false">IF(ISBLANK($C255),
    "",
    $C255
)</f>
        <v/>
      </c>
      <c r="BS255" s="76" t="str">
        <f aca="false">IF(ISBLANK($C255),
    "",
    $D255
)</f>
        <v/>
      </c>
      <c r="BT255" s="77" t="str">
        <f aca="false">BH255</f>
        <v/>
      </c>
      <c r="BU255" s="78" t="str">
        <f aca="false">BG255</f>
        <v/>
      </c>
      <c r="BV255" s="76" t="str">
        <f aca="false">IF(ISBLANK($C255),
    "",
    BJ255
)</f>
        <v/>
      </c>
      <c r="BW255" s="79" t="str">
        <f aca="false">IF(BN255&gt;BM$7,
    "",
    VLOOKUP(BN255,BP$8:BV754,7,FALSE())
)</f>
        <v/>
      </c>
      <c r="BX255" s="80" t="str">
        <f aca="false">IF(BN255&gt;BM$7,
    "",
    VLOOKUP(BN255,BP$8:BV754,2,FALSE())
)</f>
        <v/>
      </c>
      <c r="BY255" s="80" t="str">
        <f aca="false">IF(BN255&gt;BM$7,
    "",
    VLOOKUP(BN255,BP$8:BV754,3,FALSE())
)</f>
        <v/>
      </c>
      <c r="BZ255" s="80" t="str">
        <f aca="false">IF(BN255&gt;BM$7,
    "",
    VLOOKUP(BN255,BP$8:BV754,4,FALSE())
)</f>
        <v/>
      </c>
      <c r="CA255" s="80" t="str">
        <f aca="false">IF(BN255&gt;BM$7,
    "",
    VLOOKUP(BN255,BP$8:BV754,5,FALSE())
)</f>
        <v/>
      </c>
      <c r="CB255" s="81" t="str">
        <f aca="false">IF(BN255&gt;BM$7,
    "",
    VLOOKUP(BN255,BP$8:BV754,6,FALSE())
)</f>
        <v/>
      </c>
      <c r="CC255" s="53"/>
    </row>
    <row r="256" customFormat="false" ht="15.75" hidden="false" customHeight="false" outlineLevel="0" collapsed="false">
      <c r="A256" s="5"/>
      <c r="B256" s="129"/>
      <c r="C256" s="55"/>
      <c r="D256" s="56"/>
      <c r="E256" s="123"/>
      <c r="F256" s="123"/>
      <c r="G256" s="58"/>
      <c r="H256" s="59"/>
      <c r="I256" s="59"/>
      <c r="J256" s="83"/>
      <c r="K256" s="83"/>
      <c r="L256" s="83"/>
      <c r="M256" s="61"/>
      <c r="N256" s="61"/>
      <c r="O256" s="61"/>
      <c r="P256" s="62"/>
      <c r="Q256" s="63"/>
      <c r="R256" s="83"/>
      <c r="S256" s="65"/>
      <c r="T256" s="66"/>
      <c r="U256" s="66" t="str">
        <f aca="false">IF(ISBLANK($C256),"",IF(G256=Constants!$B$2, TRUE(), IF(G256=Constants!$B$3, FALSE(), TRUE())))</f>
        <v/>
      </c>
      <c r="V256" s="66" t="str">
        <f aca="false">IF(ISBLANK($C256),"",IF(H256=Constants!$B$2, TRUE(), IF(H256=Constants!$B$3, FALSE(), TRUE())))</f>
        <v/>
      </c>
      <c r="W256" s="66" t="str">
        <f aca="false">IF(ISBLANK($C256),"",IF(I256=Constants!$B$2, TRUE(), IF(I256=Constants!$B$3, FALSE(), TRUE())))</f>
        <v/>
      </c>
      <c r="X256" s="66" t="str">
        <f aca="false">IF(ISBLANK($C256),"",IF(AND(ISNUMBER(J256),J256&gt;0),INT(J256),0))</f>
        <v/>
      </c>
      <c r="Y256" s="66" t="str">
        <f aca="false">IF(ISBLANK($C256),"",IF(K256=Constants!$B$2, TRUE(), IF(K256=Constants!$B$3, FALSE(), TRUE())))</f>
        <v/>
      </c>
      <c r="Z256" s="66" t="str">
        <f aca="false">IF(ISBLANK($C256),"",IF(AND(ISNUMBER(L256),L256&gt;0),INT(L256),0))</f>
        <v/>
      </c>
      <c r="AA256" s="68" t="str">
        <f aca="false">IF(ISBLANK($C256),"",IF(ISNUMBER(M256), M256, ""))</f>
        <v/>
      </c>
      <c r="AB256" s="68" t="str">
        <f aca="false">IF(ISBLANK($C256),"",IF(ISNUMBER(N256), N256, ""))</f>
        <v/>
      </c>
      <c r="AC256" s="68" t="str">
        <f aca="false">IF(ISBLANK($C256),"",IF(ISNUMBER(O256), O256, ""))</f>
        <v/>
      </c>
      <c r="AD256" s="69" t="str">
        <f aca="false">IF(ISBLANK($C256),"",IF(ISNUMBER(P256), P256, ""))</f>
        <v/>
      </c>
      <c r="AE256" s="69" t="str">
        <f aca="false">IF(ISBLANK($C256),"",IF(ISNUMBER(Q256), Q256, Constants!$B$13))</f>
        <v/>
      </c>
      <c r="AF256" s="66" t="str">
        <f aca="false">IF(ISBLANK($C256),"",IF(R256=Constants!$B$2, TRUE(), IF(R256=Constants!$B$3, FALSE(), FALSE())))</f>
        <v/>
      </c>
      <c r="AG256" s="66" t="str">
        <f aca="false">IF(ISBLANK(C256), "", IF(AF256, Constants!$B$4,IF(COUNTA(G256:P256)=0, Constants!$B$5, Constants!$B$7)))</f>
        <v/>
      </c>
      <c r="AH256" s="66" t="str">
        <f aca="false">IF(ISBLANK($C256), "",IF($AG256=Constants!$B$7,1,$AG256))</f>
        <v/>
      </c>
      <c r="AI256" s="66" t="str">
        <f aca="false">IF($AG256=Constants!$B$7,POWER(Constants!$B$11,X256)*POWER(Constants!$B$12,Z256),"")</f>
        <v/>
      </c>
      <c r="AJ256" s="66" t="str">
        <f aca="false">IF(AND($AG256=Constants!$B$7, U256, V256) ,IF(OR($AA256="",$AC256=""),"",MAX(0, $AC256-$AA256)),"")</f>
        <v/>
      </c>
      <c r="AK256" s="66" t="str">
        <f aca="false">IF(AND($AG256=Constants!$B$7, U256, V256),IF(OR($AA256="",$AC256=""),$AK$6,""),"")</f>
        <v/>
      </c>
      <c r="AL256" s="66" t="str">
        <f aca="false">IF($AG256=Constants!$B$7,IF(AND(U256,V256,W256,Y256),IF($AJ256="",0,IF($AJ$6=0,Constants!$B$9,Constants!$B$9*AJ256/$AJ$6)), 0),"")</f>
        <v/>
      </c>
      <c r="AM256" s="66" t="str">
        <f aca="false">IF(AL256&lt;&gt;"", AL256*AI256,"")</f>
        <v/>
      </c>
      <c r="AN256" s="66" t="str">
        <f aca="false">IF(AND($AG256=Constants!$B$7, U256, V256) ,IF($AB256="", "", IF(OR($AC256="",$AC256=0),"",MAX(0,1-ABS($AC256-$AB256)/$AC256))),"")</f>
        <v/>
      </c>
      <c r="AO256" s="66" t="str">
        <f aca="false">IF(AND($AG256=Constants!$B$7, U256, V256),IF(AND($AA256&lt;&gt;"",$AB256&lt;&gt;"",$AC256=0),$AO$6,""),"")</f>
        <v/>
      </c>
      <c r="AP256" s="66" t="str">
        <f aca="false">IF($AG256=Constants!$B$7 ,IF(AND(U256,V256,W256,Y256,ISNUMBER(AB256)),IF($AN256="",0,IF($AN$6=0,Constants!$B$10,Constants!$B$10*AN256/$AN$6)), 0),"")</f>
        <v/>
      </c>
      <c r="AQ256" s="66" t="str">
        <f aca="false">IF(AP256&lt;&gt;"", AP256*AI256,"")</f>
        <v/>
      </c>
      <c r="AR256" s="66" t="str">
        <f aca="false">IF($AG256=Constants!$B$7,IF($AD256="",0,IF($AR$6=0,Constants!$B$8,Constants!$B$8*AD256/$AR$6)),"")</f>
        <v/>
      </c>
      <c r="AS256" s="66" t="str">
        <f aca="false">IF($AG256&lt;&gt;Constants!$B$7,$AG256,IF(AK256&amp;AO256&lt;&gt;"",Constants!$B$14,AM256+AQ256+AR256))</f>
        <v/>
      </c>
      <c r="AT256" s="66" t="str">
        <f aca="false">IF(ISBLANK($C256),"",IF($AG256=Constants!$B$7,IF(ISNUMBER(AS256),RANK(AS256,$AS$8:$AS$507),Constants!$B$14),$AG256))</f>
        <v/>
      </c>
      <c r="AU256" s="66" t="str">
        <f aca="false">IF(ISBLANK($C256), "",AM256)</f>
        <v/>
      </c>
      <c r="AV256" s="66" t="str">
        <f aca="false">IF(ISBLANK($C256),"",IF($AG256=Constants!$B$7,RANK(AU256,AU$8:AU$507),$AG256))</f>
        <v/>
      </c>
      <c r="AW256" s="66" t="str">
        <f aca="false">IF(ISBLANK($C256), "",AR256)</f>
        <v/>
      </c>
      <c r="AX256" s="66" t="str">
        <f aca="false">IF(ISBLANK($C256),"",IF($AG256=Constants!$B$7,RANK(AW256,AW$8:AW$507),$AG256))</f>
        <v/>
      </c>
      <c r="AY256" s="66" t="str">
        <f aca="false">IF(ISBLANK($C256), "",AE256)</f>
        <v/>
      </c>
      <c r="AZ256" s="66" t="str">
        <f aca="false">IF(ISBLANK($C256),"",
IF($AG256=Constants!$B$7,
  IF(ISNUMBER(AT256),
    COUNTIFS($AT$8:$AT$507,"&lt;"&amp;$AT256)
    + COUNTIFS($AT$8:$AT$507,$AT256,$AV$8:$AV$507,"&lt;"&amp;$AV256)
    + COUNTIFS($AT$8:$AT$507,$AT256,$AV$8:$AV$507,$AV256,$AX$8:$AX$507,"&lt;"&amp;$AX256)
    + COUNTIFS($AT$8:$AT$507,$AT256,$AV$8:$AV$507,$AV256,$AX$8:$AX$507,$AX256,$AY$8:$AY$507,"&lt;"&amp;$AY256)
    + 1,
  Constants!$B$14),
$AG256))</f>
        <v/>
      </c>
      <c r="BA256" s="66" t="str">
        <f aca="false">IF(ISBLANK(C256),"",IF($AG256=Constants!$B$7, IF(ISNUMBER(AT256),AT256-AZ256,Constants!$B$14),$AG256))</f>
        <v/>
      </c>
      <c r="BB256" s="70"/>
      <c r="BC256" s="84" t="str">
        <f aca="false">IF(ISBLANK($C256),"",TRIM(AK256&amp;" "&amp;AO256))</f>
        <v/>
      </c>
      <c r="BD256" s="72" t="str">
        <f aca="false">IF(ISBLANK($C256),"",IF($AG256&lt;&gt;Constants!$B$7,$AG256,AR256))</f>
        <v/>
      </c>
      <c r="BE256" s="72" t="str">
        <f aca="false">IF(ISBLANK($C256),"",IF($AG256&lt;&gt;Constants!$B$7,$AG256,AM256))</f>
        <v/>
      </c>
      <c r="BF256" s="72" t="str">
        <f aca="false">IF(ISBLANK($C256),"",IF($AG256&lt;&gt;Constants!$B$7,$AG256,AQ256))</f>
        <v/>
      </c>
      <c r="BG256" s="73" t="str">
        <f aca="false">IF(ISBLANK($C256),"",IF($AG256&lt;&gt;Constants!$B$7, $AG256 ,AS256))</f>
        <v/>
      </c>
      <c r="BH256" s="74" t="str">
        <f aca="false">IF(ISBLANK($C256),"",IF($AG256&lt;&gt;Constants!$B$7, $AG256 ,AH256))</f>
        <v/>
      </c>
      <c r="BI256" s="72" t="str">
        <f aca="false">IF(ISBLANK(C256),"",BA256)</f>
        <v/>
      </c>
      <c r="BJ256" s="72" t="str">
        <f aca="false">IF(ISBLANK(C256),"",AZ256)</f>
        <v/>
      </c>
      <c r="BK256" s="75" t="str">
        <f aca="false">IF(ISBLANK(C256),"",IFERROR(_xlfn.SWITCH(BJ256, Constants!$B$4, COUNTA($C$8:$C755)+2, Constants!$B$5, COUNTA($C$8:$C755)+1, Constants!$B$6, COUNTA($C$8:$C755)),BJ256))</f>
        <v/>
      </c>
      <c r="BL256" s="5"/>
      <c r="BM256" s="76" t="n">
        <f aca="false">IF(OR(ISNUMBER(BJ256),BJ256="DQ",BJ256="P",BJ256="NS"),
    1,
    0
)</f>
        <v>0</v>
      </c>
      <c r="BN256" s="76" t="n">
        <v>249</v>
      </c>
      <c r="BO256" s="76" t="str">
        <f aca="false">IF(ISBLANK($C256),"",IF(ISNUMBER(BK256),BK256+ROW($B256)/1000,""))</f>
        <v/>
      </c>
      <c r="BP256" s="76" t="str">
        <f aca="false">IF(ISNUMBER(BO256), RANK(BO256,BO$8:BO$507,1), "")</f>
        <v/>
      </c>
      <c r="BQ256" s="76" t="str">
        <f aca="false">IF(ISBLANK($C256),
    "",
    $B256
)</f>
        <v/>
      </c>
      <c r="BR256" s="76" t="str">
        <f aca="false">IF(ISBLANK($C256),
    "",
    $C256
)</f>
        <v/>
      </c>
      <c r="BS256" s="76" t="str">
        <f aca="false">IF(ISBLANK($C256),
    "",
    $D256
)</f>
        <v/>
      </c>
      <c r="BT256" s="77" t="str">
        <f aca="false">BH256</f>
        <v/>
      </c>
      <c r="BU256" s="78" t="str">
        <f aca="false">BG256</f>
        <v/>
      </c>
      <c r="BV256" s="76" t="str">
        <f aca="false">IF(ISBLANK($C256),
    "",
    BJ256
)</f>
        <v/>
      </c>
      <c r="BW256" s="79" t="str">
        <f aca="false">IF(BN256&gt;BM$7,
    "",
    VLOOKUP(BN256,BP$8:BV755,7,FALSE())
)</f>
        <v/>
      </c>
      <c r="BX256" s="80" t="str">
        <f aca="false">IF(BN256&gt;BM$7,
    "",
    VLOOKUP(BN256,BP$8:BV755,2,FALSE())
)</f>
        <v/>
      </c>
      <c r="BY256" s="80" t="str">
        <f aca="false">IF(BN256&gt;BM$7,
    "",
    VLOOKUP(BN256,BP$8:BV755,3,FALSE())
)</f>
        <v/>
      </c>
      <c r="BZ256" s="80" t="str">
        <f aca="false">IF(BN256&gt;BM$7,
    "",
    VLOOKUP(BN256,BP$8:BV755,4,FALSE())
)</f>
        <v/>
      </c>
      <c r="CA256" s="80" t="str">
        <f aca="false">IF(BN256&gt;BM$7,
    "",
    VLOOKUP(BN256,BP$8:BV755,5,FALSE())
)</f>
        <v/>
      </c>
      <c r="CB256" s="81" t="str">
        <f aca="false">IF(BN256&gt;BM$7,
    "",
    VLOOKUP(BN256,BP$8:BV755,6,FALSE())
)</f>
        <v/>
      </c>
      <c r="CC256" s="53"/>
    </row>
    <row r="257" customFormat="false" ht="15.75" hidden="false" customHeight="false" outlineLevel="0" collapsed="false">
      <c r="A257" s="5"/>
      <c r="B257" s="125"/>
      <c r="C257" s="126"/>
      <c r="D257" s="115"/>
      <c r="E257" s="119"/>
      <c r="F257" s="119"/>
      <c r="G257" s="91"/>
      <c r="H257" s="92"/>
      <c r="I257" s="92"/>
      <c r="J257" s="128"/>
      <c r="K257" s="128"/>
      <c r="L257" s="128"/>
      <c r="M257" s="94"/>
      <c r="N257" s="94"/>
      <c r="O257" s="94"/>
      <c r="P257" s="95"/>
      <c r="Q257" s="96"/>
      <c r="R257" s="128"/>
      <c r="S257" s="98"/>
      <c r="T257" s="99"/>
      <c r="U257" s="99" t="str">
        <f aca="false">IF(ISBLANK($C257),"",IF(G257=Constants!$B$2, TRUE(), IF(G257=Constants!$B$3, FALSE(), TRUE())))</f>
        <v/>
      </c>
      <c r="V257" s="99" t="str">
        <f aca="false">IF(ISBLANK($C257),"",IF(H257=Constants!$B$2, TRUE(), IF(H257=Constants!$B$3, FALSE(), TRUE())))</f>
        <v/>
      </c>
      <c r="W257" s="99" t="str">
        <f aca="false">IF(ISBLANK($C257),"",IF(I257=Constants!$B$2, TRUE(), IF(I257=Constants!$B$3, FALSE(), TRUE())))</f>
        <v/>
      </c>
      <c r="X257" s="99" t="str">
        <f aca="false">IF(ISBLANK($C257),"",IF(AND(ISNUMBER(J257),J257&gt;0),INT(J257),0))</f>
        <v/>
      </c>
      <c r="Y257" s="99" t="str">
        <f aca="false">IF(ISBLANK($C257),"",IF(K257=Constants!$B$2, TRUE(), IF(K257=Constants!$B$3, FALSE(), TRUE())))</f>
        <v/>
      </c>
      <c r="Z257" s="100" t="str">
        <f aca="false">IF(ISBLANK($C257),"",IF(AND(ISNUMBER(L257),L257&gt;0),INT(L257),0))</f>
        <v/>
      </c>
      <c r="AA257" s="101" t="str">
        <f aca="false">IF(ISBLANK($C257),"",IF(ISNUMBER(M257), M257, ""))</f>
        <v/>
      </c>
      <c r="AB257" s="101" t="str">
        <f aca="false">IF(ISBLANK($C257),"",IF(ISNUMBER(N257), N257, ""))</f>
        <v/>
      </c>
      <c r="AC257" s="101" t="str">
        <f aca="false">IF(ISBLANK($C257),"",IF(ISNUMBER(O257), O257, ""))</f>
        <v/>
      </c>
      <c r="AD257" s="102" t="str">
        <f aca="false">IF(ISBLANK($C257),"",IF(ISNUMBER(P257), P257, ""))</f>
        <v/>
      </c>
      <c r="AE257" s="102" t="str">
        <f aca="false">IF(ISBLANK($C257),"",IF(ISNUMBER(Q257), Q257, Constants!$B$13))</f>
        <v/>
      </c>
      <c r="AF257" s="99" t="str">
        <f aca="false">IF(ISBLANK($C257),"",IF(R257=Constants!$B$2, TRUE(), IF(R257=Constants!$B$3, FALSE(), FALSE())))</f>
        <v/>
      </c>
      <c r="AG257" s="99" t="str">
        <f aca="false">IF(ISBLANK(C257), "", IF(AF257, Constants!$B$4,IF(COUNTA(G257:P257)=0, Constants!$B$5, Constants!$B$7)))</f>
        <v/>
      </c>
      <c r="AH257" s="99" t="str">
        <f aca="false">IF(ISBLANK($C257), "",IF($AG257=Constants!$B$7,1,$AG257))</f>
        <v/>
      </c>
      <c r="AI257" s="99" t="str">
        <f aca="false">IF($AG257=Constants!$B$7,POWER(Constants!$B$11,X257)*POWER(Constants!$B$12,Z257),"")</f>
        <v/>
      </c>
      <c r="AJ257" s="99" t="str">
        <f aca="false">IF(AND($AG257=Constants!$B$7, U257, V257) ,IF(OR($AA257="",$AC257=""),"",MAX(0, $AC257-$AA257)),"")</f>
        <v/>
      </c>
      <c r="AK257" s="99" t="str">
        <f aca="false">IF(AND($AG257=Constants!$B$7, U257, V257),IF(OR($AA257="",$AC257=""),$AK$6,""),"")</f>
        <v/>
      </c>
      <c r="AL257" s="99" t="str">
        <f aca="false">IF($AG257=Constants!$B$7,IF(AND(U257,V257,W257,Y257),IF($AJ257="",0,IF($AJ$6=0,Constants!$B$9,Constants!$B$9*AJ257/$AJ$6)), 0),"")</f>
        <v/>
      </c>
      <c r="AM257" s="99" t="str">
        <f aca="false">IF(AL257&lt;&gt;"", AL257*AI257,"")</f>
        <v/>
      </c>
      <c r="AN257" s="99" t="str">
        <f aca="false">IF(AND($AG257=Constants!$B$7, U257, V257) ,IF($AB257="", "", IF(OR($AC257="",$AC257=0),"",MAX(0,1-ABS($AC257-$AB257)/$AC257))),"")</f>
        <v/>
      </c>
      <c r="AO257" s="99" t="str">
        <f aca="false">IF(AND($AG257=Constants!$B$7, U257, V257),IF(AND($AA257&lt;&gt;"",$AB257&lt;&gt;"",$AC257=0),$AO$6,""),"")</f>
        <v/>
      </c>
      <c r="AP257" s="99" t="str">
        <f aca="false">IF($AG257=Constants!$B$7 ,IF(AND(U257,V257,W257,Y257,ISNUMBER(AB257)),IF($AN257="",0,IF($AN$6=0,Constants!$B$10,Constants!$B$10*AN257/$AN$6)), 0),"")</f>
        <v/>
      </c>
      <c r="AQ257" s="99" t="str">
        <f aca="false">IF(AP257&lt;&gt;"", AP257*AI257,"")</f>
        <v/>
      </c>
      <c r="AR257" s="99" t="str">
        <f aca="false">IF($AG257=Constants!$B$7,IF($AD257="",0,IF($AR$6=0,Constants!$B$8,Constants!$B$8*AD257/$AR$6)),"")</f>
        <v/>
      </c>
      <c r="AS257" s="99" t="str">
        <f aca="false">IF($AG257&lt;&gt;Constants!$B$7,$AG257,IF(AK257&amp;AO257&lt;&gt;"",Constants!$B$14,AM257+AQ257+AR257))</f>
        <v/>
      </c>
      <c r="AT257" s="99" t="str">
        <f aca="false">IF(ISBLANK($C257),"",IF($AG257=Constants!$B$7,IF(ISNUMBER(AS257),RANK(AS257,$AS$8:$AS$507),Constants!$B$14),$AG257))</f>
        <v/>
      </c>
      <c r="AU257" s="99" t="str">
        <f aca="false">IF(ISBLANK($C257), "",AM257)</f>
        <v/>
      </c>
      <c r="AV257" s="99" t="str">
        <f aca="false">IF(ISBLANK($C257),"",IF($AG257=Constants!$B$7,RANK(AU257,AU$8:AU$507),$AG257))</f>
        <v/>
      </c>
      <c r="AW257" s="99" t="str">
        <f aca="false">IF(ISBLANK($C257), "",AR257)</f>
        <v/>
      </c>
      <c r="AX257" s="99" t="str">
        <f aca="false">IF(ISBLANK($C257),"",IF($AG257=Constants!$B$7,RANK(AW257,AW$8:AW$507),$AG257))</f>
        <v/>
      </c>
      <c r="AY257" s="99" t="str">
        <f aca="false">IF(ISBLANK($C257), "",AE257)</f>
        <v/>
      </c>
      <c r="AZ257" s="99" t="str">
        <f aca="false">IF(ISBLANK($C257),"",
IF($AG257=Constants!$B$7,
  IF(ISNUMBER(AT257),
    COUNTIFS($AT$8:$AT$507,"&lt;"&amp;$AT257)
    + COUNTIFS($AT$8:$AT$507,$AT257,$AV$8:$AV$507,"&lt;"&amp;$AV257)
    + COUNTIFS($AT$8:$AT$507,$AT257,$AV$8:$AV$507,$AV257,$AX$8:$AX$507,"&lt;"&amp;$AX257)
    + COUNTIFS($AT$8:$AT$507,$AT257,$AV$8:$AV$507,$AV257,$AX$8:$AX$507,$AX257,$AY$8:$AY$507,"&lt;"&amp;$AY257)
    + 1,
  Constants!$B$14),
$AG257))</f>
        <v/>
      </c>
      <c r="BA257" s="99" t="str">
        <f aca="false">IF(ISBLANK(C257),"",IF($AG257=Constants!$B$7, IF(ISNUMBER(AT257),AT257-AZ257,Constants!$B$14),$AG257))</f>
        <v/>
      </c>
      <c r="BB257" s="103"/>
      <c r="BC257" s="104" t="str">
        <f aca="false">IF(ISBLANK($C257),"",TRIM(AK257&amp;" "&amp;AO257))</f>
        <v/>
      </c>
      <c r="BD257" s="105" t="str">
        <f aca="false">IF(ISBLANK($C257),"",IF($AG257&lt;&gt;Constants!$B$7,$AG257,AR257))</f>
        <v/>
      </c>
      <c r="BE257" s="105" t="str">
        <f aca="false">IF(ISBLANK($C257),"",IF($AG257&lt;&gt;Constants!$B$7,$AG257,AM257))</f>
        <v/>
      </c>
      <c r="BF257" s="105" t="str">
        <f aca="false">IF(ISBLANK($C257),"",IF($AG257&lt;&gt;Constants!$B$7,$AG257,AQ257))</f>
        <v/>
      </c>
      <c r="BG257" s="106" t="str">
        <f aca="false">IF(ISBLANK($C257),"",IF($AG257&lt;&gt;Constants!$B$7, $AG257 ,AS257))</f>
        <v/>
      </c>
      <c r="BH257" s="107" t="str">
        <f aca="false">IF(ISBLANK($C257),"",IF($AG257&lt;&gt;Constants!$B$7, $AG257 ,AH257))</f>
        <v/>
      </c>
      <c r="BI257" s="105" t="str">
        <f aca="false">IF(ISBLANK(C257),"",BA257)</f>
        <v/>
      </c>
      <c r="BJ257" s="105" t="str">
        <f aca="false">IF(ISBLANK(C257),"",AZ257)</f>
        <v/>
      </c>
      <c r="BK257" s="108" t="str">
        <f aca="false">IF(ISBLANK(C257),"",IFERROR(_xlfn.SWITCH(BJ257, Constants!$B$4, COUNTA($C$8:$C756)+2, Constants!$B$5, COUNTA($C$8:$C756)+1, Constants!$B$6, COUNTA($C$8:$C756)),BJ257))</f>
        <v/>
      </c>
      <c r="BL257" s="5"/>
      <c r="BM257" s="109" t="n">
        <f aca="false">IF(OR(ISNUMBER(BJ257),BJ257="DQ",BJ257="P",BJ257="NS"),
    1,
    0
)</f>
        <v>0</v>
      </c>
      <c r="BN257" s="109" t="n">
        <v>250</v>
      </c>
      <c r="BO257" s="109" t="str">
        <f aca="false">IF(ISBLANK($C257),"",IF(ISNUMBER(BK257),BK257+ROW($B257)/1000,""))</f>
        <v/>
      </c>
      <c r="BP257" s="109" t="str">
        <f aca="false">IF(ISNUMBER(BO257), RANK(BO257,BO$8:BO$507,1), "")</f>
        <v/>
      </c>
      <c r="BQ257" s="109" t="str">
        <f aca="false">IF(ISBLANK($C257),
    "",
    $B257
)</f>
        <v/>
      </c>
      <c r="BR257" s="109" t="str">
        <f aca="false">IF(ISBLANK($C257),
    "",
    $C257
)</f>
        <v/>
      </c>
      <c r="BS257" s="109" t="str">
        <f aca="false">IF(ISBLANK($C257),
    "",
    $D257
)</f>
        <v/>
      </c>
      <c r="BT257" s="110" t="str">
        <f aca="false">BH257</f>
        <v/>
      </c>
      <c r="BU257" s="111" t="str">
        <f aca="false">BG257</f>
        <v/>
      </c>
      <c r="BV257" s="109" t="str">
        <f aca="false">IF(ISBLANK($C257),
    "",
    BJ257
)</f>
        <v/>
      </c>
      <c r="BW257" s="112" t="str">
        <f aca="false">IF(BN257&gt;BM$7,
    "",
    VLOOKUP(BN257,BP$8:BV756,7,FALSE())
)</f>
        <v/>
      </c>
      <c r="BX257" s="113" t="str">
        <f aca="false">IF(BN257&gt;BM$7,
    "",
    VLOOKUP(BN257,BP$8:BV756,2,FALSE())
)</f>
        <v/>
      </c>
      <c r="BY257" s="113" t="str">
        <f aca="false">IF(BN257&gt;BM$7,
    "",
    VLOOKUP(BN257,BP$8:BV756,3,FALSE())
)</f>
        <v/>
      </c>
      <c r="BZ257" s="113" t="str">
        <f aca="false">IF(BN257&gt;BM$7,
    "",
    VLOOKUP(BN257,BP$8:BV756,4,FALSE())
)</f>
        <v/>
      </c>
      <c r="CA257" s="113" t="str">
        <f aca="false">IF(BN257&gt;BM$7,
    "",
    VLOOKUP(BN257,BP$8:BV756,5,FALSE())
)</f>
        <v/>
      </c>
      <c r="CB257" s="114" t="str">
        <f aca="false">IF(BN257&gt;BM$7,
    "",
    VLOOKUP(BN257,BP$8:BV756,6,FALSE())
)</f>
        <v/>
      </c>
      <c r="CC257" s="53"/>
    </row>
    <row r="258" customFormat="false" ht="15.75" hidden="false" customHeight="false" outlineLevel="0" collapsed="false">
      <c r="A258" s="5"/>
      <c r="B258" s="125"/>
      <c r="C258" s="126"/>
      <c r="D258" s="115"/>
      <c r="E258" s="119"/>
      <c r="F258" s="119"/>
      <c r="G258" s="91"/>
      <c r="H258" s="92"/>
      <c r="I258" s="92"/>
      <c r="J258" s="128"/>
      <c r="K258" s="128"/>
      <c r="L258" s="128"/>
      <c r="M258" s="94"/>
      <c r="N258" s="94"/>
      <c r="O258" s="94"/>
      <c r="P258" s="95"/>
      <c r="Q258" s="96"/>
      <c r="R258" s="128"/>
      <c r="S258" s="98"/>
      <c r="T258" s="99"/>
      <c r="U258" s="99" t="str">
        <f aca="false">IF(ISBLANK($C258),"",IF(G258=Constants!$B$2, TRUE(), IF(G258=Constants!$B$3, FALSE(), TRUE())))</f>
        <v/>
      </c>
      <c r="V258" s="99" t="str">
        <f aca="false">IF(ISBLANK($C258),"",IF(H258=Constants!$B$2, TRUE(), IF(H258=Constants!$B$3, FALSE(), TRUE())))</f>
        <v/>
      </c>
      <c r="W258" s="99" t="str">
        <f aca="false">IF(ISBLANK($C258),"",IF(I258=Constants!$B$2, TRUE(), IF(I258=Constants!$B$3, FALSE(), TRUE())))</f>
        <v/>
      </c>
      <c r="X258" s="99" t="str">
        <f aca="false">IF(ISBLANK($C258),"",IF(AND(ISNUMBER(J258),J258&gt;0),INT(J258),0))</f>
        <v/>
      </c>
      <c r="Y258" s="99" t="str">
        <f aca="false">IF(ISBLANK($C258),"",IF(K258=Constants!$B$2, TRUE(), IF(K258=Constants!$B$3, FALSE(), TRUE())))</f>
        <v/>
      </c>
      <c r="Z258" s="100" t="str">
        <f aca="false">IF(ISBLANK($C258),"",IF(AND(ISNUMBER(L258),L258&gt;0),INT(L258),0))</f>
        <v/>
      </c>
      <c r="AA258" s="101" t="str">
        <f aca="false">IF(ISBLANK($C258),"",IF(ISNUMBER(M258), M258, ""))</f>
        <v/>
      </c>
      <c r="AB258" s="101" t="str">
        <f aca="false">IF(ISBLANK($C258),"",IF(ISNUMBER(N258), N258, ""))</f>
        <v/>
      </c>
      <c r="AC258" s="101" t="str">
        <f aca="false">IF(ISBLANK($C258),"",IF(ISNUMBER(O258), O258, ""))</f>
        <v/>
      </c>
      <c r="AD258" s="102" t="str">
        <f aca="false">IF(ISBLANK($C258),"",IF(ISNUMBER(P258), P258, ""))</f>
        <v/>
      </c>
      <c r="AE258" s="102" t="str">
        <f aca="false">IF(ISBLANK($C258),"",IF(ISNUMBER(Q258), Q258, Constants!$B$13))</f>
        <v/>
      </c>
      <c r="AF258" s="99" t="str">
        <f aca="false">IF(ISBLANK($C258),"",IF(R258=Constants!$B$2, TRUE(), IF(R258=Constants!$B$3, FALSE(), FALSE())))</f>
        <v/>
      </c>
      <c r="AG258" s="99" t="str">
        <f aca="false">IF(ISBLANK(C258), "", IF(AF258, Constants!$B$4,IF(COUNTA(G258:P258)=0, Constants!$B$5, Constants!$B$7)))</f>
        <v/>
      </c>
      <c r="AH258" s="99" t="str">
        <f aca="false">IF(ISBLANK($C258), "",IF($AG258=Constants!$B$7,1,$AG258))</f>
        <v/>
      </c>
      <c r="AI258" s="99" t="str">
        <f aca="false">IF($AG258=Constants!$B$7,POWER(Constants!$B$11,X258)*POWER(Constants!$B$12,Z258),"")</f>
        <v/>
      </c>
      <c r="AJ258" s="99" t="str">
        <f aca="false">IF(AND($AG258=Constants!$B$7, U258, V258) ,IF(OR($AA258="",$AC258=""),"",MAX(0, $AC258-$AA258)),"")</f>
        <v/>
      </c>
      <c r="AK258" s="99" t="str">
        <f aca="false">IF(AND($AG258=Constants!$B$7, U258, V258),IF(OR($AA258="",$AC258=""),$AK$6,""),"")</f>
        <v/>
      </c>
      <c r="AL258" s="99" t="str">
        <f aca="false">IF($AG258=Constants!$B$7,IF(AND(U258,V258,W258,Y258),IF($AJ258="",0,IF($AJ$6=0,Constants!$B$9,Constants!$B$9*AJ258/$AJ$6)), 0),"")</f>
        <v/>
      </c>
      <c r="AM258" s="99" t="str">
        <f aca="false">IF(AL258&lt;&gt;"", AL258*AI258,"")</f>
        <v/>
      </c>
      <c r="AN258" s="99" t="str">
        <f aca="false">IF(AND($AG258=Constants!$B$7, U258, V258) ,IF($AB258="", "", IF(OR($AC258="",$AC258=0),"",MAX(0,1-ABS($AC258-$AB258)/$AC258))),"")</f>
        <v/>
      </c>
      <c r="AO258" s="99" t="str">
        <f aca="false">IF(AND($AG258=Constants!$B$7, U258, V258),IF(AND($AA258&lt;&gt;"",$AB258&lt;&gt;"",$AC258=0),$AO$6,""),"")</f>
        <v/>
      </c>
      <c r="AP258" s="99" t="str">
        <f aca="false">IF($AG258=Constants!$B$7 ,IF(AND(U258,V258,W258,Y258,ISNUMBER(AB258)),IF($AN258="",0,IF($AN$6=0,Constants!$B$10,Constants!$B$10*AN258/$AN$6)), 0),"")</f>
        <v/>
      </c>
      <c r="AQ258" s="99" t="str">
        <f aca="false">IF(AP258&lt;&gt;"", AP258*AI258,"")</f>
        <v/>
      </c>
      <c r="AR258" s="99" t="str">
        <f aca="false">IF($AG258=Constants!$B$7,IF($AD258="",0,IF($AR$6=0,Constants!$B$8,Constants!$B$8*AD258/$AR$6)),"")</f>
        <v/>
      </c>
      <c r="AS258" s="99" t="str">
        <f aca="false">IF($AG258&lt;&gt;Constants!$B$7,$AG258,IF(AK258&amp;AO258&lt;&gt;"",Constants!$B$14,AM258+AQ258+AR258))</f>
        <v/>
      </c>
      <c r="AT258" s="99" t="str">
        <f aca="false">IF(ISBLANK($C258),"",IF($AG258=Constants!$B$7,IF(ISNUMBER(AS258),RANK(AS258,$AS$8:$AS$507),Constants!$B$14),$AG258))</f>
        <v/>
      </c>
      <c r="AU258" s="99" t="str">
        <f aca="false">IF(ISBLANK($C258), "",AM258)</f>
        <v/>
      </c>
      <c r="AV258" s="99" t="str">
        <f aca="false">IF(ISBLANK($C258),"",IF($AG258=Constants!$B$7,RANK(AU258,AU$8:AU$507),$AG258))</f>
        <v/>
      </c>
      <c r="AW258" s="99" t="str">
        <f aca="false">IF(ISBLANK($C258), "",AR258)</f>
        <v/>
      </c>
      <c r="AX258" s="99" t="str">
        <f aca="false">IF(ISBLANK($C258),"",IF($AG258=Constants!$B$7,RANK(AW258,AW$8:AW$507),$AG258))</f>
        <v/>
      </c>
      <c r="AY258" s="99" t="str">
        <f aca="false">IF(ISBLANK($C258), "",AE258)</f>
        <v/>
      </c>
      <c r="AZ258" s="99" t="str">
        <f aca="false">IF(ISBLANK($C258),"",
IF($AG258=Constants!$B$7,
  IF(ISNUMBER(AT258),
    COUNTIFS($AT$8:$AT$507,"&lt;"&amp;$AT258)
    + COUNTIFS($AT$8:$AT$507,$AT258,$AV$8:$AV$507,"&lt;"&amp;$AV258)
    + COUNTIFS($AT$8:$AT$507,$AT258,$AV$8:$AV$507,$AV258,$AX$8:$AX$507,"&lt;"&amp;$AX258)
    + COUNTIFS($AT$8:$AT$507,$AT258,$AV$8:$AV$507,$AV258,$AX$8:$AX$507,$AX258,$AY$8:$AY$507,"&lt;"&amp;$AY258)
    + 1,
  Constants!$B$14),
$AG258))</f>
        <v/>
      </c>
      <c r="BA258" s="99" t="str">
        <f aca="false">IF(ISBLANK(C258),"",IF($AG258=Constants!$B$7, IF(ISNUMBER(AT258),AT258-AZ258,Constants!$B$14),$AG258))</f>
        <v/>
      </c>
      <c r="BB258" s="103"/>
      <c r="BC258" s="104" t="str">
        <f aca="false">IF(ISBLANK($C258),"",TRIM(AK258&amp;" "&amp;AO258))</f>
        <v/>
      </c>
      <c r="BD258" s="105" t="str">
        <f aca="false">IF(ISBLANK($C258),"",IF($AG258&lt;&gt;Constants!$B$7,$AG258,AR258))</f>
        <v/>
      </c>
      <c r="BE258" s="105" t="str">
        <f aca="false">IF(ISBLANK($C258),"",IF($AG258&lt;&gt;Constants!$B$7,$AG258,AM258))</f>
        <v/>
      </c>
      <c r="BF258" s="105" t="str">
        <f aca="false">IF(ISBLANK($C258),"",IF($AG258&lt;&gt;Constants!$B$7,$AG258,AQ258))</f>
        <v/>
      </c>
      <c r="BG258" s="106" t="str">
        <f aca="false">IF(ISBLANK($C258),"",IF($AG258&lt;&gt;Constants!$B$7, $AG258 ,AS258))</f>
        <v/>
      </c>
      <c r="BH258" s="107" t="str">
        <f aca="false">IF(ISBLANK($C258),"",IF($AG258&lt;&gt;Constants!$B$7, $AG258 ,AH258))</f>
        <v/>
      </c>
      <c r="BI258" s="105" t="str">
        <f aca="false">IF(ISBLANK(C258),"",BA258)</f>
        <v/>
      </c>
      <c r="BJ258" s="105" t="str">
        <f aca="false">IF(ISBLANK(C258),"",AZ258)</f>
        <v/>
      </c>
      <c r="BK258" s="108" t="str">
        <f aca="false">IF(ISBLANK(C258),"",IFERROR(_xlfn.SWITCH(BJ258, Constants!$B$4, COUNTA($C$8:$C757)+2, Constants!$B$5, COUNTA($C$8:$C757)+1, Constants!$B$6, COUNTA($C$8:$C757)),BJ258))</f>
        <v/>
      </c>
      <c r="BL258" s="5"/>
      <c r="BM258" s="109" t="n">
        <f aca="false">IF(OR(ISNUMBER(BJ258),BJ258="DQ",BJ258="P",BJ258="NS"),
    1,
    0
)</f>
        <v>0</v>
      </c>
      <c r="BN258" s="109" t="n">
        <v>251</v>
      </c>
      <c r="BO258" s="109" t="str">
        <f aca="false">IF(ISBLANK($C258),"",IF(ISNUMBER(BK258),BK258+ROW($B258)/1000,""))</f>
        <v/>
      </c>
      <c r="BP258" s="109" t="str">
        <f aca="false">IF(ISNUMBER(BO258), RANK(BO258,BO$8:BO$507,1), "")</f>
        <v/>
      </c>
      <c r="BQ258" s="109" t="str">
        <f aca="false">IF(ISBLANK($C258),
    "",
    $B258
)</f>
        <v/>
      </c>
      <c r="BR258" s="109" t="str">
        <f aca="false">IF(ISBLANK($C258),
    "",
    $C258
)</f>
        <v/>
      </c>
      <c r="BS258" s="109" t="str">
        <f aca="false">IF(ISBLANK($C258),
    "",
    $D258
)</f>
        <v/>
      </c>
      <c r="BT258" s="110" t="str">
        <f aca="false">BH258</f>
        <v/>
      </c>
      <c r="BU258" s="111" t="str">
        <f aca="false">BG258</f>
        <v/>
      </c>
      <c r="BV258" s="109" t="str">
        <f aca="false">IF(ISBLANK($C258),
    "",
    BJ258
)</f>
        <v/>
      </c>
      <c r="BW258" s="112" t="str">
        <f aca="false">IF(BN258&gt;BM$7,
    "",
    VLOOKUP(BN258,BP$8:BV757,7,FALSE())
)</f>
        <v/>
      </c>
      <c r="BX258" s="113" t="str">
        <f aca="false">IF(BN258&gt;BM$7,
    "",
    VLOOKUP(BN258,BP$8:BV757,2,FALSE())
)</f>
        <v/>
      </c>
      <c r="BY258" s="113" t="str">
        <f aca="false">IF(BN258&gt;BM$7,
    "",
    VLOOKUP(BN258,BP$8:BV757,3,FALSE())
)</f>
        <v/>
      </c>
      <c r="BZ258" s="113" t="str">
        <f aca="false">IF(BN258&gt;BM$7,
    "",
    VLOOKUP(BN258,BP$8:BV757,4,FALSE())
)</f>
        <v/>
      </c>
      <c r="CA258" s="113" t="str">
        <f aca="false">IF(BN258&gt;BM$7,
    "",
    VLOOKUP(BN258,BP$8:BV757,5,FALSE())
)</f>
        <v/>
      </c>
      <c r="CB258" s="114" t="str">
        <f aca="false">IF(BN258&gt;BM$7,
    "",
    VLOOKUP(BN258,BP$8:BV757,6,FALSE())
)</f>
        <v/>
      </c>
      <c r="CC258" s="53"/>
    </row>
    <row r="259" customFormat="false" ht="15.75" hidden="false" customHeight="false" outlineLevel="0" collapsed="false">
      <c r="A259" s="5"/>
      <c r="B259" s="125"/>
      <c r="C259" s="126"/>
      <c r="D259" s="115"/>
      <c r="E259" s="119"/>
      <c r="F259" s="119"/>
      <c r="G259" s="91"/>
      <c r="H259" s="92"/>
      <c r="I259" s="92"/>
      <c r="J259" s="128"/>
      <c r="K259" s="128"/>
      <c r="L259" s="128"/>
      <c r="M259" s="94"/>
      <c r="N259" s="94"/>
      <c r="O259" s="94"/>
      <c r="P259" s="95"/>
      <c r="Q259" s="96"/>
      <c r="R259" s="128"/>
      <c r="S259" s="98"/>
      <c r="T259" s="99"/>
      <c r="U259" s="99" t="str">
        <f aca="false">IF(ISBLANK($C259),"",IF(G259=Constants!$B$2, TRUE(), IF(G259=Constants!$B$3, FALSE(), TRUE())))</f>
        <v/>
      </c>
      <c r="V259" s="99" t="str">
        <f aca="false">IF(ISBLANK($C259),"",IF(H259=Constants!$B$2, TRUE(), IF(H259=Constants!$B$3, FALSE(), TRUE())))</f>
        <v/>
      </c>
      <c r="W259" s="99" t="str">
        <f aca="false">IF(ISBLANK($C259),"",IF(I259=Constants!$B$2, TRUE(), IF(I259=Constants!$B$3, FALSE(), TRUE())))</f>
        <v/>
      </c>
      <c r="X259" s="99" t="str">
        <f aca="false">IF(ISBLANK($C259),"",IF(AND(ISNUMBER(J259),J259&gt;0),INT(J259),0))</f>
        <v/>
      </c>
      <c r="Y259" s="99" t="str">
        <f aca="false">IF(ISBLANK($C259),"",IF(K259=Constants!$B$2, TRUE(), IF(K259=Constants!$B$3, FALSE(), TRUE())))</f>
        <v/>
      </c>
      <c r="Z259" s="100" t="str">
        <f aca="false">IF(ISBLANK($C259),"",IF(AND(ISNUMBER(L259),L259&gt;0),INT(L259),0))</f>
        <v/>
      </c>
      <c r="AA259" s="101" t="str">
        <f aca="false">IF(ISBLANK($C259),"",IF(ISNUMBER(M259), M259, ""))</f>
        <v/>
      </c>
      <c r="AB259" s="101" t="str">
        <f aca="false">IF(ISBLANK($C259),"",IF(ISNUMBER(N259), N259, ""))</f>
        <v/>
      </c>
      <c r="AC259" s="101" t="str">
        <f aca="false">IF(ISBLANK($C259),"",IF(ISNUMBER(O259), O259, ""))</f>
        <v/>
      </c>
      <c r="AD259" s="102" t="str">
        <f aca="false">IF(ISBLANK($C259),"",IF(ISNUMBER(P259), P259, ""))</f>
        <v/>
      </c>
      <c r="AE259" s="102" t="str">
        <f aca="false">IF(ISBLANK($C259),"",IF(ISNUMBER(Q259), Q259, Constants!$B$13))</f>
        <v/>
      </c>
      <c r="AF259" s="99" t="str">
        <f aca="false">IF(ISBLANK($C259),"",IF(R259=Constants!$B$2, TRUE(), IF(R259=Constants!$B$3, FALSE(), FALSE())))</f>
        <v/>
      </c>
      <c r="AG259" s="99" t="str">
        <f aca="false">IF(ISBLANK(C259), "", IF(AF259, Constants!$B$4,IF(COUNTA(G259:P259)=0, Constants!$B$5, Constants!$B$7)))</f>
        <v/>
      </c>
      <c r="AH259" s="99" t="str">
        <f aca="false">IF(ISBLANK($C259), "",IF($AG259=Constants!$B$7,1,$AG259))</f>
        <v/>
      </c>
      <c r="AI259" s="99" t="str">
        <f aca="false">IF($AG259=Constants!$B$7,POWER(Constants!$B$11,X259)*POWER(Constants!$B$12,Z259),"")</f>
        <v/>
      </c>
      <c r="AJ259" s="99" t="str">
        <f aca="false">IF(AND($AG259=Constants!$B$7, U259, V259) ,IF(OR($AA259="",$AC259=""),"",MAX(0, $AC259-$AA259)),"")</f>
        <v/>
      </c>
      <c r="AK259" s="99" t="str">
        <f aca="false">IF(AND($AG259=Constants!$B$7, U259, V259),IF(OR($AA259="",$AC259=""),$AK$6,""),"")</f>
        <v/>
      </c>
      <c r="AL259" s="99" t="str">
        <f aca="false">IF($AG259=Constants!$B$7,IF(AND(U259,V259,W259,Y259),IF($AJ259="",0,IF($AJ$6=0,Constants!$B$9,Constants!$B$9*AJ259/$AJ$6)), 0),"")</f>
        <v/>
      </c>
      <c r="AM259" s="99" t="str">
        <f aca="false">IF(AL259&lt;&gt;"", AL259*AI259,"")</f>
        <v/>
      </c>
      <c r="AN259" s="99" t="str">
        <f aca="false">IF(AND($AG259=Constants!$B$7, U259, V259) ,IF($AB259="", "", IF(OR($AC259="",$AC259=0),"",MAX(0,1-ABS($AC259-$AB259)/$AC259))),"")</f>
        <v/>
      </c>
      <c r="AO259" s="99" t="str">
        <f aca="false">IF(AND($AG259=Constants!$B$7, U259, V259),IF(AND($AA259&lt;&gt;"",$AB259&lt;&gt;"",$AC259=0),$AO$6,""),"")</f>
        <v/>
      </c>
      <c r="AP259" s="99" t="str">
        <f aca="false">IF($AG259=Constants!$B$7 ,IF(AND(U259,V259,W259,Y259,ISNUMBER(AB259)),IF($AN259="",0,IF($AN$6=0,Constants!$B$10,Constants!$B$10*AN259/$AN$6)), 0),"")</f>
        <v/>
      </c>
      <c r="AQ259" s="99" t="str">
        <f aca="false">IF(AP259&lt;&gt;"", AP259*AI259,"")</f>
        <v/>
      </c>
      <c r="AR259" s="99" t="str">
        <f aca="false">IF($AG259=Constants!$B$7,IF($AD259="",0,IF($AR$6=0,Constants!$B$8,Constants!$B$8*AD259/$AR$6)),"")</f>
        <v/>
      </c>
      <c r="AS259" s="99" t="str">
        <f aca="false">IF($AG259&lt;&gt;Constants!$B$7,$AG259,IF(AK259&amp;AO259&lt;&gt;"",Constants!$B$14,AM259+AQ259+AR259))</f>
        <v/>
      </c>
      <c r="AT259" s="99" t="str">
        <f aca="false">IF(ISBLANK($C259),"",IF($AG259=Constants!$B$7,IF(ISNUMBER(AS259),RANK(AS259,$AS$8:$AS$507),Constants!$B$14),$AG259))</f>
        <v/>
      </c>
      <c r="AU259" s="99" t="str">
        <f aca="false">IF(ISBLANK($C259), "",AM259)</f>
        <v/>
      </c>
      <c r="AV259" s="99" t="str">
        <f aca="false">IF(ISBLANK($C259),"",IF($AG259=Constants!$B$7,RANK(AU259,AU$8:AU$507),$AG259))</f>
        <v/>
      </c>
      <c r="AW259" s="99" t="str">
        <f aca="false">IF(ISBLANK($C259), "",AR259)</f>
        <v/>
      </c>
      <c r="AX259" s="99" t="str">
        <f aca="false">IF(ISBLANK($C259),"",IF($AG259=Constants!$B$7,RANK(AW259,AW$8:AW$507),$AG259))</f>
        <v/>
      </c>
      <c r="AY259" s="99" t="str">
        <f aca="false">IF(ISBLANK($C259), "",AE259)</f>
        <v/>
      </c>
      <c r="AZ259" s="99" t="str">
        <f aca="false">IF(ISBLANK($C259),"",
IF($AG259=Constants!$B$7,
  IF(ISNUMBER(AT259),
    COUNTIFS($AT$8:$AT$507,"&lt;"&amp;$AT259)
    + COUNTIFS($AT$8:$AT$507,$AT259,$AV$8:$AV$507,"&lt;"&amp;$AV259)
    + COUNTIFS($AT$8:$AT$507,$AT259,$AV$8:$AV$507,$AV259,$AX$8:$AX$507,"&lt;"&amp;$AX259)
    + COUNTIFS($AT$8:$AT$507,$AT259,$AV$8:$AV$507,$AV259,$AX$8:$AX$507,$AX259,$AY$8:$AY$507,"&lt;"&amp;$AY259)
    + 1,
  Constants!$B$14),
$AG259))</f>
        <v/>
      </c>
      <c r="BA259" s="99" t="str">
        <f aca="false">IF(ISBLANK(C259),"",IF($AG259=Constants!$B$7, IF(ISNUMBER(AT259),AT259-AZ259,Constants!$B$14),$AG259))</f>
        <v/>
      </c>
      <c r="BB259" s="103"/>
      <c r="BC259" s="104" t="str">
        <f aca="false">IF(ISBLANK($C259),"",TRIM(AK259&amp;" "&amp;AO259))</f>
        <v/>
      </c>
      <c r="BD259" s="105" t="str">
        <f aca="false">IF(ISBLANK($C259),"",IF($AG259&lt;&gt;Constants!$B$7,$AG259,AR259))</f>
        <v/>
      </c>
      <c r="BE259" s="105" t="str">
        <f aca="false">IF(ISBLANK($C259),"",IF($AG259&lt;&gt;Constants!$B$7,$AG259,AM259))</f>
        <v/>
      </c>
      <c r="BF259" s="105" t="str">
        <f aca="false">IF(ISBLANK($C259),"",IF($AG259&lt;&gt;Constants!$B$7,$AG259,AQ259))</f>
        <v/>
      </c>
      <c r="BG259" s="106" t="str">
        <f aca="false">IF(ISBLANK($C259),"",IF($AG259&lt;&gt;Constants!$B$7, $AG259 ,AS259))</f>
        <v/>
      </c>
      <c r="BH259" s="107" t="str">
        <f aca="false">IF(ISBLANK($C259),"",IF($AG259&lt;&gt;Constants!$B$7, $AG259 ,AH259))</f>
        <v/>
      </c>
      <c r="BI259" s="105" t="str">
        <f aca="false">IF(ISBLANK(C259),"",BA259)</f>
        <v/>
      </c>
      <c r="BJ259" s="105" t="str">
        <f aca="false">IF(ISBLANK(C259),"",AZ259)</f>
        <v/>
      </c>
      <c r="BK259" s="108" t="str">
        <f aca="false">IF(ISBLANK(C259),"",IFERROR(_xlfn.SWITCH(BJ259, Constants!$B$4, COUNTA($C$8:$C758)+2, Constants!$B$5, COUNTA($C$8:$C758)+1, Constants!$B$6, COUNTA($C$8:$C758)),BJ259))</f>
        <v/>
      </c>
      <c r="BL259" s="5"/>
      <c r="BM259" s="109" t="n">
        <f aca="false">IF(OR(ISNUMBER(BJ259),BJ259="DQ",BJ259="P",BJ259="NS"),
    1,
    0
)</f>
        <v>0</v>
      </c>
      <c r="BN259" s="109" t="n">
        <v>252</v>
      </c>
      <c r="BO259" s="109" t="str">
        <f aca="false">IF(ISBLANK($C259),"",IF(ISNUMBER(BK259),BK259+ROW($B259)/1000,""))</f>
        <v/>
      </c>
      <c r="BP259" s="109" t="str">
        <f aca="false">IF(ISNUMBER(BO259), RANK(BO259,BO$8:BO$507,1), "")</f>
        <v/>
      </c>
      <c r="BQ259" s="109" t="str">
        <f aca="false">IF(ISBLANK($C259),
    "",
    $B259
)</f>
        <v/>
      </c>
      <c r="BR259" s="109" t="str">
        <f aca="false">IF(ISBLANK($C259),
    "",
    $C259
)</f>
        <v/>
      </c>
      <c r="BS259" s="109" t="str">
        <f aca="false">IF(ISBLANK($C259),
    "",
    $D259
)</f>
        <v/>
      </c>
      <c r="BT259" s="110" t="str">
        <f aca="false">BH259</f>
        <v/>
      </c>
      <c r="BU259" s="111" t="str">
        <f aca="false">BG259</f>
        <v/>
      </c>
      <c r="BV259" s="109" t="str">
        <f aca="false">IF(ISBLANK($C259),
    "",
    BJ259
)</f>
        <v/>
      </c>
      <c r="BW259" s="112" t="str">
        <f aca="false">IF(BN259&gt;BM$7,
    "",
    VLOOKUP(BN259,BP$8:BV758,7,FALSE())
)</f>
        <v/>
      </c>
      <c r="BX259" s="113" t="str">
        <f aca="false">IF(BN259&gt;BM$7,
    "",
    VLOOKUP(BN259,BP$8:BV758,2,FALSE())
)</f>
        <v/>
      </c>
      <c r="BY259" s="113" t="str">
        <f aca="false">IF(BN259&gt;BM$7,
    "",
    VLOOKUP(BN259,BP$8:BV758,3,FALSE())
)</f>
        <v/>
      </c>
      <c r="BZ259" s="113" t="str">
        <f aca="false">IF(BN259&gt;BM$7,
    "",
    VLOOKUP(BN259,BP$8:BV758,4,FALSE())
)</f>
        <v/>
      </c>
      <c r="CA259" s="113" t="str">
        <f aca="false">IF(BN259&gt;BM$7,
    "",
    VLOOKUP(BN259,BP$8:BV758,5,FALSE())
)</f>
        <v/>
      </c>
      <c r="CB259" s="114" t="str">
        <f aca="false">IF(BN259&gt;BM$7,
    "",
    VLOOKUP(BN259,BP$8:BV758,6,FALSE())
)</f>
        <v/>
      </c>
      <c r="CC259" s="53"/>
    </row>
    <row r="260" customFormat="false" ht="15.75" hidden="false" customHeight="false" outlineLevel="0" collapsed="false">
      <c r="A260" s="5"/>
      <c r="B260" s="129"/>
      <c r="C260" s="55"/>
      <c r="D260" s="56"/>
      <c r="E260" s="123"/>
      <c r="F260" s="123"/>
      <c r="G260" s="58"/>
      <c r="H260" s="59"/>
      <c r="I260" s="59"/>
      <c r="J260" s="83"/>
      <c r="K260" s="83"/>
      <c r="L260" s="83"/>
      <c r="M260" s="61"/>
      <c r="N260" s="61"/>
      <c r="O260" s="61"/>
      <c r="P260" s="62"/>
      <c r="Q260" s="63"/>
      <c r="R260" s="83"/>
      <c r="S260" s="65"/>
      <c r="T260" s="66"/>
      <c r="U260" s="66" t="str">
        <f aca="false">IF(ISBLANK($C260),"",IF(G260=Constants!$B$2, TRUE(), IF(G260=Constants!$B$3, FALSE(), TRUE())))</f>
        <v/>
      </c>
      <c r="V260" s="66" t="str">
        <f aca="false">IF(ISBLANK($C260),"",IF(H260=Constants!$B$2, TRUE(), IF(H260=Constants!$B$3, FALSE(), TRUE())))</f>
        <v/>
      </c>
      <c r="W260" s="66" t="str">
        <f aca="false">IF(ISBLANK($C260),"",IF(I260=Constants!$B$2, TRUE(), IF(I260=Constants!$B$3, FALSE(), TRUE())))</f>
        <v/>
      </c>
      <c r="X260" s="66" t="str">
        <f aca="false">IF(ISBLANK($C260),"",IF(AND(ISNUMBER(J260),J260&gt;0),INT(J260),0))</f>
        <v/>
      </c>
      <c r="Y260" s="66" t="str">
        <f aca="false">IF(ISBLANK($C260),"",IF(K260=Constants!$B$2, TRUE(), IF(K260=Constants!$B$3, FALSE(), TRUE())))</f>
        <v/>
      </c>
      <c r="Z260" s="66" t="str">
        <f aca="false">IF(ISBLANK($C260),"",IF(AND(ISNUMBER(L260),L260&gt;0),INT(L260),0))</f>
        <v/>
      </c>
      <c r="AA260" s="68" t="str">
        <f aca="false">IF(ISBLANK($C260),"",IF(ISNUMBER(M260), M260, ""))</f>
        <v/>
      </c>
      <c r="AB260" s="68" t="str">
        <f aca="false">IF(ISBLANK($C260),"",IF(ISNUMBER(N260), N260, ""))</f>
        <v/>
      </c>
      <c r="AC260" s="68" t="str">
        <f aca="false">IF(ISBLANK($C260),"",IF(ISNUMBER(O260), O260, ""))</f>
        <v/>
      </c>
      <c r="AD260" s="69" t="str">
        <f aca="false">IF(ISBLANK($C260),"",IF(ISNUMBER(P260), P260, ""))</f>
        <v/>
      </c>
      <c r="AE260" s="69" t="str">
        <f aca="false">IF(ISBLANK($C260),"",IF(ISNUMBER(Q260), Q260, Constants!$B$13))</f>
        <v/>
      </c>
      <c r="AF260" s="66" t="str">
        <f aca="false">IF(ISBLANK($C260),"",IF(R260=Constants!$B$2, TRUE(), IF(R260=Constants!$B$3, FALSE(), FALSE())))</f>
        <v/>
      </c>
      <c r="AG260" s="66" t="str">
        <f aca="false">IF(ISBLANK(C260), "", IF(AF260, Constants!$B$4,IF(COUNTA(G260:P260)=0, Constants!$B$5, Constants!$B$7)))</f>
        <v/>
      </c>
      <c r="AH260" s="66" t="str">
        <f aca="false">IF(ISBLANK($C260), "",IF($AG260=Constants!$B$7,1,$AG260))</f>
        <v/>
      </c>
      <c r="AI260" s="66" t="str">
        <f aca="false">IF($AG260=Constants!$B$7,POWER(Constants!$B$11,X260)*POWER(Constants!$B$12,Z260),"")</f>
        <v/>
      </c>
      <c r="AJ260" s="66" t="str">
        <f aca="false">IF(AND($AG260=Constants!$B$7, U260, V260) ,IF(OR($AA260="",$AC260=""),"",MAX(0, $AC260-$AA260)),"")</f>
        <v/>
      </c>
      <c r="AK260" s="66" t="str">
        <f aca="false">IF(AND($AG260=Constants!$B$7, U260, V260),IF(OR($AA260="",$AC260=""),$AK$6,""),"")</f>
        <v/>
      </c>
      <c r="AL260" s="66" t="str">
        <f aca="false">IF($AG260=Constants!$B$7,IF(AND(U260,V260,W260,Y260),IF($AJ260="",0,IF($AJ$6=0,Constants!$B$9,Constants!$B$9*AJ260/$AJ$6)), 0),"")</f>
        <v/>
      </c>
      <c r="AM260" s="66" t="str">
        <f aca="false">IF(AL260&lt;&gt;"", AL260*AI260,"")</f>
        <v/>
      </c>
      <c r="AN260" s="66" t="str">
        <f aca="false">IF(AND($AG260=Constants!$B$7, U260, V260) ,IF($AB260="", "", IF(OR($AC260="",$AC260=0),"",MAX(0,1-ABS($AC260-$AB260)/$AC260))),"")</f>
        <v/>
      </c>
      <c r="AO260" s="66" t="str">
        <f aca="false">IF(AND($AG260=Constants!$B$7, U260, V260),IF(AND($AA260&lt;&gt;"",$AB260&lt;&gt;"",$AC260=0),$AO$6,""),"")</f>
        <v/>
      </c>
      <c r="AP260" s="66" t="str">
        <f aca="false">IF($AG260=Constants!$B$7 ,IF(AND(U260,V260,W260,Y260,ISNUMBER(AB260)),IF($AN260="",0,IF($AN$6=0,Constants!$B$10,Constants!$B$10*AN260/$AN$6)), 0),"")</f>
        <v/>
      </c>
      <c r="AQ260" s="66" t="str">
        <f aca="false">IF(AP260&lt;&gt;"", AP260*AI260,"")</f>
        <v/>
      </c>
      <c r="AR260" s="66" t="str">
        <f aca="false">IF($AG260=Constants!$B$7,IF($AD260="",0,IF($AR$6=0,Constants!$B$8,Constants!$B$8*AD260/$AR$6)),"")</f>
        <v/>
      </c>
      <c r="AS260" s="66" t="str">
        <f aca="false">IF($AG260&lt;&gt;Constants!$B$7,$AG260,IF(AK260&amp;AO260&lt;&gt;"",Constants!$B$14,AM260+AQ260+AR260))</f>
        <v/>
      </c>
      <c r="AT260" s="66" t="str">
        <f aca="false">IF(ISBLANK($C260),"",IF($AG260=Constants!$B$7,IF(ISNUMBER(AS260),RANK(AS260,$AS$8:$AS$507),Constants!$B$14),$AG260))</f>
        <v/>
      </c>
      <c r="AU260" s="66" t="str">
        <f aca="false">IF(ISBLANK($C260), "",AM260)</f>
        <v/>
      </c>
      <c r="AV260" s="66" t="str">
        <f aca="false">IF(ISBLANK($C260),"",IF($AG260=Constants!$B$7,RANK(AU260,AU$8:AU$507),$AG260))</f>
        <v/>
      </c>
      <c r="AW260" s="66" t="str">
        <f aca="false">IF(ISBLANK($C260), "",AR260)</f>
        <v/>
      </c>
      <c r="AX260" s="66" t="str">
        <f aca="false">IF(ISBLANK($C260),"",IF($AG260=Constants!$B$7,RANK(AW260,AW$8:AW$507),$AG260))</f>
        <v/>
      </c>
      <c r="AY260" s="66" t="str">
        <f aca="false">IF(ISBLANK($C260), "",AE260)</f>
        <v/>
      </c>
      <c r="AZ260" s="66" t="str">
        <f aca="false">IF(ISBLANK($C260),"",
IF($AG260=Constants!$B$7,
  IF(ISNUMBER(AT260),
    COUNTIFS($AT$8:$AT$507,"&lt;"&amp;$AT260)
    + COUNTIFS($AT$8:$AT$507,$AT260,$AV$8:$AV$507,"&lt;"&amp;$AV260)
    + COUNTIFS($AT$8:$AT$507,$AT260,$AV$8:$AV$507,$AV260,$AX$8:$AX$507,"&lt;"&amp;$AX260)
    + COUNTIFS($AT$8:$AT$507,$AT260,$AV$8:$AV$507,$AV260,$AX$8:$AX$507,$AX260,$AY$8:$AY$507,"&lt;"&amp;$AY260)
    + 1,
  Constants!$B$14),
$AG260))</f>
        <v/>
      </c>
      <c r="BA260" s="66" t="str">
        <f aca="false">IF(ISBLANK(C260),"",IF($AG260=Constants!$B$7, IF(ISNUMBER(AT260),AT260-AZ260,Constants!$B$14),$AG260))</f>
        <v/>
      </c>
      <c r="BB260" s="70"/>
      <c r="BC260" s="84" t="str">
        <f aca="false">IF(ISBLANK($C260),"",TRIM(AK260&amp;" "&amp;AO260))</f>
        <v/>
      </c>
      <c r="BD260" s="72" t="str">
        <f aca="false">IF(ISBLANK($C260),"",IF($AG260&lt;&gt;Constants!$B$7,$AG260,AR260))</f>
        <v/>
      </c>
      <c r="BE260" s="72" t="str">
        <f aca="false">IF(ISBLANK($C260),"",IF($AG260&lt;&gt;Constants!$B$7,$AG260,AM260))</f>
        <v/>
      </c>
      <c r="BF260" s="72" t="str">
        <f aca="false">IF(ISBLANK($C260),"",IF($AG260&lt;&gt;Constants!$B$7,$AG260,AQ260))</f>
        <v/>
      </c>
      <c r="BG260" s="73" t="str">
        <f aca="false">IF(ISBLANK($C260),"",IF($AG260&lt;&gt;Constants!$B$7, $AG260 ,AS260))</f>
        <v/>
      </c>
      <c r="BH260" s="74" t="str">
        <f aca="false">IF(ISBLANK($C260),"",IF($AG260&lt;&gt;Constants!$B$7, $AG260 ,AH260))</f>
        <v/>
      </c>
      <c r="BI260" s="72" t="str">
        <f aca="false">IF(ISBLANK(C260),"",BA260)</f>
        <v/>
      </c>
      <c r="BJ260" s="72" t="str">
        <f aca="false">IF(ISBLANK(C260),"",AZ260)</f>
        <v/>
      </c>
      <c r="BK260" s="75" t="str">
        <f aca="false">IF(ISBLANK(C260),"",IFERROR(_xlfn.SWITCH(BJ260, Constants!$B$4, COUNTA($C$8:$C759)+2, Constants!$B$5, COUNTA($C$8:$C759)+1, Constants!$B$6, COUNTA($C$8:$C759)),BJ260))</f>
        <v/>
      </c>
      <c r="BL260" s="5"/>
      <c r="BM260" s="76" t="n">
        <f aca="false">IF(OR(ISNUMBER(BJ260),BJ260="DQ",BJ260="P",BJ260="NS"),
    1,
    0
)</f>
        <v>0</v>
      </c>
      <c r="BN260" s="76" t="n">
        <v>253</v>
      </c>
      <c r="BO260" s="76" t="str">
        <f aca="false">IF(ISBLANK($C260),"",IF(ISNUMBER(BK260),BK260+ROW($B260)/1000,""))</f>
        <v/>
      </c>
      <c r="BP260" s="76" t="str">
        <f aca="false">IF(ISNUMBER(BO260), RANK(BO260,BO$8:BO$507,1), "")</f>
        <v/>
      </c>
      <c r="BQ260" s="76" t="str">
        <f aca="false">IF(ISBLANK($C260),
    "",
    $B260
)</f>
        <v/>
      </c>
      <c r="BR260" s="76" t="str">
        <f aca="false">IF(ISBLANK($C260),
    "",
    $C260
)</f>
        <v/>
      </c>
      <c r="BS260" s="76" t="str">
        <f aca="false">IF(ISBLANK($C260),
    "",
    $D260
)</f>
        <v/>
      </c>
      <c r="BT260" s="77" t="str">
        <f aca="false">BH260</f>
        <v/>
      </c>
      <c r="BU260" s="78" t="str">
        <f aca="false">BG260</f>
        <v/>
      </c>
      <c r="BV260" s="76" t="str">
        <f aca="false">IF(ISBLANK($C260),
    "",
    BJ260
)</f>
        <v/>
      </c>
      <c r="BW260" s="79" t="str">
        <f aca="false">IF(BN260&gt;BM$7,
    "",
    VLOOKUP(BN260,BP$8:BV759,7,FALSE())
)</f>
        <v/>
      </c>
      <c r="BX260" s="80" t="str">
        <f aca="false">IF(BN260&gt;BM$7,
    "",
    VLOOKUP(BN260,BP$8:BV759,2,FALSE())
)</f>
        <v/>
      </c>
      <c r="BY260" s="80" t="str">
        <f aca="false">IF(BN260&gt;BM$7,
    "",
    VLOOKUP(BN260,BP$8:BV759,3,FALSE())
)</f>
        <v/>
      </c>
      <c r="BZ260" s="80" t="str">
        <f aca="false">IF(BN260&gt;BM$7,
    "",
    VLOOKUP(BN260,BP$8:BV759,4,FALSE())
)</f>
        <v/>
      </c>
      <c r="CA260" s="80" t="str">
        <f aca="false">IF(BN260&gt;BM$7,
    "",
    VLOOKUP(BN260,BP$8:BV759,5,FALSE())
)</f>
        <v/>
      </c>
      <c r="CB260" s="81" t="str">
        <f aca="false">IF(BN260&gt;BM$7,
    "",
    VLOOKUP(BN260,BP$8:BV759,6,FALSE())
)</f>
        <v/>
      </c>
      <c r="CC260" s="53"/>
    </row>
    <row r="261" customFormat="false" ht="15.75" hidden="false" customHeight="false" outlineLevel="0" collapsed="false">
      <c r="A261" s="5"/>
      <c r="B261" s="129"/>
      <c r="C261" s="55"/>
      <c r="D261" s="56"/>
      <c r="E261" s="123"/>
      <c r="F261" s="123"/>
      <c r="G261" s="58"/>
      <c r="H261" s="59"/>
      <c r="I261" s="59"/>
      <c r="J261" s="83"/>
      <c r="K261" s="83"/>
      <c r="L261" s="83"/>
      <c r="M261" s="61"/>
      <c r="N261" s="61"/>
      <c r="O261" s="61"/>
      <c r="P261" s="62"/>
      <c r="Q261" s="63"/>
      <c r="R261" s="83"/>
      <c r="S261" s="65"/>
      <c r="T261" s="66"/>
      <c r="U261" s="66" t="str">
        <f aca="false">IF(ISBLANK($C261),"",IF(G261=Constants!$B$2, TRUE(), IF(G261=Constants!$B$3, FALSE(), TRUE())))</f>
        <v/>
      </c>
      <c r="V261" s="66" t="str">
        <f aca="false">IF(ISBLANK($C261),"",IF(H261=Constants!$B$2, TRUE(), IF(H261=Constants!$B$3, FALSE(), TRUE())))</f>
        <v/>
      </c>
      <c r="W261" s="66" t="str">
        <f aca="false">IF(ISBLANK($C261),"",IF(I261=Constants!$B$2, TRUE(), IF(I261=Constants!$B$3, FALSE(), TRUE())))</f>
        <v/>
      </c>
      <c r="X261" s="66" t="str">
        <f aca="false">IF(ISBLANK($C261),"",IF(AND(ISNUMBER(J261),J261&gt;0),INT(J261),0))</f>
        <v/>
      </c>
      <c r="Y261" s="66" t="str">
        <f aca="false">IF(ISBLANK($C261),"",IF(K261=Constants!$B$2, TRUE(), IF(K261=Constants!$B$3, FALSE(), TRUE())))</f>
        <v/>
      </c>
      <c r="Z261" s="66" t="str">
        <f aca="false">IF(ISBLANK($C261),"",IF(AND(ISNUMBER(L261),L261&gt;0),INT(L261),0))</f>
        <v/>
      </c>
      <c r="AA261" s="68" t="str">
        <f aca="false">IF(ISBLANK($C261),"",IF(ISNUMBER(M261), M261, ""))</f>
        <v/>
      </c>
      <c r="AB261" s="68" t="str">
        <f aca="false">IF(ISBLANK($C261),"",IF(ISNUMBER(N261), N261, ""))</f>
        <v/>
      </c>
      <c r="AC261" s="68" t="str">
        <f aca="false">IF(ISBLANK($C261),"",IF(ISNUMBER(O261), O261, ""))</f>
        <v/>
      </c>
      <c r="AD261" s="69" t="str">
        <f aca="false">IF(ISBLANK($C261),"",IF(ISNUMBER(P261), P261, ""))</f>
        <v/>
      </c>
      <c r="AE261" s="69" t="str">
        <f aca="false">IF(ISBLANK($C261),"",IF(ISNUMBER(Q261), Q261, Constants!$B$13))</f>
        <v/>
      </c>
      <c r="AF261" s="66" t="str">
        <f aca="false">IF(ISBLANK($C261),"",IF(R261=Constants!$B$2, TRUE(), IF(R261=Constants!$B$3, FALSE(), FALSE())))</f>
        <v/>
      </c>
      <c r="AG261" s="66" t="str">
        <f aca="false">IF(ISBLANK(C261), "", IF(AF261, Constants!$B$4,IF(COUNTA(G261:P261)=0, Constants!$B$5, Constants!$B$7)))</f>
        <v/>
      </c>
      <c r="AH261" s="66" t="str">
        <f aca="false">IF(ISBLANK($C261), "",IF($AG261=Constants!$B$7,1,$AG261))</f>
        <v/>
      </c>
      <c r="AI261" s="66" t="str">
        <f aca="false">IF($AG261=Constants!$B$7,POWER(Constants!$B$11,X261)*POWER(Constants!$B$12,Z261),"")</f>
        <v/>
      </c>
      <c r="AJ261" s="66" t="str">
        <f aca="false">IF(AND($AG261=Constants!$B$7, U261, V261) ,IF(OR($AA261="",$AC261=""),"",MAX(0, $AC261-$AA261)),"")</f>
        <v/>
      </c>
      <c r="AK261" s="66" t="str">
        <f aca="false">IF(AND($AG261=Constants!$B$7, U261, V261),IF(OR($AA261="",$AC261=""),$AK$6,""),"")</f>
        <v/>
      </c>
      <c r="AL261" s="66" t="str">
        <f aca="false">IF($AG261=Constants!$B$7,IF(AND(U261,V261,W261,Y261),IF($AJ261="",0,IF($AJ$6=0,Constants!$B$9,Constants!$B$9*AJ261/$AJ$6)), 0),"")</f>
        <v/>
      </c>
      <c r="AM261" s="66" t="str">
        <f aca="false">IF(AL261&lt;&gt;"", AL261*AI261,"")</f>
        <v/>
      </c>
      <c r="AN261" s="66" t="str">
        <f aca="false">IF(AND($AG261=Constants!$B$7, U261, V261) ,IF($AB261="", "", IF(OR($AC261="",$AC261=0),"",MAX(0,1-ABS($AC261-$AB261)/$AC261))),"")</f>
        <v/>
      </c>
      <c r="AO261" s="66" t="str">
        <f aca="false">IF(AND($AG261=Constants!$B$7, U261, V261),IF(AND($AA261&lt;&gt;"",$AB261&lt;&gt;"",$AC261=0),$AO$6,""),"")</f>
        <v/>
      </c>
      <c r="AP261" s="66" t="str">
        <f aca="false">IF($AG261=Constants!$B$7 ,IF(AND(U261,V261,W261,Y261,ISNUMBER(AB261)),IF($AN261="",0,IF($AN$6=0,Constants!$B$10,Constants!$B$10*AN261/$AN$6)), 0),"")</f>
        <v/>
      </c>
      <c r="AQ261" s="66" t="str">
        <f aca="false">IF(AP261&lt;&gt;"", AP261*AI261,"")</f>
        <v/>
      </c>
      <c r="AR261" s="66" t="str">
        <f aca="false">IF($AG261=Constants!$B$7,IF($AD261="",0,IF($AR$6=0,Constants!$B$8,Constants!$B$8*AD261/$AR$6)),"")</f>
        <v/>
      </c>
      <c r="AS261" s="66" t="str">
        <f aca="false">IF($AG261&lt;&gt;Constants!$B$7,$AG261,IF(AK261&amp;AO261&lt;&gt;"",Constants!$B$14,AM261+AQ261+AR261))</f>
        <v/>
      </c>
      <c r="AT261" s="66" t="str">
        <f aca="false">IF(ISBLANK($C261),"",IF($AG261=Constants!$B$7,IF(ISNUMBER(AS261),RANK(AS261,$AS$8:$AS$507),Constants!$B$14),$AG261))</f>
        <v/>
      </c>
      <c r="AU261" s="66" t="str">
        <f aca="false">IF(ISBLANK($C261), "",AM261)</f>
        <v/>
      </c>
      <c r="AV261" s="66" t="str">
        <f aca="false">IF(ISBLANK($C261),"",IF($AG261=Constants!$B$7,RANK(AU261,AU$8:AU$507),$AG261))</f>
        <v/>
      </c>
      <c r="AW261" s="66" t="str">
        <f aca="false">IF(ISBLANK($C261), "",AR261)</f>
        <v/>
      </c>
      <c r="AX261" s="66" t="str">
        <f aca="false">IF(ISBLANK($C261),"",IF($AG261=Constants!$B$7,RANK(AW261,AW$8:AW$507),$AG261))</f>
        <v/>
      </c>
      <c r="AY261" s="66" t="str">
        <f aca="false">IF(ISBLANK($C261), "",AE261)</f>
        <v/>
      </c>
      <c r="AZ261" s="66" t="str">
        <f aca="false">IF(ISBLANK($C261),"",
IF($AG261=Constants!$B$7,
  IF(ISNUMBER(AT261),
    COUNTIFS($AT$8:$AT$507,"&lt;"&amp;$AT261)
    + COUNTIFS($AT$8:$AT$507,$AT261,$AV$8:$AV$507,"&lt;"&amp;$AV261)
    + COUNTIFS($AT$8:$AT$507,$AT261,$AV$8:$AV$507,$AV261,$AX$8:$AX$507,"&lt;"&amp;$AX261)
    + COUNTIFS($AT$8:$AT$507,$AT261,$AV$8:$AV$507,$AV261,$AX$8:$AX$507,$AX261,$AY$8:$AY$507,"&lt;"&amp;$AY261)
    + 1,
  Constants!$B$14),
$AG261))</f>
        <v/>
      </c>
      <c r="BA261" s="66" t="str">
        <f aca="false">IF(ISBLANK(C261),"",IF($AG261=Constants!$B$7, IF(ISNUMBER(AT261),AT261-AZ261,Constants!$B$14),$AG261))</f>
        <v/>
      </c>
      <c r="BB261" s="70"/>
      <c r="BC261" s="84" t="str">
        <f aca="false">IF(ISBLANK($C261),"",TRIM(AK261&amp;" "&amp;AO261))</f>
        <v/>
      </c>
      <c r="BD261" s="72" t="str">
        <f aca="false">IF(ISBLANK($C261),"",IF($AG261&lt;&gt;Constants!$B$7,$AG261,AR261))</f>
        <v/>
      </c>
      <c r="BE261" s="72" t="str">
        <f aca="false">IF(ISBLANK($C261),"",IF($AG261&lt;&gt;Constants!$B$7,$AG261,AM261))</f>
        <v/>
      </c>
      <c r="BF261" s="72" t="str">
        <f aca="false">IF(ISBLANK($C261),"",IF($AG261&lt;&gt;Constants!$B$7,$AG261,AQ261))</f>
        <v/>
      </c>
      <c r="BG261" s="73" t="str">
        <f aca="false">IF(ISBLANK($C261),"",IF($AG261&lt;&gt;Constants!$B$7, $AG261 ,AS261))</f>
        <v/>
      </c>
      <c r="BH261" s="74" t="str">
        <f aca="false">IF(ISBLANK($C261),"",IF($AG261&lt;&gt;Constants!$B$7, $AG261 ,AH261))</f>
        <v/>
      </c>
      <c r="BI261" s="72" t="str">
        <f aca="false">IF(ISBLANK(C261),"",BA261)</f>
        <v/>
      </c>
      <c r="BJ261" s="72" t="str">
        <f aca="false">IF(ISBLANK(C261),"",AZ261)</f>
        <v/>
      </c>
      <c r="BK261" s="75" t="str">
        <f aca="false">IF(ISBLANK(C261),"",IFERROR(_xlfn.SWITCH(BJ261, Constants!$B$4, COUNTA($C$8:$C760)+2, Constants!$B$5, COUNTA($C$8:$C760)+1, Constants!$B$6, COUNTA($C$8:$C760)),BJ261))</f>
        <v/>
      </c>
      <c r="BL261" s="5"/>
      <c r="BM261" s="76" t="n">
        <f aca="false">IF(OR(ISNUMBER(BJ261),BJ261="DQ",BJ261="P",BJ261="NS"),
    1,
    0
)</f>
        <v>0</v>
      </c>
      <c r="BN261" s="76" t="n">
        <v>254</v>
      </c>
      <c r="BO261" s="76" t="str">
        <f aca="false">IF(ISBLANK($C261),"",IF(ISNUMBER(BK261),BK261+ROW($B261)/1000,""))</f>
        <v/>
      </c>
      <c r="BP261" s="76" t="str">
        <f aca="false">IF(ISNUMBER(BO261), RANK(BO261,BO$8:BO$507,1), "")</f>
        <v/>
      </c>
      <c r="BQ261" s="76" t="str">
        <f aca="false">IF(ISBLANK($C261),
    "",
    $B261
)</f>
        <v/>
      </c>
      <c r="BR261" s="76" t="str">
        <f aca="false">IF(ISBLANK($C261),
    "",
    $C261
)</f>
        <v/>
      </c>
      <c r="BS261" s="76" t="str">
        <f aca="false">IF(ISBLANK($C261),
    "",
    $D261
)</f>
        <v/>
      </c>
      <c r="BT261" s="77" t="str">
        <f aca="false">BH261</f>
        <v/>
      </c>
      <c r="BU261" s="78" t="str">
        <f aca="false">BG261</f>
        <v/>
      </c>
      <c r="BV261" s="76" t="str">
        <f aca="false">IF(ISBLANK($C261),
    "",
    BJ261
)</f>
        <v/>
      </c>
      <c r="BW261" s="79" t="str">
        <f aca="false">IF(BN261&gt;BM$7,
    "",
    VLOOKUP(BN261,BP$8:BV760,7,FALSE())
)</f>
        <v/>
      </c>
      <c r="BX261" s="80" t="str">
        <f aca="false">IF(BN261&gt;BM$7,
    "",
    VLOOKUP(BN261,BP$8:BV760,2,FALSE())
)</f>
        <v/>
      </c>
      <c r="BY261" s="80" t="str">
        <f aca="false">IF(BN261&gt;BM$7,
    "",
    VLOOKUP(BN261,BP$8:BV760,3,FALSE())
)</f>
        <v/>
      </c>
      <c r="BZ261" s="80" t="str">
        <f aca="false">IF(BN261&gt;BM$7,
    "",
    VLOOKUP(BN261,BP$8:BV760,4,FALSE())
)</f>
        <v/>
      </c>
      <c r="CA261" s="80" t="str">
        <f aca="false">IF(BN261&gt;BM$7,
    "",
    VLOOKUP(BN261,BP$8:BV760,5,FALSE())
)</f>
        <v/>
      </c>
      <c r="CB261" s="81" t="str">
        <f aca="false">IF(BN261&gt;BM$7,
    "",
    VLOOKUP(BN261,BP$8:BV760,6,FALSE())
)</f>
        <v/>
      </c>
      <c r="CC261" s="53"/>
    </row>
    <row r="262" customFormat="false" ht="15.75" hidden="false" customHeight="false" outlineLevel="0" collapsed="false">
      <c r="A262" s="5"/>
      <c r="B262" s="129"/>
      <c r="C262" s="55"/>
      <c r="D262" s="56"/>
      <c r="E262" s="123"/>
      <c r="F262" s="123"/>
      <c r="G262" s="58"/>
      <c r="H262" s="59"/>
      <c r="I262" s="59"/>
      <c r="J262" s="83"/>
      <c r="K262" s="83"/>
      <c r="L262" s="83"/>
      <c r="M262" s="61"/>
      <c r="N262" s="61"/>
      <c r="O262" s="61"/>
      <c r="P262" s="62"/>
      <c r="Q262" s="63"/>
      <c r="R262" s="83"/>
      <c r="S262" s="65"/>
      <c r="T262" s="66"/>
      <c r="U262" s="66" t="str">
        <f aca="false">IF(ISBLANK($C262),"",IF(G262=Constants!$B$2, TRUE(), IF(G262=Constants!$B$3, FALSE(), TRUE())))</f>
        <v/>
      </c>
      <c r="V262" s="66" t="str">
        <f aca="false">IF(ISBLANK($C262),"",IF(H262=Constants!$B$2, TRUE(), IF(H262=Constants!$B$3, FALSE(), TRUE())))</f>
        <v/>
      </c>
      <c r="W262" s="66" t="str">
        <f aca="false">IF(ISBLANK($C262),"",IF(I262=Constants!$B$2, TRUE(), IF(I262=Constants!$B$3, FALSE(), TRUE())))</f>
        <v/>
      </c>
      <c r="X262" s="66" t="str">
        <f aca="false">IF(ISBLANK($C262),"",IF(AND(ISNUMBER(J262),J262&gt;0),INT(J262),0))</f>
        <v/>
      </c>
      <c r="Y262" s="66" t="str">
        <f aca="false">IF(ISBLANK($C262),"",IF(K262=Constants!$B$2, TRUE(), IF(K262=Constants!$B$3, FALSE(), TRUE())))</f>
        <v/>
      </c>
      <c r="Z262" s="66" t="str">
        <f aca="false">IF(ISBLANK($C262),"",IF(AND(ISNUMBER(L262),L262&gt;0),INT(L262),0))</f>
        <v/>
      </c>
      <c r="AA262" s="68" t="str">
        <f aca="false">IF(ISBLANK($C262),"",IF(ISNUMBER(M262), M262, ""))</f>
        <v/>
      </c>
      <c r="AB262" s="68" t="str">
        <f aca="false">IF(ISBLANK($C262),"",IF(ISNUMBER(N262), N262, ""))</f>
        <v/>
      </c>
      <c r="AC262" s="68" t="str">
        <f aca="false">IF(ISBLANK($C262),"",IF(ISNUMBER(O262), O262, ""))</f>
        <v/>
      </c>
      <c r="AD262" s="69" t="str">
        <f aca="false">IF(ISBLANK($C262),"",IF(ISNUMBER(P262), P262, ""))</f>
        <v/>
      </c>
      <c r="AE262" s="69" t="str">
        <f aca="false">IF(ISBLANK($C262),"",IF(ISNUMBER(Q262), Q262, Constants!$B$13))</f>
        <v/>
      </c>
      <c r="AF262" s="66" t="str">
        <f aca="false">IF(ISBLANK($C262),"",IF(R262=Constants!$B$2, TRUE(), IF(R262=Constants!$B$3, FALSE(), FALSE())))</f>
        <v/>
      </c>
      <c r="AG262" s="66" t="str">
        <f aca="false">IF(ISBLANK(C262), "", IF(AF262, Constants!$B$4,IF(COUNTA(G262:P262)=0, Constants!$B$5, Constants!$B$7)))</f>
        <v/>
      </c>
      <c r="AH262" s="66" t="str">
        <f aca="false">IF(ISBLANK($C262), "",IF($AG262=Constants!$B$7,1,$AG262))</f>
        <v/>
      </c>
      <c r="AI262" s="66" t="str">
        <f aca="false">IF($AG262=Constants!$B$7,POWER(Constants!$B$11,X262)*POWER(Constants!$B$12,Z262),"")</f>
        <v/>
      </c>
      <c r="AJ262" s="66" t="str">
        <f aca="false">IF(AND($AG262=Constants!$B$7, U262, V262) ,IF(OR($AA262="",$AC262=""),"",MAX(0, $AC262-$AA262)),"")</f>
        <v/>
      </c>
      <c r="AK262" s="66" t="str">
        <f aca="false">IF(AND($AG262=Constants!$B$7, U262, V262),IF(OR($AA262="",$AC262=""),$AK$6,""),"")</f>
        <v/>
      </c>
      <c r="AL262" s="66" t="str">
        <f aca="false">IF($AG262=Constants!$B$7,IF(AND(U262,V262,W262,Y262),IF($AJ262="",0,IF($AJ$6=0,Constants!$B$9,Constants!$B$9*AJ262/$AJ$6)), 0),"")</f>
        <v/>
      </c>
      <c r="AM262" s="66" t="str">
        <f aca="false">IF(AL262&lt;&gt;"", AL262*AI262,"")</f>
        <v/>
      </c>
      <c r="AN262" s="66" t="str">
        <f aca="false">IF(AND($AG262=Constants!$B$7, U262, V262) ,IF($AB262="", "", IF(OR($AC262="",$AC262=0),"",MAX(0,1-ABS($AC262-$AB262)/$AC262))),"")</f>
        <v/>
      </c>
      <c r="AO262" s="66" t="str">
        <f aca="false">IF(AND($AG262=Constants!$B$7, U262, V262),IF(AND($AA262&lt;&gt;"",$AB262&lt;&gt;"",$AC262=0),$AO$6,""),"")</f>
        <v/>
      </c>
      <c r="AP262" s="66" t="str">
        <f aca="false">IF($AG262=Constants!$B$7 ,IF(AND(U262,V262,W262,Y262,ISNUMBER(AB262)),IF($AN262="",0,IF($AN$6=0,Constants!$B$10,Constants!$B$10*AN262/$AN$6)), 0),"")</f>
        <v/>
      </c>
      <c r="AQ262" s="66" t="str">
        <f aca="false">IF(AP262&lt;&gt;"", AP262*AI262,"")</f>
        <v/>
      </c>
      <c r="AR262" s="66" t="str">
        <f aca="false">IF($AG262=Constants!$B$7,IF($AD262="",0,IF($AR$6=0,Constants!$B$8,Constants!$B$8*AD262/$AR$6)),"")</f>
        <v/>
      </c>
      <c r="AS262" s="66" t="str">
        <f aca="false">IF($AG262&lt;&gt;Constants!$B$7,$AG262,IF(AK262&amp;AO262&lt;&gt;"",Constants!$B$14,AM262+AQ262+AR262))</f>
        <v/>
      </c>
      <c r="AT262" s="66" t="str">
        <f aca="false">IF(ISBLANK($C262),"",IF($AG262=Constants!$B$7,IF(ISNUMBER(AS262),RANK(AS262,$AS$8:$AS$507),Constants!$B$14),$AG262))</f>
        <v/>
      </c>
      <c r="AU262" s="66" t="str">
        <f aca="false">IF(ISBLANK($C262), "",AM262)</f>
        <v/>
      </c>
      <c r="AV262" s="66" t="str">
        <f aca="false">IF(ISBLANK($C262),"",IF($AG262=Constants!$B$7,RANK(AU262,AU$8:AU$507),$AG262))</f>
        <v/>
      </c>
      <c r="AW262" s="66" t="str">
        <f aca="false">IF(ISBLANK($C262), "",AR262)</f>
        <v/>
      </c>
      <c r="AX262" s="66" t="str">
        <f aca="false">IF(ISBLANK($C262),"",IF($AG262=Constants!$B$7,RANK(AW262,AW$8:AW$507),$AG262))</f>
        <v/>
      </c>
      <c r="AY262" s="66" t="str">
        <f aca="false">IF(ISBLANK($C262), "",AE262)</f>
        <v/>
      </c>
      <c r="AZ262" s="66" t="str">
        <f aca="false">IF(ISBLANK($C262),"",
IF($AG262=Constants!$B$7,
  IF(ISNUMBER(AT262),
    COUNTIFS($AT$8:$AT$507,"&lt;"&amp;$AT262)
    + COUNTIFS($AT$8:$AT$507,$AT262,$AV$8:$AV$507,"&lt;"&amp;$AV262)
    + COUNTIFS($AT$8:$AT$507,$AT262,$AV$8:$AV$507,$AV262,$AX$8:$AX$507,"&lt;"&amp;$AX262)
    + COUNTIFS($AT$8:$AT$507,$AT262,$AV$8:$AV$507,$AV262,$AX$8:$AX$507,$AX262,$AY$8:$AY$507,"&lt;"&amp;$AY262)
    + 1,
  Constants!$B$14),
$AG262))</f>
        <v/>
      </c>
      <c r="BA262" s="66" t="str">
        <f aca="false">IF(ISBLANK(C262),"",IF($AG262=Constants!$B$7, IF(ISNUMBER(AT262),AT262-AZ262,Constants!$B$14),$AG262))</f>
        <v/>
      </c>
      <c r="BB262" s="70"/>
      <c r="BC262" s="84" t="str">
        <f aca="false">IF(ISBLANK($C262),"",TRIM(AK262&amp;" "&amp;AO262))</f>
        <v/>
      </c>
      <c r="BD262" s="72" t="str">
        <f aca="false">IF(ISBLANK($C262),"",IF($AG262&lt;&gt;Constants!$B$7,$AG262,AR262))</f>
        <v/>
      </c>
      <c r="BE262" s="72" t="str">
        <f aca="false">IF(ISBLANK($C262),"",IF($AG262&lt;&gt;Constants!$B$7,$AG262,AM262))</f>
        <v/>
      </c>
      <c r="BF262" s="72" t="str">
        <f aca="false">IF(ISBLANK($C262),"",IF($AG262&lt;&gt;Constants!$B$7,$AG262,AQ262))</f>
        <v/>
      </c>
      <c r="BG262" s="73" t="str">
        <f aca="false">IF(ISBLANK($C262),"",IF($AG262&lt;&gt;Constants!$B$7, $AG262 ,AS262))</f>
        <v/>
      </c>
      <c r="BH262" s="74" t="str">
        <f aca="false">IF(ISBLANK($C262),"",IF($AG262&lt;&gt;Constants!$B$7, $AG262 ,AH262))</f>
        <v/>
      </c>
      <c r="BI262" s="72" t="str">
        <f aca="false">IF(ISBLANK(C262),"",BA262)</f>
        <v/>
      </c>
      <c r="BJ262" s="72" t="str">
        <f aca="false">IF(ISBLANK(C262),"",AZ262)</f>
        <v/>
      </c>
      <c r="BK262" s="75" t="str">
        <f aca="false">IF(ISBLANK(C262),"",IFERROR(_xlfn.SWITCH(BJ262, Constants!$B$4, COUNTA($C$8:$C761)+2, Constants!$B$5, COUNTA($C$8:$C761)+1, Constants!$B$6, COUNTA($C$8:$C761)),BJ262))</f>
        <v/>
      </c>
      <c r="BL262" s="5"/>
      <c r="BM262" s="76" t="n">
        <f aca="false">IF(OR(ISNUMBER(BJ262),BJ262="DQ",BJ262="P",BJ262="NS"),
    1,
    0
)</f>
        <v>0</v>
      </c>
      <c r="BN262" s="76" t="n">
        <v>255</v>
      </c>
      <c r="BO262" s="76" t="str">
        <f aca="false">IF(ISBLANK($C262),"",IF(ISNUMBER(BK262),BK262+ROW($B262)/1000,""))</f>
        <v/>
      </c>
      <c r="BP262" s="76" t="str">
        <f aca="false">IF(ISNUMBER(BO262), RANK(BO262,BO$8:BO$507,1), "")</f>
        <v/>
      </c>
      <c r="BQ262" s="76" t="str">
        <f aca="false">IF(ISBLANK($C262),
    "",
    $B262
)</f>
        <v/>
      </c>
      <c r="BR262" s="76" t="str">
        <f aca="false">IF(ISBLANK($C262),
    "",
    $C262
)</f>
        <v/>
      </c>
      <c r="BS262" s="76" t="str">
        <f aca="false">IF(ISBLANK($C262),
    "",
    $D262
)</f>
        <v/>
      </c>
      <c r="BT262" s="77" t="str">
        <f aca="false">BH262</f>
        <v/>
      </c>
      <c r="BU262" s="78" t="str">
        <f aca="false">BG262</f>
        <v/>
      </c>
      <c r="BV262" s="76" t="str">
        <f aca="false">IF(ISBLANK($C262),
    "",
    BJ262
)</f>
        <v/>
      </c>
      <c r="BW262" s="79" t="str">
        <f aca="false">IF(BN262&gt;BM$7,
    "",
    VLOOKUP(BN262,BP$8:BV761,7,FALSE())
)</f>
        <v/>
      </c>
      <c r="BX262" s="80" t="str">
        <f aca="false">IF(BN262&gt;BM$7,
    "",
    VLOOKUP(BN262,BP$8:BV761,2,FALSE())
)</f>
        <v/>
      </c>
      <c r="BY262" s="80" t="str">
        <f aca="false">IF(BN262&gt;BM$7,
    "",
    VLOOKUP(BN262,BP$8:BV761,3,FALSE())
)</f>
        <v/>
      </c>
      <c r="BZ262" s="80" t="str">
        <f aca="false">IF(BN262&gt;BM$7,
    "",
    VLOOKUP(BN262,BP$8:BV761,4,FALSE())
)</f>
        <v/>
      </c>
      <c r="CA262" s="80" t="str">
        <f aca="false">IF(BN262&gt;BM$7,
    "",
    VLOOKUP(BN262,BP$8:BV761,5,FALSE())
)</f>
        <v/>
      </c>
      <c r="CB262" s="81" t="str">
        <f aca="false">IF(BN262&gt;BM$7,
    "",
    VLOOKUP(BN262,BP$8:BV761,6,FALSE())
)</f>
        <v/>
      </c>
      <c r="CC262" s="53"/>
    </row>
    <row r="263" customFormat="false" ht="15.75" hidden="false" customHeight="false" outlineLevel="0" collapsed="false">
      <c r="A263" s="5"/>
      <c r="B263" s="125"/>
      <c r="C263" s="126"/>
      <c r="D263" s="115"/>
      <c r="E263" s="119"/>
      <c r="F263" s="119"/>
      <c r="G263" s="91"/>
      <c r="H263" s="92"/>
      <c r="I263" s="92"/>
      <c r="J263" s="128"/>
      <c r="K263" s="128"/>
      <c r="L263" s="128"/>
      <c r="M263" s="94"/>
      <c r="N263" s="94"/>
      <c r="O263" s="94"/>
      <c r="P263" s="95"/>
      <c r="Q263" s="96"/>
      <c r="R263" s="128"/>
      <c r="S263" s="98"/>
      <c r="T263" s="99"/>
      <c r="U263" s="99" t="str">
        <f aca="false">IF(ISBLANK($C263),"",IF(G263=Constants!$B$2, TRUE(), IF(G263=Constants!$B$3, FALSE(), TRUE())))</f>
        <v/>
      </c>
      <c r="V263" s="99" t="str">
        <f aca="false">IF(ISBLANK($C263),"",IF(H263=Constants!$B$2, TRUE(), IF(H263=Constants!$B$3, FALSE(), TRUE())))</f>
        <v/>
      </c>
      <c r="W263" s="99" t="str">
        <f aca="false">IF(ISBLANK($C263),"",IF(I263=Constants!$B$2, TRUE(), IF(I263=Constants!$B$3, FALSE(), TRUE())))</f>
        <v/>
      </c>
      <c r="X263" s="99" t="str">
        <f aca="false">IF(ISBLANK($C263),"",IF(AND(ISNUMBER(J263),J263&gt;0),INT(J263),0))</f>
        <v/>
      </c>
      <c r="Y263" s="99" t="str">
        <f aca="false">IF(ISBLANK($C263),"",IF(K263=Constants!$B$2, TRUE(), IF(K263=Constants!$B$3, FALSE(), TRUE())))</f>
        <v/>
      </c>
      <c r="Z263" s="100" t="str">
        <f aca="false">IF(ISBLANK($C263),"",IF(AND(ISNUMBER(L263),L263&gt;0),INT(L263),0))</f>
        <v/>
      </c>
      <c r="AA263" s="101" t="str">
        <f aca="false">IF(ISBLANK($C263),"",IF(ISNUMBER(M263), M263, ""))</f>
        <v/>
      </c>
      <c r="AB263" s="101" t="str">
        <f aca="false">IF(ISBLANK($C263),"",IF(ISNUMBER(N263), N263, ""))</f>
        <v/>
      </c>
      <c r="AC263" s="101" t="str">
        <f aca="false">IF(ISBLANK($C263),"",IF(ISNUMBER(O263), O263, ""))</f>
        <v/>
      </c>
      <c r="AD263" s="102" t="str">
        <f aca="false">IF(ISBLANK($C263),"",IF(ISNUMBER(P263), P263, ""))</f>
        <v/>
      </c>
      <c r="AE263" s="102" t="str">
        <f aca="false">IF(ISBLANK($C263),"",IF(ISNUMBER(Q263), Q263, Constants!$B$13))</f>
        <v/>
      </c>
      <c r="AF263" s="99" t="str">
        <f aca="false">IF(ISBLANK($C263),"",IF(R263=Constants!$B$2, TRUE(), IF(R263=Constants!$B$3, FALSE(), FALSE())))</f>
        <v/>
      </c>
      <c r="AG263" s="99" t="str">
        <f aca="false">IF(ISBLANK(C263), "", IF(AF263, Constants!$B$4,IF(COUNTA(G263:P263)=0, Constants!$B$5, Constants!$B$7)))</f>
        <v/>
      </c>
      <c r="AH263" s="99" t="str">
        <f aca="false">IF(ISBLANK($C263), "",IF($AG263=Constants!$B$7,1,$AG263))</f>
        <v/>
      </c>
      <c r="AI263" s="99" t="str">
        <f aca="false">IF($AG263=Constants!$B$7,POWER(Constants!$B$11,X263)*POWER(Constants!$B$12,Z263),"")</f>
        <v/>
      </c>
      <c r="AJ263" s="99" t="str">
        <f aca="false">IF(AND($AG263=Constants!$B$7, U263, V263) ,IF(OR($AA263="",$AC263=""),"",MAX(0, $AC263-$AA263)),"")</f>
        <v/>
      </c>
      <c r="AK263" s="99" t="str">
        <f aca="false">IF(AND($AG263=Constants!$B$7, U263, V263),IF(OR($AA263="",$AC263=""),$AK$6,""),"")</f>
        <v/>
      </c>
      <c r="AL263" s="99" t="str">
        <f aca="false">IF($AG263=Constants!$B$7,IF(AND(U263,V263,W263,Y263),IF($AJ263="",0,IF($AJ$6=0,Constants!$B$9,Constants!$B$9*AJ263/$AJ$6)), 0),"")</f>
        <v/>
      </c>
      <c r="AM263" s="99" t="str">
        <f aca="false">IF(AL263&lt;&gt;"", AL263*AI263,"")</f>
        <v/>
      </c>
      <c r="AN263" s="99" t="str">
        <f aca="false">IF(AND($AG263=Constants!$B$7, U263, V263) ,IF($AB263="", "", IF(OR($AC263="",$AC263=0),"",MAX(0,1-ABS($AC263-$AB263)/$AC263))),"")</f>
        <v/>
      </c>
      <c r="AO263" s="99" t="str">
        <f aca="false">IF(AND($AG263=Constants!$B$7, U263, V263),IF(AND($AA263&lt;&gt;"",$AB263&lt;&gt;"",$AC263=0),$AO$6,""),"")</f>
        <v/>
      </c>
      <c r="AP263" s="99" t="str">
        <f aca="false">IF($AG263=Constants!$B$7 ,IF(AND(U263,V263,W263,Y263,ISNUMBER(AB263)),IF($AN263="",0,IF($AN$6=0,Constants!$B$10,Constants!$B$10*AN263/$AN$6)), 0),"")</f>
        <v/>
      </c>
      <c r="AQ263" s="99" t="str">
        <f aca="false">IF(AP263&lt;&gt;"", AP263*AI263,"")</f>
        <v/>
      </c>
      <c r="AR263" s="99" t="str">
        <f aca="false">IF($AG263=Constants!$B$7,IF($AD263="",0,IF($AR$6=0,Constants!$B$8,Constants!$B$8*AD263/$AR$6)),"")</f>
        <v/>
      </c>
      <c r="AS263" s="99" t="str">
        <f aca="false">IF($AG263&lt;&gt;Constants!$B$7,$AG263,IF(AK263&amp;AO263&lt;&gt;"",Constants!$B$14,AM263+AQ263+AR263))</f>
        <v/>
      </c>
      <c r="AT263" s="99" t="str">
        <f aca="false">IF(ISBLANK($C263),"",IF($AG263=Constants!$B$7,IF(ISNUMBER(AS263),RANK(AS263,$AS$8:$AS$507),Constants!$B$14),$AG263))</f>
        <v/>
      </c>
      <c r="AU263" s="99" t="str">
        <f aca="false">IF(ISBLANK($C263), "",AM263)</f>
        <v/>
      </c>
      <c r="AV263" s="99" t="str">
        <f aca="false">IF(ISBLANK($C263),"",IF($AG263=Constants!$B$7,RANK(AU263,AU$8:AU$507),$AG263))</f>
        <v/>
      </c>
      <c r="AW263" s="99" t="str">
        <f aca="false">IF(ISBLANK($C263), "",AR263)</f>
        <v/>
      </c>
      <c r="AX263" s="99" t="str">
        <f aca="false">IF(ISBLANK($C263),"",IF($AG263=Constants!$B$7,RANK(AW263,AW$8:AW$507),$AG263))</f>
        <v/>
      </c>
      <c r="AY263" s="99" t="str">
        <f aca="false">IF(ISBLANK($C263), "",AE263)</f>
        <v/>
      </c>
      <c r="AZ263" s="99" t="str">
        <f aca="false">IF(ISBLANK($C263),"",
IF($AG263=Constants!$B$7,
  IF(ISNUMBER(AT263),
    COUNTIFS($AT$8:$AT$507,"&lt;"&amp;$AT263)
    + COUNTIFS($AT$8:$AT$507,$AT263,$AV$8:$AV$507,"&lt;"&amp;$AV263)
    + COUNTIFS($AT$8:$AT$507,$AT263,$AV$8:$AV$507,$AV263,$AX$8:$AX$507,"&lt;"&amp;$AX263)
    + COUNTIFS($AT$8:$AT$507,$AT263,$AV$8:$AV$507,$AV263,$AX$8:$AX$507,$AX263,$AY$8:$AY$507,"&lt;"&amp;$AY263)
    + 1,
  Constants!$B$14),
$AG263))</f>
        <v/>
      </c>
      <c r="BA263" s="99" t="str">
        <f aca="false">IF(ISBLANK(C263),"",IF($AG263=Constants!$B$7, IF(ISNUMBER(AT263),AT263-AZ263,Constants!$B$14),$AG263))</f>
        <v/>
      </c>
      <c r="BB263" s="103"/>
      <c r="BC263" s="104" t="str">
        <f aca="false">IF(ISBLANK($C263),"",TRIM(AK263&amp;" "&amp;AO263))</f>
        <v/>
      </c>
      <c r="BD263" s="105" t="str">
        <f aca="false">IF(ISBLANK($C263),"",IF($AG263&lt;&gt;Constants!$B$7,$AG263,AR263))</f>
        <v/>
      </c>
      <c r="BE263" s="105" t="str">
        <f aca="false">IF(ISBLANK($C263),"",IF($AG263&lt;&gt;Constants!$B$7,$AG263,AM263))</f>
        <v/>
      </c>
      <c r="BF263" s="105" t="str">
        <f aca="false">IF(ISBLANK($C263),"",IF($AG263&lt;&gt;Constants!$B$7,$AG263,AQ263))</f>
        <v/>
      </c>
      <c r="BG263" s="106" t="str">
        <f aca="false">IF(ISBLANK($C263),"",IF($AG263&lt;&gt;Constants!$B$7, $AG263 ,AS263))</f>
        <v/>
      </c>
      <c r="BH263" s="107" t="str">
        <f aca="false">IF(ISBLANK($C263),"",IF($AG263&lt;&gt;Constants!$B$7, $AG263 ,AH263))</f>
        <v/>
      </c>
      <c r="BI263" s="105" t="str">
        <f aca="false">IF(ISBLANK(C263),"",BA263)</f>
        <v/>
      </c>
      <c r="BJ263" s="105" t="str">
        <f aca="false">IF(ISBLANK(C263),"",AZ263)</f>
        <v/>
      </c>
      <c r="BK263" s="108" t="str">
        <f aca="false">IF(ISBLANK(C263),"",IFERROR(_xlfn.SWITCH(BJ263, Constants!$B$4, COUNTA($C$8:$C762)+2, Constants!$B$5, COUNTA($C$8:$C762)+1, Constants!$B$6, COUNTA($C$8:$C762)),BJ263))</f>
        <v/>
      </c>
      <c r="BL263" s="5"/>
      <c r="BM263" s="109" t="n">
        <f aca="false">IF(OR(ISNUMBER(BJ263),BJ263="DQ",BJ263="P",BJ263="NS"),
    1,
    0
)</f>
        <v>0</v>
      </c>
      <c r="BN263" s="109" t="n">
        <v>256</v>
      </c>
      <c r="BO263" s="109" t="str">
        <f aca="false">IF(ISBLANK($C263),"",IF(ISNUMBER(BK263),BK263+ROW($B263)/1000,""))</f>
        <v/>
      </c>
      <c r="BP263" s="109" t="str">
        <f aca="false">IF(ISNUMBER(BO263), RANK(BO263,BO$8:BO$507,1), "")</f>
        <v/>
      </c>
      <c r="BQ263" s="109" t="str">
        <f aca="false">IF(ISBLANK($C263),
    "",
    $B263
)</f>
        <v/>
      </c>
      <c r="BR263" s="109" t="str">
        <f aca="false">IF(ISBLANK($C263),
    "",
    $C263
)</f>
        <v/>
      </c>
      <c r="BS263" s="109" t="str">
        <f aca="false">IF(ISBLANK($C263),
    "",
    $D263
)</f>
        <v/>
      </c>
      <c r="BT263" s="110" t="str">
        <f aca="false">BH263</f>
        <v/>
      </c>
      <c r="BU263" s="111" t="str">
        <f aca="false">BG263</f>
        <v/>
      </c>
      <c r="BV263" s="109" t="str">
        <f aca="false">IF(ISBLANK($C263),
    "",
    BJ263
)</f>
        <v/>
      </c>
      <c r="BW263" s="112" t="str">
        <f aca="false">IF(BN263&gt;BM$7,
    "",
    VLOOKUP(BN263,BP$8:BV762,7,FALSE())
)</f>
        <v/>
      </c>
      <c r="BX263" s="113" t="str">
        <f aca="false">IF(BN263&gt;BM$7,
    "",
    VLOOKUP(BN263,BP$8:BV762,2,FALSE())
)</f>
        <v/>
      </c>
      <c r="BY263" s="113" t="str">
        <f aca="false">IF(BN263&gt;BM$7,
    "",
    VLOOKUP(BN263,BP$8:BV762,3,FALSE())
)</f>
        <v/>
      </c>
      <c r="BZ263" s="113" t="str">
        <f aca="false">IF(BN263&gt;BM$7,
    "",
    VLOOKUP(BN263,BP$8:BV762,4,FALSE())
)</f>
        <v/>
      </c>
      <c r="CA263" s="113" t="str">
        <f aca="false">IF(BN263&gt;BM$7,
    "",
    VLOOKUP(BN263,BP$8:BV762,5,FALSE())
)</f>
        <v/>
      </c>
      <c r="CB263" s="114" t="str">
        <f aca="false">IF(BN263&gt;BM$7,
    "",
    VLOOKUP(BN263,BP$8:BV762,6,FALSE())
)</f>
        <v/>
      </c>
      <c r="CC263" s="53"/>
    </row>
    <row r="264" customFormat="false" ht="15.75" hidden="false" customHeight="false" outlineLevel="0" collapsed="false">
      <c r="A264" s="5"/>
      <c r="B264" s="125"/>
      <c r="C264" s="126"/>
      <c r="D264" s="115"/>
      <c r="E264" s="119"/>
      <c r="F264" s="119"/>
      <c r="G264" s="91"/>
      <c r="H264" s="92"/>
      <c r="I264" s="92"/>
      <c r="J264" s="128"/>
      <c r="K264" s="128"/>
      <c r="L264" s="128"/>
      <c r="M264" s="94"/>
      <c r="N264" s="94"/>
      <c r="O264" s="94"/>
      <c r="P264" s="95"/>
      <c r="Q264" s="96"/>
      <c r="R264" s="128"/>
      <c r="S264" s="98"/>
      <c r="T264" s="99"/>
      <c r="U264" s="99" t="str">
        <f aca="false">IF(ISBLANK($C264),"",IF(G264=Constants!$B$2, TRUE(), IF(G264=Constants!$B$3, FALSE(), TRUE())))</f>
        <v/>
      </c>
      <c r="V264" s="99" t="str">
        <f aca="false">IF(ISBLANK($C264),"",IF(H264=Constants!$B$2, TRUE(), IF(H264=Constants!$B$3, FALSE(), TRUE())))</f>
        <v/>
      </c>
      <c r="W264" s="99" t="str">
        <f aca="false">IF(ISBLANK($C264),"",IF(I264=Constants!$B$2, TRUE(), IF(I264=Constants!$B$3, FALSE(), TRUE())))</f>
        <v/>
      </c>
      <c r="X264" s="99" t="str">
        <f aca="false">IF(ISBLANK($C264),"",IF(AND(ISNUMBER(J264),J264&gt;0),INT(J264),0))</f>
        <v/>
      </c>
      <c r="Y264" s="99" t="str">
        <f aca="false">IF(ISBLANK($C264),"",IF(K264=Constants!$B$2, TRUE(), IF(K264=Constants!$B$3, FALSE(), TRUE())))</f>
        <v/>
      </c>
      <c r="Z264" s="100" t="str">
        <f aca="false">IF(ISBLANK($C264),"",IF(AND(ISNUMBER(L264),L264&gt;0),INT(L264),0))</f>
        <v/>
      </c>
      <c r="AA264" s="101" t="str">
        <f aca="false">IF(ISBLANK($C264),"",IF(ISNUMBER(M264), M264, ""))</f>
        <v/>
      </c>
      <c r="AB264" s="101" t="str">
        <f aca="false">IF(ISBLANK($C264),"",IF(ISNUMBER(N264), N264, ""))</f>
        <v/>
      </c>
      <c r="AC264" s="101" t="str">
        <f aca="false">IF(ISBLANK($C264),"",IF(ISNUMBER(O264), O264, ""))</f>
        <v/>
      </c>
      <c r="AD264" s="102" t="str">
        <f aca="false">IF(ISBLANK($C264),"",IF(ISNUMBER(P264), P264, ""))</f>
        <v/>
      </c>
      <c r="AE264" s="102" t="str">
        <f aca="false">IF(ISBLANK($C264),"",IF(ISNUMBER(Q264), Q264, Constants!$B$13))</f>
        <v/>
      </c>
      <c r="AF264" s="99" t="str">
        <f aca="false">IF(ISBLANK($C264),"",IF(R264=Constants!$B$2, TRUE(), IF(R264=Constants!$B$3, FALSE(), FALSE())))</f>
        <v/>
      </c>
      <c r="AG264" s="99" t="str">
        <f aca="false">IF(ISBLANK(C264), "", IF(AF264, Constants!$B$4,IF(COUNTA(G264:P264)=0, Constants!$B$5, Constants!$B$7)))</f>
        <v/>
      </c>
      <c r="AH264" s="99" t="str">
        <f aca="false">IF(ISBLANK($C264), "",IF($AG264=Constants!$B$7,1,$AG264))</f>
        <v/>
      </c>
      <c r="AI264" s="99" t="str">
        <f aca="false">IF($AG264=Constants!$B$7,POWER(Constants!$B$11,X264)*POWER(Constants!$B$12,Z264),"")</f>
        <v/>
      </c>
      <c r="AJ264" s="99" t="str">
        <f aca="false">IF(AND($AG264=Constants!$B$7, U264, V264) ,IF(OR($AA264="",$AC264=""),"",MAX(0, $AC264-$AA264)),"")</f>
        <v/>
      </c>
      <c r="AK264" s="99" t="str">
        <f aca="false">IF(AND($AG264=Constants!$B$7, U264, V264),IF(OR($AA264="",$AC264=""),$AK$6,""),"")</f>
        <v/>
      </c>
      <c r="AL264" s="99" t="str">
        <f aca="false">IF($AG264=Constants!$B$7,IF(AND(U264,V264,W264,Y264),IF($AJ264="",0,IF($AJ$6=0,Constants!$B$9,Constants!$B$9*AJ264/$AJ$6)), 0),"")</f>
        <v/>
      </c>
      <c r="AM264" s="99" t="str">
        <f aca="false">IF(AL264&lt;&gt;"", AL264*AI264,"")</f>
        <v/>
      </c>
      <c r="AN264" s="99" t="str">
        <f aca="false">IF(AND($AG264=Constants!$B$7, U264, V264) ,IF($AB264="", "", IF(OR($AC264="",$AC264=0),"",MAX(0,1-ABS($AC264-$AB264)/$AC264))),"")</f>
        <v/>
      </c>
      <c r="AO264" s="99" t="str">
        <f aca="false">IF(AND($AG264=Constants!$B$7, U264, V264),IF(AND($AA264&lt;&gt;"",$AB264&lt;&gt;"",$AC264=0),$AO$6,""),"")</f>
        <v/>
      </c>
      <c r="AP264" s="99" t="str">
        <f aca="false">IF($AG264=Constants!$B$7 ,IF(AND(U264,V264,W264,Y264,ISNUMBER(AB264)),IF($AN264="",0,IF($AN$6=0,Constants!$B$10,Constants!$B$10*AN264/$AN$6)), 0),"")</f>
        <v/>
      </c>
      <c r="AQ264" s="99" t="str">
        <f aca="false">IF(AP264&lt;&gt;"", AP264*AI264,"")</f>
        <v/>
      </c>
      <c r="AR264" s="99" t="str">
        <f aca="false">IF($AG264=Constants!$B$7,IF($AD264="",0,IF($AR$6=0,Constants!$B$8,Constants!$B$8*AD264/$AR$6)),"")</f>
        <v/>
      </c>
      <c r="AS264" s="99" t="str">
        <f aca="false">IF($AG264&lt;&gt;Constants!$B$7,$AG264,IF(AK264&amp;AO264&lt;&gt;"",Constants!$B$14,AM264+AQ264+AR264))</f>
        <v/>
      </c>
      <c r="AT264" s="99" t="str">
        <f aca="false">IF(ISBLANK($C264),"",IF($AG264=Constants!$B$7,IF(ISNUMBER(AS264),RANK(AS264,$AS$8:$AS$507),Constants!$B$14),$AG264))</f>
        <v/>
      </c>
      <c r="AU264" s="99" t="str">
        <f aca="false">IF(ISBLANK($C264), "",AM264)</f>
        <v/>
      </c>
      <c r="AV264" s="99" t="str">
        <f aca="false">IF(ISBLANK($C264),"",IF($AG264=Constants!$B$7,RANK(AU264,AU$8:AU$507),$AG264))</f>
        <v/>
      </c>
      <c r="AW264" s="99" t="str">
        <f aca="false">IF(ISBLANK($C264), "",AR264)</f>
        <v/>
      </c>
      <c r="AX264" s="99" t="str">
        <f aca="false">IF(ISBLANK($C264),"",IF($AG264=Constants!$B$7,RANK(AW264,AW$8:AW$507),$AG264))</f>
        <v/>
      </c>
      <c r="AY264" s="99" t="str">
        <f aca="false">IF(ISBLANK($C264), "",AE264)</f>
        <v/>
      </c>
      <c r="AZ264" s="99" t="str">
        <f aca="false">IF(ISBLANK($C264),"",
IF($AG264=Constants!$B$7,
  IF(ISNUMBER(AT264),
    COUNTIFS($AT$8:$AT$507,"&lt;"&amp;$AT264)
    + COUNTIFS($AT$8:$AT$507,$AT264,$AV$8:$AV$507,"&lt;"&amp;$AV264)
    + COUNTIFS($AT$8:$AT$507,$AT264,$AV$8:$AV$507,$AV264,$AX$8:$AX$507,"&lt;"&amp;$AX264)
    + COUNTIFS($AT$8:$AT$507,$AT264,$AV$8:$AV$507,$AV264,$AX$8:$AX$507,$AX264,$AY$8:$AY$507,"&lt;"&amp;$AY264)
    + 1,
  Constants!$B$14),
$AG264))</f>
        <v/>
      </c>
      <c r="BA264" s="99" t="str">
        <f aca="false">IF(ISBLANK(C264),"",IF($AG264=Constants!$B$7, IF(ISNUMBER(AT264),AT264-AZ264,Constants!$B$14),$AG264))</f>
        <v/>
      </c>
      <c r="BB264" s="103"/>
      <c r="BC264" s="104" t="str">
        <f aca="false">IF(ISBLANK($C264),"",TRIM(AK264&amp;" "&amp;AO264))</f>
        <v/>
      </c>
      <c r="BD264" s="105" t="str">
        <f aca="false">IF(ISBLANK($C264),"",IF($AG264&lt;&gt;Constants!$B$7,$AG264,AR264))</f>
        <v/>
      </c>
      <c r="BE264" s="105" t="str">
        <f aca="false">IF(ISBLANK($C264),"",IF($AG264&lt;&gt;Constants!$B$7,$AG264,AM264))</f>
        <v/>
      </c>
      <c r="BF264" s="105" t="str">
        <f aca="false">IF(ISBLANK($C264),"",IF($AG264&lt;&gt;Constants!$B$7,$AG264,AQ264))</f>
        <v/>
      </c>
      <c r="BG264" s="106" t="str">
        <f aca="false">IF(ISBLANK($C264),"",IF($AG264&lt;&gt;Constants!$B$7, $AG264 ,AS264))</f>
        <v/>
      </c>
      <c r="BH264" s="107" t="str">
        <f aca="false">IF(ISBLANK($C264),"",IF($AG264&lt;&gt;Constants!$B$7, $AG264 ,AH264))</f>
        <v/>
      </c>
      <c r="BI264" s="105" t="str">
        <f aca="false">IF(ISBLANK(C264),"",BA264)</f>
        <v/>
      </c>
      <c r="BJ264" s="105" t="str">
        <f aca="false">IF(ISBLANK(C264),"",AZ264)</f>
        <v/>
      </c>
      <c r="BK264" s="108" t="str">
        <f aca="false">IF(ISBLANK(C264),"",IFERROR(_xlfn.SWITCH(BJ264, Constants!$B$4, COUNTA($C$8:$C763)+2, Constants!$B$5, COUNTA($C$8:$C763)+1, Constants!$B$6, COUNTA($C$8:$C763)),BJ264))</f>
        <v/>
      </c>
      <c r="BL264" s="5"/>
      <c r="BM264" s="109" t="n">
        <f aca="false">IF(OR(ISNUMBER(BJ264),BJ264="DQ",BJ264="P",BJ264="NS"),
    1,
    0
)</f>
        <v>0</v>
      </c>
      <c r="BN264" s="109" t="n">
        <v>257</v>
      </c>
      <c r="BO264" s="109" t="str">
        <f aca="false">IF(ISBLANK($C264),"",IF(ISNUMBER(BK264),BK264+ROW($B264)/1000,""))</f>
        <v/>
      </c>
      <c r="BP264" s="109" t="str">
        <f aca="false">IF(ISNUMBER(BO264), RANK(BO264,BO$8:BO$507,1), "")</f>
        <v/>
      </c>
      <c r="BQ264" s="109" t="str">
        <f aca="false">IF(ISBLANK($C264),
    "",
    $B264
)</f>
        <v/>
      </c>
      <c r="BR264" s="109" t="str">
        <f aca="false">IF(ISBLANK($C264),
    "",
    $C264
)</f>
        <v/>
      </c>
      <c r="BS264" s="109" t="str">
        <f aca="false">IF(ISBLANK($C264),
    "",
    $D264
)</f>
        <v/>
      </c>
      <c r="BT264" s="110" t="str">
        <f aca="false">BH264</f>
        <v/>
      </c>
      <c r="BU264" s="111" t="str">
        <f aca="false">BG264</f>
        <v/>
      </c>
      <c r="BV264" s="109" t="str">
        <f aca="false">IF(ISBLANK($C264),
    "",
    BJ264
)</f>
        <v/>
      </c>
      <c r="BW264" s="112" t="str">
        <f aca="false">IF(BN264&gt;BM$7,
    "",
    VLOOKUP(BN264,BP$8:BV763,7,FALSE())
)</f>
        <v/>
      </c>
      <c r="BX264" s="113" t="str">
        <f aca="false">IF(BN264&gt;BM$7,
    "",
    VLOOKUP(BN264,BP$8:BV763,2,FALSE())
)</f>
        <v/>
      </c>
      <c r="BY264" s="113" t="str">
        <f aca="false">IF(BN264&gt;BM$7,
    "",
    VLOOKUP(BN264,BP$8:BV763,3,FALSE())
)</f>
        <v/>
      </c>
      <c r="BZ264" s="113" t="str">
        <f aca="false">IF(BN264&gt;BM$7,
    "",
    VLOOKUP(BN264,BP$8:BV763,4,FALSE())
)</f>
        <v/>
      </c>
      <c r="CA264" s="113" t="str">
        <f aca="false">IF(BN264&gt;BM$7,
    "",
    VLOOKUP(BN264,BP$8:BV763,5,FALSE())
)</f>
        <v/>
      </c>
      <c r="CB264" s="114" t="str">
        <f aca="false">IF(BN264&gt;BM$7,
    "",
    VLOOKUP(BN264,BP$8:BV763,6,FALSE())
)</f>
        <v/>
      </c>
      <c r="CC264" s="53"/>
    </row>
    <row r="265" customFormat="false" ht="15.75" hidden="false" customHeight="false" outlineLevel="0" collapsed="false">
      <c r="A265" s="5"/>
      <c r="B265" s="125"/>
      <c r="C265" s="126"/>
      <c r="D265" s="115"/>
      <c r="E265" s="119"/>
      <c r="F265" s="119"/>
      <c r="G265" s="91"/>
      <c r="H265" s="92"/>
      <c r="I265" s="92"/>
      <c r="J265" s="128"/>
      <c r="K265" s="128"/>
      <c r="L265" s="128"/>
      <c r="M265" s="94"/>
      <c r="N265" s="94"/>
      <c r="O265" s="94"/>
      <c r="P265" s="95"/>
      <c r="Q265" s="96"/>
      <c r="R265" s="128"/>
      <c r="S265" s="98"/>
      <c r="T265" s="99"/>
      <c r="U265" s="99" t="str">
        <f aca="false">IF(ISBLANK($C265),"",IF(G265=Constants!$B$2, TRUE(), IF(G265=Constants!$B$3, FALSE(), TRUE())))</f>
        <v/>
      </c>
      <c r="V265" s="99" t="str">
        <f aca="false">IF(ISBLANK($C265),"",IF(H265=Constants!$B$2, TRUE(), IF(H265=Constants!$B$3, FALSE(), TRUE())))</f>
        <v/>
      </c>
      <c r="W265" s="99" t="str">
        <f aca="false">IF(ISBLANK($C265),"",IF(I265=Constants!$B$2, TRUE(), IF(I265=Constants!$B$3, FALSE(), TRUE())))</f>
        <v/>
      </c>
      <c r="X265" s="99" t="str">
        <f aca="false">IF(ISBLANK($C265),"",IF(AND(ISNUMBER(J265),J265&gt;0),INT(J265),0))</f>
        <v/>
      </c>
      <c r="Y265" s="99" t="str">
        <f aca="false">IF(ISBLANK($C265),"",IF(K265=Constants!$B$2, TRUE(), IF(K265=Constants!$B$3, FALSE(), TRUE())))</f>
        <v/>
      </c>
      <c r="Z265" s="100" t="str">
        <f aca="false">IF(ISBLANK($C265),"",IF(AND(ISNUMBER(L265),L265&gt;0),INT(L265),0))</f>
        <v/>
      </c>
      <c r="AA265" s="101" t="str">
        <f aca="false">IF(ISBLANK($C265),"",IF(ISNUMBER(M265), M265, ""))</f>
        <v/>
      </c>
      <c r="AB265" s="101" t="str">
        <f aca="false">IF(ISBLANK($C265),"",IF(ISNUMBER(N265), N265, ""))</f>
        <v/>
      </c>
      <c r="AC265" s="101" t="str">
        <f aca="false">IF(ISBLANK($C265),"",IF(ISNUMBER(O265), O265, ""))</f>
        <v/>
      </c>
      <c r="AD265" s="102" t="str">
        <f aca="false">IF(ISBLANK($C265),"",IF(ISNUMBER(P265), P265, ""))</f>
        <v/>
      </c>
      <c r="AE265" s="102" t="str">
        <f aca="false">IF(ISBLANK($C265),"",IF(ISNUMBER(Q265), Q265, Constants!$B$13))</f>
        <v/>
      </c>
      <c r="AF265" s="99" t="str">
        <f aca="false">IF(ISBLANK($C265),"",IF(R265=Constants!$B$2, TRUE(), IF(R265=Constants!$B$3, FALSE(), FALSE())))</f>
        <v/>
      </c>
      <c r="AG265" s="99" t="str">
        <f aca="false">IF(ISBLANK(C265), "", IF(AF265, Constants!$B$4,IF(COUNTA(G265:P265)=0, Constants!$B$5, Constants!$B$7)))</f>
        <v/>
      </c>
      <c r="AH265" s="99" t="str">
        <f aca="false">IF(ISBLANK($C265), "",IF($AG265=Constants!$B$7,1,$AG265))</f>
        <v/>
      </c>
      <c r="AI265" s="99" t="str">
        <f aca="false">IF($AG265=Constants!$B$7,POWER(Constants!$B$11,X265)*POWER(Constants!$B$12,Z265),"")</f>
        <v/>
      </c>
      <c r="AJ265" s="99" t="str">
        <f aca="false">IF(AND($AG265=Constants!$B$7, U265, V265) ,IF(OR($AA265="",$AC265=""),"",MAX(0, $AC265-$AA265)),"")</f>
        <v/>
      </c>
      <c r="AK265" s="99" t="str">
        <f aca="false">IF(AND($AG265=Constants!$B$7, U265, V265),IF(OR($AA265="",$AC265=""),$AK$6,""),"")</f>
        <v/>
      </c>
      <c r="AL265" s="99" t="str">
        <f aca="false">IF($AG265=Constants!$B$7,IF(AND(U265,V265,W265,Y265),IF($AJ265="",0,IF($AJ$6=0,Constants!$B$9,Constants!$B$9*AJ265/$AJ$6)), 0),"")</f>
        <v/>
      </c>
      <c r="AM265" s="99" t="str">
        <f aca="false">IF(AL265&lt;&gt;"", AL265*AI265,"")</f>
        <v/>
      </c>
      <c r="AN265" s="99" t="str">
        <f aca="false">IF(AND($AG265=Constants!$B$7, U265, V265) ,IF($AB265="", "", IF(OR($AC265="",$AC265=0),"",MAX(0,1-ABS($AC265-$AB265)/$AC265))),"")</f>
        <v/>
      </c>
      <c r="AO265" s="99" t="str">
        <f aca="false">IF(AND($AG265=Constants!$B$7, U265, V265),IF(AND($AA265&lt;&gt;"",$AB265&lt;&gt;"",$AC265=0),$AO$6,""),"")</f>
        <v/>
      </c>
      <c r="AP265" s="99" t="str">
        <f aca="false">IF($AG265=Constants!$B$7 ,IF(AND(U265,V265,W265,Y265,ISNUMBER(AB265)),IF($AN265="",0,IF($AN$6=0,Constants!$B$10,Constants!$B$10*AN265/$AN$6)), 0),"")</f>
        <v/>
      </c>
      <c r="AQ265" s="99" t="str">
        <f aca="false">IF(AP265&lt;&gt;"", AP265*AI265,"")</f>
        <v/>
      </c>
      <c r="AR265" s="99" t="str">
        <f aca="false">IF($AG265=Constants!$B$7,IF($AD265="",0,IF($AR$6=0,Constants!$B$8,Constants!$B$8*AD265/$AR$6)),"")</f>
        <v/>
      </c>
      <c r="AS265" s="99" t="str">
        <f aca="false">IF($AG265&lt;&gt;Constants!$B$7,$AG265,IF(AK265&amp;AO265&lt;&gt;"",Constants!$B$14,AM265+AQ265+AR265))</f>
        <v/>
      </c>
      <c r="AT265" s="99" t="str">
        <f aca="false">IF(ISBLANK($C265),"",IF($AG265=Constants!$B$7,IF(ISNUMBER(AS265),RANK(AS265,$AS$8:$AS$507),Constants!$B$14),$AG265))</f>
        <v/>
      </c>
      <c r="AU265" s="99" t="str">
        <f aca="false">IF(ISBLANK($C265), "",AM265)</f>
        <v/>
      </c>
      <c r="AV265" s="99" t="str">
        <f aca="false">IF(ISBLANK($C265),"",IF($AG265=Constants!$B$7,RANK(AU265,AU$8:AU$507),$AG265))</f>
        <v/>
      </c>
      <c r="AW265" s="99" t="str">
        <f aca="false">IF(ISBLANK($C265), "",AR265)</f>
        <v/>
      </c>
      <c r="AX265" s="99" t="str">
        <f aca="false">IF(ISBLANK($C265),"",IF($AG265=Constants!$B$7,RANK(AW265,AW$8:AW$507),$AG265))</f>
        <v/>
      </c>
      <c r="AY265" s="99" t="str">
        <f aca="false">IF(ISBLANK($C265), "",AE265)</f>
        <v/>
      </c>
      <c r="AZ265" s="99" t="str">
        <f aca="false">IF(ISBLANK($C265),"",
IF($AG265=Constants!$B$7,
  IF(ISNUMBER(AT265),
    COUNTIFS($AT$8:$AT$507,"&lt;"&amp;$AT265)
    + COUNTIFS($AT$8:$AT$507,$AT265,$AV$8:$AV$507,"&lt;"&amp;$AV265)
    + COUNTIFS($AT$8:$AT$507,$AT265,$AV$8:$AV$507,$AV265,$AX$8:$AX$507,"&lt;"&amp;$AX265)
    + COUNTIFS($AT$8:$AT$507,$AT265,$AV$8:$AV$507,$AV265,$AX$8:$AX$507,$AX265,$AY$8:$AY$507,"&lt;"&amp;$AY265)
    + 1,
  Constants!$B$14),
$AG265))</f>
        <v/>
      </c>
      <c r="BA265" s="99" t="str">
        <f aca="false">IF(ISBLANK(C265),"",IF($AG265=Constants!$B$7, IF(ISNUMBER(AT265),AT265-AZ265,Constants!$B$14),$AG265))</f>
        <v/>
      </c>
      <c r="BB265" s="103"/>
      <c r="BC265" s="104" t="str">
        <f aca="false">IF(ISBLANK($C265),"",TRIM(AK265&amp;" "&amp;AO265))</f>
        <v/>
      </c>
      <c r="BD265" s="105" t="str">
        <f aca="false">IF(ISBLANK($C265),"",IF($AG265&lt;&gt;Constants!$B$7,$AG265,AR265))</f>
        <v/>
      </c>
      <c r="BE265" s="105" t="str">
        <f aca="false">IF(ISBLANK($C265),"",IF($AG265&lt;&gt;Constants!$B$7,$AG265,AM265))</f>
        <v/>
      </c>
      <c r="BF265" s="105" t="str">
        <f aca="false">IF(ISBLANK($C265),"",IF($AG265&lt;&gt;Constants!$B$7,$AG265,AQ265))</f>
        <v/>
      </c>
      <c r="BG265" s="106" t="str">
        <f aca="false">IF(ISBLANK($C265),"",IF($AG265&lt;&gt;Constants!$B$7, $AG265 ,AS265))</f>
        <v/>
      </c>
      <c r="BH265" s="107" t="str">
        <f aca="false">IF(ISBLANK($C265),"",IF($AG265&lt;&gt;Constants!$B$7, $AG265 ,AH265))</f>
        <v/>
      </c>
      <c r="BI265" s="105" t="str">
        <f aca="false">IF(ISBLANK(C265),"",BA265)</f>
        <v/>
      </c>
      <c r="BJ265" s="105" t="str">
        <f aca="false">IF(ISBLANK(C265),"",AZ265)</f>
        <v/>
      </c>
      <c r="BK265" s="108" t="str">
        <f aca="false">IF(ISBLANK(C265),"",IFERROR(_xlfn.SWITCH(BJ265, Constants!$B$4, COUNTA($C$8:$C764)+2, Constants!$B$5, COUNTA($C$8:$C764)+1, Constants!$B$6, COUNTA($C$8:$C764)),BJ265))</f>
        <v/>
      </c>
      <c r="BL265" s="5"/>
      <c r="BM265" s="109" t="n">
        <f aca="false">IF(OR(ISNUMBER(BJ265),BJ265="DQ",BJ265="P",BJ265="NS"),
    1,
    0
)</f>
        <v>0</v>
      </c>
      <c r="BN265" s="109" t="n">
        <v>258</v>
      </c>
      <c r="BO265" s="109" t="str">
        <f aca="false">IF(ISBLANK($C265),"",IF(ISNUMBER(BK265),BK265+ROW($B265)/1000,""))</f>
        <v/>
      </c>
      <c r="BP265" s="109" t="str">
        <f aca="false">IF(ISNUMBER(BO265), RANK(BO265,BO$8:BO$507,1), "")</f>
        <v/>
      </c>
      <c r="BQ265" s="109" t="str">
        <f aca="false">IF(ISBLANK($C265),
    "",
    $B265
)</f>
        <v/>
      </c>
      <c r="BR265" s="109" t="str">
        <f aca="false">IF(ISBLANK($C265),
    "",
    $C265
)</f>
        <v/>
      </c>
      <c r="BS265" s="109" t="str">
        <f aca="false">IF(ISBLANK($C265),
    "",
    $D265
)</f>
        <v/>
      </c>
      <c r="BT265" s="110" t="str">
        <f aca="false">BH265</f>
        <v/>
      </c>
      <c r="BU265" s="111" t="str">
        <f aca="false">BG265</f>
        <v/>
      </c>
      <c r="BV265" s="109" t="str">
        <f aca="false">IF(ISBLANK($C265),
    "",
    BJ265
)</f>
        <v/>
      </c>
      <c r="BW265" s="112" t="str">
        <f aca="false">IF(BN265&gt;BM$7,
    "",
    VLOOKUP(BN265,BP$8:BV764,7,FALSE())
)</f>
        <v/>
      </c>
      <c r="BX265" s="113" t="str">
        <f aca="false">IF(BN265&gt;BM$7,
    "",
    VLOOKUP(BN265,BP$8:BV764,2,FALSE())
)</f>
        <v/>
      </c>
      <c r="BY265" s="113" t="str">
        <f aca="false">IF(BN265&gt;BM$7,
    "",
    VLOOKUP(BN265,BP$8:BV764,3,FALSE())
)</f>
        <v/>
      </c>
      <c r="BZ265" s="113" t="str">
        <f aca="false">IF(BN265&gt;BM$7,
    "",
    VLOOKUP(BN265,BP$8:BV764,4,FALSE())
)</f>
        <v/>
      </c>
      <c r="CA265" s="113" t="str">
        <f aca="false">IF(BN265&gt;BM$7,
    "",
    VLOOKUP(BN265,BP$8:BV764,5,FALSE())
)</f>
        <v/>
      </c>
      <c r="CB265" s="114" t="str">
        <f aca="false">IF(BN265&gt;BM$7,
    "",
    VLOOKUP(BN265,BP$8:BV764,6,FALSE())
)</f>
        <v/>
      </c>
      <c r="CC265" s="53"/>
    </row>
    <row r="266" customFormat="false" ht="15.75" hidden="false" customHeight="false" outlineLevel="0" collapsed="false">
      <c r="A266" s="5"/>
      <c r="B266" s="129"/>
      <c r="C266" s="55"/>
      <c r="D266" s="56"/>
      <c r="E266" s="123"/>
      <c r="F266" s="123"/>
      <c r="G266" s="58"/>
      <c r="H266" s="59"/>
      <c r="I266" s="59"/>
      <c r="J266" s="83"/>
      <c r="K266" s="83"/>
      <c r="L266" s="83"/>
      <c r="M266" s="61"/>
      <c r="N266" s="61"/>
      <c r="O266" s="61"/>
      <c r="P266" s="62"/>
      <c r="Q266" s="63"/>
      <c r="R266" s="83"/>
      <c r="S266" s="65"/>
      <c r="T266" s="66"/>
      <c r="U266" s="66" t="str">
        <f aca="false">IF(ISBLANK($C266),"",IF(G266=Constants!$B$2, TRUE(), IF(G266=Constants!$B$3, FALSE(), TRUE())))</f>
        <v/>
      </c>
      <c r="V266" s="66" t="str">
        <f aca="false">IF(ISBLANK($C266),"",IF(H266=Constants!$B$2, TRUE(), IF(H266=Constants!$B$3, FALSE(), TRUE())))</f>
        <v/>
      </c>
      <c r="W266" s="66" t="str">
        <f aca="false">IF(ISBLANK($C266),"",IF(I266=Constants!$B$2, TRUE(), IF(I266=Constants!$B$3, FALSE(), TRUE())))</f>
        <v/>
      </c>
      <c r="X266" s="66" t="str">
        <f aca="false">IF(ISBLANK($C266),"",IF(AND(ISNUMBER(J266),J266&gt;0),INT(J266),0))</f>
        <v/>
      </c>
      <c r="Y266" s="66" t="str">
        <f aca="false">IF(ISBLANK($C266),"",IF(K266=Constants!$B$2, TRUE(), IF(K266=Constants!$B$3, FALSE(), TRUE())))</f>
        <v/>
      </c>
      <c r="Z266" s="66" t="str">
        <f aca="false">IF(ISBLANK($C266),"",IF(AND(ISNUMBER(L266),L266&gt;0),INT(L266),0))</f>
        <v/>
      </c>
      <c r="AA266" s="68" t="str">
        <f aca="false">IF(ISBLANK($C266),"",IF(ISNUMBER(M266), M266, ""))</f>
        <v/>
      </c>
      <c r="AB266" s="68" t="str">
        <f aca="false">IF(ISBLANK($C266),"",IF(ISNUMBER(N266), N266, ""))</f>
        <v/>
      </c>
      <c r="AC266" s="68" t="str">
        <f aca="false">IF(ISBLANK($C266),"",IF(ISNUMBER(O266), O266, ""))</f>
        <v/>
      </c>
      <c r="AD266" s="69" t="str">
        <f aca="false">IF(ISBLANK($C266),"",IF(ISNUMBER(P266), P266, ""))</f>
        <v/>
      </c>
      <c r="AE266" s="69" t="str">
        <f aca="false">IF(ISBLANK($C266),"",IF(ISNUMBER(Q266), Q266, Constants!$B$13))</f>
        <v/>
      </c>
      <c r="AF266" s="66" t="str">
        <f aca="false">IF(ISBLANK($C266),"",IF(R266=Constants!$B$2, TRUE(), IF(R266=Constants!$B$3, FALSE(), FALSE())))</f>
        <v/>
      </c>
      <c r="AG266" s="66" t="str">
        <f aca="false">IF(ISBLANK(C266), "", IF(AF266, Constants!$B$4,IF(COUNTA(G266:P266)=0, Constants!$B$5, Constants!$B$7)))</f>
        <v/>
      </c>
      <c r="AH266" s="66" t="str">
        <f aca="false">IF(ISBLANK($C266), "",IF($AG266=Constants!$B$7,1,$AG266))</f>
        <v/>
      </c>
      <c r="AI266" s="66" t="str">
        <f aca="false">IF($AG266=Constants!$B$7,POWER(Constants!$B$11,X266)*POWER(Constants!$B$12,Z266),"")</f>
        <v/>
      </c>
      <c r="AJ266" s="66" t="str">
        <f aca="false">IF(AND($AG266=Constants!$B$7, U266, V266) ,IF(OR($AA266="",$AC266=""),"",MAX(0, $AC266-$AA266)),"")</f>
        <v/>
      </c>
      <c r="AK266" s="66" t="str">
        <f aca="false">IF(AND($AG266=Constants!$B$7, U266, V266),IF(OR($AA266="",$AC266=""),$AK$6,""),"")</f>
        <v/>
      </c>
      <c r="AL266" s="66" t="str">
        <f aca="false">IF($AG266=Constants!$B$7,IF(AND(U266,V266,W266,Y266),IF($AJ266="",0,IF($AJ$6=0,Constants!$B$9,Constants!$B$9*AJ266/$AJ$6)), 0),"")</f>
        <v/>
      </c>
      <c r="AM266" s="66" t="str">
        <f aca="false">IF(AL266&lt;&gt;"", AL266*AI266,"")</f>
        <v/>
      </c>
      <c r="AN266" s="66" t="str">
        <f aca="false">IF(AND($AG266=Constants!$B$7, U266, V266) ,IF($AB266="", "", IF(OR($AC266="",$AC266=0),"",MAX(0,1-ABS($AC266-$AB266)/$AC266))),"")</f>
        <v/>
      </c>
      <c r="AO266" s="66" t="str">
        <f aca="false">IF(AND($AG266=Constants!$B$7, U266, V266),IF(AND($AA266&lt;&gt;"",$AB266&lt;&gt;"",$AC266=0),$AO$6,""),"")</f>
        <v/>
      </c>
      <c r="AP266" s="66" t="str">
        <f aca="false">IF($AG266=Constants!$B$7 ,IF(AND(U266,V266,W266,Y266,ISNUMBER(AB266)),IF($AN266="",0,IF($AN$6=0,Constants!$B$10,Constants!$B$10*AN266/$AN$6)), 0),"")</f>
        <v/>
      </c>
      <c r="AQ266" s="66" t="str">
        <f aca="false">IF(AP266&lt;&gt;"", AP266*AI266,"")</f>
        <v/>
      </c>
      <c r="AR266" s="66" t="str">
        <f aca="false">IF($AG266=Constants!$B$7,IF($AD266="",0,IF($AR$6=0,Constants!$B$8,Constants!$B$8*AD266/$AR$6)),"")</f>
        <v/>
      </c>
      <c r="AS266" s="66" t="str">
        <f aca="false">IF($AG266&lt;&gt;Constants!$B$7,$AG266,IF(AK266&amp;AO266&lt;&gt;"",Constants!$B$14,AM266+AQ266+AR266))</f>
        <v/>
      </c>
      <c r="AT266" s="66" t="str">
        <f aca="false">IF(ISBLANK($C266),"",IF($AG266=Constants!$B$7,IF(ISNUMBER(AS266),RANK(AS266,$AS$8:$AS$507),Constants!$B$14),$AG266))</f>
        <v/>
      </c>
      <c r="AU266" s="66" t="str">
        <f aca="false">IF(ISBLANK($C266), "",AM266)</f>
        <v/>
      </c>
      <c r="AV266" s="66" t="str">
        <f aca="false">IF(ISBLANK($C266),"",IF($AG266=Constants!$B$7,RANK(AU266,AU$8:AU$507),$AG266))</f>
        <v/>
      </c>
      <c r="AW266" s="66" t="str">
        <f aca="false">IF(ISBLANK($C266), "",AR266)</f>
        <v/>
      </c>
      <c r="AX266" s="66" t="str">
        <f aca="false">IF(ISBLANK($C266),"",IF($AG266=Constants!$B$7,RANK(AW266,AW$8:AW$507),$AG266))</f>
        <v/>
      </c>
      <c r="AY266" s="66" t="str">
        <f aca="false">IF(ISBLANK($C266), "",AE266)</f>
        <v/>
      </c>
      <c r="AZ266" s="66" t="str">
        <f aca="false">IF(ISBLANK($C266),"",
IF($AG266=Constants!$B$7,
  IF(ISNUMBER(AT266),
    COUNTIFS($AT$8:$AT$507,"&lt;"&amp;$AT266)
    + COUNTIFS($AT$8:$AT$507,$AT266,$AV$8:$AV$507,"&lt;"&amp;$AV266)
    + COUNTIFS($AT$8:$AT$507,$AT266,$AV$8:$AV$507,$AV266,$AX$8:$AX$507,"&lt;"&amp;$AX266)
    + COUNTIFS($AT$8:$AT$507,$AT266,$AV$8:$AV$507,$AV266,$AX$8:$AX$507,$AX266,$AY$8:$AY$507,"&lt;"&amp;$AY266)
    + 1,
  Constants!$B$14),
$AG266))</f>
        <v/>
      </c>
      <c r="BA266" s="66" t="str">
        <f aca="false">IF(ISBLANK(C266),"",IF($AG266=Constants!$B$7, IF(ISNUMBER(AT266),AT266-AZ266,Constants!$B$14),$AG266))</f>
        <v/>
      </c>
      <c r="BB266" s="70"/>
      <c r="BC266" s="84" t="str">
        <f aca="false">IF(ISBLANK($C266),"",TRIM(AK266&amp;" "&amp;AO266))</f>
        <v/>
      </c>
      <c r="BD266" s="72" t="str">
        <f aca="false">IF(ISBLANK($C266),"",IF($AG266&lt;&gt;Constants!$B$7,$AG266,AR266))</f>
        <v/>
      </c>
      <c r="BE266" s="72" t="str">
        <f aca="false">IF(ISBLANK($C266),"",IF($AG266&lt;&gt;Constants!$B$7,$AG266,AM266))</f>
        <v/>
      </c>
      <c r="BF266" s="72" t="str">
        <f aca="false">IF(ISBLANK($C266),"",IF($AG266&lt;&gt;Constants!$B$7,$AG266,AQ266))</f>
        <v/>
      </c>
      <c r="BG266" s="73" t="str">
        <f aca="false">IF(ISBLANK($C266),"",IF($AG266&lt;&gt;Constants!$B$7, $AG266 ,AS266))</f>
        <v/>
      </c>
      <c r="BH266" s="74" t="str">
        <f aca="false">IF(ISBLANK($C266),"",IF($AG266&lt;&gt;Constants!$B$7, $AG266 ,AH266))</f>
        <v/>
      </c>
      <c r="BI266" s="72" t="str">
        <f aca="false">IF(ISBLANK(C266),"",BA266)</f>
        <v/>
      </c>
      <c r="BJ266" s="72" t="str">
        <f aca="false">IF(ISBLANK(C266),"",AZ266)</f>
        <v/>
      </c>
      <c r="BK266" s="75" t="str">
        <f aca="false">IF(ISBLANK(C266),"",IFERROR(_xlfn.SWITCH(BJ266, Constants!$B$4, COUNTA($C$8:$C765)+2, Constants!$B$5, COUNTA($C$8:$C765)+1, Constants!$B$6, COUNTA($C$8:$C765)),BJ266))</f>
        <v/>
      </c>
      <c r="BL266" s="5"/>
      <c r="BM266" s="76" t="n">
        <f aca="false">IF(OR(ISNUMBER(BJ266),BJ266="DQ",BJ266="P",BJ266="NS"),
    1,
    0
)</f>
        <v>0</v>
      </c>
      <c r="BN266" s="76" t="n">
        <v>259</v>
      </c>
      <c r="BO266" s="76" t="str">
        <f aca="false">IF(ISBLANK($C266),"",IF(ISNUMBER(BK266),BK266+ROW($B266)/1000,""))</f>
        <v/>
      </c>
      <c r="BP266" s="76" t="str">
        <f aca="false">IF(ISNUMBER(BO266), RANK(BO266,BO$8:BO$507,1), "")</f>
        <v/>
      </c>
      <c r="BQ266" s="76" t="str">
        <f aca="false">IF(ISBLANK($C266),
    "",
    $B266
)</f>
        <v/>
      </c>
      <c r="BR266" s="76" t="str">
        <f aca="false">IF(ISBLANK($C266),
    "",
    $C266
)</f>
        <v/>
      </c>
      <c r="BS266" s="76" t="str">
        <f aca="false">IF(ISBLANK($C266),
    "",
    $D266
)</f>
        <v/>
      </c>
      <c r="BT266" s="77" t="str">
        <f aca="false">BH266</f>
        <v/>
      </c>
      <c r="BU266" s="78" t="str">
        <f aca="false">BG266</f>
        <v/>
      </c>
      <c r="BV266" s="76" t="str">
        <f aca="false">IF(ISBLANK($C266),
    "",
    BJ266
)</f>
        <v/>
      </c>
      <c r="BW266" s="79" t="str">
        <f aca="false">IF(BN266&gt;BM$7,
    "",
    VLOOKUP(BN266,BP$8:BV765,7,FALSE())
)</f>
        <v/>
      </c>
      <c r="BX266" s="80" t="str">
        <f aca="false">IF(BN266&gt;BM$7,
    "",
    VLOOKUP(BN266,BP$8:BV765,2,FALSE())
)</f>
        <v/>
      </c>
      <c r="BY266" s="80" t="str">
        <f aca="false">IF(BN266&gt;BM$7,
    "",
    VLOOKUP(BN266,BP$8:BV765,3,FALSE())
)</f>
        <v/>
      </c>
      <c r="BZ266" s="80" t="str">
        <f aca="false">IF(BN266&gt;BM$7,
    "",
    VLOOKUP(BN266,BP$8:BV765,4,FALSE())
)</f>
        <v/>
      </c>
      <c r="CA266" s="80" t="str">
        <f aca="false">IF(BN266&gt;BM$7,
    "",
    VLOOKUP(BN266,BP$8:BV765,5,FALSE())
)</f>
        <v/>
      </c>
      <c r="CB266" s="81" t="str">
        <f aca="false">IF(BN266&gt;BM$7,
    "",
    VLOOKUP(BN266,BP$8:BV765,6,FALSE())
)</f>
        <v/>
      </c>
      <c r="CC266" s="53"/>
    </row>
    <row r="267" customFormat="false" ht="15.75" hidden="false" customHeight="false" outlineLevel="0" collapsed="false">
      <c r="A267" s="5"/>
      <c r="B267" s="129"/>
      <c r="C267" s="55"/>
      <c r="D267" s="56"/>
      <c r="E267" s="123"/>
      <c r="F267" s="123"/>
      <c r="G267" s="58"/>
      <c r="H267" s="59"/>
      <c r="I267" s="59"/>
      <c r="J267" s="83"/>
      <c r="K267" s="83"/>
      <c r="L267" s="83"/>
      <c r="M267" s="61"/>
      <c r="N267" s="61"/>
      <c r="O267" s="61"/>
      <c r="P267" s="62"/>
      <c r="Q267" s="63"/>
      <c r="R267" s="83"/>
      <c r="S267" s="65"/>
      <c r="T267" s="66"/>
      <c r="U267" s="66" t="str">
        <f aca="false">IF(ISBLANK($C267),"",IF(G267=Constants!$B$2, TRUE(), IF(G267=Constants!$B$3, FALSE(), TRUE())))</f>
        <v/>
      </c>
      <c r="V267" s="66" t="str">
        <f aca="false">IF(ISBLANK($C267),"",IF(H267=Constants!$B$2, TRUE(), IF(H267=Constants!$B$3, FALSE(), TRUE())))</f>
        <v/>
      </c>
      <c r="W267" s="66" t="str">
        <f aca="false">IF(ISBLANK($C267),"",IF(I267=Constants!$B$2, TRUE(), IF(I267=Constants!$B$3, FALSE(), TRUE())))</f>
        <v/>
      </c>
      <c r="X267" s="66" t="str">
        <f aca="false">IF(ISBLANK($C267),"",IF(AND(ISNUMBER(J267),J267&gt;0),INT(J267),0))</f>
        <v/>
      </c>
      <c r="Y267" s="66" t="str">
        <f aca="false">IF(ISBLANK($C267),"",IF(K267=Constants!$B$2, TRUE(), IF(K267=Constants!$B$3, FALSE(), TRUE())))</f>
        <v/>
      </c>
      <c r="Z267" s="66" t="str">
        <f aca="false">IF(ISBLANK($C267),"",IF(AND(ISNUMBER(L267),L267&gt;0),INT(L267),0))</f>
        <v/>
      </c>
      <c r="AA267" s="68" t="str">
        <f aca="false">IF(ISBLANK($C267),"",IF(ISNUMBER(M267), M267, ""))</f>
        <v/>
      </c>
      <c r="AB267" s="68" t="str">
        <f aca="false">IF(ISBLANK($C267),"",IF(ISNUMBER(N267), N267, ""))</f>
        <v/>
      </c>
      <c r="AC267" s="68" t="str">
        <f aca="false">IF(ISBLANK($C267),"",IF(ISNUMBER(O267), O267, ""))</f>
        <v/>
      </c>
      <c r="AD267" s="69" t="str">
        <f aca="false">IF(ISBLANK($C267),"",IF(ISNUMBER(P267), P267, ""))</f>
        <v/>
      </c>
      <c r="AE267" s="69" t="str">
        <f aca="false">IF(ISBLANK($C267),"",IF(ISNUMBER(Q267), Q267, Constants!$B$13))</f>
        <v/>
      </c>
      <c r="AF267" s="66" t="str">
        <f aca="false">IF(ISBLANK($C267),"",IF(R267=Constants!$B$2, TRUE(), IF(R267=Constants!$B$3, FALSE(), FALSE())))</f>
        <v/>
      </c>
      <c r="AG267" s="66" t="str">
        <f aca="false">IF(ISBLANK(C267), "", IF(AF267, Constants!$B$4,IF(COUNTA(G267:P267)=0, Constants!$B$5, Constants!$B$7)))</f>
        <v/>
      </c>
      <c r="AH267" s="66" t="str">
        <f aca="false">IF(ISBLANK($C267), "",IF($AG267=Constants!$B$7,1,$AG267))</f>
        <v/>
      </c>
      <c r="AI267" s="66" t="str">
        <f aca="false">IF($AG267=Constants!$B$7,POWER(Constants!$B$11,X267)*POWER(Constants!$B$12,Z267),"")</f>
        <v/>
      </c>
      <c r="AJ267" s="66" t="str">
        <f aca="false">IF(AND($AG267=Constants!$B$7, U267, V267) ,IF(OR($AA267="",$AC267=""),"",MAX(0, $AC267-$AA267)),"")</f>
        <v/>
      </c>
      <c r="AK267" s="66" t="str">
        <f aca="false">IF(AND($AG267=Constants!$B$7, U267, V267),IF(OR($AA267="",$AC267=""),$AK$6,""),"")</f>
        <v/>
      </c>
      <c r="AL267" s="66" t="str">
        <f aca="false">IF($AG267=Constants!$B$7,IF(AND(U267,V267,W267,Y267),IF($AJ267="",0,IF($AJ$6=0,Constants!$B$9,Constants!$B$9*AJ267/$AJ$6)), 0),"")</f>
        <v/>
      </c>
      <c r="AM267" s="66" t="str">
        <f aca="false">IF(AL267&lt;&gt;"", AL267*AI267,"")</f>
        <v/>
      </c>
      <c r="AN267" s="66" t="str">
        <f aca="false">IF(AND($AG267=Constants!$B$7, U267, V267) ,IF($AB267="", "", IF(OR($AC267="",$AC267=0),"",MAX(0,1-ABS($AC267-$AB267)/$AC267))),"")</f>
        <v/>
      </c>
      <c r="AO267" s="66" t="str">
        <f aca="false">IF(AND($AG267=Constants!$B$7, U267, V267),IF(AND($AA267&lt;&gt;"",$AB267&lt;&gt;"",$AC267=0),$AO$6,""),"")</f>
        <v/>
      </c>
      <c r="AP267" s="66" t="str">
        <f aca="false">IF($AG267=Constants!$B$7 ,IF(AND(U267,V267,W267,Y267,ISNUMBER(AB267)),IF($AN267="",0,IF($AN$6=0,Constants!$B$10,Constants!$B$10*AN267/$AN$6)), 0),"")</f>
        <v/>
      </c>
      <c r="AQ267" s="66" t="str">
        <f aca="false">IF(AP267&lt;&gt;"", AP267*AI267,"")</f>
        <v/>
      </c>
      <c r="AR267" s="66" t="str">
        <f aca="false">IF($AG267=Constants!$B$7,IF($AD267="",0,IF($AR$6=0,Constants!$B$8,Constants!$B$8*AD267/$AR$6)),"")</f>
        <v/>
      </c>
      <c r="AS267" s="66" t="str">
        <f aca="false">IF($AG267&lt;&gt;Constants!$B$7,$AG267,IF(AK267&amp;AO267&lt;&gt;"",Constants!$B$14,AM267+AQ267+AR267))</f>
        <v/>
      </c>
      <c r="AT267" s="66" t="str">
        <f aca="false">IF(ISBLANK($C267),"",IF($AG267=Constants!$B$7,IF(ISNUMBER(AS267),RANK(AS267,$AS$8:$AS$507),Constants!$B$14),$AG267))</f>
        <v/>
      </c>
      <c r="AU267" s="66" t="str">
        <f aca="false">IF(ISBLANK($C267), "",AM267)</f>
        <v/>
      </c>
      <c r="AV267" s="66" t="str">
        <f aca="false">IF(ISBLANK($C267),"",IF($AG267=Constants!$B$7,RANK(AU267,AU$8:AU$507),$AG267))</f>
        <v/>
      </c>
      <c r="AW267" s="66" t="str">
        <f aca="false">IF(ISBLANK($C267), "",AR267)</f>
        <v/>
      </c>
      <c r="AX267" s="66" t="str">
        <f aca="false">IF(ISBLANK($C267),"",IF($AG267=Constants!$B$7,RANK(AW267,AW$8:AW$507),$AG267))</f>
        <v/>
      </c>
      <c r="AY267" s="66" t="str">
        <f aca="false">IF(ISBLANK($C267), "",AE267)</f>
        <v/>
      </c>
      <c r="AZ267" s="66" t="str">
        <f aca="false">IF(ISBLANK($C267),"",
IF($AG267=Constants!$B$7,
  IF(ISNUMBER(AT267),
    COUNTIFS($AT$8:$AT$507,"&lt;"&amp;$AT267)
    + COUNTIFS($AT$8:$AT$507,$AT267,$AV$8:$AV$507,"&lt;"&amp;$AV267)
    + COUNTIFS($AT$8:$AT$507,$AT267,$AV$8:$AV$507,$AV267,$AX$8:$AX$507,"&lt;"&amp;$AX267)
    + COUNTIFS($AT$8:$AT$507,$AT267,$AV$8:$AV$507,$AV267,$AX$8:$AX$507,$AX267,$AY$8:$AY$507,"&lt;"&amp;$AY267)
    + 1,
  Constants!$B$14),
$AG267))</f>
        <v/>
      </c>
      <c r="BA267" s="66" t="str">
        <f aca="false">IF(ISBLANK(C267),"",IF($AG267=Constants!$B$7, IF(ISNUMBER(AT267),AT267-AZ267,Constants!$B$14),$AG267))</f>
        <v/>
      </c>
      <c r="BB267" s="70"/>
      <c r="BC267" s="84" t="str">
        <f aca="false">IF(ISBLANK($C267),"",TRIM(AK267&amp;" "&amp;AO267))</f>
        <v/>
      </c>
      <c r="BD267" s="72" t="str">
        <f aca="false">IF(ISBLANK($C267),"",IF($AG267&lt;&gt;Constants!$B$7,$AG267,AR267))</f>
        <v/>
      </c>
      <c r="BE267" s="72" t="str">
        <f aca="false">IF(ISBLANK($C267),"",IF($AG267&lt;&gt;Constants!$B$7,$AG267,AM267))</f>
        <v/>
      </c>
      <c r="BF267" s="72" t="str">
        <f aca="false">IF(ISBLANK($C267),"",IF($AG267&lt;&gt;Constants!$B$7,$AG267,AQ267))</f>
        <v/>
      </c>
      <c r="BG267" s="73" t="str">
        <f aca="false">IF(ISBLANK($C267),"",IF($AG267&lt;&gt;Constants!$B$7, $AG267 ,AS267))</f>
        <v/>
      </c>
      <c r="BH267" s="74" t="str">
        <f aca="false">IF(ISBLANK($C267),"",IF($AG267&lt;&gt;Constants!$B$7, $AG267 ,AH267))</f>
        <v/>
      </c>
      <c r="BI267" s="72" t="str">
        <f aca="false">IF(ISBLANK(C267),"",BA267)</f>
        <v/>
      </c>
      <c r="BJ267" s="72" t="str">
        <f aca="false">IF(ISBLANK(C267),"",AZ267)</f>
        <v/>
      </c>
      <c r="BK267" s="75" t="str">
        <f aca="false">IF(ISBLANK(C267),"",IFERROR(_xlfn.SWITCH(BJ267, Constants!$B$4, COUNTA($C$8:$C766)+2, Constants!$B$5, COUNTA($C$8:$C766)+1, Constants!$B$6, COUNTA($C$8:$C766)),BJ267))</f>
        <v/>
      </c>
      <c r="BL267" s="5"/>
      <c r="BM267" s="76" t="n">
        <f aca="false">IF(OR(ISNUMBER(BJ267),BJ267="DQ",BJ267="P",BJ267="NS"),
    1,
    0
)</f>
        <v>0</v>
      </c>
      <c r="BN267" s="76" t="n">
        <v>260</v>
      </c>
      <c r="BO267" s="76" t="str">
        <f aca="false">IF(ISBLANK($C267),"",IF(ISNUMBER(BK267),BK267+ROW($B267)/1000,""))</f>
        <v/>
      </c>
      <c r="BP267" s="76" t="str">
        <f aca="false">IF(ISNUMBER(BO267), RANK(BO267,BO$8:BO$507,1), "")</f>
        <v/>
      </c>
      <c r="BQ267" s="76" t="str">
        <f aca="false">IF(ISBLANK($C267),
    "",
    $B267
)</f>
        <v/>
      </c>
      <c r="BR267" s="76" t="str">
        <f aca="false">IF(ISBLANK($C267),
    "",
    $C267
)</f>
        <v/>
      </c>
      <c r="BS267" s="76" t="str">
        <f aca="false">IF(ISBLANK($C267),
    "",
    $D267
)</f>
        <v/>
      </c>
      <c r="BT267" s="77" t="str">
        <f aca="false">BH267</f>
        <v/>
      </c>
      <c r="BU267" s="78" t="str">
        <f aca="false">BG267</f>
        <v/>
      </c>
      <c r="BV267" s="76" t="str">
        <f aca="false">IF(ISBLANK($C267),
    "",
    BJ267
)</f>
        <v/>
      </c>
      <c r="BW267" s="79" t="str">
        <f aca="false">IF(BN267&gt;BM$7,
    "",
    VLOOKUP(BN267,BP$8:BV766,7,FALSE())
)</f>
        <v/>
      </c>
      <c r="BX267" s="80" t="str">
        <f aca="false">IF(BN267&gt;BM$7,
    "",
    VLOOKUP(BN267,BP$8:BV766,2,FALSE())
)</f>
        <v/>
      </c>
      <c r="BY267" s="80" t="str">
        <f aca="false">IF(BN267&gt;BM$7,
    "",
    VLOOKUP(BN267,BP$8:BV766,3,FALSE())
)</f>
        <v/>
      </c>
      <c r="BZ267" s="80" t="str">
        <f aca="false">IF(BN267&gt;BM$7,
    "",
    VLOOKUP(BN267,BP$8:BV766,4,FALSE())
)</f>
        <v/>
      </c>
      <c r="CA267" s="80" t="str">
        <f aca="false">IF(BN267&gt;BM$7,
    "",
    VLOOKUP(BN267,BP$8:BV766,5,FALSE())
)</f>
        <v/>
      </c>
      <c r="CB267" s="81" t="str">
        <f aca="false">IF(BN267&gt;BM$7,
    "",
    VLOOKUP(BN267,BP$8:BV766,6,FALSE())
)</f>
        <v/>
      </c>
      <c r="CC267" s="53"/>
    </row>
    <row r="268" customFormat="false" ht="15.75" hidden="false" customHeight="false" outlineLevel="0" collapsed="false">
      <c r="A268" s="5"/>
      <c r="B268" s="129"/>
      <c r="C268" s="55"/>
      <c r="D268" s="56"/>
      <c r="E268" s="123"/>
      <c r="F268" s="123"/>
      <c r="G268" s="58"/>
      <c r="H268" s="59"/>
      <c r="I268" s="59"/>
      <c r="J268" s="83"/>
      <c r="K268" s="83"/>
      <c r="L268" s="83"/>
      <c r="M268" s="61"/>
      <c r="N268" s="61"/>
      <c r="O268" s="61"/>
      <c r="P268" s="62"/>
      <c r="Q268" s="63"/>
      <c r="R268" s="83"/>
      <c r="S268" s="65"/>
      <c r="T268" s="66"/>
      <c r="U268" s="66" t="str">
        <f aca="false">IF(ISBLANK($C268),"",IF(G268=Constants!$B$2, TRUE(), IF(G268=Constants!$B$3, FALSE(), TRUE())))</f>
        <v/>
      </c>
      <c r="V268" s="66" t="str">
        <f aca="false">IF(ISBLANK($C268),"",IF(H268=Constants!$B$2, TRUE(), IF(H268=Constants!$B$3, FALSE(), TRUE())))</f>
        <v/>
      </c>
      <c r="W268" s="66" t="str">
        <f aca="false">IF(ISBLANK($C268),"",IF(I268=Constants!$B$2, TRUE(), IF(I268=Constants!$B$3, FALSE(), TRUE())))</f>
        <v/>
      </c>
      <c r="X268" s="66" t="str">
        <f aca="false">IF(ISBLANK($C268),"",IF(AND(ISNUMBER(J268),J268&gt;0),INT(J268),0))</f>
        <v/>
      </c>
      <c r="Y268" s="66" t="str">
        <f aca="false">IF(ISBLANK($C268),"",IF(K268=Constants!$B$2, TRUE(), IF(K268=Constants!$B$3, FALSE(), TRUE())))</f>
        <v/>
      </c>
      <c r="Z268" s="66" t="str">
        <f aca="false">IF(ISBLANK($C268),"",IF(AND(ISNUMBER(L268),L268&gt;0),INT(L268),0))</f>
        <v/>
      </c>
      <c r="AA268" s="68" t="str">
        <f aca="false">IF(ISBLANK($C268),"",IF(ISNUMBER(M268), M268, ""))</f>
        <v/>
      </c>
      <c r="AB268" s="68" t="str">
        <f aca="false">IF(ISBLANK($C268),"",IF(ISNUMBER(N268), N268, ""))</f>
        <v/>
      </c>
      <c r="AC268" s="68" t="str">
        <f aca="false">IF(ISBLANK($C268),"",IF(ISNUMBER(O268), O268, ""))</f>
        <v/>
      </c>
      <c r="AD268" s="69" t="str">
        <f aca="false">IF(ISBLANK($C268),"",IF(ISNUMBER(P268), P268, ""))</f>
        <v/>
      </c>
      <c r="AE268" s="69" t="str">
        <f aca="false">IF(ISBLANK($C268),"",IF(ISNUMBER(Q268), Q268, Constants!$B$13))</f>
        <v/>
      </c>
      <c r="AF268" s="66" t="str">
        <f aca="false">IF(ISBLANK($C268),"",IF(R268=Constants!$B$2, TRUE(), IF(R268=Constants!$B$3, FALSE(), FALSE())))</f>
        <v/>
      </c>
      <c r="AG268" s="66" t="str">
        <f aca="false">IF(ISBLANK(C268), "", IF(AF268, Constants!$B$4,IF(COUNTA(G268:P268)=0, Constants!$B$5, Constants!$B$7)))</f>
        <v/>
      </c>
      <c r="AH268" s="66" t="str">
        <f aca="false">IF(ISBLANK($C268), "",IF($AG268=Constants!$B$7,1,$AG268))</f>
        <v/>
      </c>
      <c r="AI268" s="66" t="str">
        <f aca="false">IF($AG268=Constants!$B$7,POWER(Constants!$B$11,X268)*POWER(Constants!$B$12,Z268),"")</f>
        <v/>
      </c>
      <c r="AJ268" s="66" t="str">
        <f aca="false">IF(AND($AG268=Constants!$B$7, U268, V268) ,IF(OR($AA268="",$AC268=""),"",MAX(0, $AC268-$AA268)),"")</f>
        <v/>
      </c>
      <c r="AK268" s="66" t="str">
        <f aca="false">IF(AND($AG268=Constants!$B$7, U268, V268),IF(OR($AA268="",$AC268=""),$AK$6,""),"")</f>
        <v/>
      </c>
      <c r="AL268" s="66" t="str">
        <f aca="false">IF($AG268=Constants!$B$7,IF(AND(U268,V268,W268,Y268),IF($AJ268="",0,IF($AJ$6=0,Constants!$B$9,Constants!$B$9*AJ268/$AJ$6)), 0),"")</f>
        <v/>
      </c>
      <c r="AM268" s="66" t="str">
        <f aca="false">IF(AL268&lt;&gt;"", AL268*AI268,"")</f>
        <v/>
      </c>
      <c r="AN268" s="66" t="str">
        <f aca="false">IF(AND($AG268=Constants!$B$7, U268, V268) ,IF($AB268="", "", IF(OR($AC268="",$AC268=0),"",MAX(0,1-ABS($AC268-$AB268)/$AC268))),"")</f>
        <v/>
      </c>
      <c r="AO268" s="66" t="str">
        <f aca="false">IF(AND($AG268=Constants!$B$7, U268, V268),IF(AND($AA268&lt;&gt;"",$AB268&lt;&gt;"",$AC268=0),$AO$6,""),"")</f>
        <v/>
      </c>
      <c r="AP268" s="66" t="str">
        <f aca="false">IF($AG268=Constants!$B$7 ,IF(AND(U268,V268,W268,Y268,ISNUMBER(AB268)),IF($AN268="",0,IF($AN$6=0,Constants!$B$10,Constants!$B$10*AN268/$AN$6)), 0),"")</f>
        <v/>
      </c>
      <c r="AQ268" s="66" t="str">
        <f aca="false">IF(AP268&lt;&gt;"", AP268*AI268,"")</f>
        <v/>
      </c>
      <c r="AR268" s="66" t="str">
        <f aca="false">IF($AG268=Constants!$B$7,IF($AD268="",0,IF($AR$6=0,Constants!$B$8,Constants!$B$8*AD268/$AR$6)),"")</f>
        <v/>
      </c>
      <c r="AS268" s="66" t="str">
        <f aca="false">IF($AG268&lt;&gt;Constants!$B$7,$AG268,IF(AK268&amp;AO268&lt;&gt;"",Constants!$B$14,AM268+AQ268+AR268))</f>
        <v/>
      </c>
      <c r="AT268" s="66" t="str">
        <f aca="false">IF(ISBLANK($C268),"",IF($AG268=Constants!$B$7,IF(ISNUMBER(AS268),RANK(AS268,$AS$8:$AS$507),Constants!$B$14),$AG268))</f>
        <v/>
      </c>
      <c r="AU268" s="66" t="str">
        <f aca="false">IF(ISBLANK($C268), "",AM268)</f>
        <v/>
      </c>
      <c r="AV268" s="66" t="str">
        <f aca="false">IF(ISBLANK($C268),"",IF($AG268=Constants!$B$7,RANK(AU268,AU$8:AU$507),$AG268))</f>
        <v/>
      </c>
      <c r="AW268" s="66" t="str">
        <f aca="false">IF(ISBLANK($C268), "",AR268)</f>
        <v/>
      </c>
      <c r="AX268" s="66" t="str">
        <f aca="false">IF(ISBLANK($C268),"",IF($AG268=Constants!$B$7,RANK(AW268,AW$8:AW$507),$AG268))</f>
        <v/>
      </c>
      <c r="AY268" s="66" t="str">
        <f aca="false">IF(ISBLANK($C268), "",AE268)</f>
        <v/>
      </c>
      <c r="AZ268" s="66" t="str">
        <f aca="false">IF(ISBLANK($C268),"",
IF($AG268=Constants!$B$7,
  IF(ISNUMBER(AT268),
    COUNTIFS($AT$8:$AT$507,"&lt;"&amp;$AT268)
    + COUNTIFS($AT$8:$AT$507,$AT268,$AV$8:$AV$507,"&lt;"&amp;$AV268)
    + COUNTIFS($AT$8:$AT$507,$AT268,$AV$8:$AV$507,$AV268,$AX$8:$AX$507,"&lt;"&amp;$AX268)
    + COUNTIFS($AT$8:$AT$507,$AT268,$AV$8:$AV$507,$AV268,$AX$8:$AX$507,$AX268,$AY$8:$AY$507,"&lt;"&amp;$AY268)
    + 1,
  Constants!$B$14),
$AG268))</f>
        <v/>
      </c>
      <c r="BA268" s="66" t="str">
        <f aca="false">IF(ISBLANK(C268),"",IF($AG268=Constants!$B$7, IF(ISNUMBER(AT268),AT268-AZ268,Constants!$B$14),$AG268))</f>
        <v/>
      </c>
      <c r="BB268" s="70"/>
      <c r="BC268" s="84" t="str">
        <f aca="false">IF(ISBLANK($C268),"",TRIM(AK268&amp;" "&amp;AO268))</f>
        <v/>
      </c>
      <c r="BD268" s="72" t="str">
        <f aca="false">IF(ISBLANK($C268),"",IF($AG268&lt;&gt;Constants!$B$7,$AG268,AR268))</f>
        <v/>
      </c>
      <c r="BE268" s="72" t="str">
        <f aca="false">IF(ISBLANK($C268),"",IF($AG268&lt;&gt;Constants!$B$7,$AG268,AM268))</f>
        <v/>
      </c>
      <c r="BF268" s="72" t="str">
        <f aca="false">IF(ISBLANK($C268),"",IF($AG268&lt;&gt;Constants!$B$7,$AG268,AQ268))</f>
        <v/>
      </c>
      <c r="BG268" s="73" t="str">
        <f aca="false">IF(ISBLANK($C268),"",IF($AG268&lt;&gt;Constants!$B$7, $AG268 ,AS268))</f>
        <v/>
      </c>
      <c r="BH268" s="74" t="str">
        <f aca="false">IF(ISBLANK($C268),"",IF($AG268&lt;&gt;Constants!$B$7, $AG268 ,AH268))</f>
        <v/>
      </c>
      <c r="BI268" s="72" t="str">
        <f aca="false">IF(ISBLANK(C268),"",BA268)</f>
        <v/>
      </c>
      <c r="BJ268" s="72" t="str">
        <f aca="false">IF(ISBLANK(C268),"",AZ268)</f>
        <v/>
      </c>
      <c r="BK268" s="75" t="str">
        <f aca="false">IF(ISBLANK(C268),"",IFERROR(_xlfn.SWITCH(BJ268, Constants!$B$4, COUNTA($C$8:$C767)+2, Constants!$B$5, COUNTA($C$8:$C767)+1, Constants!$B$6, COUNTA($C$8:$C767)),BJ268))</f>
        <v/>
      </c>
      <c r="BL268" s="5"/>
      <c r="BM268" s="76" t="n">
        <f aca="false">IF(OR(ISNUMBER(BJ268),BJ268="DQ",BJ268="P",BJ268="NS"),
    1,
    0
)</f>
        <v>0</v>
      </c>
      <c r="BN268" s="76" t="n">
        <v>261</v>
      </c>
      <c r="BO268" s="76" t="str">
        <f aca="false">IF(ISBLANK($C268),"",IF(ISNUMBER(BK268),BK268+ROW($B268)/1000,""))</f>
        <v/>
      </c>
      <c r="BP268" s="76" t="str">
        <f aca="false">IF(ISNUMBER(BO268), RANK(BO268,BO$8:BO$507,1), "")</f>
        <v/>
      </c>
      <c r="BQ268" s="76" t="str">
        <f aca="false">IF(ISBLANK($C268),
    "",
    $B268
)</f>
        <v/>
      </c>
      <c r="BR268" s="76" t="str">
        <f aca="false">IF(ISBLANK($C268),
    "",
    $C268
)</f>
        <v/>
      </c>
      <c r="BS268" s="76" t="str">
        <f aca="false">IF(ISBLANK($C268),
    "",
    $D268
)</f>
        <v/>
      </c>
      <c r="BT268" s="77" t="str">
        <f aca="false">BH268</f>
        <v/>
      </c>
      <c r="BU268" s="78" t="str">
        <f aca="false">BG268</f>
        <v/>
      </c>
      <c r="BV268" s="76" t="str">
        <f aca="false">IF(ISBLANK($C268),
    "",
    BJ268
)</f>
        <v/>
      </c>
      <c r="BW268" s="79" t="str">
        <f aca="false">IF(BN268&gt;BM$7,
    "",
    VLOOKUP(BN268,BP$8:BV767,7,FALSE())
)</f>
        <v/>
      </c>
      <c r="BX268" s="80" t="str">
        <f aca="false">IF(BN268&gt;BM$7,
    "",
    VLOOKUP(BN268,BP$8:BV767,2,FALSE())
)</f>
        <v/>
      </c>
      <c r="BY268" s="80" t="str">
        <f aca="false">IF(BN268&gt;BM$7,
    "",
    VLOOKUP(BN268,BP$8:BV767,3,FALSE())
)</f>
        <v/>
      </c>
      <c r="BZ268" s="80" t="str">
        <f aca="false">IF(BN268&gt;BM$7,
    "",
    VLOOKUP(BN268,BP$8:BV767,4,FALSE())
)</f>
        <v/>
      </c>
      <c r="CA268" s="80" t="str">
        <f aca="false">IF(BN268&gt;BM$7,
    "",
    VLOOKUP(BN268,BP$8:BV767,5,FALSE())
)</f>
        <v/>
      </c>
      <c r="CB268" s="81" t="str">
        <f aca="false">IF(BN268&gt;BM$7,
    "",
    VLOOKUP(BN268,BP$8:BV767,6,FALSE())
)</f>
        <v/>
      </c>
      <c r="CC268" s="53"/>
    </row>
    <row r="269" customFormat="false" ht="15.75" hidden="false" customHeight="false" outlineLevel="0" collapsed="false">
      <c r="A269" s="5"/>
      <c r="B269" s="125"/>
      <c r="C269" s="126"/>
      <c r="D269" s="115"/>
      <c r="E269" s="119"/>
      <c r="F269" s="119"/>
      <c r="G269" s="91"/>
      <c r="H269" s="92"/>
      <c r="I269" s="92"/>
      <c r="J269" s="128"/>
      <c r="K269" s="128"/>
      <c r="L269" s="128"/>
      <c r="M269" s="94"/>
      <c r="N269" s="94"/>
      <c r="O269" s="94"/>
      <c r="P269" s="95"/>
      <c r="Q269" s="96"/>
      <c r="R269" s="128"/>
      <c r="S269" s="98"/>
      <c r="T269" s="99"/>
      <c r="U269" s="99" t="str">
        <f aca="false">IF(ISBLANK($C269),"",IF(G269=Constants!$B$2, TRUE(), IF(G269=Constants!$B$3, FALSE(), TRUE())))</f>
        <v/>
      </c>
      <c r="V269" s="99" t="str">
        <f aca="false">IF(ISBLANK($C269),"",IF(H269=Constants!$B$2, TRUE(), IF(H269=Constants!$B$3, FALSE(), TRUE())))</f>
        <v/>
      </c>
      <c r="W269" s="99" t="str">
        <f aca="false">IF(ISBLANK($C269),"",IF(I269=Constants!$B$2, TRUE(), IF(I269=Constants!$B$3, FALSE(), TRUE())))</f>
        <v/>
      </c>
      <c r="X269" s="99" t="str">
        <f aca="false">IF(ISBLANK($C269),"",IF(AND(ISNUMBER(J269),J269&gt;0),INT(J269),0))</f>
        <v/>
      </c>
      <c r="Y269" s="99" t="str">
        <f aca="false">IF(ISBLANK($C269),"",IF(K269=Constants!$B$2, TRUE(), IF(K269=Constants!$B$3, FALSE(), TRUE())))</f>
        <v/>
      </c>
      <c r="Z269" s="100" t="str">
        <f aca="false">IF(ISBLANK($C269),"",IF(AND(ISNUMBER(L269),L269&gt;0),INT(L269),0))</f>
        <v/>
      </c>
      <c r="AA269" s="101" t="str">
        <f aca="false">IF(ISBLANK($C269),"",IF(ISNUMBER(M269), M269, ""))</f>
        <v/>
      </c>
      <c r="AB269" s="101" t="str">
        <f aca="false">IF(ISBLANK($C269),"",IF(ISNUMBER(N269), N269, ""))</f>
        <v/>
      </c>
      <c r="AC269" s="101" t="str">
        <f aca="false">IF(ISBLANK($C269),"",IF(ISNUMBER(O269), O269, ""))</f>
        <v/>
      </c>
      <c r="AD269" s="102" t="str">
        <f aca="false">IF(ISBLANK($C269),"",IF(ISNUMBER(P269), P269, ""))</f>
        <v/>
      </c>
      <c r="AE269" s="102" t="str">
        <f aca="false">IF(ISBLANK($C269),"",IF(ISNUMBER(Q269), Q269, Constants!$B$13))</f>
        <v/>
      </c>
      <c r="AF269" s="99" t="str">
        <f aca="false">IF(ISBLANK($C269),"",IF(R269=Constants!$B$2, TRUE(), IF(R269=Constants!$B$3, FALSE(), FALSE())))</f>
        <v/>
      </c>
      <c r="AG269" s="99" t="str">
        <f aca="false">IF(ISBLANK(C269), "", IF(AF269, Constants!$B$4,IF(COUNTA(G269:P269)=0, Constants!$B$5, Constants!$B$7)))</f>
        <v/>
      </c>
      <c r="AH269" s="99" t="str">
        <f aca="false">IF(ISBLANK($C269), "",IF($AG269=Constants!$B$7,1,$AG269))</f>
        <v/>
      </c>
      <c r="AI269" s="99" t="str">
        <f aca="false">IF($AG269=Constants!$B$7,POWER(Constants!$B$11,X269)*POWER(Constants!$B$12,Z269),"")</f>
        <v/>
      </c>
      <c r="AJ269" s="99" t="str">
        <f aca="false">IF(AND($AG269=Constants!$B$7, U269, V269) ,IF(OR($AA269="",$AC269=""),"",MAX(0, $AC269-$AA269)),"")</f>
        <v/>
      </c>
      <c r="AK269" s="99" t="str">
        <f aca="false">IF(AND($AG269=Constants!$B$7, U269, V269),IF(OR($AA269="",$AC269=""),$AK$6,""),"")</f>
        <v/>
      </c>
      <c r="AL269" s="99" t="str">
        <f aca="false">IF($AG269=Constants!$B$7,IF(AND(U269,V269,W269,Y269),IF($AJ269="",0,IF($AJ$6=0,Constants!$B$9,Constants!$B$9*AJ269/$AJ$6)), 0),"")</f>
        <v/>
      </c>
      <c r="AM269" s="99" t="str">
        <f aca="false">IF(AL269&lt;&gt;"", AL269*AI269,"")</f>
        <v/>
      </c>
      <c r="AN269" s="99" t="str">
        <f aca="false">IF(AND($AG269=Constants!$B$7, U269, V269) ,IF($AB269="", "", IF(OR($AC269="",$AC269=0),"",MAX(0,1-ABS($AC269-$AB269)/$AC269))),"")</f>
        <v/>
      </c>
      <c r="AO269" s="99" t="str">
        <f aca="false">IF(AND($AG269=Constants!$B$7, U269, V269),IF(AND($AA269&lt;&gt;"",$AB269&lt;&gt;"",$AC269=0),$AO$6,""),"")</f>
        <v/>
      </c>
      <c r="AP269" s="99" t="str">
        <f aca="false">IF($AG269=Constants!$B$7 ,IF(AND(U269,V269,W269,Y269,ISNUMBER(AB269)),IF($AN269="",0,IF($AN$6=0,Constants!$B$10,Constants!$B$10*AN269/$AN$6)), 0),"")</f>
        <v/>
      </c>
      <c r="AQ269" s="99" t="str">
        <f aca="false">IF(AP269&lt;&gt;"", AP269*AI269,"")</f>
        <v/>
      </c>
      <c r="AR269" s="99" t="str">
        <f aca="false">IF($AG269=Constants!$B$7,IF($AD269="",0,IF($AR$6=0,Constants!$B$8,Constants!$B$8*AD269/$AR$6)),"")</f>
        <v/>
      </c>
      <c r="AS269" s="99" t="str">
        <f aca="false">IF($AG269&lt;&gt;Constants!$B$7,$AG269,IF(AK269&amp;AO269&lt;&gt;"",Constants!$B$14,AM269+AQ269+AR269))</f>
        <v/>
      </c>
      <c r="AT269" s="99" t="str">
        <f aca="false">IF(ISBLANK($C269),"",IF($AG269=Constants!$B$7,IF(ISNUMBER(AS269),RANK(AS269,$AS$8:$AS$507),Constants!$B$14),$AG269))</f>
        <v/>
      </c>
      <c r="AU269" s="99" t="str">
        <f aca="false">IF(ISBLANK($C269), "",AM269)</f>
        <v/>
      </c>
      <c r="AV269" s="99" t="str">
        <f aca="false">IF(ISBLANK($C269),"",IF($AG269=Constants!$B$7,RANK(AU269,AU$8:AU$507),$AG269))</f>
        <v/>
      </c>
      <c r="AW269" s="99" t="str">
        <f aca="false">IF(ISBLANK($C269), "",AR269)</f>
        <v/>
      </c>
      <c r="AX269" s="99" t="str">
        <f aca="false">IF(ISBLANK($C269),"",IF($AG269=Constants!$B$7,RANK(AW269,AW$8:AW$507),$AG269))</f>
        <v/>
      </c>
      <c r="AY269" s="99" t="str">
        <f aca="false">IF(ISBLANK($C269), "",AE269)</f>
        <v/>
      </c>
      <c r="AZ269" s="99" t="str">
        <f aca="false">IF(ISBLANK($C269),"",
IF($AG269=Constants!$B$7,
  IF(ISNUMBER(AT269),
    COUNTIFS($AT$8:$AT$507,"&lt;"&amp;$AT269)
    + COUNTIFS($AT$8:$AT$507,$AT269,$AV$8:$AV$507,"&lt;"&amp;$AV269)
    + COUNTIFS($AT$8:$AT$507,$AT269,$AV$8:$AV$507,$AV269,$AX$8:$AX$507,"&lt;"&amp;$AX269)
    + COUNTIFS($AT$8:$AT$507,$AT269,$AV$8:$AV$507,$AV269,$AX$8:$AX$507,$AX269,$AY$8:$AY$507,"&lt;"&amp;$AY269)
    + 1,
  Constants!$B$14),
$AG269))</f>
        <v/>
      </c>
      <c r="BA269" s="99" t="str">
        <f aca="false">IF(ISBLANK(C269),"",IF($AG269=Constants!$B$7, IF(ISNUMBER(AT269),AT269-AZ269,Constants!$B$14),$AG269))</f>
        <v/>
      </c>
      <c r="BB269" s="103"/>
      <c r="BC269" s="104" t="str">
        <f aca="false">IF(ISBLANK($C269),"",TRIM(AK269&amp;" "&amp;AO269))</f>
        <v/>
      </c>
      <c r="BD269" s="105" t="str">
        <f aca="false">IF(ISBLANK($C269),"",IF($AG269&lt;&gt;Constants!$B$7,$AG269,AR269))</f>
        <v/>
      </c>
      <c r="BE269" s="105" t="str">
        <f aca="false">IF(ISBLANK($C269),"",IF($AG269&lt;&gt;Constants!$B$7,$AG269,AM269))</f>
        <v/>
      </c>
      <c r="BF269" s="105" t="str">
        <f aca="false">IF(ISBLANK($C269),"",IF($AG269&lt;&gt;Constants!$B$7,$AG269,AQ269))</f>
        <v/>
      </c>
      <c r="BG269" s="106" t="str">
        <f aca="false">IF(ISBLANK($C269),"",IF($AG269&lt;&gt;Constants!$B$7, $AG269 ,AS269))</f>
        <v/>
      </c>
      <c r="BH269" s="107" t="str">
        <f aca="false">IF(ISBLANK($C269),"",IF($AG269&lt;&gt;Constants!$B$7, $AG269 ,AH269))</f>
        <v/>
      </c>
      <c r="BI269" s="105" t="str">
        <f aca="false">IF(ISBLANK(C269),"",BA269)</f>
        <v/>
      </c>
      <c r="BJ269" s="105" t="str">
        <f aca="false">IF(ISBLANK(C269),"",AZ269)</f>
        <v/>
      </c>
      <c r="BK269" s="108" t="str">
        <f aca="false">IF(ISBLANK(C269),"",IFERROR(_xlfn.SWITCH(BJ269, Constants!$B$4, COUNTA($C$8:$C768)+2, Constants!$B$5, COUNTA($C$8:$C768)+1, Constants!$B$6, COUNTA($C$8:$C768)),BJ269))</f>
        <v/>
      </c>
      <c r="BL269" s="5"/>
      <c r="BM269" s="109" t="n">
        <f aca="false">IF(OR(ISNUMBER(BJ269),BJ269="DQ",BJ269="P",BJ269="NS"),
    1,
    0
)</f>
        <v>0</v>
      </c>
      <c r="BN269" s="109" t="n">
        <v>262</v>
      </c>
      <c r="BO269" s="109" t="str">
        <f aca="false">IF(ISBLANK($C269),"",IF(ISNUMBER(BK269),BK269+ROW($B269)/1000,""))</f>
        <v/>
      </c>
      <c r="BP269" s="109" t="str">
        <f aca="false">IF(ISNUMBER(BO269), RANK(BO269,BO$8:BO$507,1), "")</f>
        <v/>
      </c>
      <c r="BQ269" s="109" t="str">
        <f aca="false">IF(ISBLANK($C269),
    "",
    $B269
)</f>
        <v/>
      </c>
      <c r="BR269" s="109" t="str">
        <f aca="false">IF(ISBLANK($C269),
    "",
    $C269
)</f>
        <v/>
      </c>
      <c r="BS269" s="109" t="str">
        <f aca="false">IF(ISBLANK($C269),
    "",
    $D269
)</f>
        <v/>
      </c>
      <c r="BT269" s="110" t="str">
        <f aca="false">BH269</f>
        <v/>
      </c>
      <c r="BU269" s="111" t="str">
        <f aca="false">BG269</f>
        <v/>
      </c>
      <c r="BV269" s="109" t="str">
        <f aca="false">IF(ISBLANK($C269),
    "",
    BJ269
)</f>
        <v/>
      </c>
      <c r="BW269" s="112" t="str">
        <f aca="false">IF(BN269&gt;BM$7,
    "",
    VLOOKUP(BN269,BP$8:BV768,7,FALSE())
)</f>
        <v/>
      </c>
      <c r="BX269" s="113" t="str">
        <f aca="false">IF(BN269&gt;BM$7,
    "",
    VLOOKUP(BN269,BP$8:BV768,2,FALSE())
)</f>
        <v/>
      </c>
      <c r="BY269" s="113" t="str">
        <f aca="false">IF(BN269&gt;BM$7,
    "",
    VLOOKUP(BN269,BP$8:BV768,3,FALSE())
)</f>
        <v/>
      </c>
      <c r="BZ269" s="113" t="str">
        <f aca="false">IF(BN269&gt;BM$7,
    "",
    VLOOKUP(BN269,BP$8:BV768,4,FALSE())
)</f>
        <v/>
      </c>
      <c r="CA269" s="113" t="str">
        <f aca="false">IF(BN269&gt;BM$7,
    "",
    VLOOKUP(BN269,BP$8:BV768,5,FALSE())
)</f>
        <v/>
      </c>
      <c r="CB269" s="114" t="str">
        <f aca="false">IF(BN269&gt;BM$7,
    "",
    VLOOKUP(BN269,BP$8:BV768,6,FALSE())
)</f>
        <v/>
      </c>
      <c r="CC269" s="53"/>
    </row>
    <row r="270" customFormat="false" ht="15.75" hidden="false" customHeight="false" outlineLevel="0" collapsed="false">
      <c r="A270" s="5"/>
      <c r="B270" s="125"/>
      <c r="C270" s="126"/>
      <c r="D270" s="115"/>
      <c r="E270" s="119"/>
      <c r="F270" s="119"/>
      <c r="G270" s="91"/>
      <c r="H270" s="92"/>
      <c r="I270" s="92"/>
      <c r="J270" s="128"/>
      <c r="K270" s="128"/>
      <c r="L270" s="128"/>
      <c r="M270" s="94"/>
      <c r="N270" s="94"/>
      <c r="O270" s="94"/>
      <c r="P270" s="95"/>
      <c r="Q270" s="96"/>
      <c r="R270" s="128"/>
      <c r="S270" s="98"/>
      <c r="T270" s="99"/>
      <c r="U270" s="99" t="str">
        <f aca="false">IF(ISBLANK($C270),"",IF(G270=Constants!$B$2, TRUE(), IF(G270=Constants!$B$3, FALSE(), TRUE())))</f>
        <v/>
      </c>
      <c r="V270" s="99" t="str">
        <f aca="false">IF(ISBLANK($C270),"",IF(H270=Constants!$B$2, TRUE(), IF(H270=Constants!$B$3, FALSE(), TRUE())))</f>
        <v/>
      </c>
      <c r="W270" s="99" t="str">
        <f aca="false">IF(ISBLANK($C270),"",IF(I270=Constants!$B$2, TRUE(), IF(I270=Constants!$B$3, FALSE(), TRUE())))</f>
        <v/>
      </c>
      <c r="X270" s="99" t="str">
        <f aca="false">IF(ISBLANK($C270),"",IF(AND(ISNUMBER(J270),J270&gt;0),INT(J270),0))</f>
        <v/>
      </c>
      <c r="Y270" s="99" t="str">
        <f aca="false">IF(ISBLANK($C270),"",IF(K270=Constants!$B$2, TRUE(), IF(K270=Constants!$B$3, FALSE(), TRUE())))</f>
        <v/>
      </c>
      <c r="Z270" s="100" t="str">
        <f aca="false">IF(ISBLANK($C270),"",IF(AND(ISNUMBER(L270),L270&gt;0),INT(L270),0))</f>
        <v/>
      </c>
      <c r="AA270" s="101" t="str">
        <f aca="false">IF(ISBLANK($C270),"",IF(ISNUMBER(M270), M270, ""))</f>
        <v/>
      </c>
      <c r="AB270" s="101" t="str">
        <f aca="false">IF(ISBLANK($C270),"",IF(ISNUMBER(N270), N270, ""))</f>
        <v/>
      </c>
      <c r="AC270" s="101" t="str">
        <f aca="false">IF(ISBLANK($C270),"",IF(ISNUMBER(O270), O270, ""))</f>
        <v/>
      </c>
      <c r="AD270" s="102" t="str">
        <f aca="false">IF(ISBLANK($C270),"",IF(ISNUMBER(P270), P270, ""))</f>
        <v/>
      </c>
      <c r="AE270" s="102" t="str">
        <f aca="false">IF(ISBLANK($C270),"",IF(ISNUMBER(Q270), Q270, Constants!$B$13))</f>
        <v/>
      </c>
      <c r="AF270" s="99" t="str">
        <f aca="false">IF(ISBLANK($C270),"",IF(R270=Constants!$B$2, TRUE(), IF(R270=Constants!$B$3, FALSE(), FALSE())))</f>
        <v/>
      </c>
      <c r="AG270" s="99" t="str">
        <f aca="false">IF(ISBLANK(C270), "", IF(AF270, Constants!$B$4,IF(COUNTA(G270:P270)=0, Constants!$B$5, Constants!$B$7)))</f>
        <v/>
      </c>
      <c r="AH270" s="99" t="str">
        <f aca="false">IF(ISBLANK($C270), "",IF($AG270=Constants!$B$7,1,$AG270))</f>
        <v/>
      </c>
      <c r="AI270" s="99" t="str">
        <f aca="false">IF($AG270=Constants!$B$7,POWER(Constants!$B$11,X270)*POWER(Constants!$B$12,Z270),"")</f>
        <v/>
      </c>
      <c r="AJ270" s="99" t="str">
        <f aca="false">IF(AND($AG270=Constants!$B$7, U270, V270) ,IF(OR($AA270="",$AC270=""),"",MAX(0, $AC270-$AA270)),"")</f>
        <v/>
      </c>
      <c r="AK270" s="99" t="str">
        <f aca="false">IF(AND($AG270=Constants!$B$7, U270, V270),IF(OR($AA270="",$AC270=""),$AK$6,""),"")</f>
        <v/>
      </c>
      <c r="AL270" s="99" t="str">
        <f aca="false">IF($AG270=Constants!$B$7,IF(AND(U270,V270,W270,Y270),IF($AJ270="",0,IF($AJ$6=0,Constants!$B$9,Constants!$B$9*AJ270/$AJ$6)), 0),"")</f>
        <v/>
      </c>
      <c r="AM270" s="99" t="str">
        <f aca="false">IF(AL270&lt;&gt;"", AL270*AI270,"")</f>
        <v/>
      </c>
      <c r="AN270" s="99" t="str">
        <f aca="false">IF(AND($AG270=Constants!$B$7, U270, V270) ,IF($AB270="", "", IF(OR($AC270="",$AC270=0),"",MAX(0,1-ABS($AC270-$AB270)/$AC270))),"")</f>
        <v/>
      </c>
      <c r="AO270" s="99" t="str">
        <f aca="false">IF(AND($AG270=Constants!$B$7, U270, V270),IF(AND($AA270&lt;&gt;"",$AB270&lt;&gt;"",$AC270=0),$AO$6,""),"")</f>
        <v/>
      </c>
      <c r="AP270" s="99" t="str">
        <f aca="false">IF($AG270=Constants!$B$7 ,IF(AND(U270,V270,W270,Y270,ISNUMBER(AB270)),IF($AN270="",0,IF($AN$6=0,Constants!$B$10,Constants!$B$10*AN270/$AN$6)), 0),"")</f>
        <v/>
      </c>
      <c r="AQ270" s="99" t="str">
        <f aca="false">IF(AP270&lt;&gt;"", AP270*AI270,"")</f>
        <v/>
      </c>
      <c r="AR270" s="99" t="str">
        <f aca="false">IF($AG270=Constants!$B$7,IF($AD270="",0,IF($AR$6=0,Constants!$B$8,Constants!$B$8*AD270/$AR$6)),"")</f>
        <v/>
      </c>
      <c r="AS270" s="99" t="str">
        <f aca="false">IF($AG270&lt;&gt;Constants!$B$7,$AG270,IF(AK270&amp;AO270&lt;&gt;"",Constants!$B$14,AM270+AQ270+AR270))</f>
        <v/>
      </c>
      <c r="AT270" s="99" t="str">
        <f aca="false">IF(ISBLANK($C270),"",IF($AG270=Constants!$B$7,IF(ISNUMBER(AS270),RANK(AS270,$AS$8:$AS$507),Constants!$B$14),$AG270))</f>
        <v/>
      </c>
      <c r="AU270" s="99" t="str">
        <f aca="false">IF(ISBLANK($C270), "",AM270)</f>
        <v/>
      </c>
      <c r="AV270" s="99" t="str">
        <f aca="false">IF(ISBLANK($C270),"",IF($AG270=Constants!$B$7,RANK(AU270,AU$8:AU$507),$AG270))</f>
        <v/>
      </c>
      <c r="AW270" s="99" t="str">
        <f aca="false">IF(ISBLANK($C270), "",AR270)</f>
        <v/>
      </c>
      <c r="AX270" s="99" t="str">
        <f aca="false">IF(ISBLANK($C270),"",IF($AG270=Constants!$B$7,RANK(AW270,AW$8:AW$507),$AG270))</f>
        <v/>
      </c>
      <c r="AY270" s="99" t="str">
        <f aca="false">IF(ISBLANK($C270), "",AE270)</f>
        <v/>
      </c>
      <c r="AZ270" s="99" t="str">
        <f aca="false">IF(ISBLANK($C270),"",
IF($AG270=Constants!$B$7,
  IF(ISNUMBER(AT270),
    COUNTIFS($AT$8:$AT$507,"&lt;"&amp;$AT270)
    + COUNTIFS($AT$8:$AT$507,$AT270,$AV$8:$AV$507,"&lt;"&amp;$AV270)
    + COUNTIFS($AT$8:$AT$507,$AT270,$AV$8:$AV$507,$AV270,$AX$8:$AX$507,"&lt;"&amp;$AX270)
    + COUNTIFS($AT$8:$AT$507,$AT270,$AV$8:$AV$507,$AV270,$AX$8:$AX$507,$AX270,$AY$8:$AY$507,"&lt;"&amp;$AY270)
    + 1,
  Constants!$B$14),
$AG270))</f>
        <v/>
      </c>
      <c r="BA270" s="99" t="str">
        <f aca="false">IF(ISBLANK(C270),"",IF($AG270=Constants!$B$7, IF(ISNUMBER(AT270),AT270-AZ270,Constants!$B$14),$AG270))</f>
        <v/>
      </c>
      <c r="BB270" s="103"/>
      <c r="BC270" s="104" t="str">
        <f aca="false">IF(ISBLANK($C270),"",TRIM(AK270&amp;" "&amp;AO270))</f>
        <v/>
      </c>
      <c r="BD270" s="105" t="str">
        <f aca="false">IF(ISBLANK($C270),"",IF($AG270&lt;&gt;Constants!$B$7,$AG270,AR270))</f>
        <v/>
      </c>
      <c r="BE270" s="105" t="str">
        <f aca="false">IF(ISBLANK($C270),"",IF($AG270&lt;&gt;Constants!$B$7,$AG270,AM270))</f>
        <v/>
      </c>
      <c r="BF270" s="105" t="str">
        <f aca="false">IF(ISBLANK($C270),"",IF($AG270&lt;&gt;Constants!$B$7,$AG270,AQ270))</f>
        <v/>
      </c>
      <c r="BG270" s="106" t="str">
        <f aca="false">IF(ISBLANK($C270),"",IF($AG270&lt;&gt;Constants!$B$7, $AG270 ,AS270))</f>
        <v/>
      </c>
      <c r="BH270" s="107" t="str">
        <f aca="false">IF(ISBLANK($C270),"",IF($AG270&lt;&gt;Constants!$B$7, $AG270 ,AH270))</f>
        <v/>
      </c>
      <c r="BI270" s="105" t="str">
        <f aca="false">IF(ISBLANK(C270),"",BA270)</f>
        <v/>
      </c>
      <c r="BJ270" s="105" t="str">
        <f aca="false">IF(ISBLANK(C270),"",AZ270)</f>
        <v/>
      </c>
      <c r="BK270" s="108" t="str">
        <f aca="false">IF(ISBLANK(C270),"",IFERROR(_xlfn.SWITCH(BJ270, Constants!$B$4, COUNTA($C$8:$C769)+2, Constants!$B$5, COUNTA($C$8:$C769)+1, Constants!$B$6, COUNTA($C$8:$C769)),BJ270))</f>
        <v/>
      </c>
      <c r="BL270" s="5"/>
      <c r="BM270" s="109" t="n">
        <f aca="false">IF(OR(ISNUMBER(BJ270),BJ270="DQ",BJ270="P",BJ270="NS"),
    1,
    0
)</f>
        <v>0</v>
      </c>
      <c r="BN270" s="109" t="n">
        <v>263</v>
      </c>
      <c r="BO270" s="109" t="str">
        <f aca="false">IF(ISBLANK($C270),"",IF(ISNUMBER(BK270),BK270+ROW($B270)/1000,""))</f>
        <v/>
      </c>
      <c r="BP270" s="109" t="str">
        <f aca="false">IF(ISNUMBER(BO270), RANK(BO270,BO$8:BO$507,1), "")</f>
        <v/>
      </c>
      <c r="BQ270" s="109" t="str">
        <f aca="false">IF(ISBLANK($C270),
    "",
    $B270
)</f>
        <v/>
      </c>
      <c r="BR270" s="109" t="str">
        <f aca="false">IF(ISBLANK($C270),
    "",
    $C270
)</f>
        <v/>
      </c>
      <c r="BS270" s="109" t="str">
        <f aca="false">IF(ISBLANK($C270),
    "",
    $D270
)</f>
        <v/>
      </c>
      <c r="BT270" s="110" t="str">
        <f aca="false">BH270</f>
        <v/>
      </c>
      <c r="BU270" s="111" t="str">
        <f aca="false">BG270</f>
        <v/>
      </c>
      <c r="BV270" s="109" t="str">
        <f aca="false">IF(ISBLANK($C270),
    "",
    BJ270
)</f>
        <v/>
      </c>
      <c r="BW270" s="112" t="str">
        <f aca="false">IF(BN270&gt;BM$7,
    "",
    VLOOKUP(BN270,BP$8:BV769,7,FALSE())
)</f>
        <v/>
      </c>
      <c r="BX270" s="113" t="str">
        <f aca="false">IF(BN270&gt;BM$7,
    "",
    VLOOKUP(BN270,BP$8:BV769,2,FALSE())
)</f>
        <v/>
      </c>
      <c r="BY270" s="113" t="str">
        <f aca="false">IF(BN270&gt;BM$7,
    "",
    VLOOKUP(BN270,BP$8:BV769,3,FALSE())
)</f>
        <v/>
      </c>
      <c r="BZ270" s="113" t="str">
        <f aca="false">IF(BN270&gt;BM$7,
    "",
    VLOOKUP(BN270,BP$8:BV769,4,FALSE())
)</f>
        <v/>
      </c>
      <c r="CA270" s="113" t="str">
        <f aca="false">IF(BN270&gt;BM$7,
    "",
    VLOOKUP(BN270,BP$8:BV769,5,FALSE())
)</f>
        <v/>
      </c>
      <c r="CB270" s="114" t="str">
        <f aca="false">IF(BN270&gt;BM$7,
    "",
    VLOOKUP(BN270,BP$8:BV769,6,FALSE())
)</f>
        <v/>
      </c>
      <c r="CC270" s="53"/>
    </row>
    <row r="271" customFormat="false" ht="15.75" hidden="false" customHeight="false" outlineLevel="0" collapsed="false">
      <c r="A271" s="5"/>
      <c r="B271" s="125"/>
      <c r="C271" s="126"/>
      <c r="D271" s="115"/>
      <c r="E271" s="119"/>
      <c r="F271" s="119"/>
      <c r="G271" s="91"/>
      <c r="H271" s="92"/>
      <c r="I271" s="92"/>
      <c r="J271" s="128"/>
      <c r="K271" s="128"/>
      <c r="L271" s="128"/>
      <c r="M271" s="94"/>
      <c r="N271" s="94"/>
      <c r="O271" s="94"/>
      <c r="P271" s="95"/>
      <c r="Q271" s="96"/>
      <c r="R271" s="128"/>
      <c r="S271" s="98"/>
      <c r="T271" s="99"/>
      <c r="U271" s="99" t="str">
        <f aca="false">IF(ISBLANK($C271),"",IF(G271=Constants!$B$2, TRUE(), IF(G271=Constants!$B$3, FALSE(), TRUE())))</f>
        <v/>
      </c>
      <c r="V271" s="99" t="str">
        <f aca="false">IF(ISBLANK($C271),"",IF(H271=Constants!$B$2, TRUE(), IF(H271=Constants!$B$3, FALSE(), TRUE())))</f>
        <v/>
      </c>
      <c r="W271" s="99" t="str">
        <f aca="false">IF(ISBLANK($C271),"",IF(I271=Constants!$B$2, TRUE(), IF(I271=Constants!$B$3, FALSE(), TRUE())))</f>
        <v/>
      </c>
      <c r="X271" s="99" t="str">
        <f aca="false">IF(ISBLANK($C271),"",IF(AND(ISNUMBER(J271),J271&gt;0),INT(J271),0))</f>
        <v/>
      </c>
      <c r="Y271" s="99" t="str">
        <f aca="false">IF(ISBLANK($C271),"",IF(K271=Constants!$B$2, TRUE(), IF(K271=Constants!$B$3, FALSE(), TRUE())))</f>
        <v/>
      </c>
      <c r="Z271" s="100" t="str">
        <f aca="false">IF(ISBLANK($C271),"",IF(AND(ISNUMBER(L271),L271&gt;0),INT(L271),0))</f>
        <v/>
      </c>
      <c r="AA271" s="101" t="str">
        <f aca="false">IF(ISBLANK($C271),"",IF(ISNUMBER(M271), M271, ""))</f>
        <v/>
      </c>
      <c r="AB271" s="101" t="str">
        <f aca="false">IF(ISBLANK($C271),"",IF(ISNUMBER(N271), N271, ""))</f>
        <v/>
      </c>
      <c r="AC271" s="101" t="str">
        <f aca="false">IF(ISBLANK($C271),"",IF(ISNUMBER(O271), O271, ""))</f>
        <v/>
      </c>
      <c r="AD271" s="102" t="str">
        <f aca="false">IF(ISBLANK($C271),"",IF(ISNUMBER(P271), P271, ""))</f>
        <v/>
      </c>
      <c r="AE271" s="102" t="str">
        <f aca="false">IF(ISBLANK($C271),"",IF(ISNUMBER(Q271), Q271, Constants!$B$13))</f>
        <v/>
      </c>
      <c r="AF271" s="99" t="str">
        <f aca="false">IF(ISBLANK($C271),"",IF(R271=Constants!$B$2, TRUE(), IF(R271=Constants!$B$3, FALSE(), FALSE())))</f>
        <v/>
      </c>
      <c r="AG271" s="99" t="str">
        <f aca="false">IF(ISBLANK(C271), "", IF(AF271, Constants!$B$4,IF(COUNTA(G271:P271)=0, Constants!$B$5, Constants!$B$7)))</f>
        <v/>
      </c>
      <c r="AH271" s="99" t="str">
        <f aca="false">IF(ISBLANK($C271), "",IF($AG271=Constants!$B$7,1,$AG271))</f>
        <v/>
      </c>
      <c r="AI271" s="99" t="str">
        <f aca="false">IF($AG271=Constants!$B$7,POWER(Constants!$B$11,X271)*POWER(Constants!$B$12,Z271),"")</f>
        <v/>
      </c>
      <c r="AJ271" s="99" t="str">
        <f aca="false">IF(AND($AG271=Constants!$B$7, U271, V271) ,IF(OR($AA271="",$AC271=""),"",MAX(0, $AC271-$AA271)),"")</f>
        <v/>
      </c>
      <c r="AK271" s="99" t="str">
        <f aca="false">IF(AND($AG271=Constants!$B$7, U271, V271),IF(OR($AA271="",$AC271=""),$AK$6,""),"")</f>
        <v/>
      </c>
      <c r="AL271" s="99" t="str">
        <f aca="false">IF($AG271=Constants!$B$7,IF(AND(U271,V271,W271,Y271),IF($AJ271="",0,IF($AJ$6=0,Constants!$B$9,Constants!$B$9*AJ271/$AJ$6)), 0),"")</f>
        <v/>
      </c>
      <c r="AM271" s="99" t="str">
        <f aca="false">IF(AL271&lt;&gt;"", AL271*AI271,"")</f>
        <v/>
      </c>
      <c r="AN271" s="99" t="str">
        <f aca="false">IF(AND($AG271=Constants!$B$7, U271, V271) ,IF($AB271="", "", IF(OR($AC271="",$AC271=0),"",MAX(0,1-ABS($AC271-$AB271)/$AC271))),"")</f>
        <v/>
      </c>
      <c r="AO271" s="99" t="str">
        <f aca="false">IF(AND($AG271=Constants!$B$7, U271, V271),IF(AND($AA271&lt;&gt;"",$AB271&lt;&gt;"",$AC271=0),$AO$6,""),"")</f>
        <v/>
      </c>
      <c r="AP271" s="99" t="str">
        <f aca="false">IF($AG271=Constants!$B$7 ,IF(AND(U271,V271,W271,Y271,ISNUMBER(AB271)),IF($AN271="",0,IF($AN$6=0,Constants!$B$10,Constants!$B$10*AN271/$AN$6)), 0),"")</f>
        <v/>
      </c>
      <c r="AQ271" s="99" t="str">
        <f aca="false">IF(AP271&lt;&gt;"", AP271*AI271,"")</f>
        <v/>
      </c>
      <c r="AR271" s="99" t="str">
        <f aca="false">IF($AG271=Constants!$B$7,IF($AD271="",0,IF($AR$6=0,Constants!$B$8,Constants!$B$8*AD271/$AR$6)),"")</f>
        <v/>
      </c>
      <c r="AS271" s="99" t="str">
        <f aca="false">IF($AG271&lt;&gt;Constants!$B$7,$AG271,IF(AK271&amp;AO271&lt;&gt;"",Constants!$B$14,AM271+AQ271+AR271))</f>
        <v/>
      </c>
      <c r="AT271" s="99" t="str">
        <f aca="false">IF(ISBLANK($C271),"",IF($AG271=Constants!$B$7,IF(ISNUMBER(AS271),RANK(AS271,$AS$8:$AS$507),Constants!$B$14),$AG271))</f>
        <v/>
      </c>
      <c r="AU271" s="99" t="str">
        <f aca="false">IF(ISBLANK($C271), "",AM271)</f>
        <v/>
      </c>
      <c r="AV271" s="99" t="str">
        <f aca="false">IF(ISBLANK($C271),"",IF($AG271=Constants!$B$7,RANK(AU271,AU$8:AU$507),$AG271))</f>
        <v/>
      </c>
      <c r="AW271" s="99" t="str">
        <f aca="false">IF(ISBLANK($C271), "",AR271)</f>
        <v/>
      </c>
      <c r="AX271" s="99" t="str">
        <f aca="false">IF(ISBLANK($C271),"",IF($AG271=Constants!$B$7,RANK(AW271,AW$8:AW$507),$AG271))</f>
        <v/>
      </c>
      <c r="AY271" s="99" t="str">
        <f aca="false">IF(ISBLANK($C271), "",AE271)</f>
        <v/>
      </c>
      <c r="AZ271" s="99" t="str">
        <f aca="false">IF(ISBLANK($C271),"",
IF($AG271=Constants!$B$7,
  IF(ISNUMBER(AT271),
    COUNTIFS($AT$8:$AT$507,"&lt;"&amp;$AT271)
    + COUNTIFS($AT$8:$AT$507,$AT271,$AV$8:$AV$507,"&lt;"&amp;$AV271)
    + COUNTIFS($AT$8:$AT$507,$AT271,$AV$8:$AV$507,$AV271,$AX$8:$AX$507,"&lt;"&amp;$AX271)
    + COUNTIFS($AT$8:$AT$507,$AT271,$AV$8:$AV$507,$AV271,$AX$8:$AX$507,$AX271,$AY$8:$AY$507,"&lt;"&amp;$AY271)
    + 1,
  Constants!$B$14),
$AG271))</f>
        <v/>
      </c>
      <c r="BA271" s="99" t="str">
        <f aca="false">IF(ISBLANK(C271),"",IF($AG271=Constants!$B$7, IF(ISNUMBER(AT271),AT271-AZ271,Constants!$B$14),$AG271))</f>
        <v/>
      </c>
      <c r="BB271" s="103"/>
      <c r="BC271" s="104" t="str">
        <f aca="false">IF(ISBLANK($C271),"",TRIM(AK271&amp;" "&amp;AO271))</f>
        <v/>
      </c>
      <c r="BD271" s="105" t="str">
        <f aca="false">IF(ISBLANK($C271),"",IF($AG271&lt;&gt;Constants!$B$7,$AG271,AR271))</f>
        <v/>
      </c>
      <c r="BE271" s="105" t="str">
        <f aca="false">IF(ISBLANK($C271),"",IF($AG271&lt;&gt;Constants!$B$7,$AG271,AM271))</f>
        <v/>
      </c>
      <c r="BF271" s="105" t="str">
        <f aca="false">IF(ISBLANK($C271),"",IF($AG271&lt;&gt;Constants!$B$7,$AG271,AQ271))</f>
        <v/>
      </c>
      <c r="BG271" s="106" t="str">
        <f aca="false">IF(ISBLANK($C271),"",IF($AG271&lt;&gt;Constants!$B$7, $AG271 ,AS271))</f>
        <v/>
      </c>
      <c r="BH271" s="107" t="str">
        <f aca="false">IF(ISBLANK($C271),"",IF($AG271&lt;&gt;Constants!$B$7, $AG271 ,AH271))</f>
        <v/>
      </c>
      <c r="BI271" s="105" t="str">
        <f aca="false">IF(ISBLANK(C271),"",BA271)</f>
        <v/>
      </c>
      <c r="BJ271" s="105" t="str">
        <f aca="false">IF(ISBLANK(C271),"",AZ271)</f>
        <v/>
      </c>
      <c r="BK271" s="108" t="str">
        <f aca="false">IF(ISBLANK(C271),"",IFERROR(_xlfn.SWITCH(BJ271, Constants!$B$4, COUNTA($C$8:$C770)+2, Constants!$B$5, COUNTA($C$8:$C770)+1, Constants!$B$6, COUNTA($C$8:$C770)),BJ271))</f>
        <v/>
      </c>
      <c r="BL271" s="5"/>
      <c r="BM271" s="109" t="n">
        <f aca="false">IF(OR(ISNUMBER(BJ271),BJ271="DQ",BJ271="P",BJ271="NS"),
    1,
    0
)</f>
        <v>0</v>
      </c>
      <c r="BN271" s="109" t="n">
        <v>264</v>
      </c>
      <c r="BO271" s="109" t="str">
        <f aca="false">IF(ISBLANK($C271),"",IF(ISNUMBER(BK271),BK271+ROW($B271)/1000,""))</f>
        <v/>
      </c>
      <c r="BP271" s="109" t="str">
        <f aca="false">IF(ISNUMBER(BO271), RANK(BO271,BO$8:BO$507,1), "")</f>
        <v/>
      </c>
      <c r="BQ271" s="109" t="str">
        <f aca="false">IF(ISBLANK($C271),
    "",
    $B271
)</f>
        <v/>
      </c>
      <c r="BR271" s="109" t="str">
        <f aca="false">IF(ISBLANK($C271),
    "",
    $C271
)</f>
        <v/>
      </c>
      <c r="BS271" s="109" t="str">
        <f aca="false">IF(ISBLANK($C271),
    "",
    $D271
)</f>
        <v/>
      </c>
      <c r="BT271" s="110" t="str">
        <f aca="false">BH271</f>
        <v/>
      </c>
      <c r="BU271" s="111" t="str">
        <f aca="false">BG271</f>
        <v/>
      </c>
      <c r="BV271" s="109" t="str">
        <f aca="false">IF(ISBLANK($C271),
    "",
    BJ271
)</f>
        <v/>
      </c>
      <c r="BW271" s="112" t="str">
        <f aca="false">IF(BN271&gt;BM$7,
    "",
    VLOOKUP(BN271,BP$8:BV770,7,FALSE())
)</f>
        <v/>
      </c>
      <c r="BX271" s="113" t="str">
        <f aca="false">IF(BN271&gt;BM$7,
    "",
    VLOOKUP(BN271,BP$8:BV770,2,FALSE())
)</f>
        <v/>
      </c>
      <c r="BY271" s="113" t="str">
        <f aca="false">IF(BN271&gt;BM$7,
    "",
    VLOOKUP(BN271,BP$8:BV770,3,FALSE())
)</f>
        <v/>
      </c>
      <c r="BZ271" s="113" t="str">
        <f aca="false">IF(BN271&gt;BM$7,
    "",
    VLOOKUP(BN271,BP$8:BV770,4,FALSE())
)</f>
        <v/>
      </c>
      <c r="CA271" s="113" t="str">
        <f aca="false">IF(BN271&gt;BM$7,
    "",
    VLOOKUP(BN271,BP$8:BV770,5,FALSE())
)</f>
        <v/>
      </c>
      <c r="CB271" s="114" t="str">
        <f aca="false">IF(BN271&gt;BM$7,
    "",
    VLOOKUP(BN271,BP$8:BV770,6,FALSE())
)</f>
        <v/>
      </c>
      <c r="CC271" s="53"/>
    </row>
    <row r="272" customFormat="false" ht="15.75" hidden="false" customHeight="false" outlineLevel="0" collapsed="false">
      <c r="A272" s="5"/>
      <c r="B272" s="129"/>
      <c r="C272" s="55"/>
      <c r="D272" s="56"/>
      <c r="E272" s="123"/>
      <c r="F272" s="123"/>
      <c r="G272" s="58"/>
      <c r="H272" s="59"/>
      <c r="I272" s="59"/>
      <c r="J272" s="83"/>
      <c r="K272" s="83"/>
      <c r="L272" s="83"/>
      <c r="M272" s="61"/>
      <c r="N272" s="61"/>
      <c r="O272" s="61"/>
      <c r="P272" s="62"/>
      <c r="Q272" s="63"/>
      <c r="R272" s="83"/>
      <c r="S272" s="65"/>
      <c r="T272" s="66"/>
      <c r="U272" s="66" t="str">
        <f aca="false">IF(ISBLANK($C272),"",IF(G272=Constants!$B$2, TRUE(), IF(G272=Constants!$B$3, FALSE(), TRUE())))</f>
        <v/>
      </c>
      <c r="V272" s="66" t="str">
        <f aca="false">IF(ISBLANK($C272),"",IF(H272=Constants!$B$2, TRUE(), IF(H272=Constants!$B$3, FALSE(), TRUE())))</f>
        <v/>
      </c>
      <c r="W272" s="66" t="str">
        <f aca="false">IF(ISBLANK($C272),"",IF(I272=Constants!$B$2, TRUE(), IF(I272=Constants!$B$3, FALSE(), TRUE())))</f>
        <v/>
      </c>
      <c r="X272" s="66" t="str">
        <f aca="false">IF(ISBLANK($C272),"",IF(AND(ISNUMBER(J272),J272&gt;0),INT(J272),0))</f>
        <v/>
      </c>
      <c r="Y272" s="66" t="str">
        <f aca="false">IF(ISBLANK($C272),"",IF(K272=Constants!$B$2, TRUE(), IF(K272=Constants!$B$3, FALSE(), TRUE())))</f>
        <v/>
      </c>
      <c r="Z272" s="66" t="str">
        <f aca="false">IF(ISBLANK($C272),"",IF(AND(ISNUMBER(L272),L272&gt;0),INT(L272),0))</f>
        <v/>
      </c>
      <c r="AA272" s="68" t="str">
        <f aca="false">IF(ISBLANK($C272),"",IF(ISNUMBER(M272), M272, ""))</f>
        <v/>
      </c>
      <c r="AB272" s="68" t="str">
        <f aca="false">IF(ISBLANK($C272),"",IF(ISNUMBER(N272), N272, ""))</f>
        <v/>
      </c>
      <c r="AC272" s="68" t="str">
        <f aca="false">IF(ISBLANK($C272),"",IF(ISNUMBER(O272), O272, ""))</f>
        <v/>
      </c>
      <c r="AD272" s="69" t="str">
        <f aca="false">IF(ISBLANK($C272),"",IF(ISNUMBER(P272), P272, ""))</f>
        <v/>
      </c>
      <c r="AE272" s="69" t="str">
        <f aca="false">IF(ISBLANK($C272),"",IF(ISNUMBER(Q272), Q272, Constants!$B$13))</f>
        <v/>
      </c>
      <c r="AF272" s="66" t="str">
        <f aca="false">IF(ISBLANK($C272),"",IF(R272=Constants!$B$2, TRUE(), IF(R272=Constants!$B$3, FALSE(), FALSE())))</f>
        <v/>
      </c>
      <c r="AG272" s="66" t="str">
        <f aca="false">IF(ISBLANK(C272), "", IF(AF272, Constants!$B$4,IF(COUNTA(G272:P272)=0, Constants!$B$5, Constants!$B$7)))</f>
        <v/>
      </c>
      <c r="AH272" s="66" t="str">
        <f aca="false">IF(ISBLANK($C272), "",IF($AG272=Constants!$B$7,1,$AG272))</f>
        <v/>
      </c>
      <c r="AI272" s="66" t="str">
        <f aca="false">IF($AG272=Constants!$B$7,POWER(Constants!$B$11,X272)*POWER(Constants!$B$12,Z272),"")</f>
        <v/>
      </c>
      <c r="AJ272" s="66" t="str">
        <f aca="false">IF(AND($AG272=Constants!$B$7, U272, V272) ,IF(OR($AA272="",$AC272=""),"",MAX(0, $AC272-$AA272)),"")</f>
        <v/>
      </c>
      <c r="AK272" s="66" t="str">
        <f aca="false">IF(AND($AG272=Constants!$B$7, U272, V272),IF(OR($AA272="",$AC272=""),$AK$6,""),"")</f>
        <v/>
      </c>
      <c r="AL272" s="66" t="str">
        <f aca="false">IF($AG272=Constants!$B$7,IF(AND(U272,V272,W272,Y272),IF($AJ272="",0,IF($AJ$6=0,Constants!$B$9,Constants!$B$9*AJ272/$AJ$6)), 0),"")</f>
        <v/>
      </c>
      <c r="AM272" s="66" t="str">
        <f aca="false">IF(AL272&lt;&gt;"", AL272*AI272,"")</f>
        <v/>
      </c>
      <c r="AN272" s="66" t="str">
        <f aca="false">IF(AND($AG272=Constants!$B$7, U272, V272) ,IF($AB272="", "", IF(OR($AC272="",$AC272=0),"",MAX(0,1-ABS($AC272-$AB272)/$AC272))),"")</f>
        <v/>
      </c>
      <c r="AO272" s="66" t="str">
        <f aca="false">IF(AND($AG272=Constants!$B$7, U272, V272),IF(AND($AA272&lt;&gt;"",$AB272&lt;&gt;"",$AC272=0),$AO$6,""),"")</f>
        <v/>
      </c>
      <c r="AP272" s="66" t="str">
        <f aca="false">IF($AG272=Constants!$B$7 ,IF(AND(U272,V272,W272,Y272,ISNUMBER(AB272)),IF($AN272="",0,IF($AN$6=0,Constants!$B$10,Constants!$B$10*AN272/$AN$6)), 0),"")</f>
        <v/>
      </c>
      <c r="AQ272" s="66" t="str">
        <f aca="false">IF(AP272&lt;&gt;"", AP272*AI272,"")</f>
        <v/>
      </c>
      <c r="AR272" s="66" t="str">
        <f aca="false">IF($AG272=Constants!$B$7,IF($AD272="",0,IF($AR$6=0,Constants!$B$8,Constants!$B$8*AD272/$AR$6)),"")</f>
        <v/>
      </c>
      <c r="AS272" s="66" t="str">
        <f aca="false">IF($AG272&lt;&gt;Constants!$B$7,$AG272,IF(AK272&amp;AO272&lt;&gt;"",Constants!$B$14,AM272+AQ272+AR272))</f>
        <v/>
      </c>
      <c r="AT272" s="66" t="str">
        <f aca="false">IF(ISBLANK($C272),"",IF($AG272=Constants!$B$7,IF(ISNUMBER(AS272),RANK(AS272,$AS$8:$AS$507),Constants!$B$14),$AG272))</f>
        <v/>
      </c>
      <c r="AU272" s="66" t="str">
        <f aca="false">IF(ISBLANK($C272), "",AM272)</f>
        <v/>
      </c>
      <c r="AV272" s="66" t="str">
        <f aca="false">IF(ISBLANK($C272),"",IF($AG272=Constants!$B$7,RANK(AU272,AU$8:AU$507),$AG272))</f>
        <v/>
      </c>
      <c r="AW272" s="66" t="str">
        <f aca="false">IF(ISBLANK($C272), "",AR272)</f>
        <v/>
      </c>
      <c r="AX272" s="66" t="str">
        <f aca="false">IF(ISBLANK($C272),"",IF($AG272=Constants!$B$7,RANK(AW272,AW$8:AW$507),$AG272))</f>
        <v/>
      </c>
      <c r="AY272" s="66" t="str">
        <f aca="false">IF(ISBLANK($C272), "",AE272)</f>
        <v/>
      </c>
      <c r="AZ272" s="66" t="str">
        <f aca="false">IF(ISBLANK($C272),"",
IF($AG272=Constants!$B$7,
  IF(ISNUMBER(AT272),
    COUNTIFS($AT$8:$AT$507,"&lt;"&amp;$AT272)
    + COUNTIFS($AT$8:$AT$507,$AT272,$AV$8:$AV$507,"&lt;"&amp;$AV272)
    + COUNTIFS($AT$8:$AT$507,$AT272,$AV$8:$AV$507,$AV272,$AX$8:$AX$507,"&lt;"&amp;$AX272)
    + COUNTIFS($AT$8:$AT$507,$AT272,$AV$8:$AV$507,$AV272,$AX$8:$AX$507,$AX272,$AY$8:$AY$507,"&lt;"&amp;$AY272)
    + 1,
  Constants!$B$14),
$AG272))</f>
        <v/>
      </c>
      <c r="BA272" s="66" t="str">
        <f aca="false">IF(ISBLANK(C272),"",IF($AG272=Constants!$B$7, IF(ISNUMBER(AT272),AT272-AZ272,Constants!$B$14),$AG272))</f>
        <v/>
      </c>
      <c r="BB272" s="70"/>
      <c r="BC272" s="84" t="str">
        <f aca="false">IF(ISBLANK($C272),"",TRIM(AK272&amp;" "&amp;AO272))</f>
        <v/>
      </c>
      <c r="BD272" s="72" t="str">
        <f aca="false">IF(ISBLANK($C272),"",IF($AG272&lt;&gt;Constants!$B$7,$AG272,AR272))</f>
        <v/>
      </c>
      <c r="BE272" s="72" t="str">
        <f aca="false">IF(ISBLANK($C272),"",IF($AG272&lt;&gt;Constants!$B$7,$AG272,AM272))</f>
        <v/>
      </c>
      <c r="BF272" s="72" t="str">
        <f aca="false">IF(ISBLANK($C272),"",IF($AG272&lt;&gt;Constants!$B$7,$AG272,AQ272))</f>
        <v/>
      </c>
      <c r="BG272" s="73" t="str">
        <f aca="false">IF(ISBLANK($C272),"",IF($AG272&lt;&gt;Constants!$B$7, $AG272 ,AS272))</f>
        <v/>
      </c>
      <c r="BH272" s="74" t="str">
        <f aca="false">IF(ISBLANK($C272),"",IF($AG272&lt;&gt;Constants!$B$7, $AG272 ,AH272))</f>
        <v/>
      </c>
      <c r="BI272" s="72" t="str">
        <f aca="false">IF(ISBLANK(C272),"",BA272)</f>
        <v/>
      </c>
      <c r="BJ272" s="72" t="str">
        <f aca="false">IF(ISBLANK(C272),"",AZ272)</f>
        <v/>
      </c>
      <c r="BK272" s="75" t="str">
        <f aca="false">IF(ISBLANK(C272),"",IFERROR(_xlfn.SWITCH(BJ272, Constants!$B$4, COUNTA($C$8:$C771)+2, Constants!$B$5, COUNTA($C$8:$C771)+1, Constants!$B$6, COUNTA($C$8:$C771)),BJ272))</f>
        <v/>
      </c>
      <c r="BL272" s="5"/>
      <c r="BM272" s="76" t="n">
        <f aca="false">IF(OR(ISNUMBER(BJ272),BJ272="DQ",BJ272="P",BJ272="NS"),
    1,
    0
)</f>
        <v>0</v>
      </c>
      <c r="BN272" s="76" t="n">
        <v>265</v>
      </c>
      <c r="BO272" s="76" t="str">
        <f aca="false">IF(ISBLANK($C272),"",IF(ISNUMBER(BK272),BK272+ROW($B272)/1000,""))</f>
        <v/>
      </c>
      <c r="BP272" s="76" t="str">
        <f aca="false">IF(ISNUMBER(BO272), RANK(BO272,BO$8:BO$507,1), "")</f>
        <v/>
      </c>
      <c r="BQ272" s="76" t="str">
        <f aca="false">IF(ISBLANK($C272),
    "",
    $B272
)</f>
        <v/>
      </c>
      <c r="BR272" s="76" t="str">
        <f aca="false">IF(ISBLANK($C272),
    "",
    $C272
)</f>
        <v/>
      </c>
      <c r="BS272" s="76" t="str">
        <f aca="false">IF(ISBLANK($C272),
    "",
    $D272
)</f>
        <v/>
      </c>
      <c r="BT272" s="77" t="str">
        <f aca="false">BH272</f>
        <v/>
      </c>
      <c r="BU272" s="78" t="str">
        <f aca="false">BG272</f>
        <v/>
      </c>
      <c r="BV272" s="76" t="str">
        <f aca="false">IF(ISBLANK($C272),
    "",
    BJ272
)</f>
        <v/>
      </c>
      <c r="BW272" s="79" t="str">
        <f aca="false">IF(BN272&gt;BM$7,
    "",
    VLOOKUP(BN272,BP$8:BV771,7,FALSE())
)</f>
        <v/>
      </c>
      <c r="BX272" s="80" t="str">
        <f aca="false">IF(BN272&gt;BM$7,
    "",
    VLOOKUP(BN272,BP$8:BV771,2,FALSE())
)</f>
        <v/>
      </c>
      <c r="BY272" s="80" t="str">
        <f aca="false">IF(BN272&gt;BM$7,
    "",
    VLOOKUP(BN272,BP$8:BV771,3,FALSE())
)</f>
        <v/>
      </c>
      <c r="BZ272" s="80" t="str">
        <f aca="false">IF(BN272&gt;BM$7,
    "",
    VLOOKUP(BN272,BP$8:BV771,4,FALSE())
)</f>
        <v/>
      </c>
      <c r="CA272" s="80" t="str">
        <f aca="false">IF(BN272&gt;BM$7,
    "",
    VLOOKUP(BN272,BP$8:BV771,5,FALSE())
)</f>
        <v/>
      </c>
      <c r="CB272" s="81" t="str">
        <f aca="false">IF(BN272&gt;BM$7,
    "",
    VLOOKUP(BN272,BP$8:BV771,6,FALSE())
)</f>
        <v/>
      </c>
      <c r="CC272" s="53"/>
    </row>
    <row r="273" customFormat="false" ht="15.75" hidden="false" customHeight="false" outlineLevel="0" collapsed="false">
      <c r="A273" s="5"/>
      <c r="B273" s="129"/>
      <c r="C273" s="55"/>
      <c r="D273" s="56"/>
      <c r="E273" s="123"/>
      <c r="F273" s="123"/>
      <c r="G273" s="58"/>
      <c r="H273" s="59"/>
      <c r="I273" s="59"/>
      <c r="J273" s="83"/>
      <c r="K273" s="83"/>
      <c r="L273" s="83"/>
      <c r="M273" s="61"/>
      <c r="N273" s="61"/>
      <c r="O273" s="61"/>
      <c r="P273" s="62"/>
      <c r="Q273" s="63"/>
      <c r="R273" s="83"/>
      <c r="S273" s="65"/>
      <c r="T273" s="66"/>
      <c r="U273" s="66" t="str">
        <f aca="false">IF(ISBLANK($C273),"",IF(G273=Constants!$B$2, TRUE(), IF(G273=Constants!$B$3, FALSE(), TRUE())))</f>
        <v/>
      </c>
      <c r="V273" s="66" t="str">
        <f aca="false">IF(ISBLANK($C273),"",IF(H273=Constants!$B$2, TRUE(), IF(H273=Constants!$B$3, FALSE(), TRUE())))</f>
        <v/>
      </c>
      <c r="W273" s="66" t="str">
        <f aca="false">IF(ISBLANK($C273),"",IF(I273=Constants!$B$2, TRUE(), IF(I273=Constants!$B$3, FALSE(), TRUE())))</f>
        <v/>
      </c>
      <c r="X273" s="66" t="str">
        <f aca="false">IF(ISBLANK($C273),"",IF(AND(ISNUMBER(J273),J273&gt;0),INT(J273),0))</f>
        <v/>
      </c>
      <c r="Y273" s="66" t="str">
        <f aca="false">IF(ISBLANK($C273),"",IF(K273=Constants!$B$2, TRUE(), IF(K273=Constants!$B$3, FALSE(), TRUE())))</f>
        <v/>
      </c>
      <c r="Z273" s="66" t="str">
        <f aca="false">IF(ISBLANK($C273),"",IF(AND(ISNUMBER(L273),L273&gt;0),INT(L273),0))</f>
        <v/>
      </c>
      <c r="AA273" s="68" t="str">
        <f aca="false">IF(ISBLANK($C273),"",IF(ISNUMBER(M273), M273, ""))</f>
        <v/>
      </c>
      <c r="AB273" s="68" t="str">
        <f aca="false">IF(ISBLANK($C273),"",IF(ISNUMBER(N273), N273, ""))</f>
        <v/>
      </c>
      <c r="AC273" s="68" t="str">
        <f aca="false">IF(ISBLANK($C273),"",IF(ISNUMBER(O273), O273, ""))</f>
        <v/>
      </c>
      <c r="AD273" s="69" t="str">
        <f aca="false">IF(ISBLANK($C273),"",IF(ISNUMBER(P273), P273, ""))</f>
        <v/>
      </c>
      <c r="AE273" s="69" t="str">
        <f aca="false">IF(ISBLANK($C273),"",IF(ISNUMBER(Q273), Q273, Constants!$B$13))</f>
        <v/>
      </c>
      <c r="AF273" s="66" t="str">
        <f aca="false">IF(ISBLANK($C273),"",IF(R273=Constants!$B$2, TRUE(), IF(R273=Constants!$B$3, FALSE(), FALSE())))</f>
        <v/>
      </c>
      <c r="AG273" s="66" t="str">
        <f aca="false">IF(ISBLANK(C273), "", IF(AF273, Constants!$B$4,IF(COUNTA(G273:P273)=0, Constants!$B$5, Constants!$B$7)))</f>
        <v/>
      </c>
      <c r="AH273" s="66" t="str">
        <f aca="false">IF(ISBLANK($C273), "",IF($AG273=Constants!$B$7,1,$AG273))</f>
        <v/>
      </c>
      <c r="AI273" s="66" t="str">
        <f aca="false">IF($AG273=Constants!$B$7,POWER(Constants!$B$11,X273)*POWER(Constants!$B$12,Z273),"")</f>
        <v/>
      </c>
      <c r="AJ273" s="66" t="str">
        <f aca="false">IF(AND($AG273=Constants!$B$7, U273, V273) ,IF(OR($AA273="",$AC273=""),"",MAX(0, $AC273-$AA273)),"")</f>
        <v/>
      </c>
      <c r="AK273" s="66" t="str">
        <f aca="false">IF(AND($AG273=Constants!$B$7, U273, V273),IF(OR($AA273="",$AC273=""),$AK$6,""),"")</f>
        <v/>
      </c>
      <c r="AL273" s="66" t="str">
        <f aca="false">IF($AG273=Constants!$B$7,IF(AND(U273,V273,W273,Y273),IF($AJ273="",0,IF($AJ$6=0,Constants!$B$9,Constants!$B$9*AJ273/$AJ$6)), 0),"")</f>
        <v/>
      </c>
      <c r="AM273" s="66" t="str">
        <f aca="false">IF(AL273&lt;&gt;"", AL273*AI273,"")</f>
        <v/>
      </c>
      <c r="AN273" s="66" t="str">
        <f aca="false">IF(AND($AG273=Constants!$B$7, U273, V273) ,IF($AB273="", "", IF(OR($AC273="",$AC273=0),"",MAX(0,1-ABS($AC273-$AB273)/$AC273))),"")</f>
        <v/>
      </c>
      <c r="AO273" s="66" t="str">
        <f aca="false">IF(AND($AG273=Constants!$B$7, U273, V273),IF(AND($AA273&lt;&gt;"",$AB273&lt;&gt;"",$AC273=0),$AO$6,""),"")</f>
        <v/>
      </c>
      <c r="AP273" s="66" t="str">
        <f aca="false">IF($AG273=Constants!$B$7 ,IF(AND(U273,V273,W273,Y273,ISNUMBER(AB273)),IF($AN273="",0,IF($AN$6=0,Constants!$B$10,Constants!$B$10*AN273/$AN$6)), 0),"")</f>
        <v/>
      </c>
      <c r="AQ273" s="66" t="str">
        <f aca="false">IF(AP273&lt;&gt;"", AP273*AI273,"")</f>
        <v/>
      </c>
      <c r="AR273" s="66" t="str">
        <f aca="false">IF($AG273=Constants!$B$7,IF($AD273="",0,IF($AR$6=0,Constants!$B$8,Constants!$B$8*AD273/$AR$6)),"")</f>
        <v/>
      </c>
      <c r="AS273" s="66" t="str">
        <f aca="false">IF($AG273&lt;&gt;Constants!$B$7,$AG273,IF(AK273&amp;AO273&lt;&gt;"",Constants!$B$14,AM273+AQ273+AR273))</f>
        <v/>
      </c>
      <c r="AT273" s="66" t="str">
        <f aca="false">IF(ISBLANK($C273),"",IF($AG273=Constants!$B$7,IF(ISNUMBER(AS273),RANK(AS273,$AS$8:$AS$507),Constants!$B$14),$AG273))</f>
        <v/>
      </c>
      <c r="AU273" s="66" t="str">
        <f aca="false">IF(ISBLANK($C273), "",AM273)</f>
        <v/>
      </c>
      <c r="AV273" s="66" t="str">
        <f aca="false">IF(ISBLANK($C273),"",IF($AG273=Constants!$B$7,RANK(AU273,AU$8:AU$507),$AG273))</f>
        <v/>
      </c>
      <c r="AW273" s="66" t="str">
        <f aca="false">IF(ISBLANK($C273), "",AR273)</f>
        <v/>
      </c>
      <c r="AX273" s="66" t="str">
        <f aca="false">IF(ISBLANK($C273),"",IF($AG273=Constants!$B$7,RANK(AW273,AW$8:AW$507),$AG273))</f>
        <v/>
      </c>
      <c r="AY273" s="66" t="str">
        <f aca="false">IF(ISBLANK($C273), "",AE273)</f>
        <v/>
      </c>
      <c r="AZ273" s="66" t="str">
        <f aca="false">IF(ISBLANK($C273),"",
IF($AG273=Constants!$B$7,
  IF(ISNUMBER(AT273),
    COUNTIFS($AT$8:$AT$507,"&lt;"&amp;$AT273)
    + COUNTIFS($AT$8:$AT$507,$AT273,$AV$8:$AV$507,"&lt;"&amp;$AV273)
    + COUNTIFS($AT$8:$AT$507,$AT273,$AV$8:$AV$507,$AV273,$AX$8:$AX$507,"&lt;"&amp;$AX273)
    + COUNTIFS($AT$8:$AT$507,$AT273,$AV$8:$AV$507,$AV273,$AX$8:$AX$507,$AX273,$AY$8:$AY$507,"&lt;"&amp;$AY273)
    + 1,
  Constants!$B$14),
$AG273))</f>
        <v/>
      </c>
      <c r="BA273" s="66" t="str">
        <f aca="false">IF(ISBLANK(C273),"",IF($AG273=Constants!$B$7, IF(ISNUMBER(AT273),AT273-AZ273,Constants!$B$14),$AG273))</f>
        <v/>
      </c>
      <c r="BB273" s="70"/>
      <c r="BC273" s="84" t="str">
        <f aca="false">IF(ISBLANK($C273),"",TRIM(AK273&amp;" "&amp;AO273))</f>
        <v/>
      </c>
      <c r="BD273" s="72" t="str">
        <f aca="false">IF(ISBLANK($C273),"",IF($AG273&lt;&gt;Constants!$B$7,$AG273,AR273))</f>
        <v/>
      </c>
      <c r="BE273" s="72" t="str">
        <f aca="false">IF(ISBLANK($C273),"",IF($AG273&lt;&gt;Constants!$B$7,$AG273,AM273))</f>
        <v/>
      </c>
      <c r="BF273" s="72" t="str">
        <f aca="false">IF(ISBLANK($C273),"",IF($AG273&lt;&gt;Constants!$B$7,$AG273,AQ273))</f>
        <v/>
      </c>
      <c r="BG273" s="73" t="str">
        <f aca="false">IF(ISBLANK($C273),"",IF($AG273&lt;&gt;Constants!$B$7, $AG273 ,AS273))</f>
        <v/>
      </c>
      <c r="BH273" s="74" t="str">
        <f aca="false">IF(ISBLANK($C273),"",IF($AG273&lt;&gt;Constants!$B$7, $AG273 ,AH273))</f>
        <v/>
      </c>
      <c r="BI273" s="72" t="str">
        <f aca="false">IF(ISBLANK(C273),"",BA273)</f>
        <v/>
      </c>
      <c r="BJ273" s="72" t="str">
        <f aca="false">IF(ISBLANK(C273),"",AZ273)</f>
        <v/>
      </c>
      <c r="BK273" s="75" t="str">
        <f aca="false">IF(ISBLANK(C273),"",IFERROR(_xlfn.SWITCH(BJ273, Constants!$B$4, COUNTA($C$8:$C772)+2, Constants!$B$5, COUNTA($C$8:$C772)+1, Constants!$B$6, COUNTA($C$8:$C772)),BJ273))</f>
        <v/>
      </c>
      <c r="BL273" s="5"/>
      <c r="BM273" s="76" t="n">
        <f aca="false">IF(OR(ISNUMBER(BJ273),BJ273="DQ",BJ273="P",BJ273="NS"),
    1,
    0
)</f>
        <v>0</v>
      </c>
      <c r="BN273" s="76" t="n">
        <v>266</v>
      </c>
      <c r="BO273" s="76" t="str">
        <f aca="false">IF(ISBLANK($C273),"",IF(ISNUMBER(BK273),BK273+ROW($B273)/1000,""))</f>
        <v/>
      </c>
      <c r="BP273" s="76" t="str">
        <f aca="false">IF(ISNUMBER(BO273), RANK(BO273,BO$8:BO$507,1), "")</f>
        <v/>
      </c>
      <c r="BQ273" s="76" t="str">
        <f aca="false">IF(ISBLANK($C273),
    "",
    $B273
)</f>
        <v/>
      </c>
      <c r="BR273" s="76" t="str">
        <f aca="false">IF(ISBLANK($C273),
    "",
    $C273
)</f>
        <v/>
      </c>
      <c r="BS273" s="76" t="str">
        <f aca="false">IF(ISBLANK($C273),
    "",
    $D273
)</f>
        <v/>
      </c>
      <c r="BT273" s="77" t="str">
        <f aca="false">BH273</f>
        <v/>
      </c>
      <c r="BU273" s="78" t="str">
        <f aca="false">BG273</f>
        <v/>
      </c>
      <c r="BV273" s="76" t="str">
        <f aca="false">IF(ISBLANK($C273),
    "",
    BJ273
)</f>
        <v/>
      </c>
      <c r="BW273" s="79" t="str">
        <f aca="false">IF(BN273&gt;BM$7,
    "",
    VLOOKUP(BN273,BP$8:BV772,7,FALSE())
)</f>
        <v/>
      </c>
      <c r="BX273" s="80" t="str">
        <f aca="false">IF(BN273&gt;BM$7,
    "",
    VLOOKUP(BN273,BP$8:BV772,2,FALSE())
)</f>
        <v/>
      </c>
      <c r="BY273" s="80" t="str">
        <f aca="false">IF(BN273&gt;BM$7,
    "",
    VLOOKUP(BN273,BP$8:BV772,3,FALSE())
)</f>
        <v/>
      </c>
      <c r="BZ273" s="80" t="str">
        <f aca="false">IF(BN273&gt;BM$7,
    "",
    VLOOKUP(BN273,BP$8:BV772,4,FALSE())
)</f>
        <v/>
      </c>
      <c r="CA273" s="80" t="str">
        <f aca="false">IF(BN273&gt;BM$7,
    "",
    VLOOKUP(BN273,BP$8:BV772,5,FALSE())
)</f>
        <v/>
      </c>
      <c r="CB273" s="81" t="str">
        <f aca="false">IF(BN273&gt;BM$7,
    "",
    VLOOKUP(BN273,BP$8:BV772,6,FALSE())
)</f>
        <v/>
      </c>
      <c r="CC273" s="53"/>
    </row>
    <row r="274" customFormat="false" ht="15.75" hidden="false" customHeight="false" outlineLevel="0" collapsed="false">
      <c r="A274" s="5"/>
      <c r="B274" s="129"/>
      <c r="C274" s="55"/>
      <c r="D274" s="56"/>
      <c r="E274" s="123"/>
      <c r="F274" s="123"/>
      <c r="G274" s="58"/>
      <c r="H274" s="59"/>
      <c r="I274" s="59"/>
      <c r="J274" s="83"/>
      <c r="K274" s="83"/>
      <c r="L274" s="83"/>
      <c r="M274" s="61"/>
      <c r="N274" s="61"/>
      <c r="O274" s="61"/>
      <c r="P274" s="62"/>
      <c r="Q274" s="63"/>
      <c r="R274" s="83"/>
      <c r="S274" s="65"/>
      <c r="T274" s="66"/>
      <c r="U274" s="66" t="str">
        <f aca="false">IF(ISBLANK($C274),"",IF(G274=Constants!$B$2, TRUE(), IF(G274=Constants!$B$3, FALSE(), TRUE())))</f>
        <v/>
      </c>
      <c r="V274" s="66" t="str">
        <f aca="false">IF(ISBLANK($C274),"",IF(H274=Constants!$B$2, TRUE(), IF(H274=Constants!$B$3, FALSE(), TRUE())))</f>
        <v/>
      </c>
      <c r="W274" s="66" t="str">
        <f aca="false">IF(ISBLANK($C274),"",IF(I274=Constants!$B$2, TRUE(), IF(I274=Constants!$B$3, FALSE(), TRUE())))</f>
        <v/>
      </c>
      <c r="X274" s="66" t="str">
        <f aca="false">IF(ISBLANK($C274),"",IF(AND(ISNUMBER(J274),J274&gt;0),INT(J274),0))</f>
        <v/>
      </c>
      <c r="Y274" s="66" t="str">
        <f aca="false">IF(ISBLANK($C274),"",IF(K274=Constants!$B$2, TRUE(), IF(K274=Constants!$B$3, FALSE(), TRUE())))</f>
        <v/>
      </c>
      <c r="Z274" s="66" t="str">
        <f aca="false">IF(ISBLANK($C274),"",IF(AND(ISNUMBER(L274),L274&gt;0),INT(L274),0))</f>
        <v/>
      </c>
      <c r="AA274" s="68" t="str">
        <f aca="false">IF(ISBLANK($C274),"",IF(ISNUMBER(M274), M274, ""))</f>
        <v/>
      </c>
      <c r="AB274" s="68" t="str">
        <f aca="false">IF(ISBLANK($C274),"",IF(ISNUMBER(N274), N274, ""))</f>
        <v/>
      </c>
      <c r="AC274" s="68" t="str">
        <f aca="false">IF(ISBLANK($C274),"",IF(ISNUMBER(O274), O274, ""))</f>
        <v/>
      </c>
      <c r="AD274" s="69" t="str">
        <f aca="false">IF(ISBLANK($C274),"",IF(ISNUMBER(P274), P274, ""))</f>
        <v/>
      </c>
      <c r="AE274" s="69" t="str">
        <f aca="false">IF(ISBLANK($C274),"",IF(ISNUMBER(Q274), Q274, Constants!$B$13))</f>
        <v/>
      </c>
      <c r="AF274" s="66" t="str">
        <f aca="false">IF(ISBLANK($C274),"",IF(R274=Constants!$B$2, TRUE(), IF(R274=Constants!$B$3, FALSE(), FALSE())))</f>
        <v/>
      </c>
      <c r="AG274" s="66" t="str">
        <f aca="false">IF(ISBLANK(C274), "", IF(AF274, Constants!$B$4,IF(COUNTA(G274:P274)=0, Constants!$B$5, Constants!$B$7)))</f>
        <v/>
      </c>
      <c r="AH274" s="66" t="str">
        <f aca="false">IF(ISBLANK($C274), "",IF($AG274=Constants!$B$7,1,$AG274))</f>
        <v/>
      </c>
      <c r="AI274" s="66" t="str">
        <f aca="false">IF($AG274=Constants!$B$7,POWER(Constants!$B$11,X274)*POWER(Constants!$B$12,Z274),"")</f>
        <v/>
      </c>
      <c r="AJ274" s="66" t="str">
        <f aca="false">IF(AND($AG274=Constants!$B$7, U274, V274) ,IF(OR($AA274="",$AC274=""),"",MAX(0, $AC274-$AA274)),"")</f>
        <v/>
      </c>
      <c r="AK274" s="66" t="str">
        <f aca="false">IF(AND($AG274=Constants!$B$7, U274, V274),IF(OR($AA274="",$AC274=""),$AK$6,""),"")</f>
        <v/>
      </c>
      <c r="AL274" s="66" t="str">
        <f aca="false">IF($AG274=Constants!$B$7,IF(AND(U274,V274,W274,Y274),IF($AJ274="",0,IF($AJ$6=0,Constants!$B$9,Constants!$B$9*AJ274/$AJ$6)), 0),"")</f>
        <v/>
      </c>
      <c r="AM274" s="66" t="str">
        <f aca="false">IF(AL274&lt;&gt;"", AL274*AI274,"")</f>
        <v/>
      </c>
      <c r="AN274" s="66" t="str">
        <f aca="false">IF(AND($AG274=Constants!$B$7, U274, V274) ,IF($AB274="", "", IF(OR($AC274="",$AC274=0),"",MAX(0,1-ABS($AC274-$AB274)/$AC274))),"")</f>
        <v/>
      </c>
      <c r="AO274" s="66" t="str">
        <f aca="false">IF(AND($AG274=Constants!$B$7, U274, V274),IF(AND($AA274&lt;&gt;"",$AB274&lt;&gt;"",$AC274=0),$AO$6,""),"")</f>
        <v/>
      </c>
      <c r="AP274" s="66" t="str">
        <f aca="false">IF($AG274=Constants!$B$7 ,IF(AND(U274,V274,W274,Y274,ISNUMBER(AB274)),IF($AN274="",0,IF($AN$6=0,Constants!$B$10,Constants!$B$10*AN274/$AN$6)), 0),"")</f>
        <v/>
      </c>
      <c r="AQ274" s="66" t="str">
        <f aca="false">IF(AP274&lt;&gt;"", AP274*AI274,"")</f>
        <v/>
      </c>
      <c r="AR274" s="66" t="str">
        <f aca="false">IF($AG274=Constants!$B$7,IF($AD274="",0,IF($AR$6=0,Constants!$B$8,Constants!$B$8*AD274/$AR$6)),"")</f>
        <v/>
      </c>
      <c r="AS274" s="66" t="str">
        <f aca="false">IF($AG274&lt;&gt;Constants!$B$7,$AG274,IF(AK274&amp;AO274&lt;&gt;"",Constants!$B$14,AM274+AQ274+AR274))</f>
        <v/>
      </c>
      <c r="AT274" s="66" t="str">
        <f aca="false">IF(ISBLANK($C274),"",IF($AG274=Constants!$B$7,IF(ISNUMBER(AS274),RANK(AS274,$AS$8:$AS$507),Constants!$B$14),$AG274))</f>
        <v/>
      </c>
      <c r="AU274" s="66" t="str">
        <f aca="false">IF(ISBLANK($C274), "",AM274)</f>
        <v/>
      </c>
      <c r="AV274" s="66" t="str">
        <f aca="false">IF(ISBLANK($C274),"",IF($AG274=Constants!$B$7,RANK(AU274,AU$8:AU$507),$AG274))</f>
        <v/>
      </c>
      <c r="AW274" s="66" t="str">
        <f aca="false">IF(ISBLANK($C274), "",AR274)</f>
        <v/>
      </c>
      <c r="AX274" s="66" t="str">
        <f aca="false">IF(ISBLANK($C274),"",IF($AG274=Constants!$B$7,RANK(AW274,AW$8:AW$507),$AG274))</f>
        <v/>
      </c>
      <c r="AY274" s="66" t="str">
        <f aca="false">IF(ISBLANK($C274), "",AE274)</f>
        <v/>
      </c>
      <c r="AZ274" s="66" t="str">
        <f aca="false">IF(ISBLANK($C274),"",
IF($AG274=Constants!$B$7,
  IF(ISNUMBER(AT274),
    COUNTIFS($AT$8:$AT$507,"&lt;"&amp;$AT274)
    + COUNTIFS($AT$8:$AT$507,$AT274,$AV$8:$AV$507,"&lt;"&amp;$AV274)
    + COUNTIFS($AT$8:$AT$507,$AT274,$AV$8:$AV$507,$AV274,$AX$8:$AX$507,"&lt;"&amp;$AX274)
    + COUNTIFS($AT$8:$AT$507,$AT274,$AV$8:$AV$507,$AV274,$AX$8:$AX$507,$AX274,$AY$8:$AY$507,"&lt;"&amp;$AY274)
    + 1,
  Constants!$B$14),
$AG274))</f>
        <v/>
      </c>
      <c r="BA274" s="66" t="str">
        <f aca="false">IF(ISBLANK(C274),"",IF($AG274=Constants!$B$7, IF(ISNUMBER(AT274),AT274-AZ274,Constants!$B$14),$AG274))</f>
        <v/>
      </c>
      <c r="BB274" s="70"/>
      <c r="BC274" s="84" t="str">
        <f aca="false">IF(ISBLANK($C274),"",TRIM(AK274&amp;" "&amp;AO274))</f>
        <v/>
      </c>
      <c r="BD274" s="72" t="str">
        <f aca="false">IF(ISBLANK($C274),"",IF($AG274&lt;&gt;Constants!$B$7,$AG274,AR274))</f>
        <v/>
      </c>
      <c r="BE274" s="72" t="str">
        <f aca="false">IF(ISBLANK($C274),"",IF($AG274&lt;&gt;Constants!$B$7,$AG274,AM274))</f>
        <v/>
      </c>
      <c r="BF274" s="72" t="str">
        <f aca="false">IF(ISBLANK($C274),"",IF($AG274&lt;&gt;Constants!$B$7,$AG274,AQ274))</f>
        <v/>
      </c>
      <c r="BG274" s="73" t="str">
        <f aca="false">IF(ISBLANK($C274),"",IF($AG274&lt;&gt;Constants!$B$7, $AG274 ,AS274))</f>
        <v/>
      </c>
      <c r="BH274" s="74" t="str">
        <f aca="false">IF(ISBLANK($C274),"",IF($AG274&lt;&gt;Constants!$B$7, $AG274 ,AH274))</f>
        <v/>
      </c>
      <c r="BI274" s="72" t="str">
        <f aca="false">IF(ISBLANK(C274),"",BA274)</f>
        <v/>
      </c>
      <c r="BJ274" s="72" t="str">
        <f aca="false">IF(ISBLANK(C274),"",AZ274)</f>
        <v/>
      </c>
      <c r="BK274" s="75" t="str">
        <f aca="false">IF(ISBLANK(C274),"",IFERROR(_xlfn.SWITCH(BJ274, Constants!$B$4, COUNTA($C$8:$C773)+2, Constants!$B$5, COUNTA($C$8:$C773)+1, Constants!$B$6, COUNTA($C$8:$C773)),BJ274))</f>
        <v/>
      </c>
      <c r="BL274" s="5"/>
      <c r="BM274" s="76" t="n">
        <f aca="false">IF(OR(ISNUMBER(BJ274),BJ274="DQ",BJ274="P",BJ274="NS"),
    1,
    0
)</f>
        <v>0</v>
      </c>
      <c r="BN274" s="76" t="n">
        <v>267</v>
      </c>
      <c r="BO274" s="76" t="str">
        <f aca="false">IF(ISBLANK($C274),"",IF(ISNUMBER(BK274),BK274+ROW($B274)/1000,""))</f>
        <v/>
      </c>
      <c r="BP274" s="76" t="str">
        <f aca="false">IF(ISNUMBER(BO274), RANK(BO274,BO$8:BO$507,1), "")</f>
        <v/>
      </c>
      <c r="BQ274" s="76" t="str">
        <f aca="false">IF(ISBLANK($C274),
    "",
    $B274
)</f>
        <v/>
      </c>
      <c r="BR274" s="76" t="str">
        <f aca="false">IF(ISBLANK($C274),
    "",
    $C274
)</f>
        <v/>
      </c>
      <c r="BS274" s="76" t="str">
        <f aca="false">IF(ISBLANK($C274),
    "",
    $D274
)</f>
        <v/>
      </c>
      <c r="BT274" s="77" t="str">
        <f aca="false">BH274</f>
        <v/>
      </c>
      <c r="BU274" s="78" t="str">
        <f aca="false">BG274</f>
        <v/>
      </c>
      <c r="BV274" s="76" t="str">
        <f aca="false">IF(ISBLANK($C274),
    "",
    BJ274
)</f>
        <v/>
      </c>
      <c r="BW274" s="79" t="str">
        <f aca="false">IF(BN274&gt;BM$7,
    "",
    VLOOKUP(BN274,BP$8:BV773,7,FALSE())
)</f>
        <v/>
      </c>
      <c r="BX274" s="80" t="str">
        <f aca="false">IF(BN274&gt;BM$7,
    "",
    VLOOKUP(BN274,BP$8:BV773,2,FALSE())
)</f>
        <v/>
      </c>
      <c r="BY274" s="80" t="str">
        <f aca="false">IF(BN274&gt;BM$7,
    "",
    VLOOKUP(BN274,BP$8:BV773,3,FALSE())
)</f>
        <v/>
      </c>
      <c r="BZ274" s="80" t="str">
        <f aca="false">IF(BN274&gt;BM$7,
    "",
    VLOOKUP(BN274,BP$8:BV773,4,FALSE())
)</f>
        <v/>
      </c>
      <c r="CA274" s="80" t="str">
        <f aca="false">IF(BN274&gt;BM$7,
    "",
    VLOOKUP(BN274,BP$8:BV773,5,FALSE())
)</f>
        <v/>
      </c>
      <c r="CB274" s="81" t="str">
        <f aca="false">IF(BN274&gt;BM$7,
    "",
    VLOOKUP(BN274,BP$8:BV773,6,FALSE())
)</f>
        <v/>
      </c>
      <c r="CC274" s="53"/>
    </row>
    <row r="275" customFormat="false" ht="15.75" hidden="false" customHeight="false" outlineLevel="0" collapsed="false">
      <c r="A275" s="5"/>
      <c r="B275" s="125"/>
      <c r="C275" s="126"/>
      <c r="D275" s="115"/>
      <c r="E275" s="119"/>
      <c r="F275" s="119"/>
      <c r="G275" s="91"/>
      <c r="H275" s="92"/>
      <c r="I275" s="92"/>
      <c r="J275" s="128"/>
      <c r="K275" s="128"/>
      <c r="L275" s="128"/>
      <c r="M275" s="94"/>
      <c r="N275" s="94"/>
      <c r="O275" s="94"/>
      <c r="P275" s="95"/>
      <c r="Q275" s="96"/>
      <c r="R275" s="128"/>
      <c r="S275" s="98"/>
      <c r="T275" s="99"/>
      <c r="U275" s="99" t="str">
        <f aca="false">IF(ISBLANK($C275),"",IF(G275=Constants!$B$2, TRUE(), IF(G275=Constants!$B$3, FALSE(), TRUE())))</f>
        <v/>
      </c>
      <c r="V275" s="99" t="str">
        <f aca="false">IF(ISBLANK($C275),"",IF(H275=Constants!$B$2, TRUE(), IF(H275=Constants!$B$3, FALSE(), TRUE())))</f>
        <v/>
      </c>
      <c r="W275" s="99" t="str">
        <f aca="false">IF(ISBLANK($C275),"",IF(I275=Constants!$B$2, TRUE(), IF(I275=Constants!$B$3, FALSE(), TRUE())))</f>
        <v/>
      </c>
      <c r="X275" s="99" t="str">
        <f aca="false">IF(ISBLANK($C275),"",IF(AND(ISNUMBER(J275),J275&gt;0),INT(J275),0))</f>
        <v/>
      </c>
      <c r="Y275" s="99" t="str">
        <f aca="false">IF(ISBLANK($C275),"",IF(K275=Constants!$B$2, TRUE(), IF(K275=Constants!$B$3, FALSE(), TRUE())))</f>
        <v/>
      </c>
      <c r="Z275" s="100" t="str">
        <f aca="false">IF(ISBLANK($C275),"",IF(AND(ISNUMBER(L275),L275&gt;0),INT(L275),0))</f>
        <v/>
      </c>
      <c r="AA275" s="101" t="str">
        <f aca="false">IF(ISBLANK($C275),"",IF(ISNUMBER(M275), M275, ""))</f>
        <v/>
      </c>
      <c r="AB275" s="101" t="str">
        <f aca="false">IF(ISBLANK($C275),"",IF(ISNUMBER(N275), N275, ""))</f>
        <v/>
      </c>
      <c r="AC275" s="101" t="str">
        <f aca="false">IF(ISBLANK($C275),"",IF(ISNUMBER(O275), O275, ""))</f>
        <v/>
      </c>
      <c r="AD275" s="102" t="str">
        <f aca="false">IF(ISBLANK($C275),"",IF(ISNUMBER(P275), P275, ""))</f>
        <v/>
      </c>
      <c r="AE275" s="102" t="str">
        <f aca="false">IF(ISBLANK($C275),"",IF(ISNUMBER(Q275), Q275, Constants!$B$13))</f>
        <v/>
      </c>
      <c r="AF275" s="99" t="str">
        <f aca="false">IF(ISBLANK($C275),"",IF(R275=Constants!$B$2, TRUE(), IF(R275=Constants!$B$3, FALSE(), FALSE())))</f>
        <v/>
      </c>
      <c r="AG275" s="99" t="str">
        <f aca="false">IF(ISBLANK(C275), "", IF(AF275, Constants!$B$4,IF(COUNTA(G275:P275)=0, Constants!$B$5, Constants!$B$7)))</f>
        <v/>
      </c>
      <c r="AH275" s="99" t="str">
        <f aca="false">IF(ISBLANK($C275), "",IF($AG275=Constants!$B$7,1,$AG275))</f>
        <v/>
      </c>
      <c r="AI275" s="99" t="str">
        <f aca="false">IF($AG275=Constants!$B$7,POWER(Constants!$B$11,X275)*POWER(Constants!$B$12,Z275),"")</f>
        <v/>
      </c>
      <c r="AJ275" s="99" t="str">
        <f aca="false">IF(AND($AG275=Constants!$B$7, U275, V275) ,IF(OR($AA275="",$AC275=""),"",MAX(0, $AC275-$AA275)),"")</f>
        <v/>
      </c>
      <c r="AK275" s="99" t="str">
        <f aca="false">IF(AND($AG275=Constants!$B$7, U275, V275),IF(OR($AA275="",$AC275=""),$AK$6,""),"")</f>
        <v/>
      </c>
      <c r="AL275" s="99" t="str">
        <f aca="false">IF($AG275=Constants!$B$7,IF(AND(U275,V275,W275,Y275),IF($AJ275="",0,IF($AJ$6=0,Constants!$B$9,Constants!$B$9*AJ275/$AJ$6)), 0),"")</f>
        <v/>
      </c>
      <c r="AM275" s="99" t="str">
        <f aca="false">IF(AL275&lt;&gt;"", AL275*AI275,"")</f>
        <v/>
      </c>
      <c r="AN275" s="99" t="str">
        <f aca="false">IF(AND($AG275=Constants!$B$7, U275, V275) ,IF($AB275="", "", IF(OR($AC275="",$AC275=0),"",MAX(0,1-ABS($AC275-$AB275)/$AC275))),"")</f>
        <v/>
      </c>
      <c r="AO275" s="99" t="str">
        <f aca="false">IF(AND($AG275=Constants!$B$7, U275, V275),IF(AND($AA275&lt;&gt;"",$AB275&lt;&gt;"",$AC275=0),$AO$6,""),"")</f>
        <v/>
      </c>
      <c r="AP275" s="99" t="str">
        <f aca="false">IF($AG275=Constants!$B$7 ,IF(AND(U275,V275,W275,Y275,ISNUMBER(AB275)),IF($AN275="",0,IF($AN$6=0,Constants!$B$10,Constants!$B$10*AN275/$AN$6)), 0),"")</f>
        <v/>
      </c>
      <c r="AQ275" s="99" t="str">
        <f aca="false">IF(AP275&lt;&gt;"", AP275*AI275,"")</f>
        <v/>
      </c>
      <c r="AR275" s="99" t="str">
        <f aca="false">IF($AG275=Constants!$B$7,IF($AD275="",0,IF($AR$6=0,Constants!$B$8,Constants!$B$8*AD275/$AR$6)),"")</f>
        <v/>
      </c>
      <c r="AS275" s="99" t="str">
        <f aca="false">IF($AG275&lt;&gt;Constants!$B$7,$AG275,IF(AK275&amp;AO275&lt;&gt;"",Constants!$B$14,AM275+AQ275+AR275))</f>
        <v/>
      </c>
      <c r="AT275" s="99" t="str">
        <f aca="false">IF(ISBLANK($C275),"",IF($AG275=Constants!$B$7,IF(ISNUMBER(AS275),RANK(AS275,$AS$8:$AS$507),Constants!$B$14),$AG275))</f>
        <v/>
      </c>
      <c r="AU275" s="99" t="str">
        <f aca="false">IF(ISBLANK($C275), "",AM275)</f>
        <v/>
      </c>
      <c r="AV275" s="99" t="str">
        <f aca="false">IF(ISBLANK($C275),"",IF($AG275=Constants!$B$7,RANK(AU275,AU$8:AU$507),$AG275))</f>
        <v/>
      </c>
      <c r="AW275" s="99" t="str">
        <f aca="false">IF(ISBLANK($C275), "",AR275)</f>
        <v/>
      </c>
      <c r="AX275" s="99" t="str">
        <f aca="false">IF(ISBLANK($C275),"",IF($AG275=Constants!$B$7,RANK(AW275,AW$8:AW$507),$AG275))</f>
        <v/>
      </c>
      <c r="AY275" s="99" t="str">
        <f aca="false">IF(ISBLANK($C275), "",AE275)</f>
        <v/>
      </c>
      <c r="AZ275" s="99" t="str">
        <f aca="false">IF(ISBLANK($C275),"",
IF($AG275=Constants!$B$7,
  IF(ISNUMBER(AT275),
    COUNTIFS($AT$8:$AT$507,"&lt;"&amp;$AT275)
    + COUNTIFS($AT$8:$AT$507,$AT275,$AV$8:$AV$507,"&lt;"&amp;$AV275)
    + COUNTIFS($AT$8:$AT$507,$AT275,$AV$8:$AV$507,$AV275,$AX$8:$AX$507,"&lt;"&amp;$AX275)
    + COUNTIFS($AT$8:$AT$507,$AT275,$AV$8:$AV$507,$AV275,$AX$8:$AX$507,$AX275,$AY$8:$AY$507,"&lt;"&amp;$AY275)
    + 1,
  Constants!$B$14),
$AG275))</f>
        <v/>
      </c>
      <c r="BA275" s="99" t="str">
        <f aca="false">IF(ISBLANK(C275),"",IF($AG275=Constants!$B$7, IF(ISNUMBER(AT275),AT275-AZ275,Constants!$B$14),$AG275))</f>
        <v/>
      </c>
      <c r="BB275" s="103"/>
      <c r="BC275" s="104" t="str">
        <f aca="false">IF(ISBLANK($C275),"",TRIM(AK275&amp;" "&amp;AO275))</f>
        <v/>
      </c>
      <c r="BD275" s="105" t="str">
        <f aca="false">IF(ISBLANK($C275),"",IF($AG275&lt;&gt;Constants!$B$7,$AG275,AR275))</f>
        <v/>
      </c>
      <c r="BE275" s="105" t="str">
        <f aca="false">IF(ISBLANK($C275),"",IF($AG275&lt;&gt;Constants!$B$7,$AG275,AM275))</f>
        <v/>
      </c>
      <c r="BF275" s="105" t="str">
        <f aca="false">IF(ISBLANK($C275),"",IF($AG275&lt;&gt;Constants!$B$7,$AG275,AQ275))</f>
        <v/>
      </c>
      <c r="BG275" s="106" t="str">
        <f aca="false">IF(ISBLANK($C275),"",IF($AG275&lt;&gt;Constants!$B$7, $AG275 ,AS275))</f>
        <v/>
      </c>
      <c r="BH275" s="107" t="str">
        <f aca="false">IF(ISBLANK($C275),"",IF($AG275&lt;&gt;Constants!$B$7, $AG275 ,AH275))</f>
        <v/>
      </c>
      <c r="BI275" s="105" t="str">
        <f aca="false">IF(ISBLANK(C275),"",BA275)</f>
        <v/>
      </c>
      <c r="BJ275" s="105" t="str">
        <f aca="false">IF(ISBLANK(C275),"",AZ275)</f>
        <v/>
      </c>
      <c r="BK275" s="108" t="str">
        <f aca="false">IF(ISBLANK(C275),"",IFERROR(_xlfn.SWITCH(BJ275, Constants!$B$4, COUNTA($C$8:$C774)+2, Constants!$B$5, COUNTA($C$8:$C774)+1, Constants!$B$6, COUNTA($C$8:$C774)),BJ275))</f>
        <v/>
      </c>
      <c r="BL275" s="5"/>
      <c r="BM275" s="109" t="n">
        <f aca="false">IF(OR(ISNUMBER(BJ275),BJ275="DQ",BJ275="P",BJ275="NS"),
    1,
    0
)</f>
        <v>0</v>
      </c>
      <c r="BN275" s="109" t="n">
        <v>268</v>
      </c>
      <c r="BO275" s="109" t="str">
        <f aca="false">IF(ISBLANK($C275),"",IF(ISNUMBER(BK275),BK275+ROW($B275)/1000,""))</f>
        <v/>
      </c>
      <c r="BP275" s="109" t="str">
        <f aca="false">IF(ISNUMBER(BO275), RANK(BO275,BO$8:BO$507,1), "")</f>
        <v/>
      </c>
      <c r="BQ275" s="109" t="str">
        <f aca="false">IF(ISBLANK($C275),
    "",
    $B275
)</f>
        <v/>
      </c>
      <c r="BR275" s="109" t="str">
        <f aca="false">IF(ISBLANK($C275),
    "",
    $C275
)</f>
        <v/>
      </c>
      <c r="BS275" s="109" t="str">
        <f aca="false">IF(ISBLANK($C275),
    "",
    $D275
)</f>
        <v/>
      </c>
      <c r="BT275" s="110" t="str">
        <f aca="false">BH275</f>
        <v/>
      </c>
      <c r="BU275" s="111" t="str">
        <f aca="false">BG275</f>
        <v/>
      </c>
      <c r="BV275" s="109" t="str">
        <f aca="false">IF(ISBLANK($C275),
    "",
    BJ275
)</f>
        <v/>
      </c>
      <c r="BW275" s="112" t="str">
        <f aca="false">IF(BN275&gt;BM$7,
    "",
    VLOOKUP(BN275,BP$8:BV774,7,FALSE())
)</f>
        <v/>
      </c>
      <c r="BX275" s="113" t="str">
        <f aca="false">IF(BN275&gt;BM$7,
    "",
    VLOOKUP(BN275,BP$8:BV774,2,FALSE())
)</f>
        <v/>
      </c>
      <c r="BY275" s="113" t="str">
        <f aca="false">IF(BN275&gt;BM$7,
    "",
    VLOOKUP(BN275,BP$8:BV774,3,FALSE())
)</f>
        <v/>
      </c>
      <c r="BZ275" s="113" t="str">
        <f aca="false">IF(BN275&gt;BM$7,
    "",
    VLOOKUP(BN275,BP$8:BV774,4,FALSE())
)</f>
        <v/>
      </c>
      <c r="CA275" s="113" t="str">
        <f aca="false">IF(BN275&gt;BM$7,
    "",
    VLOOKUP(BN275,BP$8:BV774,5,FALSE())
)</f>
        <v/>
      </c>
      <c r="CB275" s="114" t="str">
        <f aca="false">IF(BN275&gt;BM$7,
    "",
    VLOOKUP(BN275,BP$8:BV774,6,FALSE())
)</f>
        <v/>
      </c>
      <c r="CC275" s="53"/>
    </row>
    <row r="276" customFormat="false" ht="15.75" hidden="false" customHeight="false" outlineLevel="0" collapsed="false">
      <c r="A276" s="5"/>
      <c r="B276" s="125"/>
      <c r="C276" s="126"/>
      <c r="D276" s="115"/>
      <c r="E276" s="119"/>
      <c r="F276" s="119"/>
      <c r="G276" s="91"/>
      <c r="H276" s="92"/>
      <c r="I276" s="92"/>
      <c r="J276" s="128"/>
      <c r="K276" s="128"/>
      <c r="L276" s="128"/>
      <c r="M276" s="94"/>
      <c r="N276" s="94"/>
      <c r="O276" s="94"/>
      <c r="P276" s="95"/>
      <c r="Q276" s="96"/>
      <c r="R276" s="128"/>
      <c r="S276" s="98"/>
      <c r="T276" s="99"/>
      <c r="U276" s="99" t="str">
        <f aca="false">IF(ISBLANK($C276),"",IF(G276=Constants!$B$2, TRUE(), IF(G276=Constants!$B$3, FALSE(), TRUE())))</f>
        <v/>
      </c>
      <c r="V276" s="99" t="str">
        <f aca="false">IF(ISBLANK($C276),"",IF(H276=Constants!$B$2, TRUE(), IF(H276=Constants!$B$3, FALSE(), TRUE())))</f>
        <v/>
      </c>
      <c r="W276" s="99" t="str">
        <f aca="false">IF(ISBLANK($C276),"",IF(I276=Constants!$B$2, TRUE(), IF(I276=Constants!$B$3, FALSE(), TRUE())))</f>
        <v/>
      </c>
      <c r="X276" s="99" t="str">
        <f aca="false">IF(ISBLANK($C276),"",IF(AND(ISNUMBER(J276),J276&gt;0),INT(J276),0))</f>
        <v/>
      </c>
      <c r="Y276" s="99" t="str">
        <f aca="false">IF(ISBLANK($C276),"",IF(K276=Constants!$B$2, TRUE(), IF(K276=Constants!$B$3, FALSE(), TRUE())))</f>
        <v/>
      </c>
      <c r="Z276" s="100" t="str">
        <f aca="false">IF(ISBLANK($C276),"",IF(AND(ISNUMBER(L276),L276&gt;0),INT(L276),0))</f>
        <v/>
      </c>
      <c r="AA276" s="101" t="str">
        <f aca="false">IF(ISBLANK($C276),"",IF(ISNUMBER(M276), M276, ""))</f>
        <v/>
      </c>
      <c r="AB276" s="101" t="str">
        <f aca="false">IF(ISBLANK($C276),"",IF(ISNUMBER(N276), N276, ""))</f>
        <v/>
      </c>
      <c r="AC276" s="101" t="str">
        <f aca="false">IF(ISBLANK($C276),"",IF(ISNUMBER(O276), O276, ""))</f>
        <v/>
      </c>
      <c r="AD276" s="102" t="str">
        <f aca="false">IF(ISBLANK($C276),"",IF(ISNUMBER(P276), P276, ""))</f>
        <v/>
      </c>
      <c r="AE276" s="102" t="str">
        <f aca="false">IF(ISBLANK($C276),"",IF(ISNUMBER(Q276), Q276, Constants!$B$13))</f>
        <v/>
      </c>
      <c r="AF276" s="99" t="str">
        <f aca="false">IF(ISBLANK($C276),"",IF(R276=Constants!$B$2, TRUE(), IF(R276=Constants!$B$3, FALSE(), FALSE())))</f>
        <v/>
      </c>
      <c r="AG276" s="99" t="str">
        <f aca="false">IF(ISBLANK(C276), "", IF(AF276, Constants!$B$4,IF(COUNTA(G276:P276)=0, Constants!$B$5, Constants!$B$7)))</f>
        <v/>
      </c>
      <c r="AH276" s="99" t="str">
        <f aca="false">IF(ISBLANK($C276), "",IF($AG276=Constants!$B$7,1,$AG276))</f>
        <v/>
      </c>
      <c r="AI276" s="99" t="str">
        <f aca="false">IF($AG276=Constants!$B$7,POWER(Constants!$B$11,X276)*POWER(Constants!$B$12,Z276),"")</f>
        <v/>
      </c>
      <c r="AJ276" s="99" t="str">
        <f aca="false">IF(AND($AG276=Constants!$B$7, U276, V276) ,IF(OR($AA276="",$AC276=""),"",MAX(0, $AC276-$AA276)),"")</f>
        <v/>
      </c>
      <c r="AK276" s="99" t="str">
        <f aca="false">IF(AND($AG276=Constants!$B$7, U276, V276),IF(OR($AA276="",$AC276=""),$AK$6,""),"")</f>
        <v/>
      </c>
      <c r="AL276" s="99" t="str">
        <f aca="false">IF($AG276=Constants!$B$7,IF(AND(U276,V276,W276,Y276),IF($AJ276="",0,IF($AJ$6=0,Constants!$B$9,Constants!$B$9*AJ276/$AJ$6)), 0),"")</f>
        <v/>
      </c>
      <c r="AM276" s="99" t="str">
        <f aca="false">IF(AL276&lt;&gt;"", AL276*AI276,"")</f>
        <v/>
      </c>
      <c r="AN276" s="99" t="str">
        <f aca="false">IF(AND($AG276=Constants!$B$7, U276, V276) ,IF($AB276="", "", IF(OR($AC276="",$AC276=0),"",MAX(0,1-ABS($AC276-$AB276)/$AC276))),"")</f>
        <v/>
      </c>
      <c r="AO276" s="99" t="str">
        <f aca="false">IF(AND($AG276=Constants!$B$7, U276, V276),IF(AND($AA276&lt;&gt;"",$AB276&lt;&gt;"",$AC276=0),$AO$6,""),"")</f>
        <v/>
      </c>
      <c r="AP276" s="99" t="str">
        <f aca="false">IF($AG276=Constants!$B$7 ,IF(AND(U276,V276,W276,Y276,ISNUMBER(AB276)),IF($AN276="",0,IF($AN$6=0,Constants!$B$10,Constants!$B$10*AN276/$AN$6)), 0),"")</f>
        <v/>
      </c>
      <c r="AQ276" s="99" t="str">
        <f aca="false">IF(AP276&lt;&gt;"", AP276*AI276,"")</f>
        <v/>
      </c>
      <c r="AR276" s="99" t="str">
        <f aca="false">IF($AG276=Constants!$B$7,IF($AD276="",0,IF($AR$6=0,Constants!$B$8,Constants!$B$8*AD276/$AR$6)),"")</f>
        <v/>
      </c>
      <c r="AS276" s="99" t="str">
        <f aca="false">IF($AG276&lt;&gt;Constants!$B$7,$AG276,IF(AK276&amp;AO276&lt;&gt;"",Constants!$B$14,AM276+AQ276+AR276))</f>
        <v/>
      </c>
      <c r="AT276" s="99" t="str">
        <f aca="false">IF(ISBLANK($C276),"",IF($AG276=Constants!$B$7,IF(ISNUMBER(AS276),RANK(AS276,$AS$8:$AS$507),Constants!$B$14),$AG276))</f>
        <v/>
      </c>
      <c r="AU276" s="99" t="str">
        <f aca="false">IF(ISBLANK($C276), "",AM276)</f>
        <v/>
      </c>
      <c r="AV276" s="99" t="str">
        <f aca="false">IF(ISBLANK($C276),"",IF($AG276=Constants!$B$7,RANK(AU276,AU$8:AU$507),$AG276))</f>
        <v/>
      </c>
      <c r="AW276" s="99" t="str">
        <f aca="false">IF(ISBLANK($C276), "",AR276)</f>
        <v/>
      </c>
      <c r="AX276" s="99" t="str">
        <f aca="false">IF(ISBLANK($C276),"",IF($AG276=Constants!$B$7,RANK(AW276,AW$8:AW$507),$AG276))</f>
        <v/>
      </c>
      <c r="AY276" s="99" t="str">
        <f aca="false">IF(ISBLANK($C276), "",AE276)</f>
        <v/>
      </c>
      <c r="AZ276" s="99" t="str">
        <f aca="false">IF(ISBLANK($C276),"",
IF($AG276=Constants!$B$7,
  IF(ISNUMBER(AT276),
    COUNTIFS($AT$8:$AT$507,"&lt;"&amp;$AT276)
    + COUNTIFS($AT$8:$AT$507,$AT276,$AV$8:$AV$507,"&lt;"&amp;$AV276)
    + COUNTIFS($AT$8:$AT$507,$AT276,$AV$8:$AV$507,$AV276,$AX$8:$AX$507,"&lt;"&amp;$AX276)
    + COUNTIFS($AT$8:$AT$507,$AT276,$AV$8:$AV$507,$AV276,$AX$8:$AX$507,$AX276,$AY$8:$AY$507,"&lt;"&amp;$AY276)
    + 1,
  Constants!$B$14),
$AG276))</f>
        <v/>
      </c>
      <c r="BA276" s="99" t="str">
        <f aca="false">IF(ISBLANK(C276),"",IF($AG276=Constants!$B$7, IF(ISNUMBER(AT276),AT276-AZ276,Constants!$B$14),$AG276))</f>
        <v/>
      </c>
      <c r="BB276" s="103"/>
      <c r="BC276" s="104" t="str">
        <f aca="false">IF(ISBLANK($C276),"",TRIM(AK276&amp;" "&amp;AO276))</f>
        <v/>
      </c>
      <c r="BD276" s="105" t="str">
        <f aca="false">IF(ISBLANK($C276),"",IF($AG276&lt;&gt;Constants!$B$7,$AG276,AR276))</f>
        <v/>
      </c>
      <c r="BE276" s="105" t="str">
        <f aca="false">IF(ISBLANK($C276),"",IF($AG276&lt;&gt;Constants!$B$7,$AG276,AM276))</f>
        <v/>
      </c>
      <c r="BF276" s="105" t="str">
        <f aca="false">IF(ISBLANK($C276),"",IF($AG276&lt;&gt;Constants!$B$7,$AG276,AQ276))</f>
        <v/>
      </c>
      <c r="BG276" s="106" t="str">
        <f aca="false">IF(ISBLANK($C276),"",IF($AG276&lt;&gt;Constants!$B$7, $AG276 ,AS276))</f>
        <v/>
      </c>
      <c r="BH276" s="107" t="str">
        <f aca="false">IF(ISBLANK($C276),"",IF($AG276&lt;&gt;Constants!$B$7, $AG276 ,AH276))</f>
        <v/>
      </c>
      <c r="BI276" s="105" t="str">
        <f aca="false">IF(ISBLANK(C276),"",BA276)</f>
        <v/>
      </c>
      <c r="BJ276" s="105" t="str">
        <f aca="false">IF(ISBLANK(C276),"",AZ276)</f>
        <v/>
      </c>
      <c r="BK276" s="108" t="str">
        <f aca="false">IF(ISBLANK(C276),"",IFERROR(_xlfn.SWITCH(BJ276, Constants!$B$4, COUNTA($C$8:$C775)+2, Constants!$B$5, COUNTA($C$8:$C775)+1, Constants!$B$6, COUNTA($C$8:$C775)),BJ276))</f>
        <v/>
      </c>
      <c r="BL276" s="5"/>
      <c r="BM276" s="109" t="n">
        <f aca="false">IF(OR(ISNUMBER(BJ276),BJ276="DQ",BJ276="P",BJ276="NS"),
    1,
    0
)</f>
        <v>0</v>
      </c>
      <c r="BN276" s="109" t="n">
        <v>269</v>
      </c>
      <c r="BO276" s="109" t="str">
        <f aca="false">IF(ISBLANK($C276),"",IF(ISNUMBER(BK276),BK276+ROW($B276)/1000,""))</f>
        <v/>
      </c>
      <c r="BP276" s="109" t="str">
        <f aca="false">IF(ISNUMBER(BO276), RANK(BO276,BO$8:BO$507,1), "")</f>
        <v/>
      </c>
      <c r="BQ276" s="109" t="str">
        <f aca="false">IF(ISBLANK($C276),
    "",
    $B276
)</f>
        <v/>
      </c>
      <c r="BR276" s="109" t="str">
        <f aca="false">IF(ISBLANK($C276),
    "",
    $C276
)</f>
        <v/>
      </c>
      <c r="BS276" s="109" t="str">
        <f aca="false">IF(ISBLANK($C276),
    "",
    $D276
)</f>
        <v/>
      </c>
      <c r="BT276" s="110" t="str">
        <f aca="false">BH276</f>
        <v/>
      </c>
      <c r="BU276" s="111" t="str">
        <f aca="false">BG276</f>
        <v/>
      </c>
      <c r="BV276" s="109" t="str">
        <f aca="false">IF(ISBLANK($C276),
    "",
    BJ276
)</f>
        <v/>
      </c>
      <c r="BW276" s="112" t="str">
        <f aca="false">IF(BN276&gt;BM$7,
    "",
    VLOOKUP(BN276,BP$8:BV775,7,FALSE())
)</f>
        <v/>
      </c>
      <c r="BX276" s="113" t="str">
        <f aca="false">IF(BN276&gt;BM$7,
    "",
    VLOOKUP(BN276,BP$8:BV775,2,FALSE())
)</f>
        <v/>
      </c>
      <c r="BY276" s="113" t="str">
        <f aca="false">IF(BN276&gt;BM$7,
    "",
    VLOOKUP(BN276,BP$8:BV775,3,FALSE())
)</f>
        <v/>
      </c>
      <c r="BZ276" s="113" t="str">
        <f aca="false">IF(BN276&gt;BM$7,
    "",
    VLOOKUP(BN276,BP$8:BV775,4,FALSE())
)</f>
        <v/>
      </c>
      <c r="CA276" s="113" t="str">
        <f aca="false">IF(BN276&gt;BM$7,
    "",
    VLOOKUP(BN276,BP$8:BV775,5,FALSE())
)</f>
        <v/>
      </c>
      <c r="CB276" s="114" t="str">
        <f aca="false">IF(BN276&gt;BM$7,
    "",
    VLOOKUP(BN276,BP$8:BV775,6,FALSE())
)</f>
        <v/>
      </c>
      <c r="CC276" s="53"/>
    </row>
    <row r="277" customFormat="false" ht="15.75" hidden="false" customHeight="false" outlineLevel="0" collapsed="false">
      <c r="A277" s="5"/>
      <c r="B277" s="125"/>
      <c r="C277" s="126"/>
      <c r="D277" s="115"/>
      <c r="E277" s="119"/>
      <c r="F277" s="119"/>
      <c r="G277" s="91"/>
      <c r="H277" s="92"/>
      <c r="I277" s="92"/>
      <c r="J277" s="128"/>
      <c r="K277" s="128"/>
      <c r="L277" s="128"/>
      <c r="M277" s="94"/>
      <c r="N277" s="94"/>
      <c r="O277" s="94"/>
      <c r="P277" s="95"/>
      <c r="Q277" s="96"/>
      <c r="R277" s="128"/>
      <c r="S277" s="98"/>
      <c r="T277" s="99"/>
      <c r="U277" s="99" t="str">
        <f aca="false">IF(ISBLANK($C277),"",IF(G277=Constants!$B$2, TRUE(), IF(G277=Constants!$B$3, FALSE(), TRUE())))</f>
        <v/>
      </c>
      <c r="V277" s="99" t="str">
        <f aca="false">IF(ISBLANK($C277),"",IF(H277=Constants!$B$2, TRUE(), IF(H277=Constants!$B$3, FALSE(), TRUE())))</f>
        <v/>
      </c>
      <c r="W277" s="99" t="str">
        <f aca="false">IF(ISBLANK($C277),"",IF(I277=Constants!$B$2, TRUE(), IF(I277=Constants!$B$3, FALSE(), TRUE())))</f>
        <v/>
      </c>
      <c r="X277" s="99" t="str">
        <f aca="false">IF(ISBLANK($C277),"",IF(AND(ISNUMBER(J277),J277&gt;0),INT(J277),0))</f>
        <v/>
      </c>
      <c r="Y277" s="99" t="str">
        <f aca="false">IF(ISBLANK($C277),"",IF(K277=Constants!$B$2, TRUE(), IF(K277=Constants!$B$3, FALSE(), TRUE())))</f>
        <v/>
      </c>
      <c r="Z277" s="100" t="str">
        <f aca="false">IF(ISBLANK($C277),"",IF(AND(ISNUMBER(L277),L277&gt;0),INT(L277),0))</f>
        <v/>
      </c>
      <c r="AA277" s="101" t="str">
        <f aca="false">IF(ISBLANK($C277),"",IF(ISNUMBER(M277), M277, ""))</f>
        <v/>
      </c>
      <c r="AB277" s="101" t="str">
        <f aca="false">IF(ISBLANK($C277),"",IF(ISNUMBER(N277), N277, ""))</f>
        <v/>
      </c>
      <c r="AC277" s="101" t="str">
        <f aca="false">IF(ISBLANK($C277),"",IF(ISNUMBER(O277), O277, ""))</f>
        <v/>
      </c>
      <c r="AD277" s="102" t="str">
        <f aca="false">IF(ISBLANK($C277),"",IF(ISNUMBER(P277), P277, ""))</f>
        <v/>
      </c>
      <c r="AE277" s="102" t="str">
        <f aca="false">IF(ISBLANK($C277),"",IF(ISNUMBER(Q277), Q277, Constants!$B$13))</f>
        <v/>
      </c>
      <c r="AF277" s="99" t="str">
        <f aca="false">IF(ISBLANK($C277),"",IF(R277=Constants!$B$2, TRUE(), IF(R277=Constants!$B$3, FALSE(), FALSE())))</f>
        <v/>
      </c>
      <c r="AG277" s="99" t="str">
        <f aca="false">IF(ISBLANK(C277), "", IF(AF277, Constants!$B$4,IF(COUNTA(G277:P277)=0, Constants!$B$5, Constants!$B$7)))</f>
        <v/>
      </c>
      <c r="AH277" s="99" t="str">
        <f aca="false">IF(ISBLANK($C277), "",IF($AG277=Constants!$B$7,1,$AG277))</f>
        <v/>
      </c>
      <c r="AI277" s="99" t="str">
        <f aca="false">IF($AG277=Constants!$B$7,POWER(Constants!$B$11,X277)*POWER(Constants!$B$12,Z277),"")</f>
        <v/>
      </c>
      <c r="AJ277" s="99" t="str">
        <f aca="false">IF(AND($AG277=Constants!$B$7, U277, V277) ,IF(OR($AA277="",$AC277=""),"",MAX(0, $AC277-$AA277)),"")</f>
        <v/>
      </c>
      <c r="AK277" s="99" t="str">
        <f aca="false">IF(AND($AG277=Constants!$B$7, U277, V277),IF(OR($AA277="",$AC277=""),$AK$6,""),"")</f>
        <v/>
      </c>
      <c r="AL277" s="99" t="str">
        <f aca="false">IF($AG277=Constants!$B$7,IF(AND(U277,V277,W277,Y277),IF($AJ277="",0,IF($AJ$6=0,Constants!$B$9,Constants!$B$9*AJ277/$AJ$6)), 0),"")</f>
        <v/>
      </c>
      <c r="AM277" s="99" t="str">
        <f aca="false">IF(AL277&lt;&gt;"", AL277*AI277,"")</f>
        <v/>
      </c>
      <c r="AN277" s="99" t="str">
        <f aca="false">IF(AND($AG277=Constants!$B$7, U277, V277) ,IF($AB277="", "", IF(OR($AC277="",$AC277=0),"",MAX(0,1-ABS($AC277-$AB277)/$AC277))),"")</f>
        <v/>
      </c>
      <c r="AO277" s="99" t="str">
        <f aca="false">IF(AND($AG277=Constants!$B$7, U277, V277),IF(AND($AA277&lt;&gt;"",$AB277&lt;&gt;"",$AC277=0),$AO$6,""),"")</f>
        <v/>
      </c>
      <c r="AP277" s="99" t="str">
        <f aca="false">IF($AG277=Constants!$B$7 ,IF(AND(U277,V277,W277,Y277,ISNUMBER(AB277)),IF($AN277="",0,IF($AN$6=0,Constants!$B$10,Constants!$B$10*AN277/$AN$6)), 0),"")</f>
        <v/>
      </c>
      <c r="AQ277" s="99" t="str">
        <f aca="false">IF(AP277&lt;&gt;"", AP277*AI277,"")</f>
        <v/>
      </c>
      <c r="AR277" s="99" t="str">
        <f aca="false">IF($AG277=Constants!$B$7,IF($AD277="",0,IF($AR$6=0,Constants!$B$8,Constants!$B$8*AD277/$AR$6)),"")</f>
        <v/>
      </c>
      <c r="AS277" s="99" t="str">
        <f aca="false">IF($AG277&lt;&gt;Constants!$B$7,$AG277,IF(AK277&amp;AO277&lt;&gt;"",Constants!$B$14,AM277+AQ277+AR277))</f>
        <v/>
      </c>
      <c r="AT277" s="99" t="str">
        <f aca="false">IF(ISBLANK($C277),"",IF($AG277=Constants!$B$7,IF(ISNUMBER(AS277),RANK(AS277,$AS$8:$AS$507),Constants!$B$14),$AG277))</f>
        <v/>
      </c>
      <c r="AU277" s="99" t="str">
        <f aca="false">IF(ISBLANK($C277), "",AM277)</f>
        <v/>
      </c>
      <c r="AV277" s="99" t="str">
        <f aca="false">IF(ISBLANK($C277),"",IF($AG277=Constants!$B$7,RANK(AU277,AU$8:AU$507),$AG277))</f>
        <v/>
      </c>
      <c r="AW277" s="99" t="str">
        <f aca="false">IF(ISBLANK($C277), "",AR277)</f>
        <v/>
      </c>
      <c r="AX277" s="99" t="str">
        <f aca="false">IF(ISBLANK($C277),"",IF($AG277=Constants!$B$7,RANK(AW277,AW$8:AW$507),$AG277))</f>
        <v/>
      </c>
      <c r="AY277" s="99" t="str">
        <f aca="false">IF(ISBLANK($C277), "",AE277)</f>
        <v/>
      </c>
      <c r="AZ277" s="99" t="str">
        <f aca="false">IF(ISBLANK($C277),"",
IF($AG277=Constants!$B$7,
  IF(ISNUMBER(AT277),
    COUNTIFS($AT$8:$AT$507,"&lt;"&amp;$AT277)
    + COUNTIFS($AT$8:$AT$507,$AT277,$AV$8:$AV$507,"&lt;"&amp;$AV277)
    + COUNTIFS($AT$8:$AT$507,$AT277,$AV$8:$AV$507,$AV277,$AX$8:$AX$507,"&lt;"&amp;$AX277)
    + COUNTIFS($AT$8:$AT$507,$AT277,$AV$8:$AV$507,$AV277,$AX$8:$AX$507,$AX277,$AY$8:$AY$507,"&lt;"&amp;$AY277)
    + 1,
  Constants!$B$14),
$AG277))</f>
        <v/>
      </c>
      <c r="BA277" s="99" t="str">
        <f aca="false">IF(ISBLANK(C277),"",IF($AG277=Constants!$B$7, IF(ISNUMBER(AT277),AT277-AZ277,Constants!$B$14),$AG277))</f>
        <v/>
      </c>
      <c r="BB277" s="103"/>
      <c r="BC277" s="104" t="str">
        <f aca="false">IF(ISBLANK($C277),"",TRIM(AK277&amp;" "&amp;AO277))</f>
        <v/>
      </c>
      <c r="BD277" s="105" t="str">
        <f aca="false">IF(ISBLANK($C277),"",IF($AG277&lt;&gt;Constants!$B$7,$AG277,AR277))</f>
        <v/>
      </c>
      <c r="BE277" s="105" t="str">
        <f aca="false">IF(ISBLANK($C277),"",IF($AG277&lt;&gt;Constants!$B$7,$AG277,AM277))</f>
        <v/>
      </c>
      <c r="BF277" s="105" t="str">
        <f aca="false">IF(ISBLANK($C277),"",IF($AG277&lt;&gt;Constants!$B$7,$AG277,AQ277))</f>
        <v/>
      </c>
      <c r="BG277" s="106" t="str">
        <f aca="false">IF(ISBLANK($C277),"",IF($AG277&lt;&gt;Constants!$B$7, $AG277 ,AS277))</f>
        <v/>
      </c>
      <c r="BH277" s="107" t="str">
        <f aca="false">IF(ISBLANK($C277),"",IF($AG277&lt;&gt;Constants!$B$7, $AG277 ,AH277))</f>
        <v/>
      </c>
      <c r="BI277" s="105" t="str">
        <f aca="false">IF(ISBLANK(C277),"",BA277)</f>
        <v/>
      </c>
      <c r="BJ277" s="105" t="str">
        <f aca="false">IF(ISBLANK(C277),"",AZ277)</f>
        <v/>
      </c>
      <c r="BK277" s="108" t="str">
        <f aca="false">IF(ISBLANK(C277),"",IFERROR(_xlfn.SWITCH(BJ277, Constants!$B$4, COUNTA($C$8:$C776)+2, Constants!$B$5, COUNTA($C$8:$C776)+1, Constants!$B$6, COUNTA($C$8:$C776)),BJ277))</f>
        <v/>
      </c>
      <c r="BL277" s="5"/>
      <c r="BM277" s="109" t="n">
        <f aca="false">IF(OR(ISNUMBER(BJ277),BJ277="DQ",BJ277="P",BJ277="NS"),
    1,
    0
)</f>
        <v>0</v>
      </c>
      <c r="BN277" s="109" t="n">
        <v>270</v>
      </c>
      <c r="BO277" s="109" t="str">
        <f aca="false">IF(ISBLANK($C277),"",IF(ISNUMBER(BK277),BK277+ROW($B277)/1000,""))</f>
        <v/>
      </c>
      <c r="BP277" s="109" t="str">
        <f aca="false">IF(ISNUMBER(BO277), RANK(BO277,BO$8:BO$507,1), "")</f>
        <v/>
      </c>
      <c r="BQ277" s="109" t="str">
        <f aca="false">IF(ISBLANK($C277),
    "",
    $B277
)</f>
        <v/>
      </c>
      <c r="BR277" s="109" t="str">
        <f aca="false">IF(ISBLANK($C277),
    "",
    $C277
)</f>
        <v/>
      </c>
      <c r="BS277" s="109" t="str">
        <f aca="false">IF(ISBLANK($C277),
    "",
    $D277
)</f>
        <v/>
      </c>
      <c r="BT277" s="110" t="str">
        <f aca="false">BH277</f>
        <v/>
      </c>
      <c r="BU277" s="111" t="str">
        <f aca="false">BG277</f>
        <v/>
      </c>
      <c r="BV277" s="109" t="str">
        <f aca="false">IF(ISBLANK($C277),
    "",
    BJ277
)</f>
        <v/>
      </c>
      <c r="BW277" s="112" t="str">
        <f aca="false">IF(BN277&gt;BM$7,
    "",
    VLOOKUP(BN277,BP$8:BV776,7,FALSE())
)</f>
        <v/>
      </c>
      <c r="BX277" s="113" t="str">
        <f aca="false">IF(BN277&gt;BM$7,
    "",
    VLOOKUP(BN277,BP$8:BV776,2,FALSE())
)</f>
        <v/>
      </c>
      <c r="BY277" s="113" t="str">
        <f aca="false">IF(BN277&gt;BM$7,
    "",
    VLOOKUP(BN277,BP$8:BV776,3,FALSE())
)</f>
        <v/>
      </c>
      <c r="BZ277" s="113" t="str">
        <f aca="false">IF(BN277&gt;BM$7,
    "",
    VLOOKUP(BN277,BP$8:BV776,4,FALSE())
)</f>
        <v/>
      </c>
      <c r="CA277" s="113" t="str">
        <f aca="false">IF(BN277&gt;BM$7,
    "",
    VLOOKUP(BN277,BP$8:BV776,5,FALSE())
)</f>
        <v/>
      </c>
      <c r="CB277" s="114" t="str">
        <f aca="false">IF(BN277&gt;BM$7,
    "",
    VLOOKUP(BN277,BP$8:BV776,6,FALSE())
)</f>
        <v/>
      </c>
      <c r="CC277" s="53"/>
    </row>
    <row r="278" customFormat="false" ht="15.75" hidden="false" customHeight="false" outlineLevel="0" collapsed="false">
      <c r="A278" s="5"/>
      <c r="B278" s="129"/>
      <c r="C278" s="55"/>
      <c r="D278" s="56"/>
      <c r="E278" s="123"/>
      <c r="F278" s="123"/>
      <c r="G278" s="58"/>
      <c r="H278" s="59"/>
      <c r="I278" s="59"/>
      <c r="J278" s="83"/>
      <c r="K278" s="83"/>
      <c r="L278" s="83"/>
      <c r="M278" s="61"/>
      <c r="N278" s="61"/>
      <c r="O278" s="61"/>
      <c r="P278" s="62"/>
      <c r="Q278" s="63"/>
      <c r="R278" s="83"/>
      <c r="S278" s="65"/>
      <c r="T278" s="66"/>
      <c r="U278" s="66" t="str">
        <f aca="false">IF(ISBLANK($C278),"",IF(G278=Constants!$B$2, TRUE(), IF(G278=Constants!$B$3, FALSE(), TRUE())))</f>
        <v/>
      </c>
      <c r="V278" s="66" t="str">
        <f aca="false">IF(ISBLANK($C278),"",IF(H278=Constants!$B$2, TRUE(), IF(H278=Constants!$B$3, FALSE(), TRUE())))</f>
        <v/>
      </c>
      <c r="W278" s="66" t="str">
        <f aca="false">IF(ISBLANK($C278),"",IF(I278=Constants!$B$2, TRUE(), IF(I278=Constants!$B$3, FALSE(), TRUE())))</f>
        <v/>
      </c>
      <c r="X278" s="66" t="str">
        <f aca="false">IF(ISBLANK($C278),"",IF(AND(ISNUMBER(J278),J278&gt;0),INT(J278),0))</f>
        <v/>
      </c>
      <c r="Y278" s="66" t="str">
        <f aca="false">IF(ISBLANK($C278),"",IF(K278=Constants!$B$2, TRUE(), IF(K278=Constants!$B$3, FALSE(), TRUE())))</f>
        <v/>
      </c>
      <c r="Z278" s="66" t="str">
        <f aca="false">IF(ISBLANK($C278),"",IF(AND(ISNUMBER(L278),L278&gt;0),INT(L278),0))</f>
        <v/>
      </c>
      <c r="AA278" s="68" t="str">
        <f aca="false">IF(ISBLANK($C278),"",IF(ISNUMBER(M278), M278, ""))</f>
        <v/>
      </c>
      <c r="AB278" s="68" t="str">
        <f aca="false">IF(ISBLANK($C278),"",IF(ISNUMBER(N278), N278, ""))</f>
        <v/>
      </c>
      <c r="AC278" s="68" t="str">
        <f aca="false">IF(ISBLANK($C278),"",IF(ISNUMBER(O278), O278, ""))</f>
        <v/>
      </c>
      <c r="AD278" s="69" t="str">
        <f aca="false">IF(ISBLANK($C278),"",IF(ISNUMBER(P278), P278, ""))</f>
        <v/>
      </c>
      <c r="AE278" s="69" t="str">
        <f aca="false">IF(ISBLANK($C278),"",IF(ISNUMBER(Q278), Q278, Constants!$B$13))</f>
        <v/>
      </c>
      <c r="AF278" s="66" t="str">
        <f aca="false">IF(ISBLANK($C278),"",IF(R278=Constants!$B$2, TRUE(), IF(R278=Constants!$B$3, FALSE(), FALSE())))</f>
        <v/>
      </c>
      <c r="AG278" s="66" t="str">
        <f aca="false">IF(ISBLANK(C278), "", IF(AF278, Constants!$B$4,IF(COUNTA(G278:P278)=0, Constants!$B$5, Constants!$B$7)))</f>
        <v/>
      </c>
      <c r="AH278" s="66" t="str">
        <f aca="false">IF(ISBLANK($C278), "",IF($AG278=Constants!$B$7,1,$AG278))</f>
        <v/>
      </c>
      <c r="AI278" s="66" t="str">
        <f aca="false">IF($AG278=Constants!$B$7,POWER(Constants!$B$11,X278)*POWER(Constants!$B$12,Z278),"")</f>
        <v/>
      </c>
      <c r="AJ278" s="66" t="str">
        <f aca="false">IF(AND($AG278=Constants!$B$7, U278, V278) ,IF(OR($AA278="",$AC278=""),"",MAX(0, $AC278-$AA278)),"")</f>
        <v/>
      </c>
      <c r="AK278" s="66" t="str">
        <f aca="false">IF(AND($AG278=Constants!$B$7, U278, V278),IF(OR($AA278="",$AC278=""),$AK$6,""),"")</f>
        <v/>
      </c>
      <c r="AL278" s="66" t="str">
        <f aca="false">IF($AG278=Constants!$B$7,IF(AND(U278,V278,W278,Y278),IF($AJ278="",0,IF($AJ$6=0,Constants!$B$9,Constants!$B$9*AJ278/$AJ$6)), 0),"")</f>
        <v/>
      </c>
      <c r="AM278" s="66" t="str">
        <f aca="false">IF(AL278&lt;&gt;"", AL278*AI278,"")</f>
        <v/>
      </c>
      <c r="AN278" s="66" t="str">
        <f aca="false">IF(AND($AG278=Constants!$B$7, U278, V278) ,IF($AB278="", "", IF(OR($AC278="",$AC278=0),"",MAX(0,1-ABS($AC278-$AB278)/$AC278))),"")</f>
        <v/>
      </c>
      <c r="AO278" s="66" t="str">
        <f aca="false">IF(AND($AG278=Constants!$B$7, U278, V278),IF(AND($AA278&lt;&gt;"",$AB278&lt;&gt;"",$AC278=0),$AO$6,""),"")</f>
        <v/>
      </c>
      <c r="AP278" s="66" t="str">
        <f aca="false">IF($AG278=Constants!$B$7 ,IF(AND(U278,V278,W278,Y278,ISNUMBER(AB278)),IF($AN278="",0,IF($AN$6=0,Constants!$B$10,Constants!$B$10*AN278/$AN$6)), 0),"")</f>
        <v/>
      </c>
      <c r="AQ278" s="66" t="str">
        <f aca="false">IF(AP278&lt;&gt;"", AP278*AI278,"")</f>
        <v/>
      </c>
      <c r="AR278" s="66" t="str">
        <f aca="false">IF($AG278=Constants!$B$7,IF($AD278="",0,IF($AR$6=0,Constants!$B$8,Constants!$B$8*AD278/$AR$6)),"")</f>
        <v/>
      </c>
      <c r="AS278" s="66" t="str">
        <f aca="false">IF($AG278&lt;&gt;Constants!$B$7,$AG278,IF(AK278&amp;AO278&lt;&gt;"",Constants!$B$14,AM278+AQ278+AR278))</f>
        <v/>
      </c>
      <c r="AT278" s="66" t="str">
        <f aca="false">IF(ISBLANK($C278),"",IF($AG278=Constants!$B$7,IF(ISNUMBER(AS278),RANK(AS278,$AS$8:$AS$507),Constants!$B$14),$AG278))</f>
        <v/>
      </c>
      <c r="AU278" s="66" t="str">
        <f aca="false">IF(ISBLANK($C278), "",AM278)</f>
        <v/>
      </c>
      <c r="AV278" s="66" t="str">
        <f aca="false">IF(ISBLANK($C278),"",IF($AG278=Constants!$B$7,RANK(AU278,AU$8:AU$507),$AG278))</f>
        <v/>
      </c>
      <c r="AW278" s="66" t="str">
        <f aca="false">IF(ISBLANK($C278), "",AR278)</f>
        <v/>
      </c>
      <c r="AX278" s="66" t="str">
        <f aca="false">IF(ISBLANK($C278),"",IF($AG278=Constants!$B$7,RANK(AW278,AW$8:AW$507),$AG278))</f>
        <v/>
      </c>
      <c r="AY278" s="66" t="str">
        <f aca="false">IF(ISBLANK($C278), "",AE278)</f>
        <v/>
      </c>
      <c r="AZ278" s="66" t="str">
        <f aca="false">IF(ISBLANK($C278),"",
IF($AG278=Constants!$B$7,
  IF(ISNUMBER(AT278),
    COUNTIFS($AT$8:$AT$507,"&lt;"&amp;$AT278)
    + COUNTIFS($AT$8:$AT$507,$AT278,$AV$8:$AV$507,"&lt;"&amp;$AV278)
    + COUNTIFS($AT$8:$AT$507,$AT278,$AV$8:$AV$507,$AV278,$AX$8:$AX$507,"&lt;"&amp;$AX278)
    + COUNTIFS($AT$8:$AT$507,$AT278,$AV$8:$AV$507,$AV278,$AX$8:$AX$507,$AX278,$AY$8:$AY$507,"&lt;"&amp;$AY278)
    + 1,
  Constants!$B$14),
$AG278))</f>
        <v/>
      </c>
      <c r="BA278" s="66" t="str">
        <f aca="false">IF(ISBLANK(C278),"",IF($AG278=Constants!$B$7, IF(ISNUMBER(AT278),AT278-AZ278,Constants!$B$14),$AG278))</f>
        <v/>
      </c>
      <c r="BB278" s="70"/>
      <c r="BC278" s="84" t="str">
        <f aca="false">IF(ISBLANK($C278),"",TRIM(AK278&amp;" "&amp;AO278))</f>
        <v/>
      </c>
      <c r="BD278" s="72" t="str">
        <f aca="false">IF(ISBLANK($C278),"",IF($AG278&lt;&gt;Constants!$B$7,$AG278,AR278))</f>
        <v/>
      </c>
      <c r="BE278" s="72" t="str">
        <f aca="false">IF(ISBLANK($C278),"",IF($AG278&lt;&gt;Constants!$B$7,$AG278,AM278))</f>
        <v/>
      </c>
      <c r="BF278" s="72" t="str">
        <f aca="false">IF(ISBLANK($C278),"",IF($AG278&lt;&gt;Constants!$B$7,$AG278,AQ278))</f>
        <v/>
      </c>
      <c r="BG278" s="73" t="str">
        <f aca="false">IF(ISBLANK($C278),"",IF($AG278&lt;&gt;Constants!$B$7, $AG278 ,AS278))</f>
        <v/>
      </c>
      <c r="BH278" s="74" t="str">
        <f aca="false">IF(ISBLANK($C278),"",IF($AG278&lt;&gt;Constants!$B$7, $AG278 ,AH278))</f>
        <v/>
      </c>
      <c r="BI278" s="72" t="str">
        <f aca="false">IF(ISBLANK(C278),"",BA278)</f>
        <v/>
      </c>
      <c r="BJ278" s="72" t="str">
        <f aca="false">IF(ISBLANK(C278),"",AZ278)</f>
        <v/>
      </c>
      <c r="BK278" s="75" t="str">
        <f aca="false">IF(ISBLANK(C278),"",IFERROR(_xlfn.SWITCH(BJ278, Constants!$B$4, COUNTA($C$8:$C777)+2, Constants!$B$5, COUNTA($C$8:$C777)+1, Constants!$B$6, COUNTA($C$8:$C777)),BJ278))</f>
        <v/>
      </c>
      <c r="BL278" s="5"/>
      <c r="BM278" s="76" t="n">
        <f aca="false">IF(OR(ISNUMBER(BJ278),BJ278="DQ",BJ278="P",BJ278="NS"),
    1,
    0
)</f>
        <v>0</v>
      </c>
      <c r="BN278" s="76" t="n">
        <v>271</v>
      </c>
      <c r="BO278" s="76" t="str">
        <f aca="false">IF(ISBLANK($C278),"",IF(ISNUMBER(BK278),BK278+ROW($B278)/1000,""))</f>
        <v/>
      </c>
      <c r="BP278" s="76" t="str">
        <f aca="false">IF(ISNUMBER(BO278), RANK(BO278,BO$8:BO$507,1), "")</f>
        <v/>
      </c>
      <c r="BQ278" s="76" t="str">
        <f aca="false">IF(ISBLANK($C278),
    "",
    $B278
)</f>
        <v/>
      </c>
      <c r="BR278" s="76" t="str">
        <f aca="false">IF(ISBLANK($C278),
    "",
    $C278
)</f>
        <v/>
      </c>
      <c r="BS278" s="76" t="str">
        <f aca="false">IF(ISBLANK($C278),
    "",
    $D278
)</f>
        <v/>
      </c>
      <c r="BT278" s="77" t="str">
        <f aca="false">BH278</f>
        <v/>
      </c>
      <c r="BU278" s="78" t="str">
        <f aca="false">BG278</f>
        <v/>
      </c>
      <c r="BV278" s="76" t="str">
        <f aca="false">IF(ISBLANK($C278),
    "",
    BJ278
)</f>
        <v/>
      </c>
      <c r="BW278" s="79" t="str">
        <f aca="false">IF(BN278&gt;BM$7,
    "",
    VLOOKUP(BN278,BP$8:BV777,7,FALSE())
)</f>
        <v/>
      </c>
      <c r="BX278" s="80" t="str">
        <f aca="false">IF(BN278&gt;BM$7,
    "",
    VLOOKUP(BN278,BP$8:BV777,2,FALSE())
)</f>
        <v/>
      </c>
      <c r="BY278" s="80" t="str">
        <f aca="false">IF(BN278&gt;BM$7,
    "",
    VLOOKUP(BN278,BP$8:BV777,3,FALSE())
)</f>
        <v/>
      </c>
      <c r="BZ278" s="80" t="str">
        <f aca="false">IF(BN278&gt;BM$7,
    "",
    VLOOKUP(BN278,BP$8:BV777,4,FALSE())
)</f>
        <v/>
      </c>
      <c r="CA278" s="80" t="str">
        <f aca="false">IF(BN278&gt;BM$7,
    "",
    VLOOKUP(BN278,BP$8:BV777,5,FALSE())
)</f>
        <v/>
      </c>
      <c r="CB278" s="81" t="str">
        <f aca="false">IF(BN278&gt;BM$7,
    "",
    VLOOKUP(BN278,BP$8:BV777,6,FALSE())
)</f>
        <v/>
      </c>
      <c r="CC278" s="53"/>
    </row>
    <row r="279" customFormat="false" ht="15.75" hidden="false" customHeight="false" outlineLevel="0" collapsed="false">
      <c r="A279" s="5"/>
      <c r="B279" s="129"/>
      <c r="C279" s="55"/>
      <c r="D279" s="56"/>
      <c r="E279" s="123"/>
      <c r="F279" s="123"/>
      <c r="G279" s="58"/>
      <c r="H279" s="59"/>
      <c r="I279" s="59"/>
      <c r="J279" s="83"/>
      <c r="K279" s="83"/>
      <c r="L279" s="83"/>
      <c r="M279" s="61"/>
      <c r="N279" s="61"/>
      <c r="O279" s="61"/>
      <c r="P279" s="62"/>
      <c r="Q279" s="63"/>
      <c r="R279" s="83"/>
      <c r="S279" s="65"/>
      <c r="T279" s="66"/>
      <c r="U279" s="66" t="str">
        <f aca="false">IF(ISBLANK($C279),"",IF(G279=Constants!$B$2, TRUE(), IF(G279=Constants!$B$3, FALSE(), TRUE())))</f>
        <v/>
      </c>
      <c r="V279" s="66" t="str">
        <f aca="false">IF(ISBLANK($C279),"",IF(H279=Constants!$B$2, TRUE(), IF(H279=Constants!$B$3, FALSE(), TRUE())))</f>
        <v/>
      </c>
      <c r="W279" s="66" t="str">
        <f aca="false">IF(ISBLANK($C279),"",IF(I279=Constants!$B$2, TRUE(), IF(I279=Constants!$B$3, FALSE(), TRUE())))</f>
        <v/>
      </c>
      <c r="X279" s="66" t="str">
        <f aca="false">IF(ISBLANK($C279),"",IF(AND(ISNUMBER(J279),J279&gt;0),INT(J279),0))</f>
        <v/>
      </c>
      <c r="Y279" s="66" t="str">
        <f aca="false">IF(ISBLANK($C279),"",IF(K279=Constants!$B$2, TRUE(), IF(K279=Constants!$B$3, FALSE(), TRUE())))</f>
        <v/>
      </c>
      <c r="Z279" s="66" t="str">
        <f aca="false">IF(ISBLANK($C279),"",IF(AND(ISNUMBER(L279),L279&gt;0),INT(L279),0))</f>
        <v/>
      </c>
      <c r="AA279" s="68" t="str">
        <f aca="false">IF(ISBLANK($C279),"",IF(ISNUMBER(M279), M279, ""))</f>
        <v/>
      </c>
      <c r="AB279" s="68" t="str">
        <f aca="false">IF(ISBLANK($C279),"",IF(ISNUMBER(N279), N279, ""))</f>
        <v/>
      </c>
      <c r="AC279" s="68" t="str">
        <f aca="false">IF(ISBLANK($C279),"",IF(ISNUMBER(O279), O279, ""))</f>
        <v/>
      </c>
      <c r="AD279" s="69" t="str">
        <f aca="false">IF(ISBLANK($C279),"",IF(ISNUMBER(P279), P279, ""))</f>
        <v/>
      </c>
      <c r="AE279" s="69" t="str">
        <f aca="false">IF(ISBLANK($C279),"",IF(ISNUMBER(Q279), Q279, Constants!$B$13))</f>
        <v/>
      </c>
      <c r="AF279" s="66" t="str">
        <f aca="false">IF(ISBLANK($C279),"",IF(R279=Constants!$B$2, TRUE(), IF(R279=Constants!$B$3, FALSE(), FALSE())))</f>
        <v/>
      </c>
      <c r="AG279" s="66" t="str">
        <f aca="false">IF(ISBLANK(C279), "", IF(AF279, Constants!$B$4,IF(COUNTA(G279:P279)=0, Constants!$B$5, Constants!$B$7)))</f>
        <v/>
      </c>
      <c r="AH279" s="66" t="str">
        <f aca="false">IF(ISBLANK($C279), "",IF($AG279=Constants!$B$7,1,$AG279))</f>
        <v/>
      </c>
      <c r="AI279" s="66" t="str">
        <f aca="false">IF($AG279=Constants!$B$7,POWER(Constants!$B$11,X279)*POWER(Constants!$B$12,Z279),"")</f>
        <v/>
      </c>
      <c r="AJ279" s="66" t="str">
        <f aca="false">IF(AND($AG279=Constants!$B$7, U279, V279) ,IF(OR($AA279="",$AC279=""),"",MAX(0, $AC279-$AA279)),"")</f>
        <v/>
      </c>
      <c r="AK279" s="66" t="str">
        <f aca="false">IF(AND($AG279=Constants!$B$7, U279, V279),IF(OR($AA279="",$AC279=""),$AK$6,""),"")</f>
        <v/>
      </c>
      <c r="AL279" s="66" t="str">
        <f aca="false">IF($AG279=Constants!$B$7,IF(AND(U279,V279,W279,Y279),IF($AJ279="",0,IF($AJ$6=0,Constants!$B$9,Constants!$B$9*AJ279/$AJ$6)), 0),"")</f>
        <v/>
      </c>
      <c r="AM279" s="66" t="str">
        <f aca="false">IF(AL279&lt;&gt;"", AL279*AI279,"")</f>
        <v/>
      </c>
      <c r="AN279" s="66" t="str">
        <f aca="false">IF(AND($AG279=Constants!$B$7, U279, V279) ,IF($AB279="", "", IF(OR($AC279="",$AC279=0),"",MAX(0,1-ABS($AC279-$AB279)/$AC279))),"")</f>
        <v/>
      </c>
      <c r="AO279" s="66" t="str">
        <f aca="false">IF(AND($AG279=Constants!$B$7, U279, V279),IF(AND($AA279&lt;&gt;"",$AB279&lt;&gt;"",$AC279=0),$AO$6,""),"")</f>
        <v/>
      </c>
      <c r="AP279" s="66" t="str">
        <f aca="false">IF($AG279=Constants!$B$7 ,IF(AND(U279,V279,W279,Y279,ISNUMBER(AB279)),IF($AN279="",0,IF($AN$6=0,Constants!$B$10,Constants!$B$10*AN279/$AN$6)), 0),"")</f>
        <v/>
      </c>
      <c r="AQ279" s="66" t="str">
        <f aca="false">IF(AP279&lt;&gt;"", AP279*AI279,"")</f>
        <v/>
      </c>
      <c r="AR279" s="66" t="str">
        <f aca="false">IF($AG279=Constants!$B$7,IF($AD279="",0,IF($AR$6=0,Constants!$B$8,Constants!$B$8*AD279/$AR$6)),"")</f>
        <v/>
      </c>
      <c r="AS279" s="66" t="str">
        <f aca="false">IF($AG279&lt;&gt;Constants!$B$7,$AG279,IF(AK279&amp;AO279&lt;&gt;"",Constants!$B$14,AM279+AQ279+AR279))</f>
        <v/>
      </c>
      <c r="AT279" s="66" t="str">
        <f aca="false">IF(ISBLANK($C279),"",IF($AG279=Constants!$B$7,IF(ISNUMBER(AS279),RANK(AS279,$AS$8:$AS$507),Constants!$B$14),$AG279))</f>
        <v/>
      </c>
      <c r="AU279" s="66" t="str">
        <f aca="false">IF(ISBLANK($C279), "",AM279)</f>
        <v/>
      </c>
      <c r="AV279" s="66" t="str">
        <f aca="false">IF(ISBLANK($C279),"",IF($AG279=Constants!$B$7,RANK(AU279,AU$8:AU$507),$AG279))</f>
        <v/>
      </c>
      <c r="AW279" s="66" t="str">
        <f aca="false">IF(ISBLANK($C279), "",AR279)</f>
        <v/>
      </c>
      <c r="AX279" s="66" t="str">
        <f aca="false">IF(ISBLANK($C279),"",IF($AG279=Constants!$B$7,RANK(AW279,AW$8:AW$507),$AG279))</f>
        <v/>
      </c>
      <c r="AY279" s="66" t="str">
        <f aca="false">IF(ISBLANK($C279), "",AE279)</f>
        <v/>
      </c>
      <c r="AZ279" s="66" t="str">
        <f aca="false">IF(ISBLANK($C279),"",
IF($AG279=Constants!$B$7,
  IF(ISNUMBER(AT279),
    COUNTIFS($AT$8:$AT$507,"&lt;"&amp;$AT279)
    + COUNTIFS($AT$8:$AT$507,$AT279,$AV$8:$AV$507,"&lt;"&amp;$AV279)
    + COUNTIFS($AT$8:$AT$507,$AT279,$AV$8:$AV$507,$AV279,$AX$8:$AX$507,"&lt;"&amp;$AX279)
    + COUNTIFS($AT$8:$AT$507,$AT279,$AV$8:$AV$507,$AV279,$AX$8:$AX$507,$AX279,$AY$8:$AY$507,"&lt;"&amp;$AY279)
    + 1,
  Constants!$B$14),
$AG279))</f>
        <v/>
      </c>
      <c r="BA279" s="66" t="str">
        <f aca="false">IF(ISBLANK(C279),"",IF($AG279=Constants!$B$7, IF(ISNUMBER(AT279),AT279-AZ279,Constants!$B$14),$AG279))</f>
        <v/>
      </c>
      <c r="BB279" s="70"/>
      <c r="BC279" s="84" t="str">
        <f aca="false">IF(ISBLANK($C279),"",TRIM(AK279&amp;" "&amp;AO279))</f>
        <v/>
      </c>
      <c r="BD279" s="72" t="str">
        <f aca="false">IF(ISBLANK($C279),"",IF($AG279&lt;&gt;Constants!$B$7,$AG279,AR279))</f>
        <v/>
      </c>
      <c r="BE279" s="72" t="str">
        <f aca="false">IF(ISBLANK($C279),"",IF($AG279&lt;&gt;Constants!$B$7,$AG279,AM279))</f>
        <v/>
      </c>
      <c r="BF279" s="72" t="str">
        <f aca="false">IF(ISBLANK($C279),"",IF($AG279&lt;&gt;Constants!$B$7,$AG279,AQ279))</f>
        <v/>
      </c>
      <c r="BG279" s="73" t="str">
        <f aca="false">IF(ISBLANK($C279),"",IF($AG279&lt;&gt;Constants!$B$7, $AG279 ,AS279))</f>
        <v/>
      </c>
      <c r="BH279" s="74" t="str">
        <f aca="false">IF(ISBLANK($C279),"",IF($AG279&lt;&gt;Constants!$B$7, $AG279 ,AH279))</f>
        <v/>
      </c>
      <c r="BI279" s="72" t="str">
        <f aca="false">IF(ISBLANK(C279),"",BA279)</f>
        <v/>
      </c>
      <c r="BJ279" s="72" t="str">
        <f aca="false">IF(ISBLANK(C279),"",AZ279)</f>
        <v/>
      </c>
      <c r="BK279" s="75" t="str">
        <f aca="false">IF(ISBLANK(C279),"",IFERROR(_xlfn.SWITCH(BJ279, Constants!$B$4, COUNTA($C$8:$C778)+2, Constants!$B$5, COUNTA($C$8:$C778)+1, Constants!$B$6, COUNTA($C$8:$C778)),BJ279))</f>
        <v/>
      </c>
      <c r="BL279" s="5"/>
      <c r="BM279" s="76" t="n">
        <f aca="false">IF(OR(ISNUMBER(BJ279),BJ279="DQ",BJ279="P",BJ279="NS"),
    1,
    0
)</f>
        <v>0</v>
      </c>
      <c r="BN279" s="76" t="n">
        <v>272</v>
      </c>
      <c r="BO279" s="76" t="str">
        <f aca="false">IF(ISBLANK($C279),"",IF(ISNUMBER(BK279),BK279+ROW($B279)/1000,""))</f>
        <v/>
      </c>
      <c r="BP279" s="76" t="str">
        <f aca="false">IF(ISNUMBER(BO279), RANK(BO279,BO$8:BO$507,1), "")</f>
        <v/>
      </c>
      <c r="BQ279" s="76" t="str">
        <f aca="false">IF(ISBLANK($C279),
    "",
    $B279
)</f>
        <v/>
      </c>
      <c r="BR279" s="76" t="str">
        <f aca="false">IF(ISBLANK($C279),
    "",
    $C279
)</f>
        <v/>
      </c>
      <c r="BS279" s="76" t="str">
        <f aca="false">IF(ISBLANK($C279),
    "",
    $D279
)</f>
        <v/>
      </c>
      <c r="BT279" s="77" t="str">
        <f aca="false">BH279</f>
        <v/>
      </c>
      <c r="BU279" s="78" t="str">
        <f aca="false">BG279</f>
        <v/>
      </c>
      <c r="BV279" s="76" t="str">
        <f aca="false">IF(ISBLANK($C279),
    "",
    BJ279
)</f>
        <v/>
      </c>
      <c r="BW279" s="79" t="str">
        <f aca="false">IF(BN279&gt;BM$7,
    "",
    VLOOKUP(BN279,BP$8:BV778,7,FALSE())
)</f>
        <v/>
      </c>
      <c r="BX279" s="80" t="str">
        <f aca="false">IF(BN279&gt;BM$7,
    "",
    VLOOKUP(BN279,BP$8:BV778,2,FALSE())
)</f>
        <v/>
      </c>
      <c r="BY279" s="80" t="str">
        <f aca="false">IF(BN279&gt;BM$7,
    "",
    VLOOKUP(BN279,BP$8:BV778,3,FALSE())
)</f>
        <v/>
      </c>
      <c r="BZ279" s="80" t="str">
        <f aca="false">IF(BN279&gt;BM$7,
    "",
    VLOOKUP(BN279,BP$8:BV778,4,FALSE())
)</f>
        <v/>
      </c>
      <c r="CA279" s="80" t="str">
        <f aca="false">IF(BN279&gt;BM$7,
    "",
    VLOOKUP(BN279,BP$8:BV778,5,FALSE())
)</f>
        <v/>
      </c>
      <c r="CB279" s="81" t="str">
        <f aca="false">IF(BN279&gt;BM$7,
    "",
    VLOOKUP(BN279,BP$8:BV778,6,FALSE())
)</f>
        <v/>
      </c>
      <c r="CC279" s="53"/>
    </row>
    <row r="280" customFormat="false" ht="15.75" hidden="false" customHeight="false" outlineLevel="0" collapsed="false">
      <c r="A280" s="5"/>
      <c r="B280" s="129"/>
      <c r="C280" s="55"/>
      <c r="D280" s="56"/>
      <c r="E280" s="123"/>
      <c r="F280" s="123"/>
      <c r="G280" s="58"/>
      <c r="H280" s="59"/>
      <c r="I280" s="59"/>
      <c r="J280" s="83"/>
      <c r="K280" s="83"/>
      <c r="L280" s="83"/>
      <c r="M280" s="61"/>
      <c r="N280" s="61"/>
      <c r="O280" s="61"/>
      <c r="P280" s="62"/>
      <c r="Q280" s="63"/>
      <c r="R280" s="83"/>
      <c r="S280" s="65"/>
      <c r="T280" s="66"/>
      <c r="U280" s="66" t="str">
        <f aca="false">IF(ISBLANK($C280),"",IF(G280=Constants!$B$2, TRUE(), IF(G280=Constants!$B$3, FALSE(), TRUE())))</f>
        <v/>
      </c>
      <c r="V280" s="66" t="str">
        <f aca="false">IF(ISBLANK($C280),"",IF(H280=Constants!$B$2, TRUE(), IF(H280=Constants!$B$3, FALSE(), TRUE())))</f>
        <v/>
      </c>
      <c r="W280" s="66" t="str">
        <f aca="false">IF(ISBLANK($C280),"",IF(I280=Constants!$B$2, TRUE(), IF(I280=Constants!$B$3, FALSE(), TRUE())))</f>
        <v/>
      </c>
      <c r="X280" s="66" t="str">
        <f aca="false">IF(ISBLANK($C280),"",IF(AND(ISNUMBER(J280),J280&gt;0),INT(J280),0))</f>
        <v/>
      </c>
      <c r="Y280" s="66" t="str">
        <f aca="false">IF(ISBLANK($C280),"",IF(K280=Constants!$B$2, TRUE(), IF(K280=Constants!$B$3, FALSE(), TRUE())))</f>
        <v/>
      </c>
      <c r="Z280" s="66" t="str">
        <f aca="false">IF(ISBLANK($C280),"",IF(AND(ISNUMBER(L280),L280&gt;0),INT(L280),0))</f>
        <v/>
      </c>
      <c r="AA280" s="68" t="str">
        <f aca="false">IF(ISBLANK($C280),"",IF(ISNUMBER(M280), M280, ""))</f>
        <v/>
      </c>
      <c r="AB280" s="68" t="str">
        <f aca="false">IF(ISBLANK($C280),"",IF(ISNUMBER(N280), N280, ""))</f>
        <v/>
      </c>
      <c r="AC280" s="68" t="str">
        <f aca="false">IF(ISBLANK($C280),"",IF(ISNUMBER(O280), O280, ""))</f>
        <v/>
      </c>
      <c r="AD280" s="69" t="str">
        <f aca="false">IF(ISBLANK($C280),"",IF(ISNUMBER(P280), P280, ""))</f>
        <v/>
      </c>
      <c r="AE280" s="69" t="str">
        <f aca="false">IF(ISBLANK($C280),"",IF(ISNUMBER(Q280), Q280, Constants!$B$13))</f>
        <v/>
      </c>
      <c r="AF280" s="66" t="str">
        <f aca="false">IF(ISBLANK($C280),"",IF(R280=Constants!$B$2, TRUE(), IF(R280=Constants!$B$3, FALSE(), FALSE())))</f>
        <v/>
      </c>
      <c r="AG280" s="66" t="str">
        <f aca="false">IF(ISBLANK(C280), "", IF(AF280, Constants!$B$4,IF(COUNTA(G280:P280)=0, Constants!$B$5, Constants!$B$7)))</f>
        <v/>
      </c>
      <c r="AH280" s="66" t="str">
        <f aca="false">IF(ISBLANK($C280), "",IF($AG280=Constants!$B$7,1,$AG280))</f>
        <v/>
      </c>
      <c r="AI280" s="66" t="str">
        <f aca="false">IF($AG280=Constants!$B$7,POWER(Constants!$B$11,X280)*POWER(Constants!$B$12,Z280),"")</f>
        <v/>
      </c>
      <c r="AJ280" s="66" t="str">
        <f aca="false">IF(AND($AG280=Constants!$B$7, U280, V280) ,IF(OR($AA280="",$AC280=""),"",MAX(0, $AC280-$AA280)),"")</f>
        <v/>
      </c>
      <c r="AK280" s="66" t="str">
        <f aca="false">IF(AND($AG280=Constants!$B$7, U280, V280),IF(OR($AA280="",$AC280=""),$AK$6,""),"")</f>
        <v/>
      </c>
      <c r="AL280" s="66" t="str">
        <f aca="false">IF($AG280=Constants!$B$7,IF(AND(U280,V280,W280,Y280),IF($AJ280="",0,IF($AJ$6=0,Constants!$B$9,Constants!$B$9*AJ280/$AJ$6)), 0),"")</f>
        <v/>
      </c>
      <c r="AM280" s="66" t="str">
        <f aca="false">IF(AL280&lt;&gt;"", AL280*AI280,"")</f>
        <v/>
      </c>
      <c r="AN280" s="66" t="str">
        <f aca="false">IF(AND($AG280=Constants!$B$7, U280, V280) ,IF($AB280="", "", IF(OR($AC280="",$AC280=0),"",MAX(0,1-ABS($AC280-$AB280)/$AC280))),"")</f>
        <v/>
      </c>
      <c r="AO280" s="66" t="str">
        <f aca="false">IF(AND($AG280=Constants!$B$7, U280, V280),IF(AND($AA280&lt;&gt;"",$AB280&lt;&gt;"",$AC280=0),$AO$6,""),"")</f>
        <v/>
      </c>
      <c r="AP280" s="66" t="str">
        <f aca="false">IF($AG280=Constants!$B$7 ,IF(AND(U280,V280,W280,Y280,ISNUMBER(AB280)),IF($AN280="",0,IF($AN$6=0,Constants!$B$10,Constants!$B$10*AN280/$AN$6)), 0),"")</f>
        <v/>
      </c>
      <c r="AQ280" s="66" t="str">
        <f aca="false">IF(AP280&lt;&gt;"", AP280*AI280,"")</f>
        <v/>
      </c>
      <c r="AR280" s="66" t="str">
        <f aca="false">IF($AG280=Constants!$B$7,IF($AD280="",0,IF($AR$6=0,Constants!$B$8,Constants!$B$8*AD280/$AR$6)),"")</f>
        <v/>
      </c>
      <c r="AS280" s="66" t="str">
        <f aca="false">IF($AG280&lt;&gt;Constants!$B$7,$AG280,IF(AK280&amp;AO280&lt;&gt;"",Constants!$B$14,AM280+AQ280+AR280))</f>
        <v/>
      </c>
      <c r="AT280" s="66" t="str">
        <f aca="false">IF(ISBLANK($C280),"",IF($AG280=Constants!$B$7,IF(ISNUMBER(AS280),RANK(AS280,$AS$8:$AS$507),Constants!$B$14),$AG280))</f>
        <v/>
      </c>
      <c r="AU280" s="66" t="str">
        <f aca="false">IF(ISBLANK($C280), "",AM280)</f>
        <v/>
      </c>
      <c r="AV280" s="66" t="str">
        <f aca="false">IF(ISBLANK($C280),"",IF($AG280=Constants!$B$7,RANK(AU280,AU$8:AU$507),$AG280))</f>
        <v/>
      </c>
      <c r="AW280" s="66" t="str">
        <f aca="false">IF(ISBLANK($C280), "",AR280)</f>
        <v/>
      </c>
      <c r="AX280" s="66" t="str">
        <f aca="false">IF(ISBLANK($C280),"",IF($AG280=Constants!$B$7,RANK(AW280,AW$8:AW$507),$AG280))</f>
        <v/>
      </c>
      <c r="AY280" s="66" t="str">
        <f aca="false">IF(ISBLANK($C280), "",AE280)</f>
        <v/>
      </c>
      <c r="AZ280" s="66" t="str">
        <f aca="false">IF(ISBLANK($C280),"",
IF($AG280=Constants!$B$7,
  IF(ISNUMBER(AT280),
    COUNTIFS($AT$8:$AT$507,"&lt;"&amp;$AT280)
    + COUNTIFS($AT$8:$AT$507,$AT280,$AV$8:$AV$507,"&lt;"&amp;$AV280)
    + COUNTIFS($AT$8:$AT$507,$AT280,$AV$8:$AV$507,$AV280,$AX$8:$AX$507,"&lt;"&amp;$AX280)
    + COUNTIFS($AT$8:$AT$507,$AT280,$AV$8:$AV$507,$AV280,$AX$8:$AX$507,$AX280,$AY$8:$AY$507,"&lt;"&amp;$AY280)
    + 1,
  Constants!$B$14),
$AG280))</f>
        <v/>
      </c>
      <c r="BA280" s="66" t="str">
        <f aca="false">IF(ISBLANK(C280),"",IF($AG280=Constants!$B$7, IF(ISNUMBER(AT280),AT280-AZ280,Constants!$B$14),$AG280))</f>
        <v/>
      </c>
      <c r="BB280" s="70"/>
      <c r="BC280" s="84" t="str">
        <f aca="false">IF(ISBLANK($C280),"",TRIM(AK280&amp;" "&amp;AO280))</f>
        <v/>
      </c>
      <c r="BD280" s="72" t="str">
        <f aca="false">IF(ISBLANK($C280),"",IF($AG280&lt;&gt;Constants!$B$7,$AG280,AR280))</f>
        <v/>
      </c>
      <c r="BE280" s="72" t="str">
        <f aca="false">IF(ISBLANK($C280),"",IF($AG280&lt;&gt;Constants!$B$7,$AG280,AM280))</f>
        <v/>
      </c>
      <c r="BF280" s="72" t="str">
        <f aca="false">IF(ISBLANK($C280),"",IF($AG280&lt;&gt;Constants!$B$7,$AG280,AQ280))</f>
        <v/>
      </c>
      <c r="BG280" s="73" t="str">
        <f aca="false">IF(ISBLANK($C280),"",IF($AG280&lt;&gt;Constants!$B$7, $AG280 ,AS280))</f>
        <v/>
      </c>
      <c r="BH280" s="74" t="str">
        <f aca="false">IF(ISBLANK($C280),"",IF($AG280&lt;&gt;Constants!$B$7, $AG280 ,AH280))</f>
        <v/>
      </c>
      <c r="BI280" s="72" t="str">
        <f aca="false">IF(ISBLANK(C280),"",BA280)</f>
        <v/>
      </c>
      <c r="BJ280" s="72" t="str">
        <f aca="false">IF(ISBLANK(C280),"",AZ280)</f>
        <v/>
      </c>
      <c r="BK280" s="75" t="str">
        <f aca="false">IF(ISBLANK(C280),"",IFERROR(_xlfn.SWITCH(BJ280, Constants!$B$4, COUNTA($C$8:$C779)+2, Constants!$B$5, COUNTA($C$8:$C779)+1, Constants!$B$6, COUNTA($C$8:$C779)),BJ280))</f>
        <v/>
      </c>
      <c r="BL280" s="5"/>
      <c r="BM280" s="76" t="n">
        <f aca="false">IF(OR(ISNUMBER(BJ280),BJ280="DQ",BJ280="P",BJ280="NS"),
    1,
    0
)</f>
        <v>0</v>
      </c>
      <c r="BN280" s="76" t="n">
        <v>273</v>
      </c>
      <c r="BO280" s="76" t="str">
        <f aca="false">IF(ISBLANK($C280),"",IF(ISNUMBER(BK280),BK280+ROW($B280)/1000,""))</f>
        <v/>
      </c>
      <c r="BP280" s="76" t="str">
        <f aca="false">IF(ISNUMBER(BO280), RANK(BO280,BO$8:BO$507,1), "")</f>
        <v/>
      </c>
      <c r="BQ280" s="76" t="str">
        <f aca="false">IF(ISBLANK($C280),
    "",
    $B280
)</f>
        <v/>
      </c>
      <c r="BR280" s="76" t="str">
        <f aca="false">IF(ISBLANK($C280),
    "",
    $C280
)</f>
        <v/>
      </c>
      <c r="BS280" s="76" t="str">
        <f aca="false">IF(ISBLANK($C280),
    "",
    $D280
)</f>
        <v/>
      </c>
      <c r="BT280" s="77" t="str">
        <f aca="false">BH280</f>
        <v/>
      </c>
      <c r="BU280" s="78" t="str">
        <f aca="false">BG280</f>
        <v/>
      </c>
      <c r="BV280" s="76" t="str">
        <f aca="false">IF(ISBLANK($C280),
    "",
    BJ280
)</f>
        <v/>
      </c>
      <c r="BW280" s="79" t="str">
        <f aca="false">IF(BN280&gt;BM$7,
    "",
    VLOOKUP(BN280,BP$8:BV779,7,FALSE())
)</f>
        <v/>
      </c>
      <c r="BX280" s="80" t="str">
        <f aca="false">IF(BN280&gt;BM$7,
    "",
    VLOOKUP(BN280,BP$8:BV779,2,FALSE())
)</f>
        <v/>
      </c>
      <c r="BY280" s="80" t="str">
        <f aca="false">IF(BN280&gt;BM$7,
    "",
    VLOOKUP(BN280,BP$8:BV779,3,FALSE())
)</f>
        <v/>
      </c>
      <c r="BZ280" s="80" t="str">
        <f aca="false">IF(BN280&gt;BM$7,
    "",
    VLOOKUP(BN280,BP$8:BV779,4,FALSE())
)</f>
        <v/>
      </c>
      <c r="CA280" s="80" t="str">
        <f aca="false">IF(BN280&gt;BM$7,
    "",
    VLOOKUP(BN280,BP$8:BV779,5,FALSE())
)</f>
        <v/>
      </c>
      <c r="CB280" s="81" t="str">
        <f aca="false">IF(BN280&gt;BM$7,
    "",
    VLOOKUP(BN280,BP$8:BV779,6,FALSE())
)</f>
        <v/>
      </c>
      <c r="CC280" s="53"/>
    </row>
    <row r="281" customFormat="false" ht="15.75" hidden="false" customHeight="false" outlineLevel="0" collapsed="false">
      <c r="A281" s="5"/>
      <c r="B281" s="125"/>
      <c r="C281" s="126"/>
      <c r="D281" s="115"/>
      <c r="E281" s="119"/>
      <c r="F281" s="119"/>
      <c r="G281" s="91"/>
      <c r="H281" s="92"/>
      <c r="I281" s="92"/>
      <c r="J281" s="128"/>
      <c r="K281" s="128"/>
      <c r="L281" s="128"/>
      <c r="M281" s="94"/>
      <c r="N281" s="94"/>
      <c r="O281" s="94"/>
      <c r="P281" s="95"/>
      <c r="Q281" s="96"/>
      <c r="R281" s="128"/>
      <c r="S281" s="98"/>
      <c r="T281" s="99"/>
      <c r="U281" s="99" t="str">
        <f aca="false">IF(ISBLANK($C281),"",IF(G281=Constants!$B$2, TRUE(), IF(G281=Constants!$B$3, FALSE(), TRUE())))</f>
        <v/>
      </c>
      <c r="V281" s="99" t="str">
        <f aca="false">IF(ISBLANK($C281),"",IF(H281=Constants!$B$2, TRUE(), IF(H281=Constants!$B$3, FALSE(), TRUE())))</f>
        <v/>
      </c>
      <c r="W281" s="99" t="str">
        <f aca="false">IF(ISBLANK($C281),"",IF(I281=Constants!$B$2, TRUE(), IF(I281=Constants!$B$3, FALSE(), TRUE())))</f>
        <v/>
      </c>
      <c r="X281" s="99" t="str">
        <f aca="false">IF(ISBLANK($C281),"",IF(AND(ISNUMBER(J281),J281&gt;0),INT(J281),0))</f>
        <v/>
      </c>
      <c r="Y281" s="99" t="str">
        <f aca="false">IF(ISBLANK($C281),"",IF(K281=Constants!$B$2, TRUE(), IF(K281=Constants!$B$3, FALSE(), TRUE())))</f>
        <v/>
      </c>
      <c r="Z281" s="100" t="str">
        <f aca="false">IF(ISBLANK($C281),"",IF(AND(ISNUMBER(L281),L281&gt;0),INT(L281),0))</f>
        <v/>
      </c>
      <c r="AA281" s="101" t="str">
        <f aca="false">IF(ISBLANK($C281),"",IF(ISNUMBER(M281), M281, ""))</f>
        <v/>
      </c>
      <c r="AB281" s="101" t="str">
        <f aca="false">IF(ISBLANK($C281),"",IF(ISNUMBER(N281), N281, ""))</f>
        <v/>
      </c>
      <c r="AC281" s="101" t="str">
        <f aca="false">IF(ISBLANK($C281),"",IF(ISNUMBER(O281), O281, ""))</f>
        <v/>
      </c>
      <c r="AD281" s="102" t="str">
        <f aca="false">IF(ISBLANK($C281),"",IF(ISNUMBER(P281), P281, ""))</f>
        <v/>
      </c>
      <c r="AE281" s="102" t="str">
        <f aca="false">IF(ISBLANK($C281),"",IF(ISNUMBER(Q281), Q281, Constants!$B$13))</f>
        <v/>
      </c>
      <c r="AF281" s="99" t="str">
        <f aca="false">IF(ISBLANK($C281),"",IF(R281=Constants!$B$2, TRUE(), IF(R281=Constants!$B$3, FALSE(), FALSE())))</f>
        <v/>
      </c>
      <c r="AG281" s="99" t="str">
        <f aca="false">IF(ISBLANK(C281), "", IF(AF281, Constants!$B$4,IF(COUNTA(G281:P281)=0, Constants!$B$5, Constants!$B$7)))</f>
        <v/>
      </c>
      <c r="AH281" s="99" t="str">
        <f aca="false">IF(ISBLANK($C281), "",IF($AG281=Constants!$B$7,1,$AG281))</f>
        <v/>
      </c>
      <c r="AI281" s="99" t="str">
        <f aca="false">IF($AG281=Constants!$B$7,POWER(Constants!$B$11,X281)*POWER(Constants!$B$12,Z281),"")</f>
        <v/>
      </c>
      <c r="AJ281" s="99" t="str">
        <f aca="false">IF(AND($AG281=Constants!$B$7, U281, V281) ,IF(OR($AA281="",$AC281=""),"",MAX(0, $AC281-$AA281)),"")</f>
        <v/>
      </c>
      <c r="AK281" s="99" t="str">
        <f aca="false">IF(AND($AG281=Constants!$B$7, U281, V281),IF(OR($AA281="",$AC281=""),$AK$6,""),"")</f>
        <v/>
      </c>
      <c r="AL281" s="99" t="str">
        <f aca="false">IF($AG281=Constants!$B$7,IF(AND(U281,V281,W281,Y281),IF($AJ281="",0,IF($AJ$6=0,Constants!$B$9,Constants!$B$9*AJ281/$AJ$6)), 0),"")</f>
        <v/>
      </c>
      <c r="AM281" s="99" t="str">
        <f aca="false">IF(AL281&lt;&gt;"", AL281*AI281,"")</f>
        <v/>
      </c>
      <c r="AN281" s="99" t="str">
        <f aca="false">IF(AND($AG281=Constants!$B$7, U281, V281) ,IF($AB281="", "", IF(OR($AC281="",$AC281=0),"",MAX(0,1-ABS($AC281-$AB281)/$AC281))),"")</f>
        <v/>
      </c>
      <c r="AO281" s="99" t="str">
        <f aca="false">IF(AND($AG281=Constants!$B$7, U281, V281),IF(AND($AA281&lt;&gt;"",$AB281&lt;&gt;"",$AC281=0),$AO$6,""),"")</f>
        <v/>
      </c>
      <c r="AP281" s="99" t="str">
        <f aca="false">IF($AG281=Constants!$B$7 ,IF(AND(U281,V281,W281,Y281,ISNUMBER(AB281)),IF($AN281="",0,IF($AN$6=0,Constants!$B$10,Constants!$B$10*AN281/$AN$6)), 0),"")</f>
        <v/>
      </c>
      <c r="AQ281" s="99" t="str">
        <f aca="false">IF(AP281&lt;&gt;"", AP281*AI281,"")</f>
        <v/>
      </c>
      <c r="AR281" s="99" t="str">
        <f aca="false">IF($AG281=Constants!$B$7,IF($AD281="",0,IF($AR$6=0,Constants!$B$8,Constants!$B$8*AD281/$AR$6)),"")</f>
        <v/>
      </c>
      <c r="AS281" s="99" t="str">
        <f aca="false">IF($AG281&lt;&gt;Constants!$B$7,$AG281,IF(AK281&amp;AO281&lt;&gt;"",Constants!$B$14,AM281+AQ281+AR281))</f>
        <v/>
      </c>
      <c r="AT281" s="99" t="str">
        <f aca="false">IF(ISBLANK($C281),"",IF($AG281=Constants!$B$7,IF(ISNUMBER(AS281),RANK(AS281,$AS$8:$AS$507),Constants!$B$14),$AG281))</f>
        <v/>
      </c>
      <c r="AU281" s="99" t="str">
        <f aca="false">IF(ISBLANK($C281), "",AM281)</f>
        <v/>
      </c>
      <c r="AV281" s="99" t="str">
        <f aca="false">IF(ISBLANK($C281),"",IF($AG281=Constants!$B$7,RANK(AU281,AU$8:AU$507),$AG281))</f>
        <v/>
      </c>
      <c r="AW281" s="99" t="str">
        <f aca="false">IF(ISBLANK($C281), "",AR281)</f>
        <v/>
      </c>
      <c r="AX281" s="99" t="str">
        <f aca="false">IF(ISBLANK($C281),"",IF($AG281=Constants!$B$7,RANK(AW281,AW$8:AW$507),$AG281))</f>
        <v/>
      </c>
      <c r="AY281" s="99" t="str">
        <f aca="false">IF(ISBLANK($C281), "",AE281)</f>
        <v/>
      </c>
      <c r="AZ281" s="99" t="str">
        <f aca="false">IF(ISBLANK($C281),"",
IF($AG281=Constants!$B$7,
  IF(ISNUMBER(AT281),
    COUNTIFS($AT$8:$AT$507,"&lt;"&amp;$AT281)
    + COUNTIFS($AT$8:$AT$507,$AT281,$AV$8:$AV$507,"&lt;"&amp;$AV281)
    + COUNTIFS($AT$8:$AT$507,$AT281,$AV$8:$AV$507,$AV281,$AX$8:$AX$507,"&lt;"&amp;$AX281)
    + COUNTIFS($AT$8:$AT$507,$AT281,$AV$8:$AV$507,$AV281,$AX$8:$AX$507,$AX281,$AY$8:$AY$507,"&lt;"&amp;$AY281)
    + 1,
  Constants!$B$14),
$AG281))</f>
        <v/>
      </c>
      <c r="BA281" s="99" t="str">
        <f aca="false">IF(ISBLANK(C281),"",IF($AG281=Constants!$B$7, IF(ISNUMBER(AT281),AT281-AZ281,Constants!$B$14),$AG281))</f>
        <v/>
      </c>
      <c r="BB281" s="103"/>
      <c r="BC281" s="104" t="str">
        <f aca="false">IF(ISBLANK($C281),"",TRIM(AK281&amp;" "&amp;AO281))</f>
        <v/>
      </c>
      <c r="BD281" s="105" t="str">
        <f aca="false">IF(ISBLANK($C281),"",IF($AG281&lt;&gt;Constants!$B$7,$AG281,AR281))</f>
        <v/>
      </c>
      <c r="BE281" s="105" t="str">
        <f aca="false">IF(ISBLANK($C281),"",IF($AG281&lt;&gt;Constants!$B$7,$AG281,AM281))</f>
        <v/>
      </c>
      <c r="BF281" s="105" t="str">
        <f aca="false">IF(ISBLANK($C281),"",IF($AG281&lt;&gt;Constants!$B$7,$AG281,AQ281))</f>
        <v/>
      </c>
      <c r="BG281" s="106" t="str">
        <f aca="false">IF(ISBLANK($C281),"",IF($AG281&lt;&gt;Constants!$B$7, $AG281 ,AS281))</f>
        <v/>
      </c>
      <c r="BH281" s="107" t="str">
        <f aca="false">IF(ISBLANK($C281),"",IF($AG281&lt;&gt;Constants!$B$7, $AG281 ,AH281))</f>
        <v/>
      </c>
      <c r="BI281" s="105" t="str">
        <f aca="false">IF(ISBLANK(C281),"",BA281)</f>
        <v/>
      </c>
      <c r="BJ281" s="105" t="str">
        <f aca="false">IF(ISBLANK(C281),"",AZ281)</f>
        <v/>
      </c>
      <c r="BK281" s="108" t="str">
        <f aca="false">IF(ISBLANK(C281),"",IFERROR(_xlfn.SWITCH(BJ281, Constants!$B$4, COUNTA($C$8:$C780)+2, Constants!$B$5, COUNTA($C$8:$C780)+1, Constants!$B$6, COUNTA($C$8:$C780)),BJ281))</f>
        <v/>
      </c>
      <c r="BL281" s="5"/>
      <c r="BM281" s="109" t="n">
        <f aca="false">IF(OR(ISNUMBER(BJ281),BJ281="DQ",BJ281="P",BJ281="NS"),
    1,
    0
)</f>
        <v>0</v>
      </c>
      <c r="BN281" s="109" t="n">
        <v>274</v>
      </c>
      <c r="BO281" s="109" t="str">
        <f aca="false">IF(ISBLANK($C281),"",IF(ISNUMBER(BK281),BK281+ROW($B281)/1000,""))</f>
        <v/>
      </c>
      <c r="BP281" s="109" t="str">
        <f aca="false">IF(ISNUMBER(BO281), RANK(BO281,BO$8:BO$507,1), "")</f>
        <v/>
      </c>
      <c r="BQ281" s="109" t="str">
        <f aca="false">IF(ISBLANK($C281),
    "",
    $B281
)</f>
        <v/>
      </c>
      <c r="BR281" s="109" t="str">
        <f aca="false">IF(ISBLANK($C281),
    "",
    $C281
)</f>
        <v/>
      </c>
      <c r="BS281" s="109" t="str">
        <f aca="false">IF(ISBLANK($C281),
    "",
    $D281
)</f>
        <v/>
      </c>
      <c r="BT281" s="110" t="str">
        <f aca="false">BH281</f>
        <v/>
      </c>
      <c r="BU281" s="111" t="str">
        <f aca="false">BG281</f>
        <v/>
      </c>
      <c r="BV281" s="109" t="str">
        <f aca="false">IF(ISBLANK($C281),
    "",
    BJ281
)</f>
        <v/>
      </c>
      <c r="BW281" s="112" t="str">
        <f aca="false">IF(BN281&gt;BM$7,
    "",
    VLOOKUP(BN281,BP$8:BV780,7,FALSE())
)</f>
        <v/>
      </c>
      <c r="BX281" s="113" t="str">
        <f aca="false">IF(BN281&gt;BM$7,
    "",
    VLOOKUP(BN281,BP$8:BV780,2,FALSE())
)</f>
        <v/>
      </c>
      <c r="BY281" s="113" t="str">
        <f aca="false">IF(BN281&gt;BM$7,
    "",
    VLOOKUP(BN281,BP$8:BV780,3,FALSE())
)</f>
        <v/>
      </c>
      <c r="BZ281" s="113" t="str">
        <f aca="false">IF(BN281&gt;BM$7,
    "",
    VLOOKUP(BN281,BP$8:BV780,4,FALSE())
)</f>
        <v/>
      </c>
      <c r="CA281" s="113" t="str">
        <f aca="false">IF(BN281&gt;BM$7,
    "",
    VLOOKUP(BN281,BP$8:BV780,5,FALSE())
)</f>
        <v/>
      </c>
      <c r="CB281" s="114" t="str">
        <f aca="false">IF(BN281&gt;BM$7,
    "",
    VLOOKUP(BN281,BP$8:BV780,6,FALSE())
)</f>
        <v/>
      </c>
      <c r="CC281" s="53"/>
    </row>
    <row r="282" customFormat="false" ht="15.75" hidden="false" customHeight="false" outlineLevel="0" collapsed="false">
      <c r="A282" s="5"/>
      <c r="B282" s="125"/>
      <c r="C282" s="126"/>
      <c r="D282" s="115"/>
      <c r="E282" s="119"/>
      <c r="F282" s="119"/>
      <c r="G282" s="91"/>
      <c r="H282" s="92"/>
      <c r="I282" s="92"/>
      <c r="J282" s="128"/>
      <c r="K282" s="128"/>
      <c r="L282" s="128"/>
      <c r="M282" s="94"/>
      <c r="N282" s="94"/>
      <c r="O282" s="94"/>
      <c r="P282" s="95"/>
      <c r="Q282" s="96"/>
      <c r="R282" s="128"/>
      <c r="S282" s="98"/>
      <c r="T282" s="99"/>
      <c r="U282" s="99" t="str">
        <f aca="false">IF(ISBLANK($C282),"",IF(G282=Constants!$B$2, TRUE(), IF(G282=Constants!$B$3, FALSE(), TRUE())))</f>
        <v/>
      </c>
      <c r="V282" s="99" t="str">
        <f aca="false">IF(ISBLANK($C282),"",IF(H282=Constants!$B$2, TRUE(), IF(H282=Constants!$B$3, FALSE(), TRUE())))</f>
        <v/>
      </c>
      <c r="W282" s="99" t="str">
        <f aca="false">IF(ISBLANK($C282),"",IF(I282=Constants!$B$2, TRUE(), IF(I282=Constants!$B$3, FALSE(), TRUE())))</f>
        <v/>
      </c>
      <c r="X282" s="99" t="str">
        <f aca="false">IF(ISBLANK($C282),"",IF(AND(ISNUMBER(J282),J282&gt;0),INT(J282),0))</f>
        <v/>
      </c>
      <c r="Y282" s="99" t="str">
        <f aca="false">IF(ISBLANK($C282),"",IF(K282=Constants!$B$2, TRUE(), IF(K282=Constants!$B$3, FALSE(), TRUE())))</f>
        <v/>
      </c>
      <c r="Z282" s="100" t="str">
        <f aca="false">IF(ISBLANK($C282),"",IF(AND(ISNUMBER(L282),L282&gt;0),INT(L282),0))</f>
        <v/>
      </c>
      <c r="AA282" s="101" t="str">
        <f aca="false">IF(ISBLANK($C282),"",IF(ISNUMBER(M282), M282, ""))</f>
        <v/>
      </c>
      <c r="AB282" s="101" t="str">
        <f aca="false">IF(ISBLANK($C282),"",IF(ISNUMBER(N282), N282, ""))</f>
        <v/>
      </c>
      <c r="AC282" s="101" t="str">
        <f aca="false">IF(ISBLANK($C282),"",IF(ISNUMBER(O282), O282, ""))</f>
        <v/>
      </c>
      <c r="AD282" s="102" t="str">
        <f aca="false">IF(ISBLANK($C282),"",IF(ISNUMBER(P282), P282, ""))</f>
        <v/>
      </c>
      <c r="AE282" s="102" t="str">
        <f aca="false">IF(ISBLANK($C282),"",IF(ISNUMBER(Q282), Q282, Constants!$B$13))</f>
        <v/>
      </c>
      <c r="AF282" s="99" t="str">
        <f aca="false">IF(ISBLANK($C282),"",IF(R282=Constants!$B$2, TRUE(), IF(R282=Constants!$B$3, FALSE(), FALSE())))</f>
        <v/>
      </c>
      <c r="AG282" s="99" t="str">
        <f aca="false">IF(ISBLANK(C282), "", IF(AF282, Constants!$B$4,IF(COUNTA(G282:P282)=0, Constants!$B$5, Constants!$B$7)))</f>
        <v/>
      </c>
      <c r="AH282" s="99" t="str">
        <f aca="false">IF(ISBLANK($C282), "",IF($AG282=Constants!$B$7,1,$AG282))</f>
        <v/>
      </c>
      <c r="AI282" s="99" t="str">
        <f aca="false">IF($AG282=Constants!$B$7,POWER(Constants!$B$11,X282)*POWER(Constants!$B$12,Z282),"")</f>
        <v/>
      </c>
      <c r="AJ282" s="99" t="str">
        <f aca="false">IF(AND($AG282=Constants!$B$7, U282, V282) ,IF(OR($AA282="",$AC282=""),"",MAX(0, $AC282-$AA282)),"")</f>
        <v/>
      </c>
      <c r="AK282" s="99" t="str">
        <f aca="false">IF(AND($AG282=Constants!$B$7, U282, V282),IF(OR($AA282="",$AC282=""),$AK$6,""),"")</f>
        <v/>
      </c>
      <c r="AL282" s="99" t="str">
        <f aca="false">IF($AG282=Constants!$B$7,IF(AND(U282,V282,W282,Y282),IF($AJ282="",0,IF($AJ$6=0,Constants!$B$9,Constants!$B$9*AJ282/$AJ$6)), 0),"")</f>
        <v/>
      </c>
      <c r="AM282" s="99" t="str">
        <f aca="false">IF(AL282&lt;&gt;"", AL282*AI282,"")</f>
        <v/>
      </c>
      <c r="AN282" s="99" t="str">
        <f aca="false">IF(AND($AG282=Constants!$B$7, U282, V282) ,IF($AB282="", "", IF(OR($AC282="",$AC282=0),"",MAX(0,1-ABS($AC282-$AB282)/$AC282))),"")</f>
        <v/>
      </c>
      <c r="AO282" s="99" t="str">
        <f aca="false">IF(AND($AG282=Constants!$B$7, U282, V282),IF(AND($AA282&lt;&gt;"",$AB282&lt;&gt;"",$AC282=0),$AO$6,""),"")</f>
        <v/>
      </c>
      <c r="AP282" s="99" t="str">
        <f aca="false">IF($AG282=Constants!$B$7 ,IF(AND(U282,V282,W282,Y282,ISNUMBER(AB282)),IF($AN282="",0,IF($AN$6=0,Constants!$B$10,Constants!$B$10*AN282/$AN$6)), 0),"")</f>
        <v/>
      </c>
      <c r="AQ282" s="99" t="str">
        <f aca="false">IF(AP282&lt;&gt;"", AP282*AI282,"")</f>
        <v/>
      </c>
      <c r="AR282" s="99" t="str">
        <f aca="false">IF($AG282=Constants!$B$7,IF($AD282="",0,IF($AR$6=0,Constants!$B$8,Constants!$B$8*AD282/$AR$6)),"")</f>
        <v/>
      </c>
      <c r="AS282" s="99" t="str">
        <f aca="false">IF($AG282&lt;&gt;Constants!$B$7,$AG282,IF(AK282&amp;AO282&lt;&gt;"",Constants!$B$14,AM282+AQ282+AR282))</f>
        <v/>
      </c>
      <c r="AT282" s="99" t="str">
        <f aca="false">IF(ISBLANK($C282),"",IF($AG282=Constants!$B$7,IF(ISNUMBER(AS282),RANK(AS282,$AS$8:$AS$507),Constants!$B$14),$AG282))</f>
        <v/>
      </c>
      <c r="AU282" s="99" t="str">
        <f aca="false">IF(ISBLANK($C282), "",AM282)</f>
        <v/>
      </c>
      <c r="AV282" s="99" t="str">
        <f aca="false">IF(ISBLANK($C282),"",IF($AG282=Constants!$B$7,RANK(AU282,AU$8:AU$507),$AG282))</f>
        <v/>
      </c>
      <c r="AW282" s="99" t="str">
        <f aca="false">IF(ISBLANK($C282), "",AR282)</f>
        <v/>
      </c>
      <c r="AX282" s="99" t="str">
        <f aca="false">IF(ISBLANK($C282),"",IF($AG282=Constants!$B$7,RANK(AW282,AW$8:AW$507),$AG282))</f>
        <v/>
      </c>
      <c r="AY282" s="99" t="str">
        <f aca="false">IF(ISBLANK($C282), "",AE282)</f>
        <v/>
      </c>
      <c r="AZ282" s="99" t="str">
        <f aca="false">IF(ISBLANK($C282),"",
IF($AG282=Constants!$B$7,
  IF(ISNUMBER(AT282),
    COUNTIFS($AT$8:$AT$507,"&lt;"&amp;$AT282)
    + COUNTIFS($AT$8:$AT$507,$AT282,$AV$8:$AV$507,"&lt;"&amp;$AV282)
    + COUNTIFS($AT$8:$AT$507,$AT282,$AV$8:$AV$507,$AV282,$AX$8:$AX$507,"&lt;"&amp;$AX282)
    + COUNTIFS($AT$8:$AT$507,$AT282,$AV$8:$AV$507,$AV282,$AX$8:$AX$507,$AX282,$AY$8:$AY$507,"&lt;"&amp;$AY282)
    + 1,
  Constants!$B$14),
$AG282))</f>
        <v/>
      </c>
      <c r="BA282" s="99" t="str">
        <f aca="false">IF(ISBLANK(C282),"",IF($AG282=Constants!$B$7, IF(ISNUMBER(AT282),AT282-AZ282,Constants!$B$14),$AG282))</f>
        <v/>
      </c>
      <c r="BB282" s="103"/>
      <c r="BC282" s="104" t="str">
        <f aca="false">IF(ISBLANK($C282),"",TRIM(AK282&amp;" "&amp;AO282))</f>
        <v/>
      </c>
      <c r="BD282" s="105" t="str">
        <f aca="false">IF(ISBLANK($C282),"",IF($AG282&lt;&gt;Constants!$B$7,$AG282,AR282))</f>
        <v/>
      </c>
      <c r="BE282" s="105" t="str">
        <f aca="false">IF(ISBLANK($C282),"",IF($AG282&lt;&gt;Constants!$B$7,$AG282,AM282))</f>
        <v/>
      </c>
      <c r="BF282" s="105" t="str">
        <f aca="false">IF(ISBLANK($C282),"",IF($AG282&lt;&gt;Constants!$B$7,$AG282,AQ282))</f>
        <v/>
      </c>
      <c r="BG282" s="106" t="str">
        <f aca="false">IF(ISBLANK($C282),"",IF($AG282&lt;&gt;Constants!$B$7, $AG282 ,AS282))</f>
        <v/>
      </c>
      <c r="BH282" s="107" t="str">
        <f aca="false">IF(ISBLANK($C282),"",IF($AG282&lt;&gt;Constants!$B$7, $AG282 ,AH282))</f>
        <v/>
      </c>
      <c r="BI282" s="105" t="str">
        <f aca="false">IF(ISBLANK(C282),"",BA282)</f>
        <v/>
      </c>
      <c r="BJ282" s="105" t="str">
        <f aca="false">IF(ISBLANK(C282),"",AZ282)</f>
        <v/>
      </c>
      <c r="BK282" s="108" t="str">
        <f aca="false">IF(ISBLANK(C282),"",IFERROR(_xlfn.SWITCH(BJ282, Constants!$B$4, COUNTA($C$8:$C781)+2, Constants!$B$5, COUNTA($C$8:$C781)+1, Constants!$B$6, COUNTA($C$8:$C781)),BJ282))</f>
        <v/>
      </c>
      <c r="BL282" s="5"/>
      <c r="BM282" s="109" t="n">
        <f aca="false">IF(OR(ISNUMBER(BJ282),BJ282="DQ",BJ282="P",BJ282="NS"),
    1,
    0
)</f>
        <v>0</v>
      </c>
      <c r="BN282" s="109" t="n">
        <v>275</v>
      </c>
      <c r="BO282" s="109" t="str">
        <f aca="false">IF(ISBLANK($C282),"",IF(ISNUMBER(BK282),BK282+ROW($B282)/1000,""))</f>
        <v/>
      </c>
      <c r="BP282" s="109" t="str">
        <f aca="false">IF(ISNUMBER(BO282), RANK(BO282,BO$8:BO$507,1), "")</f>
        <v/>
      </c>
      <c r="BQ282" s="109" t="str">
        <f aca="false">IF(ISBLANK($C282),
    "",
    $B282
)</f>
        <v/>
      </c>
      <c r="BR282" s="109" t="str">
        <f aca="false">IF(ISBLANK($C282),
    "",
    $C282
)</f>
        <v/>
      </c>
      <c r="BS282" s="109" t="str">
        <f aca="false">IF(ISBLANK($C282),
    "",
    $D282
)</f>
        <v/>
      </c>
      <c r="BT282" s="110" t="str">
        <f aca="false">BH282</f>
        <v/>
      </c>
      <c r="BU282" s="111" t="str">
        <f aca="false">BG282</f>
        <v/>
      </c>
      <c r="BV282" s="109" t="str">
        <f aca="false">IF(ISBLANK($C282),
    "",
    BJ282
)</f>
        <v/>
      </c>
      <c r="BW282" s="112" t="str">
        <f aca="false">IF(BN282&gt;BM$7,
    "",
    VLOOKUP(BN282,BP$8:BV781,7,FALSE())
)</f>
        <v/>
      </c>
      <c r="BX282" s="113" t="str">
        <f aca="false">IF(BN282&gt;BM$7,
    "",
    VLOOKUP(BN282,BP$8:BV781,2,FALSE())
)</f>
        <v/>
      </c>
      <c r="BY282" s="113" t="str">
        <f aca="false">IF(BN282&gt;BM$7,
    "",
    VLOOKUP(BN282,BP$8:BV781,3,FALSE())
)</f>
        <v/>
      </c>
      <c r="BZ282" s="113" t="str">
        <f aca="false">IF(BN282&gt;BM$7,
    "",
    VLOOKUP(BN282,BP$8:BV781,4,FALSE())
)</f>
        <v/>
      </c>
      <c r="CA282" s="113" t="str">
        <f aca="false">IF(BN282&gt;BM$7,
    "",
    VLOOKUP(BN282,BP$8:BV781,5,FALSE())
)</f>
        <v/>
      </c>
      <c r="CB282" s="114" t="str">
        <f aca="false">IF(BN282&gt;BM$7,
    "",
    VLOOKUP(BN282,BP$8:BV781,6,FALSE())
)</f>
        <v/>
      </c>
      <c r="CC282" s="53"/>
    </row>
    <row r="283" customFormat="false" ht="15.75" hidden="false" customHeight="false" outlineLevel="0" collapsed="false">
      <c r="A283" s="5"/>
      <c r="B283" s="125"/>
      <c r="C283" s="126"/>
      <c r="D283" s="115"/>
      <c r="E283" s="119"/>
      <c r="F283" s="119"/>
      <c r="G283" s="91"/>
      <c r="H283" s="92"/>
      <c r="I283" s="92"/>
      <c r="J283" s="128"/>
      <c r="K283" s="128"/>
      <c r="L283" s="128"/>
      <c r="M283" s="94"/>
      <c r="N283" s="94"/>
      <c r="O283" s="94"/>
      <c r="P283" s="95"/>
      <c r="Q283" s="96"/>
      <c r="R283" s="128"/>
      <c r="S283" s="98"/>
      <c r="T283" s="99"/>
      <c r="U283" s="99" t="str">
        <f aca="false">IF(ISBLANK($C283),"",IF(G283=Constants!$B$2, TRUE(), IF(G283=Constants!$B$3, FALSE(), TRUE())))</f>
        <v/>
      </c>
      <c r="V283" s="99" t="str">
        <f aca="false">IF(ISBLANK($C283),"",IF(H283=Constants!$B$2, TRUE(), IF(H283=Constants!$B$3, FALSE(), TRUE())))</f>
        <v/>
      </c>
      <c r="W283" s="99" t="str">
        <f aca="false">IF(ISBLANK($C283),"",IF(I283=Constants!$B$2, TRUE(), IF(I283=Constants!$B$3, FALSE(), TRUE())))</f>
        <v/>
      </c>
      <c r="X283" s="99" t="str">
        <f aca="false">IF(ISBLANK($C283),"",IF(AND(ISNUMBER(J283),J283&gt;0),INT(J283),0))</f>
        <v/>
      </c>
      <c r="Y283" s="99" t="str">
        <f aca="false">IF(ISBLANK($C283),"",IF(K283=Constants!$B$2, TRUE(), IF(K283=Constants!$B$3, FALSE(), TRUE())))</f>
        <v/>
      </c>
      <c r="Z283" s="100" t="str">
        <f aca="false">IF(ISBLANK($C283),"",IF(AND(ISNUMBER(L283),L283&gt;0),INT(L283),0))</f>
        <v/>
      </c>
      <c r="AA283" s="101" t="str">
        <f aca="false">IF(ISBLANK($C283),"",IF(ISNUMBER(M283), M283, ""))</f>
        <v/>
      </c>
      <c r="AB283" s="101" t="str">
        <f aca="false">IF(ISBLANK($C283),"",IF(ISNUMBER(N283), N283, ""))</f>
        <v/>
      </c>
      <c r="AC283" s="101" t="str">
        <f aca="false">IF(ISBLANK($C283),"",IF(ISNUMBER(O283), O283, ""))</f>
        <v/>
      </c>
      <c r="AD283" s="102" t="str">
        <f aca="false">IF(ISBLANK($C283),"",IF(ISNUMBER(P283), P283, ""))</f>
        <v/>
      </c>
      <c r="AE283" s="102" t="str">
        <f aca="false">IF(ISBLANK($C283),"",IF(ISNUMBER(Q283), Q283, Constants!$B$13))</f>
        <v/>
      </c>
      <c r="AF283" s="99" t="str">
        <f aca="false">IF(ISBLANK($C283),"",IF(R283=Constants!$B$2, TRUE(), IF(R283=Constants!$B$3, FALSE(), FALSE())))</f>
        <v/>
      </c>
      <c r="AG283" s="99" t="str">
        <f aca="false">IF(ISBLANK(C283), "", IF(AF283, Constants!$B$4,IF(COUNTA(G283:P283)=0, Constants!$B$5, Constants!$B$7)))</f>
        <v/>
      </c>
      <c r="AH283" s="99" t="str">
        <f aca="false">IF(ISBLANK($C283), "",IF($AG283=Constants!$B$7,1,$AG283))</f>
        <v/>
      </c>
      <c r="AI283" s="99" t="str">
        <f aca="false">IF($AG283=Constants!$B$7,POWER(Constants!$B$11,X283)*POWER(Constants!$B$12,Z283),"")</f>
        <v/>
      </c>
      <c r="AJ283" s="99" t="str">
        <f aca="false">IF(AND($AG283=Constants!$B$7, U283, V283) ,IF(OR($AA283="",$AC283=""),"",MAX(0, $AC283-$AA283)),"")</f>
        <v/>
      </c>
      <c r="AK283" s="99" t="str">
        <f aca="false">IF(AND($AG283=Constants!$B$7, U283, V283),IF(OR($AA283="",$AC283=""),$AK$6,""),"")</f>
        <v/>
      </c>
      <c r="AL283" s="99" t="str">
        <f aca="false">IF($AG283=Constants!$B$7,IF(AND(U283,V283,W283,Y283),IF($AJ283="",0,IF($AJ$6=0,Constants!$B$9,Constants!$B$9*AJ283/$AJ$6)), 0),"")</f>
        <v/>
      </c>
      <c r="AM283" s="99" t="str">
        <f aca="false">IF(AL283&lt;&gt;"", AL283*AI283,"")</f>
        <v/>
      </c>
      <c r="AN283" s="99" t="str">
        <f aca="false">IF(AND($AG283=Constants!$B$7, U283, V283) ,IF($AB283="", "", IF(OR($AC283="",$AC283=0),"",MAX(0,1-ABS($AC283-$AB283)/$AC283))),"")</f>
        <v/>
      </c>
      <c r="AO283" s="99" t="str">
        <f aca="false">IF(AND($AG283=Constants!$B$7, U283, V283),IF(AND($AA283&lt;&gt;"",$AB283&lt;&gt;"",$AC283=0),$AO$6,""),"")</f>
        <v/>
      </c>
      <c r="AP283" s="99" t="str">
        <f aca="false">IF($AG283=Constants!$B$7 ,IF(AND(U283,V283,W283,Y283,ISNUMBER(AB283)),IF($AN283="",0,IF($AN$6=0,Constants!$B$10,Constants!$B$10*AN283/$AN$6)), 0),"")</f>
        <v/>
      </c>
      <c r="AQ283" s="99" t="str">
        <f aca="false">IF(AP283&lt;&gt;"", AP283*AI283,"")</f>
        <v/>
      </c>
      <c r="AR283" s="99" t="str">
        <f aca="false">IF($AG283=Constants!$B$7,IF($AD283="",0,IF($AR$6=0,Constants!$B$8,Constants!$B$8*AD283/$AR$6)),"")</f>
        <v/>
      </c>
      <c r="AS283" s="99" t="str">
        <f aca="false">IF($AG283&lt;&gt;Constants!$B$7,$AG283,IF(AK283&amp;AO283&lt;&gt;"",Constants!$B$14,AM283+AQ283+AR283))</f>
        <v/>
      </c>
      <c r="AT283" s="99" t="str">
        <f aca="false">IF(ISBLANK($C283),"",IF($AG283=Constants!$B$7,IF(ISNUMBER(AS283),RANK(AS283,$AS$8:$AS$507),Constants!$B$14),$AG283))</f>
        <v/>
      </c>
      <c r="AU283" s="99" t="str">
        <f aca="false">IF(ISBLANK($C283), "",AM283)</f>
        <v/>
      </c>
      <c r="AV283" s="99" t="str">
        <f aca="false">IF(ISBLANK($C283),"",IF($AG283=Constants!$B$7,RANK(AU283,AU$8:AU$507),$AG283))</f>
        <v/>
      </c>
      <c r="AW283" s="99" t="str">
        <f aca="false">IF(ISBLANK($C283), "",AR283)</f>
        <v/>
      </c>
      <c r="AX283" s="99" t="str">
        <f aca="false">IF(ISBLANK($C283),"",IF($AG283=Constants!$B$7,RANK(AW283,AW$8:AW$507),$AG283))</f>
        <v/>
      </c>
      <c r="AY283" s="99" t="str">
        <f aca="false">IF(ISBLANK($C283), "",AE283)</f>
        <v/>
      </c>
      <c r="AZ283" s="99" t="str">
        <f aca="false">IF(ISBLANK($C283),"",
IF($AG283=Constants!$B$7,
  IF(ISNUMBER(AT283),
    COUNTIFS($AT$8:$AT$507,"&lt;"&amp;$AT283)
    + COUNTIFS($AT$8:$AT$507,$AT283,$AV$8:$AV$507,"&lt;"&amp;$AV283)
    + COUNTIFS($AT$8:$AT$507,$AT283,$AV$8:$AV$507,$AV283,$AX$8:$AX$507,"&lt;"&amp;$AX283)
    + COUNTIFS($AT$8:$AT$507,$AT283,$AV$8:$AV$507,$AV283,$AX$8:$AX$507,$AX283,$AY$8:$AY$507,"&lt;"&amp;$AY283)
    + 1,
  Constants!$B$14),
$AG283))</f>
        <v/>
      </c>
      <c r="BA283" s="99" t="str">
        <f aca="false">IF(ISBLANK(C283),"",IF($AG283=Constants!$B$7, IF(ISNUMBER(AT283),AT283-AZ283,Constants!$B$14),$AG283))</f>
        <v/>
      </c>
      <c r="BB283" s="103"/>
      <c r="BC283" s="104" t="str">
        <f aca="false">IF(ISBLANK($C283),"",TRIM(AK283&amp;" "&amp;AO283))</f>
        <v/>
      </c>
      <c r="BD283" s="105" t="str">
        <f aca="false">IF(ISBLANK($C283),"",IF($AG283&lt;&gt;Constants!$B$7,$AG283,AR283))</f>
        <v/>
      </c>
      <c r="BE283" s="105" t="str">
        <f aca="false">IF(ISBLANK($C283),"",IF($AG283&lt;&gt;Constants!$B$7,$AG283,AM283))</f>
        <v/>
      </c>
      <c r="BF283" s="105" t="str">
        <f aca="false">IF(ISBLANK($C283),"",IF($AG283&lt;&gt;Constants!$B$7,$AG283,AQ283))</f>
        <v/>
      </c>
      <c r="BG283" s="106" t="str">
        <f aca="false">IF(ISBLANK($C283),"",IF($AG283&lt;&gt;Constants!$B$7, $AG283 ,AS283))</f>
        <v/>
      </c>
      <c r="BH283" s="107" t="str">
        <f aca="false">IF(ISBLANK($C283),"",IF($AG283&lt;&gt;Constants!$B$7, $AG283 ,AH283))</f>
        <v/>
      </c>
      <c r="BI283" s="105" t="str">
        <f aca="false">IF(ISBLANK(C283),"",BA283)</f>
        <v/>
      </c>
      <c r="BJ283" s="105" t="str">
        <f aca="false">IF(ISBLANK(C283),"",AZ283)</f>
        <v/>
      </c>
      <c r="BK283" s="108" t="str">
        <f aca="false">IF(ISBLANK(C283),"",IFERROR(_xlfn.SWITCH(BJ283, Constants!$B$4, COUNTA($C$8:$C782)+2, Constants!$B$5, COUNTA($C$8:$C782)+1, Constants!$B$6, COUNTA($C$8:$C782)),BJ283))</f>
        <v/>
      </c>
      <c r="BL283" s="5"/>
      <c r="BM283" s="109" t="n">
        <f aca="false">IF(OR(ISNUMBER(BJ283),BJ283="DQ",BJ283="P",BJ283="NS"),
    1,
    0
)</f>
        <v>0</v>
      </c>
      <c r="BN283" s="109" t="n">
        <v>276</v>
      </c>
      <c r="BO283" s="109" t="str">
        <f aca="false">IF(ISBLANK($C283),"",IF(ISNUMBER(BK283),BK283+ROW($B283)/1000,""))</f>
        <v/>
      </c>
      <c r="BP283" s="109" t="str">
        <f aca="false">IF(ISNUMBER(BO283), RANK(BO283,BO$8:BO$507,1), "")</f>
        <v/>
      </c>
      <c r="BQ283" s="109" t="str">
        <f aca="false">IF(ISBLANK($C283),
    "",
    $B283
)</f>
        <v/>
      </c>
      <c r="BR283" s="109" t="str">
        <f aca="false">IF(ISBLANK($C283),
    "",
    $C283
)</f>
        <v/>
      </c>
      <c r="BS283" s="109" t="str">
        <f aca="false">IF(ISBLANK($C283),
    "",
    $D283
)</f>
        <v/>
      </c>
      <c r="BT283" s="110" t="str">
        <f aca="false">BH283</f>
        <v/>
      </c>
      <c r="BU283" s="111" t="str">
        <f aca="false">BG283</f>
        <v/>
      </c>
      <c r="BV283" s="109" t="str">
        <f aca="false">IF(ISBLANK($C283),
    "",
    BJ283
)</f>
        <v/>
      </c>
      <c r="BW283" s="112" t="str">
        <f aca="false">IF(BN283&gt;BM$7,
    "",
    VLOOKUP(BN283,BP$8:BV782,7,FALSE())
)</f>
        <v/>
      </c>
      <c r="BX283" s="113" t="str">
        <f aca="false">IF(BN283&gt;BM$7,
    "",
    VLOOKUP(BN283,BP$8:BV782,2,FALSE())
)</f>
        <v/>
      </c>
      <c r="BY283" s="113" t="str">
        <f aca="false">IF(BN283&gt;BM$7,
    "",
    VLOOKUP(BN283,BP$8:BV782,3,FALSE())
)</f>
        <v/>
      </c>
      <c r="BZ283" s="113" t="str">
        <f aca="false">IF(BN283&gt;BM$7,
    "",
    VLOOKUP(BN283,BP$8:BV782,4,FALSE())
)</f>
        <v/>
      </c>
      <c r="CA283" s="113" t="str">
        <f aca="false">IF(BN283&gt;BM$7,
    "",
    VLOOKUP(BN283,BP$8:BV782,5,FALSE())
)</f>
        <v/>
      </c>
      <c r="CB283" s="114" t="str">
        <f aca="false">IF(BN283&gt;BM$7,
    "",
    VLOOKUP(BN283,BP$8:BV782,6,FALSE())
)</f>
        <v/>
      </c>
      <c r="CC283" s="53"/>
    </row>
    <row r="284" customFormat="false" ht="15.75" hidden="false" customHeight="false" outlineLevel="0" collapsed="false">
      <c r="A284" s="5"/>
      <c r="B284" s="129"/>
      <c r="C284" s="55"/>
      <c r="D284" s="56"/>
      <c r="E284" s="123"/>
      <c r="F284" s="123"/>
      <c r="G284" s="58"/>
      <c r="H284" s="59"/>
      <c r="I284" s="59"/>
      <c r="J284" s="83"/>
      <c r="K284" s="83"/>
      <c r="L284" s="83"/>
      <c r="M284" s="61"/>
      <c r="N284" s="61"/>
      <c r="O284" s="61"/>
      <c r="P284" s="62"/>
      <c r="Q284" s="63"/>
      <c r="R284" s="83"/>
      <c r="S284" s="65"/>
      <c r="T284" s="66"/>
      <c r="U284" s="66" t="str">
        <f aca="false">IF(ISBLANK($C284),"",IF(G284=Constants!$B$2, TRUE(), IF(G284=Constants!$B$3, FALSE(), TRUE())))</f>
        <v/>
      </c>
      <c r="V284" s="66" t="str">
        <f aca="false">IF(ISBLANK($C284),"",IF(H284=Constants!$B$2, TRUE(), IF(H284=Constants!$B$3, FALSE(), TRUE())))</f>
        <v/>
      </c>
      <c r="W284" s="66" t="str">
        <f aca="false">IF(ISBLANK($C284),"",IF(I284=Constants!$B$2, TRUE(), IF(I284=Constants!$B$3, FALSE(), TRUE())))</f>
        <v/>
      </c>
      <c r="X284" s="66" t="str">
        <f aca="false">IF(ISBLANK($C284),"",IF(AND(ISNUMBER(J284),J284&gt;0),INT(J284),0))</f>
        <v/>
      </c>
      <c r="Y284" s="66" t="str">
        <f aca="false">IF(ISBLANK($C284),"",IF(K284=Constants!$B$2, TRUE(), IF(K284=Constants!$B$3, FALSE(), TRUE())))</f>
        <v/>
      </c>
      <c r="Z284" s="66" t="str">
        <f aca="false">IF(ISBLANK($C284),"",IF(AND(ISNUMBER(L284),L284&gt;0),INT(L284),0))</f>
        <v/>
      </c>
      <c r="AA284" s="68" t="str">
        <f aca="false">IF(ISBLANK($C284),"",IF(ISNUMBER(M284), M284, ""))</f>
        <v/>
      </c>
      <c r="AB284" s="68" t="str">
        <f aca="false">IF(ISBLANK($C284),"",IF(ISNUMBER(N284), N284, ""))</f>
        <v/>
      </c>
      <c r="AC284" s="68" t="str">
        <f aca="false">IF(ISBLANK($C284),"",IF(ISNUMBER(O284), O284, ""))</f>
        <v/>
      </c>
      <c r="AD284" s="69" t="str">
        <f aca="false">IF(ISBLANK($C284),"",IF(ISNUMBER(P284), P284, ""))</f>
        <v/>
      </c>
      <c r="AE284" s="69" t="str">
        <f aca="false">IF(ISBLANK($C284),"",IF(ISNUMBER(Q284), Q284, Constants!$B$13))</f>
        <v/>
      </c>
      <c r="AF284" s="66" t="str">
        <f aca="false">IF(ISBLANK($C284),"",IF(R284=Constants!$B$2, TRUE(), IF(R284=Constants!$B$3, FALSE(), FALSE())))</f>
        <v/>
      </c>
      <c r="AG284" s="66" t="str">
        <f aca="false">IF(ISBLANK(C284), "", IF(AF284, Constants!$B$4,IF(COUNTA(G284:P284)=0, Constants!$B$5, Constants!$B$7)))</f>
        <v/>
      </c>
      <c r="AH284" s="66" t="str">
        <f aca="false">IF(ISBLANK($C284), "",IF($AG284=Constants!$B$7,1,$AG284))</f>
        <v/>
      </c>
      <c r="AI284" s="66" t="str">
        <f aca="false">IF($AG284=Constants!$B$7,POWER(Constants!$B$11,X284)*POWER(Constants!$B$12,Z284),"")</f>
        <v/>
      </c>
      <c r="AJ284" s="66" t="str">
        <f aca="false">IF(AND($AG284=Constants!$B$7, U284, V284) ,IF(OR($AA284="",$AC284=""),"",MAX(0, $AC284-$AA284)),"")</f>
        <v/>
      </c>
      <c r="AK284" s="66" t="str">
        <f aca="false">IF(AND($AG284=Constants!$B$7, U284, V284),IF(OR($AA284="",$AC284=""),$AK$6,""),"")</f>
        <v/>
      </c>
      <c r="AL284" s="66" t="str">
        <f aca="false">IF($AG284=Constants!$B$7,IF(AND(U284,V284,W284,Y284),IF($AJ284="",0,IF($AJ$6=0,Constants!$B$9,Constants!$B$9*AJ284/$AJ$6)), 0),"")</f>
        <v/>
      </c>
      <c r="AM284" s="66" t="str">
        <f aca="false">IF(AL284&lt;&gt;"", AL284*AI284,"")</f>
        <v/>
      </c>
      <c r="AN284" s="66" t="str">
        <f aca="false">IF(AND($AG284=Constants!$B$7, U284, V284) ,IF($AB284="", "", IF(OR($AC284="",$AC284=0),"",MAX(0,1-ABS($AC284-$AB284)/$AC284))),"")</f>
        <v/>
      </c>
      <c r="AO284" s="66" t="str">
        <f aca="false">IF(AND($AG284=Constants!$B$7, U284, V284),IF(AND($AA284&lt;&gt;"",$AB284&lt;&gt;"",$AC284=0),$AO$6,""),"")</f>
        <v/>
      </c>
      <c r="AP284" s="66" t="str">
        <f aca="false">IF($AG284=Constants!$B$7 ,IF(AND(U284,V284,W284,Y284,ISNUMBER(AB284)),IF($AN284="",0,IF($AN$6=0,Constants!$B$10,Constants!$B$10*AN284/$AN$6)), 0),"")</f>
        <v/>
      </c>
      <c r="AQ284" s="66" t="str">
        <f aca="false">IF(AP284&lt;&gt;"", AP284*AI284,"")</f>
        <v/>
      </c>
      <c r="AR284" s="66" t="str">
        <f aca="false">IF($AG284=Constants!$B$7,IF($AD284="",0,IF($AR$6=0,Constants!$B$8,Constants!$B$8*AD284/$AR$6)),"")</f>
        <v/>
      </c>
      <c r="AS284" s="66" t="str">
        <f aca="false">IF($AG284&lt;&gt;Constants!$B$7,$AG284,IF(AK284&amp;AO284&lt;&gt;"",Constants!$B$14,AM284+AQ284+AR284))</f>
        <v/>
      </c>
      <c r="AT284" s="66" t="str">
        <f aca="false">IF(ISBLANK($C284),"",IF($AG284=Constants!$B$7,IF(ISNUMBER(AS284),RANK(AS284,$AS$8:$AS$507),Constants!$B$14),$AG284))</f>
        <v/>
      </c>
      <c r="AU284" s="66" t="str">
        <f aca="false">IF(ISBLANK($C284), "",AM284)</f>
        <v/>
      </c>
      <c r="AV284" s="66" t="str">
        <f aca="false">IF(ISBLANK($C284),"",IF($AG284=Constants!$B$7,RANK(AU284,AU$8:AU$507),$AG284))</f>
        <v/>
      </c>
      <c r="AW284" s="66" t="str">
        <f aca="false">IF(ISBLANK($C284), "",AR284)</f>
        <v/>
      </c>
      <c r="AX284" s="66" t="str">
        <f aca="false">IF(ISBLANK($C284),"",IF($AG284=Constants!$B$7,RANK(AW284,AW$8:AW$507),$AG284))</f>
        <v/>
      </c>
      <c r="AY284" s="66" t="str">
        <f aca="false">IF(ISBLANK($C284), "",AE284)</f>
        <v/>
      </c>
      <c r="AZ284" s="66" t="str">
        <f aca="false">IF(ISBLANK($C284),"",
IF($AG284=Constants!$B$7,
  IF(ISNUMBER(AT284),
    COUNTIFS($AT$8:$AT$507,"&lt;"&amp;$AT284)
    + COUNTIFS($AT$8:$AT$507,$AT284,$AV$8:$AV$507,"&lt;"&amp;$AV284)
    + COUNTIFS($AT$8:$AT$507,$AT284,$AV$8:$AV$507,$AV284,$AX$8:$AX$507,"&lt;"&amp;$AX284)
    + COUNTIFS($AT$8:$AT$507,$AT284,$AV$8:$AV$507,$AV284,$AX$8:$AX$507,$AX284,$AY$8:$AY$507,"&lt;"&amp;$AY284)
    + 1,
  Constants!$B$14),
$AG284))</f>
        <v/>
      </c>
      <c r="BA284" s="66" t="str">
        <f aca="false">IF(ISBLANK(C284),"",IF($AG284=Constants!$B$7, IF(ISNUMBER(AT284),AT284-AZ284,Constants!$B$14),$AG284))</f>
        <v/>
      </c>
      <c r="BB284" s="70"/>
      <c r="BC284" s="84" t="str">
        <f aca="false">IF(ISBLANK($C284),"",TRIM(AK284&amp;" "&amp;AO284))</f>
        <v/>
      </c>
      <c r="BD284" s="72" t="str">
        <f aca="false">IF(ISBLANK($C284),"",IF($AG284&lt;&gt;Constants!$B$7,$AG284,AR284))</f>
        <v/>
      </c>
      <c r="BE284" s="72" t="str">
        <f aca="false">IF(ISBLANK($C284),"",IF($AG284&lt;&gt;Constants!$B$7,$AG284,AM284))</f>
        <v/>
      </c>
      <c r="BF284" s="72" t="str">
        <f aca="false">IF(ISBLANK($C284),"",IF($AG284&lt;&gt;Constants!$B$7,$AG284,AQ284))</f>
        <v/>
      </c>
      <c r="BG284" s="73" t="str">
        <f aca="false">IF(ISBLANK($C284),"",IF($AG284&lt;&gt;Constants!$B$7, $AG284 ,AS284))</f>
        <v/>
      </c>
      <c r="BH284" s="74" t="str">
        <f aca="false">IF(ISBLANK($C284),"",IF($AG284&lt;&gt;Constants!$B$7, $AG284 ,AH284))</f>
        <v/>
      </c>
      <c r="BI284" s="72" t="str">
        <f aca="false">IF(ISBLANK(C284),"",BA284)</f>
        <v/>
      </c>
      <c r="BJ284" s="72" t="str">
        <f aca="false">IF(ISBLANK(C284),"",AZ284)</f>
        <v/>
      </c>
      <c r="BK284" s="75" t="str">
        <f aca="false">IF(ISBLANK(C284),"",IFERROR(_xlfn.SWITCH(BJ284, Constants!$B$4, COUNTA($C$8:$C783)+2, Constants!$B$5, COUNTA($C$8:$C783)+1, Constants!$B$6, COUNTA($C$8:$C783)),BJ284))</f>
        <v/>
      </c>
      <c r="BL284" s="5"/>
      <c r="BM284" s="76" t="n">
        <f aca="false">IF(OR(ISNUMBER(BJ284),BJ284="DQ",BJ284="P",BJ284="NS"),
    1,
    0
)</f>
        <v>0</v>
      </c>
      <c r="BN284" s="76" t="n">
        <v>277</v>
      </c>
      <c r="BO284" s="76" t="str">
        <f aca="false">IF(ISBLANK($C284),"",IF(ISNUMBER(BK284),BK284+ROW($B284)/1000,""))</f>
        <v/>
      </c>
      <c r="BP284" s="76" t="str">
        <f aca="false">IF(ISNUMBER(BO284), RANK(BO284,BO$8:BO$507,1), "")</f>
        <v/>
      </c>
      <c r="BQ284" s="76" t="str">
        <f aca="false">IF(ISBLANK($C284),
    "",
    $B284
)</f>
        <v/>
      </c>
      <c r="BR284" s="76" t="str">
        <f aca="false">IF(ISBLANK($C284),
    "",
    $C284
)</f>
        <v/>
      </c>
      <c r="BS284" s="76" t="str">
        <f aca="false">IF(ISBLANK($C284),
    "",
    $D284
)</f>
        <v/>
      </c>
      <c r="BT284" s="77" t="str">
        <f aca="false">BH284</f>
        <v/>
      </c>
      <c r="BU284" s="78" t="str">
        <f aca="false">BG284</f>
        <v/>
      </c>
      <c r="BV284" s="76" t="str">
        <f aca="false">IF(ISBLANK($C284),
    "",
    BJ284
)</f>
        <v/>
      </c>
      <c r="BW284" s="79" t="str">
        <f aca="false">IF(BN284&gt;BM$7,
    "",
    VLOOKUP(BN284,BP$8:BV783,7,FALSE())
)</f>
        <v/>
      </c>
      <c r="BX284" s="80" t="str">
        <f aca="false">IF(BN284&gt;BM$7,
    "",
    VLOOKUP(BN284,BP$8:BV783,2,FALSE())
)</f>
        <v/>
      </c>
      <c r="BY284" s="80" t="str">
        <f aca="false">IF(BN284&gt;BM$7,
    "",
    VLOOKUP(BN284,BP$8:BV783,3,FALSE())
)</f>
        <v/>
      </c>
      <c r="BZ284" s="80" t="str">
        <f aca="false">IF(BN284&gt;BM$7,
    "",
    VLOOKUP(BN284,BP$8:BV783,4,FALSE())
)</f>
        <v/>
      </c>
      <c r="CA284" s="80" t="str">
        <f aca="false">IF(BN284&gt;BM$7,
    "",
    VLOOKUP(BN284,BP$8:BV783,5,FALSE())
)</f>
        <v/>
      </c>
      <c r="CB284" s="81" t="str">
        <f aca="false">IF(BN284&gt;BM$7,
    "",
    VLOOKUP(BN284,BP$8:BV783,6,FALSE())
)</f>
        <v/>
      </c>
      <c r="CC284" s="53"/>
    </row>
    <row r="285" customFormat="false" ht="15.75" hidden="false" customHeight="false" outlineLevel="0" collapsed="false">
      <c r="A285" s="5"/>
      <c r="B285" s="129"/>
      <c r="C285" s="55"/>
      <c r="D285" s="56"/>
      <c r="E285" s="123"/>
      <c r="F285" s="123"/>
      <c r="G285" s="58"/>
      <c r="H285" s="59"/>
      <c r="I285" s="59"/>
      <c r="J285" s="83"/>
      <c r="K285" s="83"/>
      <c r="L285" s="83"/>
      <c r="M285" s="61"/>
      <c r="N285" s="61"/>
      <c r="O285" s="61"/>
      <c r="P285" s="62"/>
      <c r="Q285" s="63"/>
      <c r="R285" s="83"/>
      <c r="S285" s="65"/>
      <c r="T285" s="66"/>
      <c r="U285" s="66" t="str">
        <f aca="false">IF(ISBLANK($C285),"",IF(G285=Constants!$B$2, TRUE(), IF(G285=Constants!$B$3, FALSE(), TRUE())))</f>
        <v/>
      </c>
      <c r="V285" s="66" t="str">
        <f aca="false">IF(ISBLANK($C285),"",IF(H285=Constants!$B$2, TRUE(), IF(H285=Constants!$B$3, FALSE(), TRUE())))</f>
        <v/>
      </c>
      <c r="W285" s="66" t="str">
        <f aca="false">IF(ISBLANK($C285),"",IF(I285=Constants!$B$2, TRUE(), IF(I285=Constants!$B$3, FALSE(), TRUE())))</f>
        <v/>
      </c>
      <c r="X285" s="66" t="str">
        <f aca="false">IF(ISBLANK($C285),"",IF(AND(ISNUMBER(J285),J285&gt;0),INT(J285),0))</f>
        <v/>
      </c>
      <c r="Y285" s="66" t="str">
        <f aca="false">IF(ISBLANK($C285),"",IF(K285=Constants!$B$2, TRUE(), IF(K285=Constants!$B$3, FALSE(), TRUE())))</f>
        <v/>
      </c>
      <c r="Z285" s="66" t="str">
        <f aca="false">IF(ISBLANK($C285),"",IF(AND(ISNUMBER(L285),L285&gt;0),INT(L285),0))</f>
        <v/>
      </c>
      <c r="AA285" s="68" t="str">
        <f aca="false">IF(ISBLANK($C285),"",IF(ISNUMBER(M285), M285, ""))</f>
        <v/>
      </c>
      <c r="AB285" s="68" t="str">
        <f aca="false">IF(ISBLANK($C285),"",IF(ISNUMBER(N285), N285, ""))</f>
        <v/>
      </c>
      <c r="AC285" s="68" t="str">
        <f aca="false">IF(ISBLANK($C285),"",IF(ISNUMBER(O285), O285, ""))</f>
        <v/>
      </c>
      <c r="AD285" s="69" t="str">
        <f aca="false">IF(ISBLANK($C285),"",IF(ISNUMBER(P285), P285, ""))</f>
        <v/>
      </c>
      <c r="AE285" s="69" t="str">
        <f aca="false">IF(ISBLANK($C285),"",IF(ISNUMBER(Q285), Q285, Constants!$B$13))</f>
        <v/>
      </c>
      <c r="AF285" s="66" t="str">
        <f aca="false">IF(ISBLANK($C285),"",IF(R285=Constants!$B$2, TRUE(), IF(R285=Constants!$B$3, FALSE(), FALSE())))</f>
        <v/>
      </c>
      <c r="AG285" s="66" t="str">
        <f aca="false">IF(ISBLANK(C285), "", IF(AF285, Constants!$B$4,IF(COUNTA(G285:P285)=0, Constants!$B$5, Constants!$B$7)))</f>
        <v/>
      </c>
      <c r="AH285" s="66" t="str">
        <f aca="false">IF(ISBLANK($C285), "",IF($AG285=Constants!$B$7,1,$AG285))</f>
        <v/>
      </c>
      <c r="AI285" s="66" t="str">
        <f aca="false">IF($AG285=Constants!$B$7,POWER(Constants!$B$11,X285)*POWER(Constants!$B$12,Z285),"")</f>
        <v/>
      </c>
      <c r="AJ285" s="66" t="str">
        <f aca="false">IF(AND($AG285=Constants!$B$7, U285, V285) ,IF(OR($AA285="",$AC285=""),"",MAX(0, $AC285-$AA285)),"")</f>
        <v/>
      </c>
      <c r="AK285" s="66" t="str">
        <f aca="false">IF(AND($AG285=Constants!$B$7, U285, V285),IF(OR($AA285="",$AC285=""),$AK$6,""),"")</f>
        <v/>
      </c>
      <c r="AL285" s="66" t="str">
        <f aca="false">IF($AG285=Constants!$B$7,IF(AND(U285,V285,W285,Y285),IF($AJ285="",0,IF($AJ$6=0,Constants!$B$9,Constants!$B$9*AJ285/$AJ$6)), 0),"")</f>
        <v/>
      </c>
      <c r="AM285" s="66" t="str">
        <f aca="false">IF(AL285&lt;&gt;"", AL285*AI285,"")</f>
        <v/>
      </c>
      <c r="AN285" s="66" t="str">
        <f aca="false">IF(AND($AG285=Constants!$B$7, U285, V285) ,IF($AB285="", "", IF(OR($AC285="",$AC285=0),"",MAX(0,1-ABS($AC285-$AB285)/$AC285))),"")</f>
        <v/>
      </c>
      <c r="AO285" s="66" t="str">
        <f aca="false">IF(AND($AG285=Constants!$B$7, U285, V285),IF(AND($AA285&lt;&gt;"",$AB285&lt;&gt;"",$AC285=0),$AO$6,""),"")</f>
        <v/>
      </c>
      <c r="AP285" s="66" t="str">
        <f aca="false">IF($AG285=Constants!$B$7 ,IF(AND(U285,V285,W285,Y285,ISNUMBER(AB285)),IF($AN285="",0,IF($AN$6=0,Constants!$B$10,Constants!$B$10*AN285/$AN$6)), 0),"")</f>
        <v/>
      </c>
      <c r="AQ285" s="66" t="str">
        <f aca="false">IF(AP285&lt;&gt;"", AP285*AI285,"")</f>
        <v/>
      </c>
      <c r="AR285" s="66" t="str">
        <f aca="false">IF($AG285=Constants!$B$7,IF($AD285="",0,IF($AR$6=0,Constants!$B$8,Constants!$B$8*AD285/$AR$6)),"")</f>
        <v/>
      </c>
      <c r="AS285" s="66" t="str">
        <f aca="false">IF($AG285&lt;&gt;Constants!$B$7,$AG285,IF(AK285&amp;AO285&lt;&gt;"",Constants!$B$14,AM285+AQ285+AR285))</f>
        <v/>
      </c>
      <c r="AT285" s="66" t="str">
        <f aca="false">IF(ISBLANK($C285),"",IF($AG285=Constants!$B$7,IF(ISNUMBER(AS285),RANK(AS285,$AS$8:$AS$507),Constants!$B$14),$AG285))</f>
        <v/>
      </c>
      <c r="AU285" s="66" t="str">
        <f aca="false">IF(ISBLANK($C285), "",AM285)</f>
        <v/>
      </c>
      <c r="AV285" s="66" t="str">
        <f aca="false">IF(ISBLANK($C285),"",IF($AG285=Constants!$B$7,RANK(AU285,AU$8:AU$507),$AG285))</f>
        <v/>
      </c>
      <c r="AW285" s="66" t="str">
        <f aca="false">IF(ISBLANK($C285), "",AR285)</f>
        <v/>
      </c>
      <c r="AX285" s="66" t="str">
        <f aca="false">IF(ISBLANK($C285),"",IF($AG285=Constants!$B$7,RANK(AW285,AW$8:AW$507),$AG285))</f>
        <v/>
      </c>
      <c r="AY285" s="66" t="str">
        <f aca="false">IF(ISBLANK($C285), "",AE285)</f>
        <v/>
      </c>
      <c r="AZ285" s="66" t="str">
        <f aca="false">IF(ISBLANK($C285),"",
IF($AG285=Constants!$B$7,
  IF(ISNUMBER(AT285),
    COUNTIFS($AT$8:$AT$507,"&lt;"&amp;$AT285)
    + COUNTIFS($AT$8:$AT$507,$AT285,$AV$8:$AV$507,"&lt;"&amp;$AV285)
    + COUNTIFS($AT$8:$AT$507,$AT285,$AV$8:$AV$507,$AV285,$AX$8:$AX$507,"&lt;"&amp;$AX285)
    + COUNTIFS($AT$8:$AT$507,$AT285,$AV$8:$AV$507,$AV285,$AX$8:$AX$507,$AX285,$AY$8:$AY$507,"&lt;"&amp;$AY285)
    + 1,
  Constants!$B$14),
$AG285))</f>
        <v/>
      </c>
      <c r="BA285" s="66" t="str">
        <f aca="false">IF(ISBLANK(C285),"",IF($AG285=Constants!$B$7, IF(ISNUMBER(AT285),AT285-AZ285,Constants!$B$14),$AG285))</f>
        <v/>
      </c>
      <c r="BB285" s="70"/>
      <c r="BC285" s="84" t="str">
        <f aca="false">IF(ISBLANK($C285),"",TRIM(AK285&amp;" "&amp;AO285))</f>
        <v/>
      </c>
      <c r="BD285" s="72" t="str">
        <f aca="false">IF(ISBLANK($C285),"",IF($AG285&lt;&gt;Constants!$B$7,$AG285,AR285))</f>
        <v/>
      </c>
      <c r="BE285" s="72" t="str">
        <f aca="false">IF(ISBLANK($C285),"",IF($AG285&lt;&gt;Constants!$B$7,$AG285,AM285))</f>
        <v/>
      </c>
      <c r="BF285" s="72" t="str">
        <f aca="false">IF(ISBLANK($C285),"",IF($AG285&lt;&gt;Constants!$B$7,$AG285,AQ285))</f>
        <v/>
      </c>
      <c r="BG285" s="73" t="str">
        <f aca="false">IF(ISBLANK($C285),"",IF($AG285&lt;&gt;Constants!$B$7, $AG285 ,AS285))</f>
        <v/>
      </c>
      <c r="BH285" s="74" t="str">
        <f aca="false">IF(ISBLANK($C285),"",IF($AG285&lt;&gt;Constants!$B$7, $AG285 ,AH285))</f>
        <v/>
      </c>
      <c r="BI285" s="72" t="str">
        <f aca="false">IF(ISBLANK(C285),"",BA285)</f>
        <v/>
      </c>
      <c r="BJ285" s="72" t="str">
        <f aca="false">IF(ISBLANK(C285),"",AZ285)</f>
        <v/>
      </c>
      <c r="BK285" s="75" t="str">
        <f aca="false">IF(ISBLANK(C285),"",IFERROR(_xlfn.SWITCH(BJ285, Constants!$B$4, COUNTA($C$8:$C784)+2, Constants!$B$5, COUNTA($C$8:$C784)+1, Constants!$B$6, COUNTA($C$8:$C784)),BJ285))</f>
        <v/>
      </c>
      <c r="BL285" s="5"/>
      <c r="BM285" s="76" t="n">
        <f aca="false">IF(OR(ISNUMBER(BJ285),BJ285="DQ",BJ285="P",BJ285="NS"),
    1,
    0
)</f>
        <v>0</v>
      </c>
      <c r="BN285" s="76" t="n">
        <v>278</v>
      </c>
      <c r="BO285" s="76" t="str">
        <f aca="false">IF(ISBLANK($C285),"",IF(ISNUMBER(BK285),BK285+ROW($B285)/1000,""))</f>
        <v/>
      </c>
      <c r="BP285" s="76" t="str">
        <f aca="false">IF(ISNUMBER(BO285), RANK(BO285,BO$8:BO$507,1), "")</f>
        <v/>
      </c>
      <c r="BQ285" s="76" t="str">
        <f aca="false">IF(ISBLANK($C285),
    "",
    $B285
)</f>
        <v/>
      </c>
      <c r="BR285" s="76" t="str">
        <f aca="false">IF(ISBLANK($C285),
    "",
    $C285
)</f>
        <v/>
      </c>
      <c r="BS285" s="76" t="str">
        <f aca="false">IF(ISBLANK($C285),
    "",
    $D285
)</f>
        <v/>
      </c>
      <c r="BT285" s="77" t="str">
        <f aca="false">BH285</f>
        <v/>
      </c>
      <c r="BU285" s="78" t="str">
        <f aca="false">BG285</f>
        <v/>
      </c>
      <c r="BV285" s="76" t="str">
        <f aca="false">IF(ISBLANK($C285),
    "",
    BJ285
)</f>
        <v/>
      </c>
      <c r="BW285" s="79" t="str">
        <f aca="false">IF(BN285&gt;BM$7,
    "",
    VLOOKUP(BN285,BP$8:BV784,7,FALSE())
)</f>
        <v/>
      </c>
      <c r="BX285" s="80" t="str">
        <f aca="false">IF(BN285&gt;BM$7,
    "",
    VLOOKUP(BN285,BP$8:BV784,2,FALSE())
)</f>
        <v/>
      </c>
      <c r="BY285" s="80" t="str">
        <f aca="false">IF(BN285&gt;BM$7,
    "",
    VLOOKUP(BN285,BP$8:BV784,3,FALSE())
)</f>
        <v/>
      </c>
      <c r="BZ285" s="80" t="str">
        <f aca="false">IF(BN285&gt;BM$7,
    "",
    VLOOKUP(BN285,BP$8:BV784,4,FALSE())
)</f>
        <v/>
      </c>
      <c r="CA285" s="80" t="str">
        <f aca="false">IF(BN285&gt;BM$7,
    "",
    VLOOKUP(BN285,BP$8:BV784,5,FALSE())
)</f>
        <v/>
      </c>
      <c r="CB285" s="81" t="str">
        <f aca="false">IF(BN285&gt;BM$7,
    "",
    VLOOKUP(BN285,BP$8:BV784,6,FALSE())
)</f>
        <v/>
      </c>
      <c r="CC285" s="53"/>
    </row>
    <row r="286" customFormat="false" ht="15.75" hidden="false" customHeight="false" outlineLevel="0" collapsed="false">
      <c r="A286" s="5"/>
      <c r="B286" s="129"/>
      <c r="C286" s="55"/>
      <c r="D286" s="56"/>
      <c r="E286" s="123"/>
      <c r="F286" s="123"/>
      <c r="G286" s="58"/>
      <c r="H286" s="59"/>
      <c r="I286" s="59"/>
      <c r="J286" s="83"/>
      <c r="K286" s="83"/>
      <c r="L286" s="83"/>
      <c r="M286" s="61"/>
      <c r="N286" s="61"/>
      <c r="O286" s="61"/>
      <c r="P286" s="62"/>
      <c r="Q286" s="63"/>
      <c r="R286" s="83"/>
      <c r="S286" s="65"/>
      <c r="T286" s="66"/>
      <c r="U286" s="66" t="str">
        <f aca="false">IF(ISBLANK($C286),"",IF(G286=Constants!$B$2, TRUE(), IF(G286=Constants!$B$3, FALSE(), TRUE())))</f>
        <v/>
      </c>
      <c r="V286" s="66" t="str">
        <f aca="false">IF(ISBLANK($C286),"",IF(H286=Constants!$B$2, TRUE(), IF(H286=Constants!$B$3, FALSE(), TRUE())))</f>
        <v/>
      </c>
      <c r="W286" s="66" t="str">
        <f aca="false">IF(ISBLANK($C286),"",IF(I286=Constants!$B$2, TRUE(), IF(I286=Constants!$B$3, FALSE(), TRUE())))</f>
        <v/>
      </c>
      <c r="X286" s="66" t="str">
        <f aca="false">IF(ISBLANK($C286),"",IF(AND(ISNUMBER(J286),J286&gt;0),INT(J286),0))</f>
        <v/>
      </c>
      <c r="Y286" s="66" t="str">
        <f aca="false">IF(ISBLANK($C286),"",IF(K286=Constants!$B$2, TRUE(), IF(K286=Constants!$B$3, FALSE(), TRUE())))</f>
        <v/>
      </c>
      <c r="Z286" s="66" t="str">
        <f aca="false">IF(ISBLANK($C286),"",IF(AND(ISNUMBER(L286),L286&gt;0),INT(L286),0))</f>
        <v/>
      </c>
      <c r="AA286" s="68" t="str">
        <f aca="false">IF(ISBLANK($C286),"",IF(ISNUMBER(M286), M286, ""))</f>
        <v/>
      </c>
      <c r="AB286" s="68" t="str">
        <f aca="false">IF(ISBLANK($C286),"",IF(ISNUMBER(N286), N286, ""))</f>
        <v/>
      </c>
      <c r="AC286" s="68" t="str">
        <f aca="false">IF(ISBLANK($C286),"",IF(ISNUMBER(O286), O286, ""))</f>
        <v/>
      </c>
      <c r="AD286" s="69" t="str">
        <f aca="false">IF(ISBLANK($C286),"",IF(ISNUMBER(P286), P286, ""))</f>
        <v/>
      </c>
      <c r="AE286" s="69" t="str">
        <f aca="false">IF(ISBLANK($C286),"",IF(ISNUMBER(Q286), Q286, Constants!$B$13))</f>
        <v/>
      </c>
      <c r="AF286" s="66" t="str">
        <f aca="false">IF(ISBLANK($C286),"",IF(R286=Constants!$B$2, TRUE(), IF(R286=Constants!$B$3, FALSE(), FALSE())))</f>
        <v/>
      </c>
      <c r="AG286" s="66" t="str">
        <f aca="false">IF(ISBLANK(C286), "", IF(AF286, Constants!$B$4,IF(COUNTA(G286:P286)=0, Constants!$B$5, Constants!$B$7)))</f>
        <v/>
      </c>
      <c r="AH286" s="66" t="str">
        <f aca="false">IF(ISBLANK($C286), "",IF($AG286=Constants!$B$7,1,$AG286))</f>
        <v/>
      </c>
      <c r="AI286" s="66" t="str">
        <f aca="false">IF($AG286=Constants!$B$7,POWER(Constants!$B$11,X286)*POWER(Constants!$B$12,Z286),"")</f>
        <v/>
      </c>
      <c r="AJ286" s="66" t="str">
        <f aca="false">IF(AND($AG286=Constants!$B$7, U286, V286) ,IF(OR($AA286="",$AC286=""),"",MAX(0, $AC286-$AA286)),"")</f>
        <v/>
      </c>
      <c r="AK286" s="66" t="str">
        <f aca="false">IF(AND($AG286=Constants!$B$7, U286, V286),IF(OR($AA286="",$AC286=""),$AK$6,""),"")</f>
        <v/>
      </c>
      <c r="AL286" s="66" t="str">
        <f aca="false">IF($AG286=Constants!$B$7,IF(AND(U286,V286,W286,Y286),IF($AJ286="",0,IF($AJ$6=0,Constants!$B$9,Constants!$B$9*AJ286/$AJ$6)), 0),"")</f>
        <v/>
      </c>
      <c r="AM286" s="66" t="str">
        <f aca="false">IF(AL286&lt;&gt;"", AL286*AI286,"")</f>
        <v/>
      </c>
      <c r="AN286" s="66" t="str">
        <f aca="false">IF(AND($AG286=Constants!$B$7, U286, V286) ,IF($AB286="", "", IF(OR($AC286="",$AC286=0),"",MAX(0,1-ABS($AC286-$AB286)/$AC286))),"")</f>
        <v/>
      </c>
      <c r="AO286" s="66" t="str">
        <f aca="false">IF(AND($AG286=Constants!$B$7, U286, V286),IF(AND($AA286&lt;&gt;"",$AB286&lt;&gt;"",$AC286=0),$AO$6,""),"")</f>
        <v/>
      </c>
      <c r="AP286" s="66" t="str">
        <f aca="false">IF($AG286=Constants!$B$7 ,IF(AND(U286,V286,W286,Y286,ISNUMBER(AB286)),IF($AN286="",0,IF($AN$6=0,Constants!$B$10,Constants!$B$10*AN286/$AN$6)), 0),"")</f>
        <v/>
      </c>
      <c r="AQ286" s="66" t="str">
        <f aca="false">IF(AP286&lt;&gt;"", AP286*AI286,"")</f>
        <v/>
      </c>
      <c r="AR286" s="66" t="str">
        <f aca="false">IF($AG286=Constants!$B$7,IF($AD286="",0,IF($AR$6=0,Constants!$B$8,Constants!$B$8*AD286/$AR$6)),"")</f>
        <v/>
      </c>
      <c r="AS286" s="66" t="str">
        <f aca="false">IF($AG286&lt;&gt;Constants!$B$7,$AG286,IF(AK286&amp;AO286&lt;&gt;"",Constants!$B$14,AM286+AQ286+AR286))</f>
        <v/>
      </c>
      <c r="AT286" s="66" t="str">
        <f aca="false">IF(ISBLANK($C286),"",IF($AG286=Constants!$B$7,IF(ISNUMBER(AS286),RANK(AS286,$AS$8:$AS$507),Constants!$B$14),$AG286))</f>
        <v/>
      </c>
      <c r="AU286" s="66" t="str">
        <f aca="false">IF(ISBLANK($C286), "",AM286)</f>
        <v/>
      </c>
      <c r="AV286" s="66" t="str">
        <f aca="false">IF(ISBLANK($C286),"",IF($AG286=Constants!$B$7,RANK(AU286,AU$8:AU$507),$AG286))</f>
        <v/>
      </c>
      <c r="AW286" s="66" t="str">
        <f aca="false">IF(ISBLANK($C286), "",AR286)</f>
        <v/>
      </c>
      <c r="AX286" s="66" t="str">
        <f aca="false">IF(ISBLANK($C286),"",IF($AG286=Constants!$B$7,RANK(AW286,AW$8:AW$507),$AG286))</f>
        <v/>
      </c>
      <c r="AY286" s="66" t="str">
        <f aca="false">IF(ISBLANK($C286), "",AE286)</f>
        <v/>
      </c>
      <c r="AZ286" s="66" t="str">
        <f aca="false">IF(ISBLANK($C286),"",
IF($AG286=Constants!$B$7,
  IF(ISNUMBER(AT286),
    COUNTIFS($AT$8:$AT$507,"&lt;"&amp;$AT286)
    + COUNTIFS($AT$8:$AT$507,$AT286,$AV$8:$AV$507,"&lt;"&amp;$AV286)
    + COUNTIFS($AT$8:$AT$507,$AT286,$AV$8:$AV$507,$AV286,$AX$8:$AX$507,"&lt;"&amp;$AX286)
    + COUNTIFS($AT$8:$AT$507,$AT286,$AV$8:$AV$507,$AV286,$AX$8:$AX$507,$AX286,$AY$8:$AY$507,"&lt;"&amp;$AY286)
    + 1,
  Constants!$B$14),
$AG286))</f>
        <v/>
      </c>
      <c r="BA286" s="66" t="str">
        <f aca="false">IF(ISBLANK(C286),"",IF($AG286=Constants!$B$7, IF(ISNUMBER(AT286),AT286-AZ286,Constants!$B$14),$AG286))</f>
        <v/>
      </c>
      <c r="BB286" s="70"/>
      <c r="BC286" s="84" t="str">
        <f aca="false">IF(ISBLANK($C286),"",TRIM(AK286&amp;" "&amp;AO286))</f>
        <v/>
      </c>
      <c r="BD286" s="72" t="str">
        <f aca="false">IF(ISBLANK($C286),"",IF($AG286&lt;&gt;Constants!$B$7,$AG286,AR286))</f>
        <v/>
      </c>
      <c r="BE286" s="72" t="str">
        <f aca="false">IF(ISBLANK($C286),"",IF($AG286&lt;&gt;Constants!$B$7,$AG286,AM286))</f>
        <v/>
      </c>
      <c r="BF286" s="72" t="str">
        <f aca="false">IF(ISBLANK($C286),"",IF($AG286&lt;&gt;Constants!$B$7,$AG286,AQ286))</f>
        <v/>
      </c>
      <c r="BG286" s="73" t="str">
        <f aca="false">IF(ISBLANK($C286),"",IF($AG286&lt;&gt;Constants!$B$7, $AG286 ,AS286))</f>
        <v/>
      </c>
      <c r="BH286" s="74" t="str">
        <f aca="false">IF(ISBLANK($C286),"",IF($AG286&lt;&gt;Constants!$B$7, $AG286 ,AH286))</f>
        <v/>
      </c>
      <c r="BI286" s="72" t="str">
        <f aca="false">IF(ISBLANK(C286),"",BA286)</f>
        <v/>
      </c>
      <c r="BJ286" s="72" t="str">
        <f aca="false">IF(ISBLANK(C286),"",AZ286)</f>
        <v/>
      </c>
      <c r="BK286" s="75" t="str">
        <f aca="false">IF(ISBLANK(C286),"",IFERROR(_xlfn.SWITCH(BJ286, Constants!$B$4, COUNTA($C$8:$C785)+2, Constants!$B$5, COUNTA($C$8:$C785)+1, Constants!$B$6, COUNTA($C$8:$C785)),BJ286))</f>
        <v/>
      </c>
      <c r="BL286" s="5"/>
      <c r="BM286" s="76" t="n">
        <f aca="false">IF(OR(ISNUMBER(BJ286),BJ286="DQ",BJ286="P",BJ286="NS"),
    1,
    0
)</f>
        <v>0</v>
      </c>
      <c r="BN286" s="76" t="n">
        <v>279</v>
      </c>
      <c r="BO286" s="76" t="str">
        <f aca="false">IF(ISBLANK($C286),"",IF(ISNUMBER(BK286),BK286+ROW($B286)/1000,""))</f>
        <v/>
      </c>
      <c r="BP286" s="76" t="str">
        <f aca="false">IF(ISNUMBER(BO286), RANK(BO286,BO$8:BO$507,1), "")</f>
        <v/>
      </c>
      <c r="BQ286" s="76" t="str">
        <f aca="false">IF(ISBLANK($C286),
    "",
    $B286
)</f>
        <v/>
      </c>
      <c r="BR286" s="76" t="str">
        <f aca="false">IF(ISBLANK($C286),
    "",
    $C286
)</f>
        <v/>
      </c>
      <c r="BS286" s="76" t="str">
        <f aca="false">IF(ISBLANK($C286),
    "",
    $D286
)</f>
        <v/>
      </c>
      <c r="BT286" s="77" t="str">
        <f aca="false">BH286</f>
        <v/>
      </c>
      <c r="BU286" s="78" t="str">
        <f aca="false">BG286</f>
        <v/>
      </c>
      <c r="BV286" s="76" t="str">
        <f aca="false">IF(ISBLANK($C286),
    "",
    BJ286
)</f>
        <v/>
      </c>
      <c r="BW286" s="79" t="str">
        <f aca="false">IF(BN286&gt;BM$7,
    "",
    VLOOKUP(BN286,BP$8:BV785,7,FALSE())
)</f>
        <v/>
      </c>
      <c r="BX286" s="80" t="str">
        <f aca="false">IF(BN286&gt;BM$7,
    "",
    VLOOKUP(BN286,BP$8:BV785,2,FALSE())
)</f>
        <v/>
      </c>
      <c r="BY286" s="80" t="str">
        <f aca="false">IF(BN286&gt;BM$7,
    "",
    VLOOKUP(BN286,BP$8:BV785,3,FALSE())
)</f>
        <v/>
      </c>
      <c r="BZ286" s="80" t="str">
        <f aca="false">IF(BN286&gt;BM$7,
    "",
    VLOOKUP(BN286,BP$8:BV785,4,FALSE())
)</f>
        <v/>
      </c>
      <c r="CA286" s="80" t="str">
        <f aca="false">IF(BN286&gt;BM$7,
    "",
    VLOOKUP(BN286,BP$8:BV785,5,FALSE())
)</f>
        <v/>
      </c>
      <c r="CB286" s="81" t="str">
        <f aca="false">IF(BN286&gt;BM$7,
    "",
    VLOOKUP(BN286,BP$8:BV785,6,FALSE())
)</f>
        <v/>
      </c>
      <c r="CC286" s="53"/>
    </row>
    <row r="287" customFormat="false" ht="15.75" hidden="false" customHeight="false" outlineLevel="0" collapsed="false">
      <c r="A287" s="5"/>
      <c r="B287" s="125"/>
      <c r="C287" s="126"/>
      <c r="D287" s="115"/>
      <c r="E287" s="119"/>
      <c r="F287" s="119"/>
      <c r="G287" s="91"/>
      <c r="H287" s="92"/>
      <c r="I287" s="92"/>
      <c r="J287" s="128"/>
      <c r="K287" s="128"/>
      <c r="L287" s="128"/>
      <c r="M287" s="94"/>
      <c r="N287" s="94"/>
      <c r="O287" s="94"/>
      <c r="P287" s="95"/>
      <c r="Q287" s="96"/>
      <c r="R287" s="128"/>
      <c r="S287" s="98"/>
      <c r="T287" s="99"/>
      <c r="U287" s="99" t="str">
        <f aca="false">IF(ISBLANK($C287),"",IF(G287=Constants!$B$2, TRUE(), IF(G287=Constants!$B$3, FALSE(), TRUE())))</f>
        <v/>
      </c>
      <c r="V287" s="99" t="str">
        <f aca="false">IF(ISBLANK($C287),"",IF(H287=Constants!$B$2, TRUE(), IF(H287=Constants!$B$3, FALSE(), TRUE())))</f>
        <v/>
      </c>
      <c r="W287" s="99" t="str">
        <f aca="false">IF(ISBLANK($C287),"",IF(I287=Constants!$B$2, TRUE(), IF(I287=Constants!$B$3, FALSE(), TRUE())))</f>
        <v/>
      </c>
      <c r="X287" s="99" t="str">
        <f aca="false">IF(ISBLANK($C287),"",IF(AND(ISNUMBER(J287),J287&gt;0),INT(J287),0))</f>
        <v/>
      </c>
      <c r="Y287" s="99" t="str">
        <f aca="false">IF(ISBLANK($C287),"",IF(K287=Constants!$B$2, TRUE(), IF(K287=Constants!$B$3, FALSE(), TRUE())))</f>
        <v/>
      </c>
      <c r="Z287" s="100" t="str">
        <f aca="false">IF(ISBLANK($C287),"",IF(AND(ISNUMBER(L287),L287&gt;0),INT(L287),0))</f>
        <v/>
      </c>
      <c r="AA287" s="101" t="str">
        <f aca="false">IF(ISBLANK($C287),"",IF(ISNUMBER(M287), M287, ""))</f>
        <v/>
      </c>
      <c r="AB287" s="101" t="str">
        <f aca="false">IF(ISBLANK($C287),"",IF(ISNUMBER(N287), N287, ""))</f>
        <v/>
      </c>
      <c r="AC287" s="101" t="str">
        <f aca="false">IF(ISBLANK($C287),"",IF(ISNUMBER(O287), O287, ""))</f>
        <v/>
      </c>
      <c r="AD287" s="102" t="str">
        <f aca="false">IF(ISBLANK($C287),"",IF(ISNUMBER(P287), P287, ""))</f>
        <v/>
      </c>
      <c r="AE287" s="102" t="str">
        <f aca="false">IF(ISBLANK($C287),"",IF(ISNUMBER(Q287), Q287, Constants!$B$13))</f>
        <v/>
      </c>
      <c r="AF287" s="99" t="str">
        <f aca="false">IF(ISBLANK($C287),"",IF(R287=Constants!$B$2, TRUE(), IF(R287=Constants!$B$3, FALSE(), FALSE())))</f>
        <v/>
      </c>
      <c r="AG287" s="99" t="str">
        <f aca="false">IF(ISBLANK(C287), "", IF(AF287, Constants!$B$4,IF(COUNTA(G287:P287)=0, Constants!$B$5, Constants!$B$7)))</f>
        <v/>
      </c>
      <c r="AH287" s="99" t="str">
        <f aca="false">IF(ISBLANK($C287), "",IF($AG287=Constants!$B$7,1,$AG287))</f>
        <v/>
      </c>
      <c r="AI287" s="99" t="str">
        <f aca="false">IF($AG287=Constants!$B$7,POWER(Constants!$B$11,X287)*POWER(Constants!$B$12,Z287),"")</f>
        <v/>
      </c>
      <c r="AJ287" s="99" t="str">
        <f aca="false">IF(AND($AG287=Constants!$B$7, U287, V287) ,IF(OR($AA287="",$AC287=""),"",MAX(0, $AC287-$AA287)),"")</f>
        <v/>
      </c>
      <c r="AK287" s="99" t="str">
        <f aca="false">IF(AND($AG287=Constants!$B$7, U287, V287),IF(OR($AA287="",$AC287=""),$AK$6,""),"")</f>
        <v/>
      </c>
      <c r="AL287" s="99" t="str">
        <f aca="false">IF($AG287=Constants!$B$7,IF(AND(U287,V287,W287,Y287),IF($AJ287="",0,IF($AJ$6=0,Constants!$B$9,Constants!$B$9*AJ287/$AJ$6)), 0),"")</f>
        <v/>
      </c>
      <c r="AM287" s="99" t="str">
        <f aca="false">IF(AL287&lt;&gt;"", AL287*AI287,"")</f>
        <v/>
      </c>
      <c r="AN287" s="99" t="str">
        <f aca="false">IF(AND($AG287=Constants!$B$7, U287, V287) ,IF($AB287="", "", IF(OR($AC287="",$AC287=0),"",MAX(0,1-ABS($AC287-$AB287)/$AC287))),"")</f>
        <v/>
      </c>
      <c r="AO287" s="99" t="str">
        <f aca="false">IF(AND($AG287=Constants!$B$7, U287, V287),IF(AND($AA287&lt;&gt;"",$AB287&lt;&gt;"",$AC287=0),$AO$6,""),"")</f>
        <v/>
      </c>
      <c r="AP287" s="99" t="str">
        <f aca="false">IF($AG287=Constants!$B$7 ,IF(AND(U287,V287,W287,Y287,ISNUMBER(AB287)),IF($AN287="",0,IF($AN$6=0,Constants!$B$10,Constants!$B$10*AN287/$AN$6)), 0),"")</f>
        <v/>
      </c>
      <c r="AQ287" s="99" t="str">
        <f aca="false">IF(AP287&lt;&gt;"", AP287*AI287,"")</f>
        <v/>
      </c>
      <c r="AR287" s="99" t="str">
        <f aca="false">IF($AG287=Constants!$B$7,IF($AD287="",0,IF($AR$6=0,Constants!$B$8,Constants!$B$8*AD287/$AR$6)),"")</f>
        <v/>
      </c>
      <c r="AS287" s="99" t="str">
        <f aca="false">IF($AG287&lt;&gt;Constants!$B$7,$AG287,IF(AK287&amp;AO287&lt;&gt;"",Constants!$B$14,AM287+AQ287+AR287))</f>
        <v/>
      </c>
      <c r="AT287" s="99" t="str">
        <f aca="false">IF(ISBLANK($C287),"",IF($AG287=Constants!$B$7,IF(ISNUMBER(AS287),RANK(AS287,$AS$8:$AS$507),Constants!$B$14),$AG287))</f>
        <v/>
      </c>
      <c r="AU287" s="99" t="str">
        <f aca="false">IF(ISBLANK($C287), "",AM287)</f>
        <v/>
      </c>
      <c r="AV287" s="99" t="str">
        <f aca="false">IF(ISBLANK($C287),"",IF($AG287=Constants!$B$7,RANK(AU287,AU$8:AU$507),$AG287))</f>
        <v/>
      </c>
      <c r="AW287" s="99" t="str">
        <f aca="false">IF(ISBLANK($C287), "",AR287)</f>
        <v/>
      </c>
      <c r="AX287" s="99" t="str">
        <f aca="false">IF(ISBLANK($C287),"",IF($AG287=Constants!$B$7,RANK(AW287,AW$8:AW$507),$AG287))</f>
        <v/>
      </c>
      <c r="AY287" s="99" t="str">
        <f aca="false">IF(ISBLANK($C287), "",AE287)</f>
        <v/>
      </c>
      <c r="AZ287" s="99" t="str">
        <f aca="false">IF(ISBLANK($C287),"",
IF($AG287=Constants!$B$7,
  IF(ISNUMBER(AT287),
    COUNTIFS($AT$8:$AT$507,"&lt;"&amp;$AT287)
    + COUNTIFS($AT$8:$AT$507,$AT287,$AV$8:$AV$507,"&lt;"&amp;$AV287)
    + COUNTIFS($AT$8:$AT$507,$AT287,$AV$8:$AV$507,$AV287,$AX$8:$AX$507,"&lt;"&amp;$AX287)
    + COUNTIFS($AT$8:$AT$507,$AT287,$AV$8:$AV$507,$AV287,$AX$8:$AX$507,$AX287,$AY$8:$AY$507,"&lt;"&amp;$AY287)
    + 1,
  Constants!$B$14),
$AG287))</f>
        <v/>
      </c>
      <c r="BA287" s="99" t="str">
        <f aca="false">IF(ISBLANK(C287),"",IF($AG287=Constants!$B$7, IF(ISNUMBER(AT287),AT287-AZ287,Constants!$B$14),$AG287))</f>
        <v/>
      </c>
      <c r="BB287" s="103"/>
      <c r="BC287" s="104" t="str">
        <f aca="false">IF(ISBLANK($C287),"",TRIM(AK287&amp;" "&amp;AO287))</f>
        <v/>
      </c>
      <c r="BD287" s="105" t="str">
        <f aca="false">IF(ISBLANK($C287),"",IF($AG287&lt;&gt;Constants!$B$7,$AG287,AR287))</f>
        <v/>
      </c>
      <c r="BE287" s="105" t="str">
        <f aca="false">IF(ISBLANK($C287),"",IF($AG287&lt;&gt;Constants!$B$7,$AG287,AM287))</f>
        <v/>
      </c>
      <c r="BF287" s="105" t="str">
        <f aca="false">IF(ISBLANK($C287),"",IF($AG287&lt;&gt;Constants!$B$7,$AG287,AQ287))</f>
        <v/>
      </c>
      <c r="BG287" s="106" t="str">
        <f aca="false">IF(ISBLANK($C287),"",IF($AG287&lt;&gt;Constants!$B$7, $AG287 ,AS287))</f>
        <v/>
      </c>
      <c r="BH287" s="107" t="str">
        <f aca="false">IF(ISBLANK($C287),"",IF($AG287&lt;&gt;Constants!$B$7, $AG287 ,AH287))</f>
        <v/>
      </c>
      <c r="BI287" s="105" t="str">
        <f aca="false">IF(ISBLANK(C287),"",BA287)</f>
        <v/>
      </c>
      <c r="BJ287" s="105" t="str">
        <f aca="false">IF(ISBLANK(C287),"",AZ287)</f>
        <v/>
      </c>
      <c r="BK287" s="108" t="str">
        <f aca="false">IF(ISBLANK(C287),"",IFERROR(_xlfn.SWITCH(BJ287, Constants!$B$4, COUNTA($C$8:$C786)+2, Constants!$B$5, COUNTA($C$8:$C786)+1, Constants!$B$6, COUNTA($C$8:$C786)),BJ287))</f>
        <v/>
      </c>
      <c r="BL287" s="5"/>
      <c r="BM287" s="109" t="n">
        <f aca="false">IF(OR(ISNUMBER(BJ287),BJ287="DQ",BJ287="P",BJ287="NS"),
    1,
    0
)</f>
        <v>0</v>
      </c>
      <c r="BN287" s="109" t="n">
        <v>280</v>
      </c>
      <c r="BO287" s="109" t="str">
        <f aca="false">IF(ISBLANK($C287),"",IF(ISNUMBER(BK287),BK287+ROW($B287)/1000,""))</f>
        <v/>
      </c>
      <c r="BP287" s="109" t="str">
        <f aca="false">IF(ISNUMBER(BO287), RANK(BO287,BO$8:BO$507,1), "")</f>
        <v/>
      </c>
      <c r="BQ287" s="109" t="str">
        <f aca="false">IF(ISBLANK($C287),
    "",
    $B287
)</f>
        <v/>
      </c>
      <c r="BR287" s="109" t="str">
        <f aca="false">IF(ISBLANK($C287),
    "",
    $C287
)</f>
        <v/>
      </c>
      <c r="BS287" s="109" t="str">
        <f aca="false">IF(ISBLANK($C287),
    "",
    $D287
)</f>
        <v/>
      </c>
      <c r="BT287" s="110" t="str">
        <f aca="false">BH287</f>
        <v/>
      </c>
      <c r="BU287" s="111" t="str">
        <f aca="false">BG287</f>
        <v/>
      </c>
      <c r="BV287" s="109" t="str">
        <f aca="false">IF(ISBLANK($C287),
    "",
    BJ287
)</f>
        <v/>
      </c>
      <c r="BW287" s="112" t="str">
        <f aca="false">IF(BN287&gt;BM$7,
    "",
    VLOOKUP(BN287,BP$8:BV786,7,FALSE())
)</f>
        <v/>
      </c>
      <c r="BX287" s="113" t="str">
        <f aca="false">IF(BN287&gt;BM$7,
    "",
    VLOOKUP(BN287,BP$8:BV786,2,FALSE())
)</f>
        <v/>
      </c>
      <c r="BY287" s="113" t="str">
        <f aca="false">IF(BN287&gt;BM$7,
    "",
    VLOOKUP(BN287,BP$8:BV786,3,FALSE())
)</f>
        <v/>
      </c>
      <c r="BZ287" s="113" t="str">
        <f aca="false">IF(BN287&gt;BM$7,
    "",
    VLOOKUP(BN287,BP$8:BV786,4,FALSE())
)</f>
        <v/>
      </c>
      <c r="CA287" s="113" t="str">
        <f aca="false">IF(BN287&gt;BM$7,
    "",
    VLOOKUP(BN287,BP$8:BV786,5,FALSE())
)</f>
        <v/>
      </c>
      <c r="CB287" s="114" t="str">
        <f aca="false">IF(BN287&gt;BM$7,
    "",
    VLOOKUP(BN287,BP$8:BV786,6,FALSE())
)</f>
        <v/>
      </c>
      <c r="CC287" s="53"/>
    </row>
    <row r="288" customFormat="false" ht="15.75" hidden="false" customHeight="false" outlineLevel="0" collapsed="false">
      <c r="A288" s="5"/>
      <c r="B288" s="125"/>
      <c r="C288" s="126"/>
      <c r="D288" s="115"/>
      <c r="E288" s="119"/>
      <c r="F288" s="119"/>
      <c r="G288" s="91"/>
      <c r="H288" s="92"/>
      <c r="I288" s="92"/>
      <c r="J288" s="128"/>
      <c r="K288" s="128"/>
      <c r="L288" s="128"/>
      <c r="M288" s="94"/>
      <c r="N288" s="94"/>
      <c r="O288" s="94"/>
      <c r="P288" s="95"/>
      <c r="Q288" s="96"/>
      <c r="R288" s="128"/>
      <c r="S288" s="98"/>
      <c r="T288" s="99"/>
      <c r="U288" s="99" t="str">
        <f aca="false">IF(ISBLANK($C288),"",IF(G288=Constants!$B$2, TRUE(), IF(G288=Constants!$B$3, FALSE(), TRUE())))</f>
        <v/>
      </c>
      <c r="V288" s="99" t="str">
        <f aca="false">IF(ISBLANK($C288),"",IF(H288=Constants!$B$2, TRUE(), IF(H288=Constants!$B$3, FALSE(), TRUE())))</f>
        <v/>
      </c>
      <c r="W288" s="99" t="str">
        <f aca="false">IF(ISBLANK($C288),"",IF(I288=Constants!$B$2, TRUE(), IF(I288=Constants!$B$3, FALSE(), TRUE())))</f>
        <v/>
      </c>
      <c r="X288" s="99" t="str">
        <f aca="false">IF(ISBLANK($C288),"",IF(AND(ISNUMBER(J288),J288&gt;0),INT(J288),0))</f>
        <v/>
      </c>
      <c r="Y288" s="99" t="str">
        <f aca="false">IF(ISBLANK($C288),"",IF(K288=Constants!$B$2, TRUE(), IF(K288=Constants!$B$3, FALSE(), TRUE())))</f>
        <v/>
      </c>
      <c r="Z288" s="100" t="str">
        <f aca="false">IF(ISBLANK($C288),"",IF(AND(ISNUMBER(L288),L288&gt;0),INT(L288),0))</f>
        <v/>
      </c>
      <c r="AA288" s="101" t="str">
        <f aca="false">IF(ISBLANK($C288),"",IF(ISNUMBER(M288), M288, ""))</f>
        <v/>
      </c>
      <c r="AB288" s="101" t="str">
        <f aca="false">IF(ISBLANK($C288),"",IF(ISNUMBER(N288), N288, ""))</f>
        <v/>
      </c>
      <c r="AC288" s="101" t="str">
        <f aca="false">IF(ISBLANK($C288),"",IF(ISNUMBER(O288), O288, ""))</f>
        <v/>
      </c>
      <c r="AD288" s="102" t="str">
        <f aca="false">IF(ISBLANK($C288),"",IF(ISNUMBER(P288), P288, ""))</f>
        <v/>
      </c>
      <c r="AE288" s="102" t="str">
        <f aca="false">IF(ISBLANK($C288),"",IF(ISNUMBER(Q288), Q288, Constants!$B$13))</f>
        <v/>
      </c>
      <c r="AF288" s="99" t="str">
        <f aca="false">IF(ISBLANK($C288),"",IF(R288=Constants!$B$2, TRUE(), IF(R288=Constants!$B$3, FALSE(), FALSE())))</f>
        <v/>
      </c>
      <c r="AG288" s="99" t="str">
        <f aca="false">IF(ISBLANK(C288), "", IF(AF288, Constants!$B$4,IF(COUNTA(G288:P288)=0, Constants!$B$5, Constants!$B$7)))</f>
        <v/>
      </c>
      <c r="AH288" s="99" t="str">
        <f aca="false">IF(ISBLANK($C288), "",IF($AG288=Constants!$B$7,1,$AG288))</f>
        <v/>
      </c>
      <c r="AI288" s="99" t="str">
        <f aca="false">IF($AG288=Constants!$B$7,POWER(Constants!$B$11,X288)*POWER(Constants!$B$12,Z288),"")</f>
        <v/>
      </c>
      <c r="AJ288" s="99" t="str">
        <f aca="false">IF(AND($AG288=Constants!$B$7, U288, V288) ,IF(OR($AA288="",$AC288=""),"",MAX(0, $AC288-$AA288)),"")</f>
        <v/>
      </c>
      <c r="AK288" s="99" t="str">
        <f aca="false">IF(AND($AG288=Constants!$B$7, U288, V288),IF(OR($AA288="",$AC288=""),$AK$6,""),"")</f>
        <v/>
      </c>
      <c r="AL288" s="99" t="str">
        <f aca="false">IF($AG288=Constants!$B$7,IF(AND(U288,V288,W288,Y288),IF($AJ288="",0,IF($AJ$6=0,Constants!$B$9,Constants!$B$9*AJ288/$AJ$6)), 0),"")</f>
        <v/>
      </c>
      <c r="AM288" s="99" t="str">
        <f aca="false">IF(AL288&lt;&gt;"", AL288*AI288,"")</f>
        <v/>
      </c>
      <c r="AN288" s="99" t="str">
        <f aca="false">IF(AND($AG288=Constants!$B$7, U288, V288) ,IF($AB288="", "", IF(OR($AC288="",$AC288=0),"",MAX(0,1-ABS($AC288-$AB288)/$AC288))),"")</f>
        <v/>
      </c>
      <c r="AO288" s="99" t="str">
        <f aca="false">IF(AND($AG288=Constants!$B$7, U288, V288),IF(AND($AA288&lt;&gt;"",$AB288&lt;&gt;"",$AC288=0),$AO$6,""),"")</f>
        <v/>
      </c>
      <c r="AP288" s="99" t="str">
        <f aca="false">IF($AG288=Constants!$B$7 ,IF(AND(U288,V288,W288,Y288,ISNUMBER(AB288)),IF($AN288="",0,IF($AN$6=0,Constants!$B$10,Constants!$B$10*AN288/$AN$6)), 0),"")</f>
        <v/>
      </c>
      <c r="AQ288" s="99" t="str">
        <f aca="false">IF(AP288&lt;&gt;"", AP288*AI288,"")</f>
        <v/>
      </c>
      <c r="AR288" s="99" t="str">
        <f aca="false">IF($AG288=Constants!$B$7,IF($AD288="",0,IF($AR$6=0,Constants!$B$8,Constants!$B$8*AD288/$AR$6)),"")</f>
        <v/>
      </c>
      <c r="AS288" s="99" t="str">
        <f aca="false">IF($AG288&lt;&gt;Constants!$B$7,$AG288,IF(AK288&amp;AO288&lt;&gt;"",Constants!$B$14,AM288+AQ288+AR288))</f>
        <v/>
      </c>
      <c r="AT288" s="99" t="str">
        <f aca="false">IF(ISBLANK($C288),"",IF($AG288=Constants!$B$7,IF(ISNUMBER(AS288),RANK(AS288,$AS$8:$AS$507),Constants!$B$14),$AG288))</f>
        <v/>
      </c>
      <c r="AU288" s="99" t="str">
        <f aca="false">IF(ISBLANK($C288), "",AM288)</f>
        <v/>
      </c>
      <c r="AV288" s="99" t="str">
        <f aca="false">IF(ISBLANK($C288),"",IF($AG288=Constants!$B$7,RANK(AU288,AU$8:AU$507),$AG288))</f>
        <v/>
      </c>
      <c r="AW288" s="99" t="str">
        <f aca="false">IF(ISBLANK($C288), "",AR288)</f>
        <v/>
      </c>
      <c r="AX288" s="99" t="str">
        <f aca="false">IF(ISBLANK($C288),"",IF($AG288=Constants!$B$7,RANK(AW288,AW$8:AW$507),$AG288))</f>
        <v/>
      </c>
      <c r="AY288" s="99" t="str">
        <f aca="false">IF(ISBLANK($C288), "",AE288)</f>
        <v/>
      </c>
      <c r="AZ288" s="99" t="str">
        <f aca="false">IF(ISBLANK($C288),"",
IF($AG288=Constants!$B$7,
  IF(ISNUMBER(AT288),
    COUNTIFS($AT$8:$AT$507,"&lt;"&amp;$AT288)
    + COUNTIFS($AT$8:$AT$507,$AT288,$AV$8:$AV$507,"&lt;"&amp;$AV288)
    + COUNTIFS($AT$8:$AT$507,$AT288,$AV$8:$AV$507,$AV288,$AX$8:$AX$507,"&lt;"&amp;$AX288)
    + COUNTIFS($AT$8:$AT$507,$AT288,$AV$8:$AV$507,$AV288,$AX$8:$AX$507,$AX288,$AY$8:$AY$507,"&lt;"&amp;$AY288)
    + 1,
  Constants!$B$14),
$AG288))</f>
        <v/>
      </c>
      <c r="BA288" s="99" t="str">
        <f aca="false">IF(ISBLANK(C288),"",IF($AG288=Constants!$B$7, IF(ISNUMBER(AT288),AT288-AZ288,Constants!$B$14),$AG288))</f>
        <v/>
      </c>
      <c r="BB288" s="103"/>
      <c r="BC288" s="104" t="str">
        <f aca="false">IF(ISBLANK($C288),"",TRIM(AK288&amp;" "&amp;AO288))</f>
        <v/>
      </c>
      <c r="BD288" s="105" t="str">
        <f aca="false">IF(ISBLANK($C288),"",IF($AG288&lt;&gt;Constants!$B$7,$AG288,AR288))</f>
        <v/>
      </c>
      <c r="BE288" s="105" t="str">
        <f aca="false">IF(ISBLANK($C288),"",IF($AG288&lt;&gt;Constants!$B$7,$AG288,AM288))</f>
        <v/>
      </c>
      <c r="BF288" s="105" t="str">
        <f aca="false">IF(ISBLANK($C288),"",IF($AG288&lt;&gt;Constants!$B$7,$AG288,AQ288))</f>
        <v/>
      </c>
      <c r="BG288" s="106" t="str">
        <f aca="false">IF(ISBLANK($C288),"",IF($AG288&lt;&gt;Constants!$B$7, $AG288 ,AS288))</f>
        <v/>
      </c>
      <c r="BH288" s="107" t="str">
        <f aca="false">IF(ISBLANK($C288),"",IF($AG288&lt;&gt;Constants!$B$7, $AG288 ,AH288))</f>
        <v/>
      </c>
      <c r="BI288" s="105" t="str">
        <f aca="false">IF(ISBLANK(C288),"",BA288)</f>
        <v/>
      </c>
      <c r="BJ288" s="105" t="str">
        <f aca="false">IF(ISBLANK(C288),"",AZ288)</f>
        <v/>
      </c>
      <c r="BK288" s="108" t="str">
        <f aca="false">IF(ISBLANK(C288),"",IFERROR(_xlfn.SWITCH(BJ288, Constants!$B$4, COUNTA($C$8:$C787)+2, Constants!$B$5, COUNTA($C$8:$C787)+1, Constants!$B$6, COUNTA($C$8:$C787)),BJ288))</f>
        <v/>
      </c>
      <c r="BL288" s="5"/>
      <c r="BM288" s="109" t="n">
        <f aca="false">IF(OR(ISNUMBER(BJ288),BJ288="DQ",BJ288="P",BJ288="NS"),
    1,
    0
)</f>
        <v>0</v>
      </c>
      <c r="BN288" s="109" t="n">
        <v>281</v>
      </c>
      <c r="BO288" s="109" t="str">
        <f aca="false">IF(ISBLANK($C288),"",IF(ISNUMBER(BK288),BK288+ROW($B288)/1000,""))</f>
        <v/>
      </c>
      <c r="BP288" s="109" t="str">
        <f aca="false">IF(ISNUMBER(BO288), RANK(BO288,BO$8:BO$507,1), "")</f>
        <v/>
      </c>
      <c r="BQ288" s="109" t="str">
        <f aca="false">IF(ISBLANK($C288),
    "",
    $B288
)</f>
        <v/>
      </c>
      <c r="BR288" s="109" t="str">
        <f aca="false">IF(ISBLANK($C288),
    "",
    $C288
)</f>
        <v/>
      </c>
      <c r="BS288" s="109" t="str">
        <f aca="false">IF(ISBLANK($C288),
    "",
    $D288
)</f>
        <v/>
      </c>
      <c r="BT288" s="110" t="str">
        <f aca="false">BH288</f>
        <v/>
      </c>
      <c r="BU288" s="111" t="str">
        <f aca="false">BG288</f>
        <v/>
      </c>
      <c r="BV288" s="109" t="str">
        <f aca="false">IF(ISBLANK($C288),
    "",
    BJ288
)</f>
        <v/>
      </c>
      <c r="BW288" s="112" t="str">
        <f aca="false">IF(BN288&gt;BM$7,
    "",
    VLOOKUP(BN288,BP$8:BV787,7,FALSE())
)</f>
        <v/>
      </c>
      <c r="BX288" s="113" t="str">
        <f aca="false">IF(BN288&gt;BM$7,
    "",
    VLOOKUP(BN288,BP$8:BV787,2,FALSE())
)</f>
        <v/>
      </c>
      <c r="BY288" s="113" t="str">
        <f aca="false">IF(BN288&gt;BM$7,
    "",
    VLOOKUP(BN288,BP$8:BV787,3,FALSE())
)</f>
        <v/>
      </c>
      <c r="BZ288" s="113" t="str">
        <f aca="false">IF(BN288&gt;BM$7,
    "",
    VLOOKUP(BN288,BP$8:BV787,4,FALSE())
)</f>
        <v/>
      </c>
      <c r="CA288" s="113" t="str">
        <f aca="false">IF(BN288&gt;BM$7,
    "",
    VLOOKUP(BN288,BP$8:BV787,5,FALSE())
)</f>
        <v/>
      </c>
      <c r="CB288" s="114" t="str">
        <f aca="false">IF(BN288&gt;BM$7,
    "",
    VLOOKUP(BN288,BP$8:BV787,6,FALSE())
)</f>
        <v/>
      </c>
      <c r="CC288" s="53"/>
    </row>
    <row r="289" customFormat="false" ht="15.75" hidden="false" customHeight="false" outlineLevel="0" collapsed="false">
      <c r="A289" s="5"/>
      <c r="B289" s="125"/>
      <c r="C289" s="126"/>
      <c r="D289" s="115"/>
      <c r="E289" s="119"/>
      <c r="F289" s="119"/>
      <c r="G289" s="91"/>
      <c r="H289" s="92"/>
      <c r="I289" s="92"/>
      <c r="J289" s="128"/>
      <c r="K289" s="128"/>
      <c r="L289" s="128"/>
      <c r="M289" s="94"/>
      <c r="N289" s="94"/>
      <c r="O289" s="94"/>
      <c r="P289" s="95"/>
      <c r="Q289" s="96"/>
      <c r="R289" s="128"/>
      <c r="S289" s="98"/>
      <c r="T289" s="99"/>
      <c r="U289" s="99" t="str">
        <f aca="false">IF(ISBLANK($C289),"",IF(G289=Constants!$B$2, TRUE(), IF(G289=Constants!$B$3, FALSE(), TRUE())))</f>
        <v/>
      </c>
      <c r="V289" s="99" t="str">
        <f aca="false">IF(ISBLANK($C289),"",IF(H289=Constants!$B$2, TRUE(), IF(H289=Constants!$B$3, FALSE(), TRUE())))</f>
        <v/>
      </c>
      <c r="W289" s="99" t="str">
        <f aca="false">IF(ISBLANK($C289),"",IF(I289=Constants!$B$2, TRUE(), IF(I289=Constants!$B$3, FALSE(), TRUE())))</f>
        <v/>
      </c>
      <c r="X289" s="99" t="str">
        <f aca="false">IF(ISBLANK($C289),"",IF(AND(ISNUMBER(J289),J289&gt;0),INT(J289),0))</f>
        <v/>
      </c>
      <c r="Y289" s="99" t="str">
        <f aca="false">IF(ISBLANK($C289),"",IF(K289=Constants!$B$2, TRUE(), IF(K289=Constants!$B$3, FALSE(), TRUE())))</f>
        <v/>
      </c>
      <c r="Z289" s="100" t="str">
        <f aca="false">IF(ISBLANK($C289),"",IF(AND(ISNUMBER(L289),L289&gt;0),INT(L289),0))</f>
        <v/>
      </c>
      <c r="AA289" s="101" t="str">
        <f aca="false">IF(ISBLANK($C289),"",IF(ISNUMBER(M289), M289, ""))</f>
        <v/>
      </c>
      <c r="AB289" s="101" t="str">
        <f aca="false">IF(ISBLANK($C289),"",IF(ISNUMBER(N289), N289, ""))</f>
        <v/>
      </c>
      <c r="AC289" s="101" t="str">
        <f aca="false">IF(ISBLANK($C289),"",IF(ISNUMBER(O289), O289, ""))</f>
        <v/>
      </c>
      <c r="AD289" s="102" t="str">
        <f aca="false">IF(ISBLANK($C289),"",IF(ISNUMBER(P289), P289, ""))</f>
        <v/>
      </c>
      <c r="AE289" s="102" t="str">
        <f aca="false">IF(ISBLANK($C289),"",IF(ISNUMBER(Q289), Q289, Constants!$B$13))</f>
        <v/>
      </c>
      <c r="AF289" s="99" t="str">
        <f aca="false">IF(ISBLANK($C289),"",IF(R289=Constants!$B$2, TRUE(), IF(R289=Constants!$B$3, FALSE(), FALSE())))</f>
        <v/>
      </c>
      <c r="AG289" s="99" t="str">
        <f aca="false">IF(ISBLANK(C289), "", IF(AF289, Constants!$B$4,IF(COUNTA(G289:P289)=0, Constants!$B$5, Constants!$B$7)))</f>
        <v/>
      </c>
      <c r="AH289" s="99" t="str">
        <f aca="false">IF(ISBLANK($C289), "",IF($AG289=Constants!$B$7,1,$AG289))</f>
        <v/>
      </c>
      <c r="AI289" s="99" t="str">
        <f aca="false">IF($AG289=Constants!$B$7,POWER(Constants!$B$11,X289)*POWER(Constants!$B$12,Z289),"")</f>
        <v/>
      </c>
      <c r="AJ289" s="99" t="str">
        <f aca="false">IF(AND($AG289=Constants!$B$7, U289, V289) ,IF(OR($AA289="",$AC289=""),"",MAX(0, $AC289-$AA289)),"")</f>
        <v/>
      </c>
      <c r="AK289" s="99" t="str">
        <f aca="false">IF(AND($AG289=Constants!$B$7, U289, V289),IF(OR($AA289="",$AC289=""),$AK$6,""),"")</f>
        <v/>
      </c>
      <c r="AL289" s="99" t="str">
        <f aca="false">IF($AG289=Constants!$B$7,IF(AND(U289,V289,W289,Y289),IF($AJ289="",0,IF($AJ$6=0,Constants!$B$9,Constants!$B$9*AJ289/$AJ$6)), 0),"")</f>
        <v/>
      </c>
      <c r="AM289" s="99" t="str">
        <f aca="false">IF(AL289&lt;&gt;"", AL289*AI289,"")</f>
        <v/>
      </c>
      <c r="AN289" s="99" t="str">
        <f aca="false">IF(AND($AG289=Constants!$B$7, U289, V289) ,IF($AB289="", "", IF(OR($AC289="",$AC289=0),"",MAX(0,1-ABS($AC289-$AB289)/$AC289))),"")</f>
        <v/>
      </c>
      <c r="AO289" s="99" t="str">
        <f aca="false">IF(AND($AG289=Constants!$B$7, U289, V289),IF(AND($AA289&lt;&gt;"",$AB289&lt;&gt;"",$AC289=0),$AO$6,""),"")</f>
        <v/>
      </c>
      <c r="AP289" s="99" t="str">
        <f aca="false">IF($AG289=Constants!$B$7 ,IF(AND(U289,V289,W289,Y289,ISNUMBER(AB289)),IF($AN289="",0,IF($AN$6=0,Constants!$B$10,Constants!$B$10*AN289/$AN$6)), 0),"")</f>
        <v/>
      </c>
      <c r="AQ289" s="99" t="str">
        <f aca="false">IF(AP289&lt;&gt;"", AP289*AI289,"")</f>
        <v/>
      </c>
      <c r="AR289" s="99" t="str">
        <f aca="false">IF($AG289=Constants!$B$7,IF($AD289="",0,IF($AR$6=0,Constants!$B$8,Constants!$B$8*AD289/$AR$6)),"")</f>
        <v/>
      </c>
      <c r="AS289" s="99" t="str">
        <f aca="false">IF($AG289&lt;&gt;Constants!$B$7,$AG289,IF(AK289&amp;AO289&lt;&gt;"",Constants!$B$14,AM289+AQ289+AR289))</f>
        <v/>
      </c>
      <c r="AT289" s="99" t="str">
        <f aca="false">IF(ISBLANK($C289),"",IF($AG289=Constants!$B$7,IF(ISNUMBER(AS289),RANK(AS289,$AS$8:$AS$507),Constants!$B$14),$AG289))</f>
        <v/>
      </c>
      <c r="AU289" s="99" t="str">
        <f aca="false">IF(ISBLANK($C289), "",AM289)</f>
        <v/>
      </c>
      <c r="AV289" s="99" t="str">
        <f aca="false">IF(ISBLANK($C289),"",IF($AG289=Constants!$B$7,RANK(AU289,AU$8:AU$507),$AG289))</f>
        <v/>
      </c>
      <c r="AW289" s="99" t="str">
        <f aca="false">IF(ISBLANK($C289), "",AR289)</f>
        <v/>
      </c>
      <c r="AX289" s="99" t="str">
        <f aca="false">IF(ISBLANK($C289),"",IF($AG289=Constants!$B$7,RANK(AW289,AW$8:AW$507),$AG289))</f>
        <v/>
      </c>
      <c r="AY289" s="99" t="str">
        <f aca="false">IF(ISBLANK($C289), "",AE289)</f>
        <v/>
      </c>
      <c r="AZ289" s="99" t="str">
        <f aca="false">IF(ISBLANK($C289),"",
IF($AG289=Constants!$B$7,
  IF(ISNUMBER(AT289),
    COUNTIFS($AT$8:$AT$507,"&lt;"&amp;$AT289)
    + COUNTIFS($AT$8:$AT$507,$AT289,$AV$8:$AV$507,"&lt;"&amp;$AV289)
    + COUNTIFS($AT$8:$AT$507,$AT289,$AV$8:$AV$507,$AV289,$AX$8:$AX$507,"&lt;"&amp;$AX289)
    + COUNTIFS($AT$8:$AT$507,$AT289,$AV$8:$AV$507,$AV289,$AX$8:$AX$507,$AX289,$AY$8:$AY$507,"&lt;"&amp;$AY289)
    + 1,
  Constants!$B$14),
$AG289))</f>
        <v/>
      </c>
      <c r="BA289" s="99" t="str">
        <f aca="false">IF(ISBLANK(C289),"",IF($AG289=Constants!$B$7, IF(ISNUMBER(AT289),AT289-AZ289,Constants!$B$14),$AG289))</f>
        <v/>
      </c>
      <c r="BB289" s="103"/>
      <c r="BC289" s="104" t="str">
        <f aca="false">IF(ISBLANK($C289),"",TRIM(AK289&amp;" "&amp;AO289))</f>
        <v/>
      </c>
      <c r="BD289" s="105" t="str">
        <f aca="false">IF(ISBLANK($C289),"",IF($AG289&lt;&gt;Constants!$B$7,$AG289,AR289))</f>
        <v/>
      </c>
      <c r="BE289" s="105" t="str">
        <f aca="false">IF(ISBLANK($C289),"",IF($AG289&lt;&gt;Constants!$B$7,$AG289,AM289))</f>
        <v/>
      </c>
      <c r="BF289" s="105" t="str">
        <f aca="false">IF(ISBLANK($C289),"",IF($AG289&lt;&gt;Constants!$B$7,$AG289,AQ289))</f>
        <v/>
      </c>
      <c r="BG289" s="106" t="str">
        <f aca="false">IF(ISBLANK($C289),"",IF($AG289&lt;&gt;Constants!$B$7, $AG289 ,AS289))</f>
        <v/>
      </c>
      <c r="BH289" s="107" t="str">
        <f aca="false">IF(ISBLANK($C289),"",IF($AG289&lt;&gt;Constants!$B$7, $AG289 ,AH289))</f>
        <v/>
      </c>
      <c r="BI289" s="105" t="str">
        <f aca="false">IF(ISBLANK(C289),"",BA289)</f>
        <v/>
      </c>
      <c r="BJ289" s="105" t="str">
        <f aca="false">IF(ISBLANK(C289),"",AZ289)</f>
        <v/>
      </c>
      <c r="BK289" s="108" t="str">
        <f aca="false">IF(ISBLANK(C289),"",IFERROR(_xlfn.SWITCH(BJ289, Constants!$B$4, COUNTA($C$8:$C788)+2, Constants!$B$5, COUNTA($C$8:$C788)+1, Constants!$B$6, COUNTA($C$8:$C788)),BJ289))</f>
        <v/>
      </c>
      <c r="BL289" s="5"/>
      <c r="BM289" s="109" t="n">
        <f aca="false">IF(OR(ISNUMBER(BJ289),BJ289="DQ",BJ289="P",BJ289="NS"),
    1,
    0
)</f>
        <v>0</v>
      </c>
      <c r="BN289" s="109" t="n">
        <v>282</v>
      </c>
      <c r="BO289" s="109" t="str">
        <f aca="false">IF(ISBLANK($C289),"",IF(ISNUMBER(BK289),BK289+ROW($B289)/1000,""))</f>
        <v/>
      </c>
      <c r="BP289" s="109" t="str">
        <f aca="false">IF(ISNUMBER(BO289), RANK(BO289,BO$8:BO$507,1), "")</f>
        <v/>
      </c>
      <c r="BQ289" s="109" t="str">
        <f aca="false">IF(ISBLANK($C289),
    "",
    $B289
)</f>
        <v/>
      </c>
      <c r="BR289" s="109" t="str">
        <f aca="false">IF(ISBLANK($C289),
    "",
    $C289
)</f>
        <v/>
      </c>
      <c r="BS289" s="109" t="str">
        <f aca="false">IF(ISBLANK($C289),
    "",
    $D289
)</f>
        <v/>
      </c>
      <c r="BT289" s="110" t="str">
        <f aca="false">BH289</f>
        <v/>
      </c>
      <c r="BU289" s="111" t="str">
        <f aca="false">BG289</f>
        <v/>
      </c>
      <c r="BV289" s="109" t="str">
        <f aca="false">IF(ISBLANK($C289),
    "",
    BJ289
)</f>
        <v/>
      </c>
      <c r="BW289" s="112" t="str">
        <f aca="false">IF(BN289&gt;BM$7,
    "",
    VLOOKUP(BN289,BP$8:BV788,7,FALSE())
)</f>
        <v/>
      </c>
      <c r="BX289" s="113" t="str">
        <f aca="false">IF(BN289&gt;BM$7,
    "",
    VLOOKUP(BN289,BP$8:BV788,2,FALSE())
)</f>
        <v/>
      </c>
      <c r="BY289" s="113" t="str">
        <f aca="false">IF(BN289&gt;BM$7,
    "",
    VLOOKUP(BN289,BP$8:BV788,3,FALSE())
)</f>
        <v/>
      </c>
      <c r="BZ289" s="113" t="str">
        <f aca="false">IF(BN289&gt;BM$7,
    "",
    VLOOKUP(BN289,BP$8:BV788,4,FALSE())
)</f>
        <v/>
      </c>
      <c r="CA289" s="113" t="str">
        <f aca="false">IF(BN289&gt;BM$7,
    "",
    VLOOKUP(BN289,BP$8:BV788,5,FALSE())
)</f>
        <v/>
      </c>
      <c r="CB289" s="114" t="str">
        <f aca="false">IF(BN289&gt;BM$7,
    "",
    VLOOKUP(BN289,BP$8:BV788,6,FALSE())
)</f>
        <v/>
      </c>
      <c r="CC289" s="53"/>
    </row>
    <row r="290" customFormat="false" ht="15.75" hidden="false" customHeight="false" outlineLevel="0" collapsed="false">
      <c r="A290" s="5"/>
      <c r="B290" s="129"/>
      <c r="C290" s="55"/>
      <c r="D290" s="56"/>
      <c r="E290" s="123"/>
      <c r="F290" s="123"/>
      <c r="G290" s="58"/>
      <c r="H290" s="59"/>
      <c r="I290" s="59"/>
      <c r="J290" s="83"/>
      <c r="K290" s="83"/>
      <c r="L290" s="83"/>
      <c r="M290" s="61"/>
      <c r="N290" s="61"/>
      <c r="O290" s="61"/>
      <c r="P290" s="62"/>
      <c r="Q290" s="63"/>
      <c r="R290" s="83"/>
      <c r="S290" s="65"/>
      <c r="T290" s="66"/>
      <c r="U290" s="66" t="str">
        <f aca="false">IF(ISBLANK($C290),"",IF(G290=Constants!$B$2, TRUE(), IF(G290=Constants!$B$3, FALSE(), TRUE())))</f>
        <v/>
      </c>
      <c r="V290" s="66" t="str">
        <f aca="false">IF(ISBLANK($C290),"",IF(H290=Constants!$B$2, TRUE(), IF(H290=Constants!$B$3, FALSE(), TRUE())))</f>
        <v/>
      </c>
      <c r="W290" s="66" t="str">
        <f aca="false">IF(ISBLANK($C290),"",IF(I290=Constants!$B$2, TRUE(), IF(I290=Constants!$B$3, FALSE(), TRUE())))</f>
        <v/>
      </c>
      <c r="X290" s="66" t="str">
        <f aca="false">IF(ISBLANK($C290),"",IF(AND(ISNUMBER(J290),J290&gt;0),INT(J290),0))</f>
        <v/>
      </c>
      <c r="Y290" s="66" t="str">
        <f aca="false">IF(ISBLANK($C290),"",IF(K290=Constants!$B$2, TRUE(), IF(K290=Constants!$B$3, FALSE(), TRUE())))</f>
        <v/>
      </c>
      <c r="Z290" s="66" t="str">
        <f aca="false">IF(ISBLANK($C290),"",IF(AND(ISNUMBER(L290),L290&gt;0),INT(L290),0))</f>
        <v/>
      </c>
      <c r="AA290" s="68" t="str">
        <f aca="false">IF(ISBLANK($C290),"",IF(ISNUMBER(M290), M290, ""))</f>
        <v/>
      </c>
      <c r="AB290" s="68" t="str">
        <f aca="false">IF(ISBLANK($C290),"",IF(ISNUMBER(N290), N290, ""))</f>
        <v/>
      </c>
      <c r="AC290" s="68" t="str">
        <f aca="false">IF(ISBLANK($C290),"",IF(ISNUMBER(O290), O290, ""))</f>
        <v/>
      </c>
      <c r="AD290" s="69" t="str">
        <f aca="false">IF(ISBLANK($C290),"",IF(ISNUMBER(P290), P290, ""))</f>
        <v/>
      </c>
      <c r="AE290" s="69" t="str">
        <f aca="false">IF(ISBLANK($C290),"",IF(ISNUMBER(Q290), Q290, Constants!$B$13))</f>
        <v/>
      </c>
      <c r="AF290" s="66" t="str">
        <f aca="false">IF(ISBLANK($C290),"",IF(R290=Constants!$B$2, TRUE(), IF(R290=Constants!$B$3, FALSE(), FALSE())))</f>
        <v/>
      </c>
      <c r="AG290" s="66" t="str">
        <f aca="false">IF(ISBLANK(C290), "", IF(AF290, Constants!$B$4,IF(COUNTA(G290:P290)=0, Constants!$B$5, Constants!$B$7)))</f>
        <v/>
      </c>
      <c r="AH290" s="66" t="str">
        <f aca="false">IF(ISBLANK($C290), "",IF($AG290=Constants!$B$7,1,$AG290))</f>
        <v/>
      </c>
      <c r="AI290" s="66" t="str">
        <f aca="false">IF($AG290=Constants!$B$7,POWER(Constants!$B$11,X290)*POWER(Constants!$B$12,Z290),"")</f>
        <v/>
      </c>
      <c r="AJ290" s="66" t="str">
        <f aca="false">IF(AND($AG290=Constants!$B$7, U290, V290) ,IF(OR($AA290="",$AC290=""),"",MAX(0, $AC290-$AA290)),"")</f>
        <v/>
      </c>
      <c r="AK290" s="66" t="str">
        <f aca="false">IF(AND($AG290=Constants!$B$7, U290, V290),IF(OR($AA290="",$AC290=""),$AK$6,""),"")</f>
        <v/>
      </c>
      <c r="AL290" s="66" t="str">
        <f aca="false">IF($AG290=Constants!$B$7,IF(AND(U290,V290,W290,Y290),IF($AJ290="",0,IF($AJ$6=0,Constants!$B$9,Constants!$B$9*AJ290/$AJ$6)), 0),"")</f>
        <v/>
      </c>
      <c r="AM290" s="66" t="str">
        <f aca="false">IF(AL290&lt;&gt;"", AL290*AI290,"")</f>
        <v/>
      </c>
      <c r="AN290" s="66" t="str">
        <f aca="false">IF(AND($AG290=Constants!$B$7, U290, V290) ,IF($AB290="", "", IF(OR($AC290="",$AC290=0),"",MAX(0,1-ABS($AC290-$AB290)/$AC290))),"")</f>
        <v/>
      </c>
      <c r="AO290" s="66" t="str">
        <f aca="false">IF(AND($AG290=Constants!$B$7, U290, V290),IF(AND($AA290&lt;&gt;"",$AB290&lt;&gt;"",$AC290=0),$AO$6,""),"")</f>
        <v/>
      </c>
      <c r="AP290" s="66" t="str">
        <f aca="false">IF($AG290=Constants!$B$7 ,IF(AND(U290,V290,W290,Y290,ISNUMBER(AB290)),IF($AN290="",0,IF($AN$6=0,Constants!$B$10,Constants!$B$10*AN290/$AN$6)), 0),"")</f>
        <v/>
      </c>
      <c r="AQ290" s="66" t="str">
        <f aca="false">IF(AP290&lt;&gt;"", AP290*AI290,"")</f>
        <v/>
      </c>
      <c r="AR290" s="66" t="str">
        <f aca="false">IF($AG290=Constants!$B$7,IF($AD290="",0,IF($AR$6=0,Constants!$B$8,Constants!$B$8*AD290/$AR$6)),"")</f>
        <v/>
      </c>
      <c r="AS290" s="66" t="str">
        <f aca="false">IF($AG290&lt;&gt;Constants!$B$7,$AG290,IF(AK290&amp;AO290&lt;&gt;"",Constants!$B$14,AM290+AQ290+AR290))</f>
        <v/>
      </c>
      <c r="AT290" s="66" t="str">
        <f aca="false">IF(ISBLANK($C290),"",IF($AG290=Constants!$B$7,IF(ISNUMBER(AS290),RANK(AS290,$AS$8:$AS$507),Constants!$B$14),$AG290))</f>
        <v/>
      </c>
      <c r="AU290" s="66" t="str">
        <f aca="false">IF(ISBLANK($C290), "",AM290)</f>
        <v/>
      </c>
      <c r="AV290" s="66" t="str">
        <f aca="false">IF(ISBLANK($C290),"",IF($AG290=Constants!$B$7,RANK(AU290,AU$8:AU$507),$AG290))</f>
        <v/>
      </c>
      <c r="AW290" s="66" t="str">
        <f aca="false">IF(ISBLANK($C290), "",AR290)</f>
        <v/>
      </c>
      <c r="AX290" s="66" t="str">
        <f aca="false">IF(ISBLANK($C290),"",IF($AG290=Constants!$B$7,RANK(AW290,AW$8:AW$507),$AG290))</f>
        <v/>
      </c>
      <c r="AY290" s="66" t="str">
        <f aca="false">IF(ISBLANK($C290), "",AE290)</f>
        <v/>
      </c>
      <c r="AZ290" s="66" t="str">
        <f aca="false">IF(ISBLANK($C290),"",
IF($AG290=Constants!$B$7,
  IF(ISNUMBER(AT290),
    COUNTIFS($AT$8:$AT$507,"&lt;"&amp;$AT290)
    + COUNTIFS($AT$8:$AT$507,$AT290,$AV$8:$AV$507,"&lt;"&amp;$AV290)
    + COUNTIFS($AT$8:$AT$507,$AT290,$AV$8:$AV$507,$AV290,$AX$8:$AX$507,"&lt;"&amp;$AX290)
    + COUNTIFS($AT$8:$AT$507,$AT290,$AV$8:$AV$507,$AV290,$AX$8:$AX$507,$AX290,$AY$8:$AY$507,"&lt;"&amp;$AY290)
    + 1,
  Constants!$B$14),
$AG290))</f>
        <v/>
      </c>
      <c r="BA290" s="66" t="str">
        <f aca="false">IF(ISBLANK(C290),"",IF($AG290=Constants!$B$7, IF(ISNUMBER(AT290),AT290-AZ290,Constants!$B$14),$AG290))</f>
        <v/>
      </c>
      <c r="BB290" s="70"/>
      <c r="BC290" s="84" t="str">
        <f aca="false">IF(ISBLANK($C290),"",TRIM(AK290&amp;" "&amp;AO290))</f>
        <v/>
      </c>
      <c r="BD290" s="72" t="str">
        <f aca="false">IF(ISBLANK($C290),"",IF($AG290&lt;&gt;Constants!$B$7,$AG290,AR290))</f>
        <v/>
      </c>
      <c r="BE290" s="72" t="str">
        <f aca="false">IF(ISBLANK($C290),"",IF($AG290&lt;&gt;Constants!$B$7,$AG290,AM290))</f>
        <v/>
      </c>
      <c r="BF290" s="72" t="str">
        <f aca="false">IF(ISBLANK($C290),"",IF($AG290&lt;&gt;Constants!$B$7,$AG290,AQ290))</f>
        <v/>
      </c>
      <c r="BG290" s="73" t="str">
        <f aca="false">IF(ISBLANK($C290),"",IF($AG290&lt;&gt;Constants!$B$7, $AG290 ,AS290))</f>
        <v/>
      </c>
      <c r="BH290" s="74" t="str">
        <f aca="false">IF(ISBLANK($C290),"",IF($AG290&lt;&gt;Constants!$B$7, $AG290 ,AH290))</f>
        <v/>
      </c>
      <c r="BI290" s="72" t="str">
        <f aca="false">IF(ISBLANK(C290),"",BA290)</f>
        <v/>
      </c>
      <c r="BJ290" s="72" t="str">
        <f aca="false">IF(ISBLANK(C290),"",AZ290)</f>
        <v/>
      </c>
      <c r="BK290" s="75" t="str">
        <f aca="false">IF(ISBLANK(C290),"",IFERROR(_xlfn.SWITCH(BJ290, Constants!$B$4, COUNTA($C$8:$C789)+2, Constants!$B$5, COUNTA($C$8:$C789)+1, Constants!$B$6, COUNTA($C$8:$C789)),BJ290))</f>
        <v/>
      </c>
      <c r="BL290" s="5"/>
      <c r="BM290" s="76" t="n">
        <f aca="false">IF(OR(ISNUMBER(BJ290),BJ290="DQ",BJ290="P",BJ290="NS"),
    1,
    0
)</f>
        <v>0</v>
      </c>
      <c r="BN290" s="76" t="n">
        <v>283</v>
      </c>
      <c r="BO290" s="76" t="str">
        <f aca="false">IF(ISBLANK($C290),"",IF(ISNUMBER(BK290),BK290+ROW($B290)/1000,""))</f>
        <v/>
      </c>
      <c r="BP290" s="76" t="str">
        <f aca="false">IF(ISNUMBER(BO290), RANK(BO290,BO$8:BO$507,1), "")</f>
        <v/>
      </c>
      <c r="BQ290" s="76" t="str">
        <f aca="false">IF(ISBLANK($C290),
    "",
    $B290
)</f>
        <v/>
      </c>
      <c r="BR290" s="76" t="str">
        <f aca="false">IF(ISBLANK($C290),
    "",
    $C290
)</f>
        <v/>
      </c>
      <c r="BS290" s="76" t="str">
        <f aca="false">IF(ISBLANK($C290),
    "",
    $D290
)</f>
        <v/>
      </c>
      <c r="BT290" s="77" t="str">
        <f aca="false">BH290</f>
        <v/>
      </c>
      <c r="BU290" s="78" t="str">
        <f aca="false">BG290</f>
        <v/>
      </c>
      <c r="BV290" s="76" t="str">
        <f aca="false">IF(ISBLANK($C290),
    "",
    BJ290
)</f>
        <v/>
      </c>
      <c r="BW290" s="79" t="str">
        <f aca="false">IF(BN290&gt;BM$7,
    "",
    VLOOKUP(BN290,BP$8:BV789,7,FALSE())
)</f>
        <v/>
      </c>
      <c r="BX290" s="80" t="str">
        <f aca="false">IF(BN290&gt;BM$7,
    "",
    VLOOKUP(BN290,BP$8:BV789,2,FALSE())
)</f>
        <v/>
      </c>
      <c r="BY290" s="80" t="str">
        <f aca="false">IF(BN290&gt;BM$7,
    "",
    VLOOKUP(BN290,BP$8:BV789,3,FALSE())
)</f>
        <v/>
      </c>
      <c r="BZ290" s="80" t="str">
        <f aca="false">IF(BN290&gt;BM$7,
    "",
    VLOOKUP(BN290,BP$8:BV789,4,FALSE())
)</f>
        <v/>
      </c>
      <c r="CA290" s="80" t="str">
        <f aca="false">IF(BN290&gt;BM$7,
    "",
    VLOOKUP(BN290,BP$8:BV789,5,FALSE())
)</f>
        <v/>
      </c>
      <c r="CB290" s="81" t="str">
        <f aca="false">IF(BN290&gt;BM$7,
    "",
    VLOOKUP(BN290,BP$8:BV789,6,FALSE())
)</f>
        <v/>
      </c>
      <c r="CC290" s="53"/>
    </row>
    <row r="291" customFormat="false" ht="15.75" hidden="false" customHeight="false" outlineLevel="0" collapsed="false">
      <c r="A291" s="5"/>
      <c r="B291" s="129"/>
      <c r="C291" s="55"/>
      <c r="D291" s="56"/>
      <c r="E291" s="123"/>
      <c r="F291" s="123"/>
      <c r="G291" s="58"/>
      <c r="H291" s="59"/>
      <c r="I291" s="59"/>
      <c r="J291" s="83"/>
      <c r="K291" s="83"/>
      <c r="L291" s="83"/>
      <c r="M291" s="61"/>
      <c r="N291" s="61"/>
      <c r="O291" s="61"/>
      <c r="P291" s="62"/>
      <c r="Q291" s="63"/>
      <c r="R291" s="83"/>
      <c r="S291" s="65"/>
      <c r="T291" s="66"/>
      <c r="U291" s="66" t="str">
        <f aca="false">IF(ISBLANK($C291),"",IF(G291=Constants!$B$2, TRUE(), IF(G291=Constants!$B$3, FALSE(), TRUE())))</f>
        <v/>
      </c>
      <c r="V291" s="66" t="str">
        <f aca="false">IF(ISBLANK($C291),"",IF(H291=Constants!$B$2, TRUE(), IF(H291=Constants!$B$3, FALSE(), TRUE())))</f>
        <v/>
      </c>
      <c r="W291" s="66" t="str">
        <f aca="false">IF(ISBLANK($C291),"",IF(I291=Constants!$B$2, TRUE(), IF(I291=Constants!$B$3, FALSE(), TRUE())))</f>
        <v/>
      </c>
      <c r="X291" s="66" t="str">
        <f aca="false">IF(ISBLANK($C291),"",IF(AND(ISNUMBER(J291),J291&gt;0),INT(J291),0))</f>
        <v/>
      </c>
      <c r="Y291" s="66" t="str">
        <f aca="false">IF(ISBLANK($C291),"",IF(K291=Constants!$B$2, TRUE(), IF(K291=Constants!$B$3, FALSE(), TRUE())))</f>
        <v/>
      </c>
      <c r="Z291" s="66" t="str">
        <f aca="false">IF(ISBLANK($C291),"",IF(AND(ISNUMBER(L291),L291&gt;0),INT(L291),0))</f>
        <v/>
      </c>
      <c r="AA291" s="68" t="str">
        <f aca="false">IF(ISBLANK($C291),"",IF(ISNUMBER(M291), M291, ""))</f>
        <v/>
      </c>
      <c r="AB291" s="68" t="str">
        <f aca="false">IF(ISBLANK($C291),"",IF(ISNUMBER(N291), N291, ""))</f>
        <v/>
      </c>
      <c r="AC291" s="68" t="str">
        <f aca="false">IF(ISBLANK($C291),"",IF(ISNUMBER(O291), O291, ""))</f>
        <v/>
      </c>
      <c r="AD291" s="69" t="str">
        <f aca="false">IF(ISBLANK($C291),"",IF(ISNUMBER(P291), P291, ""))</f>
        <v/>
      </c>
      <c r="AE291" s="69" t="str">
        <f aca="false">IF(ISBLANK($C291),"",IF(ISNUMBER(Q291), Q291, Constants!$B$13))</f>
        <v/>
      </c>
      <c r="AF291" s="66" t="str">
        <f aca="false">IF(ISBLANK($C291),"",IF(R291=Constants!$B$2, TRUE(), IF(R291=Constants!$B$3, FALSE(), FALSE())))</f>
        <v/>
      </c>
      <c r="AG291" s="66" t="str">
        <f aca="false">IF(ISBLANK(C291), "", IF(AF291, Constants!$B$4,IF(COUNTA(G291:P291)=0, Constants!$B$5, Constants!$B$7)))</f>
        <v/>
      </c>
      <c r="AH291" s="66" t="str">
        <f aca="false">IF(ISBLANK($C291), "",IF($AG291=Constants!$B$7,1,$AG291))</f>
        <v/>
      </c>
      <c r="AI291" s="66" t="str">
        <f aca="false">IF($AG291=Constants!$B$7,POWER(Constants!$B$11,X291)*POWER(Constants!$B$12,Z291),"")</f>
        <v/>
      </c>
      <c r="AJ291" s="66" t="str">
        <f aca="false">IF(AND($AG291=Constants!$B$7, U291, V291) ,IF(OR($AA291="",$AC291=""),"",MAX(0, $AC291-$AA291)),"")</f>
        <v/>
      </c>
      <c r="AK291" s="66" t="str">
        <f aca="false">IF(AND($AG291=Constants!$B$7, U291, V291),IF(OR($AA291="",$AC291=""),$AK$6,""),"")</f>
        <v/>
      </c>
      <c r="AL291" s="66" t="str">
        <f aca="false">IF($AG291=Constants!$B$7,IF(AND(U291,V291,W291,Y291),IF($AJ291="",0,IF($AJ$6=0,Constants!$B$9,Constants!$B$9*AJ291/$AJ$6)), 0),"")</f>
        <v/>
      </c>
      <c r="AM291" s="66" t="str">
        <f aca="false">IF(AL291&lt;&gt;"", AL291*AI291,"")</f>
        <v/>
      </c>
      <c r="AN291" s="66" t="str">
        <f aca="false">IF(AND($AG291=Constants!$B$7, U291, V291) ,IF($AB291="", "", IF(OR($AC291="",$AC291=0),"",MAX(0,1-ABS($AC291-$AB291)/$AC291))),"")</f>
        <v/>
      </c>
      <c r="AO291" s="66" t="str">
        <f aca="false">IF(AND($AG291=Constants!$B$7, U291, V291),IF(AND($AA291&lt;&gt;"",$AB291&lt;&gt;"",$AC291=0),$AO$6,""),"")</f>
        <v/>
      </c>
      <c r="AP291" s="66" t="str">
        <f aca="false">IF($AG291=Constants!$B$7 ,IF(AND(U291,V291,W291,Y291,ISNUMBER(AB291)),IF($AN291="",0,IF($AN$6=0,Constants!$B$10,Constants!$B$10*AN291/$AN$6)), 0),"")</f>
        <v/>
      </c>
      <c r="AQ291" s="66" t="str">
        <f aca="false">IF(AP291&lt;&gt;"", AP291*AI291,"")</f>
        <v/>
      </c>
      <c r="AR291" s="66" t="str">
        <f aca="false">IF($AG291=Constants!$B$7,IF($AD291="",0,IF($AR$6=0,Constants!$B$8,Constants!$B$8*AD291/$AR$6)),"")</f>
        <v/>
      </c>
      <c r="AS291" s="66" t="str">
        <f aca="false">IF($AG291&lt;&gt;Constants!$B$7,$AG291,IF(AK291&amp;AO291&lt;&gt;"",Constants!$B$14,AM291+AQ291+AR291))</f>
        <v/>
      </c>
      <c r="AT291" s="66" t="str">
        <f aca="false">IF(ISBLANK($C291),"",IF($AG291=Constants!$B$7,IF(ISNUMBER(AS291),RANK(AS291,$AS$8:$AS$507),Constants!$B$14),$AG291))</f>
        <v/>
      </c>
      <c r="AU291" s="66" t="str">
        <f aca="false">IF(ISBLANK($C291), "",AM291)</f>
        <v/>
      </c>
      <c r="AV291" s="66" t="str">
        <f aca="false">IF(ISBLANK($C291),"",IF($AG291=Constants!$B$7,RANK(AU291,AU$8:AU$507),$AG291))</f>
        <v/>
      </c>
      <c r="AW291" s="66" t="str">
        <f aca="false">IF(ISBLANK($C291), "",AR291)</f>
        <v/>
      </c>
      <c r="AX291" s="66" t="str">
        <f aca="false">IF(ISBLANK($C291),"",IF($AG291=Constants!$B$7,RANK(AW291,AW$8:AW$507),$AG291))</f>
        <v/>
      </c>
      <c r="AY291" s="66" t="str">
        <f aca="false">IF(ISBLANK($C291), "",AE291)</f>
        <v/>
      </c>
      <c r="AZ291" s="66" t="str">
        <f aca="false">IF(ISBLANK($C291),"",
IF($AG291=Constants!$B$7,
  IF(ISNUMBER(AT291),
    COUNTIFS($AT$8:$AT$507,"&lt;"&amp;$AT291)
    + COUNTIFS($AT$8:$AT$507,$AT291,$AV$8:$AV$507,"&lt;"&amp;$AV291)
    + COUNTIFS($AT$8:$AT$507,$AT291,$AV$8:$AV$507,$AV291,$AX$8:$AX$507,"&lt;"&amp;$AX291)
    + COUNTIFS($AT$8:$AT$507,$AT291,$AV$8:$AV$507,$AV291,$AX$8:$AX$507,$AX291,$AY$8:$AY$507,"&lt;"&amp;$AY291)
    + 1,
  Constants!$B$14),
$AG291))</f>
        <v/>
      </c>
      <c r="BA291" s="66" t="str">
        <f aca="false">IF(ISBLANK(C291),"",IF($AG291=Constants!$B$7, IF(ISNUMBER(AT291),AT291-AZ291,Constants!$B$14),$AG291))</f>
        <v/>
      </c>
      <c r="BB291" s="70"/>
      <c r="BC291" s="84" t="str">
        <f aca="false">IF(ISBLANK($C291),"",TRIM(AK291&amp;" "&amp;AO291))</f>
        <v/>
      </c>
      <c r="BD291" s="72" t="str">
        <f aca="false">IF(ISBLANK($C291),"",IF($AG291&lt;&gt;Constants!$B$7,$AG291,AR291))</f>
        <v/>
      </c>
      <c r="BE291" s="72" t="str">
        <f aca="false">IF(ISBLANK($C291),"",IF($AG291&lt;&gt;Constants!$B$7,$AG291,AM291))</f>
        <v/>
      </c>
      <c r="BF291" s="72" t="str">
        <f aca="false">IF(ISBLANK($C291),"",IF($AG291&lt;&gt;Constants!$B$7,$AG291,AQ291))</f>
        <v/>
      </c>
      <c r="BG291" s="73" t="str">
        <f aca="false">IF(ISBLANK($C291),"",IF($AG291&lt;&gt;Constants!$B$7, $AG291 ,AS291))</f>
        <v/>
      </c>
      <c r="BH291" s="74" t="str">
        <f aca="false">IF(ISBLANK($C291),"",IF($AG291&lt;&gt;Constants!$B$7, $AG291 ,AH291))</f>
        <v/>
      </c>
      <c r="BI291" s="72" t="str">
        <f aca="false">IF(ISBLANK(C291),"",BA291)</f>
        <v/>
      </c>
      <c r="BJ291" s="72" t="str">
        <f aca="false">IF(ISBLANK(C291),"",AZ291)</f>
        <v/>
      </c>
      <c r="BK291" s="75" t="str">
        <f aca="false">IF(ISBLANK(C291),"",IFERROR(_xlfn.SWITCH(BJ291, Constants!$B$4, COUNTA($C$8:$C790)+2, Constants!$B$5, COUNTA($C$8:$C790)+1, Constants!$B$6, COUNTA($C$8:$C790)),BJ291))</f>
        <v/>
      </c>
      <c r="BL291" s="5"/>
      <c r="BM291" s="76" t="n">
        <f aca="false">IF(OR(ISNUMBER(BJ291),BJ291="DQ",BJ291="P",BJ291="NS"),
    1,
    0
)</f>
        <v>0</v>
      </c>
      <c r="BN291" s="76" t="n">
        <v>284</v>
      </c>
      <c r="BO291" s="76" t="str">
        <f aca="false">IF(ISBLANK($C291),"",IF(ISNUMBER(BK291),BK291+ROW($B291)/1000,""))</f>
        <v/>
      </c>
      <c r="BP291" s="76" t="str">
        <f aca="false">IF(ISNUMBER(BO291), RANK(BO291,BO$8:BO$507,1), "")</f>
        <v/>
      </c>
      <c r="BQ291" s="76" t="str">
        <f aca="false">IF(ISBLANK($C291),
    "",
    $B291
)</f>
        <v/>
      </c>
      <c r="BR291" s="76" t="str">
        <f aca="false">IF(ISBLANK($C291),
    "",
    $C291
)</f>
        <v/>
      </c>
      <c r="BS291" s="76" t="str">
        <f aca="false">IF(ISBLANK($C291),
    "",
    $D291
)</f>
        <v/>
      </c>
      <c r="BT291" s="77" t="str">
        <f aca="false">BH291</f>
        <v/>
      </c>
      <c r="BU291" s="78" t="str">
        <f aca="false">BG291</f>
        <v/>
      </c>
      <c r="BV291" s="76" t="str">
        <f aca="false">IF(ISBLANK($C291),
    "",
    BJ291
)</f>
        <v/>
      </c>
      <c r="BW291" s="79" t="str">
        <f aca="false">IF(BN291&gt;BM$7,
    "",
    VLOOKUP(BN291,BP$8:BV790,7,FALSE())
)</f>
        <v/>
      </c>
      <c r="BX291" s="80" t="str">
        <f aca="false">IF(BN291&gt;BM$7,
    "",
    VLOOKUP(BN291,BP$8:BV790,2,FALSE())
)</f>
        <v/>
      </c>
      <c r="BY291" s="80" t="str">
        <f aca="false">IF(BN291&gt;BM$7,
    "",
    VLOOKUP(BN291,BP$8:BV790,3,FALSE())
)</f>
        <v/>
      </c>
      <c r="BZ291" s="80" t="str">
        <f aca="false">IF(BN291&gt;BM$7,
    "",
    VLOOKUP(BN291,BP$8:BV790,4,FALSE())
)</f>
        <v/>
      </c>
      <c r="CA291" s="80" t="str">
        <f aca="false">IF(BN291&gt;BM$7,
    "",
    VLOOKUP(BN291,BP$8:BV790,5,FALSE())
)</f>
        <v/>
      </c>
      <c r="CB291" s="81" t="str">
        <f aca="false">IF(BN291&gt;BM$7,
    "",
    VLOOKUP(BN291,BP$8:BV790,6,FALSE())
)</f>
        <v/>
      </c>
      <c r="CC291" s="53"/>
    </row>
    <row r="292" customFormat="false" ht="15.75" hidden="false" customHeight="false" outlineLevel="0" collapsed="false">
      <c r="A292" s="5"/>
      <c r="B292" s="129"/>
      <c r="C292" s="55"/>
      <c r="D292" s="56"/>
      <c r="E292" s="123"/>
      <c r="F292" s="123"/>
      <c r="G292" s="58"/>
      <c r="H292" s="59"/>
      <c r="I292" s="59"/>
      <c r="J292" s="83"/>
      <c r="K292" s="83"/>
      <c r="L292" s="83"/>
      <c r="M292" s="61"/>
      <c r="N292" s="61"/>
      <c r="O292" s="61"/>
      <c r="P292" s="62"/>
      <c r="Q292" s="63"/>
      <c r="R292" s="83"/>
      <c r="S292" s="65"/>
      <c r="T292" s="66"/>
      <c r="U292" s="66" t="str">
        <f aca="false">IF(ISBLANK($C292),"",IF(G292=Constants!$B$2, TRUE(), IF(G292=Constants!$B$3, FALSE(), TRUE())))</f>
        <v/>
      </c>
      <c r="V292" s="66" t="str">
        <f aca="false">IF(ISBLANK($C292),"",IF(H292=Constants!$B$2, TRUE(), IF(H292=Constants!$B$3, FALSE(), TRUE())))</f>
        <v/>
      </c>
      <c r="W292" s="66" t="str">
        <f aca="false">IF(ISBLANK($C292),"",IF(I292=Constants!$B$2, TRUE(), IF(I292=Constants!$B$3, FALSE(), TRUE())))</f>
        <v/>
      </c>
      <c r="X292" s="66" t="str">
        <f aca="false">IF(ISBLANK($C292),"",IF(AND(ISNUMBER(J292),J292&gt;0),INT(J292),0))</f>
        <v/>
      </c>
      <c r="Y292" s="66" t="str">
        <f aca="false">IF(ISBLANK($C292),"",IF(K292=Constants!$B$2, TRUE(), IF(K292=Constants!$B$3, FALSE(), TRUE())))</f>
        <v/>
      </c>
      <c r="Z292" s="66" t="str">
        <f aca="false">IF(ISBLANK($C292),"",IF(AND(ISNUMBER(L292),L292&gt;0),INT(L292),0))</f>
        <v/>
      </c>
      <c r="AA292" s="68" t="str">
        <f aca="false">IF(ISBLANK($C292),"",IF(ISNUMBER(M292), M292, ""))</f>
        <v/>
      </c>
      <c r="AB292" s="68" t="str">
        <f aca="false">IF(ISBLANK($C292),"",IF(ISNUMBER(N292), N292, ""))</f>
        <v/>
      </c>
      <c r="AC292" s="68" t="str">
        <f aca="false">IF(ISBLANK($C292),"",IF(ISNUMBER(O292), O292, ""))</f>
        <v/>
      </c>
      <c r="AD292" s="69" t="str">
        <f aca="false">IF(ISBLANK($C292),"",IF(ISNUMBER(P292), P292, ""))</f>
        <v/>
      </c>
      <c r="AE292" s="69" t="str">
        <f aca="false">IF(ISBLANK($C292),"",IF(ISNUMBER(Q292), Q292, Constants!$B$13))</f>
        <v/>
      </c>
      <c r="AF292" s="66" t="str">
        <f aca="false">IF(ISBLANK($C292),"",IF(R292=Constants!$B$2, TRUE(), IF(R292=Constants!$B$3, FALSE(), FALSE())))</f>
        <v/>
      </c>
      <c r="AG292" s="66" t="str">
        <f aca="false">IF(ISBLANK(C292), "", IF(AF292, Constants!$B$4,IF(COUNTA(G292:P292)=0, Constants!$B$5, Constants!$B$7)))</f>
        <v/>
      </c>
      <c r="AH292" s="66" t="str">
        <f aca="false">IF(ISBLANK($C292), "",IF($AG292=Constants!$B$7,1,$AG292))</f>
        <v/>
      </c>
      <c r="AI292" s="66" t="str">
        <f aca="false">IF($AG292=Constants!$B$7,POWER(Constants!$B$11,X292)*POWER(Constants!$B$12,Z292),"")</f>
        <v/>
      </c>
      <c r="AJ292" s="66" t="str">
        <f aca="false">IF(AND($AG292=Constants!$B$7, U292, V292) ,IF(OR($AA292="",$AC292=""),"",MAX(0, $AC292-$AA292)),"")</f>
        <v/>
      </c>
      <c r="AK292" s="66" t="str">
        <f aca="false">IF(AND($AG292=Constants!$B$7, U292, V292),IF(OR($AA292="",$AC292=""),$AK$6,""),"")</f>
        <v/>
      </c>
      <c r="AL292" s="66" t="str">
        <f aca="false">IF($AG292=Constants!$B$7,IF(AND(U292,V292,W292,Y292),IF($AJ292="",0,IF($AJ$6=0,Constants!$B$9,Constants!$B$9*AJ292/$AJ$6)), 0),"")</f>
        <v/>
      </c>
      <c r="AM292" s="66" t="str">
        <f aca="false">IF(AL292&lt;&gt;"", AL292*AI292,"")</f>
        <v/>
      </c>
      <c r="AN292" s="66" t="str">
        <f aca="false">IF(AND($AG292=Constants!$B$7, U292, V292) ,IF($AB292="", "", IF(OR($AC292="",$AC292=0),"",MAX(0,1-ABS($AC292-$AB292)/$AC292))),"")</f>
        <v/>
      </c>
      <c r="AO292" s="66" t="str">
        <f aca="false">IF(AND($AG292=Constants!$B$7, U292, V292),IF(AND($AA292&lt;&gt;"",$AB292&lt;&gt;"",$AC292=0),$AO$6,""),"")</f>
        <v/>
      </c>
      <c r="AP292" s="66" t="str">
        <f aca="false">IF($AG292=Constants!$B$7 ,IF(AND(U292,V292,W292,Y292,ISNUMBER(AB292)),IF($AN292="",0,IF($AN$6=0,Constants!$B$10,Constants!$B$10*AN292/$AN$6)), 0),"")</f>
        <v/>
      </c>
      <c r="AQ292" s="66" t="str">
        <f aca="false">IF(AP292&lt;&gt;"", AP292*AI292,"")</f>
        <v/>
      </c>
      <c r="AR292" s="66" t="str">
        <f aca="false">IF($AG292=Constants!$B$7,IF($AD292="",0,IF($AR$6=0,Constants!$B$8,Constants!$B$8*AD292/$AR$6)),"")</f>
        <v/>
      </c>
      <c r="AS292" s="66" t="str">
        <f aca="false">IF($AG292&lt;&gt;Constants!$B$7,$AG292,IF(AK292&amp;AO292&lt;&gt;"",Constants!$B$14,AM292+AQ292+AR292))</f>
        <v/>
      </c>
      <c r="AT292" s="66" t="str">
        <f aca="false">IF(ISBLANK($C292),"",IF($AG292=Constants!$B$7,IF(ISNUMBER(AS292),RANK(AS292,$AS$8:$AS$507),Constants!$B$14),$AG292))</f>
        <v/>
      </c>
      <c r="AU292" s="66" t="str">
        <f aca="false">IF(ISBLANK($C292), "",AM292)</f>
        <v/>
      </c>
      <c r="AV292" s="66" t="str">
        <f aca="false">IF(ISBLANK($C292),"",IF($AG292=Constants!$B$7,RANK(AU292,AU$8:AU$507),$AG292))</f>
        <v/>
      </c>
      <c r="AW292" s="66" t="str">
        <f aca="false">IF(ISBLANK($C292), "",AR292)</f>
        <v/>
      </c>
      <c r="AX292" s="66" t="str">
        <f aca="false">IF(ISBLANK($C292),"",IF($AG292=Constants!$B$7,RANK(AW292,AW$8:AW$507),$AG292))</f>
        <v/>
      </c>
      <c r="AY292" s="66" t="str">
        <f aca="false">IF(ISBLANK($C292), "",AE292)</f>
        <v/>
      </c>
      <c r="AZ292" s="66" t="str">
        <f aca="false">IF(ISBLANK($C292),"",
IF($AG292=Constants!$B$7,
  IF(ISNUMBER(AT292),
    COUNTIFS($AT$8:$AT$507,"&lt;"&amp;$AT292)
    + COUNTIFS($AT$8:$AT$507,$AT292,$AV$8:$AV$507,"&lt;"&amp;$AV292)
    + COUNTIFS($AT$8:$AT$507,$AT292,$AV$8:$AV$507,$AV292,$AX$8:$AX$507,"&lt;"&amp;$AX292)
    + COUNTIFS($AT$8:$AT$507,$AT292,$AV$8:$AV$507,$AV292,$AX$8:$AX$507,$AX292,$AY$8:$AY$507,"&lt;"&amp;$AY292)
    + 1,
  Constants!$B$14),
$AG292))</f>
        <v/>
      </c>
      <c r="BA292" s="66" t="str">
        <f aca="false">IF(ISBLANK(C292),"",IF($AG292=Constants!$B$7, IF(ISNUMBER(AT292),AT292-AZ292,Constants!$B$14),$AG292))</f>
        <v/>
      </c>
      <c r="BB292" s="70"/>
      <c r="BC292" s="84" t="str">
        <f aca="false">IF(ISBLANK($C292),"",TRIM(AK292&amp;" "&amp;AO292))</f>
        <v/>
      </c>
      <c r="BD292" s="72" t="str">
        <f aca="false">IF(ISBLANK($C292),"",IF($AG292&lt;&gt;Constants!$B$7,$AG292,AR292))</f>
        <v/>
      </c>
      <c r="BE292" s="72" t="str">
        <f aca="false">IF(ISBLANK($C292),"",IF($AG292&lt;&gt;Constants!$B$7,$AG292,AM292))</f>
        <v/>
      </c>
      <c r="BF292" s="72" t="str">
        <f aca="false">IF(ISBLANK($C292),"",IF($AG292&lt;&gt;Constants!$B$7,$AG292,AQ292))</f>
        <v/>
      </c>
      <c r="BG292" s="73" t="str">
        <f aca="false">IF(ISBLANK($C292),"",IF($AG292&lt;&gt;Constants!$B$7, $AG292 ,AS292))</f>
        <v/>
      </c>
      <c r="BH292" s="74" t="str">
        <f aca="false">IF(ISBLANK($C292),"",IF($AG292&lt;&gt;Constants!$B$7, $AG292 ,AH292))</f>
        <v/>
      </c>
      <c r="BI292" s="72" t="str">
        <f aca="false">IF(ISBLANK(C292),"",BA292)</f>
        <v/>
      </c>
      <c r="BJ292" s="72" t="str">
        <f aca="false">IF(ISBLANK(C292),"",AZ292)</f>
        <v/>
      </c>
      <c r="BK292" s="75" t="str">
        <f aca="false">IF(ISBLANK(C292),"",IFERROR(_xlfn.SWITCH(BJ292, Constants!$B$4, COUNTA($C$8:$C791)+2, Constants!$B$5, COUNTA($C$8:$C791)+1, Constants!$B$6, COUNTA($C$8:$C791)),BJ292))</f>
        <v/>
      </c>
      <c r="BL292" s="5"/>
      <c r="BM292" s="76" t="n">
        <f aca="false">IF(OR(ISNUMBER(BJ292),BJ292="DQ",BJ292="P",BJ292="NS"),
    1,
    0
)</f>
        <v>0</v>
      </c>
      <c r="BN292" s="76" t="n">
        <v>285</v>
      </c>
      <c r="BO292" s="76" t="str">
        <f aca="false">IF(ISBLANK($C292),"",IF(ISNUMBER(BK292),BK292+ROW($B292)/1000,""))</f>
        <v/>
      </c>
      <c r="BP292" s="76" t="str">
        <f aca="false">IF(ISNUMBER(BO292), RANK(BO292,BO$8:BO$507,1), "")</f>
        <v/>
      </c>
      <c r="BQ292" s="76" t="str">
        <f aca="false">IF(ISBLANK($C292),
    "",
    $B292
)</f>
        <v/>
      </c>
      <c r="BR292" s="76" t="str">
        <f aca="false">IF(ISBLANK($C292),
    "",
    $C292
)</f>
        <v/>
      </c>
      <c r="BS292" s="76" t="str">
        <f aca="false">IF(ISBLANK($C292),
    "",
    $D292
)</f>
        <v/>
      </c>
      <c r="BT292" s="77" t="str">
        <f aca="false">BH292</f>
        <v/>
      </c>
      <c r="BU292" s="78" t="str">
        <f aca="false">BG292</f>
        <v/>
      </c>
      <c r="BV292" s="76" t="str">
        <f aca="false">IF(ISBLANK($C292),
    "",
    BJ292
)</f>
        <v/>
      </c>
      <c r="BW292" s="79" t="str">
        <f aca="false">IF(BN292&gt;BM$7,
    "",
    VLOOKUP(BN292,BP$8:BV791,7,FALSE())
)</f>
        <v/>
      </c>
      <c r="BX292" s="80" t="str">
        <f aca="false">IF(BN292&gt;BM$7,
    "",
    VLOOKUP(BN292,BP$8:BV791,2,FALSE())
)</f>
        <v/>
      </c>
      <c r="BY292" s="80" t="str">
        <f aca="false">IF(BN292&gt;BM$7,
    "",
    VLOOKUP(BN292,BP$8:BV791,3,FALSE())
)</f>
        <v/>
      </c>
      <c r="BZ292" s="80" t="str">
        <f aca="false">IF(BN292&gt;BM$7,
    "",
    VLOOKUP(BN292,BP$8:BV791,4,FALSE())
)</f>
        <v/>
      </c>
      <c r="CA292" s="80" t="str">
        <f aca="false">IF(BN292&gt;BM$7,
    "",
    VLOOKUP(BN292,BP$8:BV791,5,FALSE())
)</f>
        <v/>
      </c>
      <c r="CB292" s="81" t="str">
        <f aca="false">IF(BN292&gt;BM$7,
    "",
    VLOOKUP(BN292,BP$8:BV791,6,FALSE())
)</f>
        <v/>
      </c>
      <c r="CC292" s="53"/>
    </row>
    <row r="293" customFormat="false" ht="15.75" hidden="false" customHeight="false" outlineLevel="0" collapsed="false">
      <c r="A293" s="5"/>
      <c r="B293" s="125"/>
      <c r="C293" s="126"/>
      <c r="D293" s="115"/>
      <c r="E293" s="119"/>
      <c r="F293" s="119"/>
      <c r="G293" s="91"/>
      <c r="H293" s="92"/>
      <c r="I293" s="92"/>
      <c r="J293" s="128"/>
      <c r="K293" s="128"/>
      <c r="L293" s="128"/>
      <c r="M293" s="94"/>
      <c r="N293" s="94"/>
      <c r="O293" s="94"/>
      <c r="P293" s="95"/>
      <c r="Q293" s="96"/>
      <c r="R293" s="128"/>
      <c r="S293" s="98"/>
      <c r="T293" s="99"/>
      <c r="U293" s="99" t="str">
        <f aca="false">IF(ISBLANK($C293),"",IF(G293=Constants!$B$2, TRUE(), IF(G293=Constants!$B$3, FALSE(), TRUE())))</f>
        <v/>
      </c>
      <c r="V293" s="99" t="str">
        <f aca="false">IF(ISBLANK($C293),"",IF(H293=Constants!$B$2, TRUE(), IF(H293=Constants!$B$3, FALSE(), TRUE())))</f>
        <v/>
      </c>
      <c r="W293" s="99" t="str">
        <f aca="false">IF(ISBLANK($C293),"",IF(I293=Constants!$B$2, TRUE(), IF(I293=Constants!$B$3, FALSE(), TRUE())))</f>
        <v/>
      </c>
      <c r="X293" s="99" t="str">
        <f aca="false">IF(ISBLANK($C293),"",IF(AND(ISNUMBER(J293),J293&gt;0),INT(J293),0))</f>
        <v/>
      </c>
      <c r="Y293" s="99" t="str">
        <f aca="false">IF(ISBLANK($C293),"",IF(K293=Constants!$B$2, TRUE(), IF(K293=Constants!$B$3, FALSE(), TRUE())))</f>
        <v/>
      </c>
      <c r="Z293" s="100" t="str">
        <f aca="false">IF(ISBLANK($C293),"",IF(AND(ISNUMBER(L293),L293&gt;0),INT(L293),0))</f>
        <v/>
      </c>
      <c r="AA293" s="101" t="str">
        <f aca="false">IF(ISBLANK($C293),"",IF(ISNUMBER(M293), M293, ""))</f>
        <v/>
      </c>
      <c r="AB293" s="101" t="str">
        <f aca="false">IF(ISBLANK($C293),"",IF(ISNUMBER(N293), N293, ""))</f>
        <v/>
      </c>
      <c r="AC293" s="101" t="str">
        <f aca="false">IF(ISBLANK($C293),"",IF(ISNUMBER(O293), O293, ""))</f>
        <v/>
      </c>
      <c r="AD293" s="102" t="str">
        <f aca="false">IF(ISBLANK($C293),"",IF(ISNUMBER(P293), P293, ""))</f>
        <v/>
      </c>
      <c r="AE293" s="102" t="str">
        <f aca="false">IF(ISBLANK($C293),"",IF(ISNUMBER(Q293), Q293, Constants!$B$13))</f>
        <v/>
      </c>
      <c r="AF293" s="99" t="str">
        <f aca="false">IF(ISBLANK($C293),"",IF(R293=Constants!$B$2, TRUE(), IF(R293=Constants!$B$3, FALSE(), FALSE())))</f>
        <v/>
      </c>
      <c r="AG293" s="99" t="str">
        <f aca="false">IF(ISBLANK(C293), "", IF(AF293, Constants!$B$4,IF(COUNTA(G293:P293)=0, Constants!$B$5, Constants!$B$7)))</f>
        <v/>
      </c>
      <c r="AH293" s="99" t="str">
        <f aca="false">IF(ISBLANK($C293), "",IF($AG293=Constants!$B$7,1,$AG293))</f>
        <v/>
      </c>
      <c r="AI293" s="99" t="str">
        <f aca="false">IF($AG293=Constants!$B$7,POWER(Constants!$B$11,X293)*POWER(Constants!$B$12,Z293),"")</f>
        <v/>
      </c>
      <c r="AJ293" s="99" t="str">
        <f aca="false">IF(AND($AG293=Constants!$B$7, U293, V293) ,IF(OR($AA293="",$AC293=""),"",MAX(0, $AC293-$AA293)),"")</f>
        <v/>
      </c>
      <c r="AK293" s="99" t="str">
        <f aca="false">IF(AND($AG293=Constants!$B$7, U293, V293),IF(OR($AA293="",$AC293=""),$AK$6,""),"")</f>
        <v/>
      </c>
      <c r="AL293" s="99" t="str">
        <f aca="false">IF($AG293=Constants!$B$7,IF(AND(U293,V293,W293,Y293),IF($AJ293="",0,IF($AJ$6=0,Constants!$B$9,Constants!$B$9*AJ293/$AJ$6)), 0),"")</f>
        <v/>
      </c>
      <c r="AM293" s="99" t="str">
        <f aca="false">IF(AL293&lt;&gt;"", AL293*AI293,"")</f>
        <v/>
      </c>
      <c r="AN293" s="99" t="str">
        <f aca="false">IF(AND($AG293=Constants!$B$7, U293, V293) ,IF($AB293="", "", IF(OR($AC293="",$AC293=0),"",MAX(0,1-ABS($AC293-$AB293)/$AC293))),"")</f>
        <v/>
      </c>
      <c r="AO293" s="99" t="str">
        <f aca="false">IF(AND($AG293=Constants!$B$7, U293, V293),IF(AND($AA293&lt;&gt;"",$AB293&lt;&gt;"",$AC293=0),$AO$6,""),"")</f>
        <v/>
      </c>
      <c r="AP293" s="99" t="str">
        <f aca="false">IF($AG293=Constants!$B$7 ,IF(AND(U293,V293,W293,Y293,ISNUMBER(AB293)),IF($AN293="",0,IF($AN$6=0,Constants!$B$10,Constants!$B$10*AN293/$AN$6)), 0),"")</f>
        <v/>
      </c>
      <c r="AQ293" s="99" t="str">
        <f aca="false">IF(AP293&lt;&gt;"", AP293*AI293,"")</f>
        <v/>
      </c>
      <c r="AR293" s="99" t="str">
        <f aca="false">IF($AG293=Constants!$B$7,IF($AD293="",0,IF($AR$6=0,Constants!$B$8,Constants!$B$8*AD293/$AR$6)),"")</f>
        <v/>
      </c>
      <c r="AS293" s="99" t="str">
        <f aca="false">IF($AG293&lt;&gt;Constants!$B$7,$AG293,IF(AK293&amp;AO293&lt;&gt;"",Constants!$B$14,AM293+AQ293+AR293))</f>
        <v/>
      </c>
      <c r="AT293" s="99" t="str">
        <f aca="false">IF(ISBLANK($C293),"",IF($AG293=Constants!$B$7,IF(ISNUMBER(AS293),RANK(AS293,$AS$8:$AS$507),Constants!$B$14),$AG293))</f>
        <v/>
      </c>
      <c r="AU293" s="99" t="str">
        <f aca="false">IF(ISBLANK($C293), "",AM293)</f>
        <v/>
      </c>
      <c r="AV293" s="99" t="str">
        <f aca="false">IF(ISBLANK($C293),"",IF($AG293=Constants!$B$7,RANK(AU293,AU$8:AU$507),$AG293))</f>
        <v/>
      </c>
      <c r="AW293" s="99" t="str">
        <f aca="false">IF(ISBLANK($C293), "",AR293)</f>
        <v/>
      </c>
      <c r="AX293" s="99" t="str">
        <f aca="false">IF(ISBLANK($C293),"",IF($AG293=Constants!$B$7,RANK(AW293,AW$8:AW$507),$AG293))</f>
        <v/>
      </c>
      <c r="AY293" s="99" t="str">
        <f aca="false">IF(ISBLANK($C293), "",AE293)</f>
        <v/>
      </c>
      <c r="AZ293" s="99" t="str">
        <f aca="false">IF(ISBLANK($C293),"",
IF($AG293=Constants!$B$7,
  IF(ISNUMBER(AT293),
    COUNTIFS($AT$8:$AT$507,"&lt;"&amp;$AT293)
    + COUNTIFS($AT$8:$AT$507,$AT293,$AV$8:$AV$507,"&lt;"&amp;$AV293)
    + COUNTIFS($AT$8:$AT$507,$AT293,$AV$8:$AV$507,$AV293,$AX$8:$AX$507,"&lt;"&amp;$AX293)
    + COUNTIFS($AT$8:$AT$507,$AT293,$AV$8:$AV$507,$AV293,$AX$8:$AX$507,$AX293,$AY$8:$AY$507,"&lt;"&amp;$AY293)
    + 1,
  Constants!$B$14),
$AG293))</f>
        <v/>
      </c>
      <c r="BA293" s="99" t="str">
        <f aca="false">IF(ISBLANK(C293),"",IF($AG293=Constants!$B$7, IF(ISNUMBER(AT293),AT293-AZ293,Constants!$B$14),$AG293))</f>
        <v/>
      </c>
      <c r="BB293" s="103"/>
      <c r="BC293" s="104" t="str">
        <f aca="false">IF(ISBLANK($C293),"",TRIM(AK293&amp;" "&amp;AO293))</f>
        <v/>
      </c>
      <c r="BD293" s="105" t="str">
        <f aca="false">IF(ISBLANK($C293),"",IF($AG293&lt;&gt;Constants!$B$7,$AG293,AR293))</f>
        <v/>
      </c>
      <c r="BE293" s="105" t="str">
        <f aca="false">IF(ISBLANK($C293),"",IF($AG293&lt;&gt;Constants!$B$7,$AG293,AM293))</f>
        <v/>
      </c>
      <c r="BF293" s="105" t="str">
        <f aca="false">IF(ISBLANK($C293),"",IF($AG293&lt;&gt;Constants!$B$7,$AG293,AQ293))</f>
        <v/>
      </c>
      <c r="BG293" s="106" t="str">
        <f aca="false">IF(ISBLANK($C293),"",IF($AG293&lt;&gt;Constants!$B$7, $AG293 ,AS293))</f>
        <v/>
      </c>
      <c r="BH293" s="107" t="str">
        <f aca="false">IF(ISBLANK($C293),"",IF($AG293&lt;&gt;Constants!$B$7, $AG293 ,AH293))</f>
        <v/>
      </c>
      <c r="BI293" s="105" t="str">
        <f aca="false">IF(ISBLANK(C293),"",BA293)</f>
        <v/>
      </c>
      <c r="BJ293" s="105" t="str">
        <f aca="false">IF(ISBLANK(C293),"",AZ293)</f>
        <v/>
      </c>
      <c r="BK293" s="108" t="str">
        <f aca="false">IF(ISBLANK(C293),"",IFERROR(_xlfn.SWITCH(BJ293, Constants!$B$4, COUNTA($C$8:$C792)+2, Constants!$B$5, COUNTA($C$8:$C792)+1, Constants!$B$6, COUNTA($C$8:$C792)),BJ293))</f>
        <v/>
      </c>
      <c r="BL293" s="5"/>
      <c r="BM293" s="109" t="n">
        <f aca="false">IF(OR(ISNUMBER(BJ293),BJ293="DQ",BJ293="P",BJ293="NS"),
    1,
    0
)</f>
        <v>0</v>
      </c>
      <c r="BN293" s="109" t="n">
        <v>286</v>
      </c>
      <c r="BO293" s="109" t="str">
        <f aca="false">IF(ISBLANK($C293),"",IF(ISNUMBER(BK293),BK293+ROW($B293)/1000,""))</f>
        <v/>
      </c>
      <c r="BP293" s="109" t="str">
        <f aca="false">IF(ISNUMBER(BO293), RANK(BO293,BO$8:BO$507,1), "")</f>
        <v/>
      </c>
      <c r="BQ293" s="109" t="str">
        <f aca="false">IF(ISBLANK($C293),
    "",
    $B293
)</f>
        <v/>
      </c>
      <c r="BR293" s="109" t="str">
        <f aca="false">IF(ISBLANK($C293),
    "",
    $C293
)</f>
        <v/>
      </c>
      <c r="BS293" s="109" t="str">
        <f aca="false">IF(ISBLANK($C293),
    "",
    $D293
)</f>
        <v/>
      </c>
      <c r="BT293" s="110" t="str">
        <f aca="false">BH293</f>
        <v/>
      </c>
      <c r="BU293" s="111" t="str">
        <f aca="false">BG293</f>
        <v/>
      </c>
      <c r="BV293" s="109" t="str">
        <f aca="false">IF(ISBLANK($C293),
    "",
    BJ293
)</f>
        <v/>
      </c>
      <c r="BW293" s="112" t="str">
        <f aca="false">IF(BN293&gt;BM$7,
    "",
    VLOOKUP(BN293,BP$8:BV792,7,FALSE())
)</f>
        <v/>
      </c>
      <c r="BX293" s="113" t="str">
        <f aca="false">IF(BN293&gt;BM$7,
    "",
    VLOOKUP(BN293,BP$8:BV792,2,FALSE())
)</f>
        <v/>
      </c>
      <c r="BY293" s="113" t="str">
        <f aca="false">IF(BN293&gt;BM$7,
    "",
    VLOOKUP(BN293,BP$8:BV792,3,FALSE())
)</f>
        <v/>
      </c>
      <c r="BZ293" s="113" t="str">
        <f aca="false">IF(BN293&gt;BM$7,
    "",
    VLOOKUP(BN293,BP$8:BV792,4,FALSE())
)</f>
        <v/>
      </c>
      <c r="CA293" s="113" t="str">
        <f aca="false">IF(BN293&gt;BM$7,
    "",
    VLOOKUP(BN293,BP$8:BV792,5,FALSE())
)</f>
        <v/>
      </c>
      <c r="CB293" s="114" t="str">
        <f aca="false">IF(BN293&gt;BM$7,
    "",
    VLOOKUP(BN293,BP$8:BV792,6,FALSE())
)</f>
        <v/>
      </c>
      <c r="CC293" s="53"/>
    </row>
    <row r="294" customFormat="false" ht="15.75" hidden="false" customHeight="false" outlineLevel="0" collapsed="false">
      <c r="A294" s="5"/>
      <c r="B294" s="125"/>
      <c r="C294" s="126"/>
      <c r="D294" s="115"/>
      <c r="E294" s="119"/>
      <c r="F294" s="119"/>
      <c r="G294" s="91"/>
      <c r="H294" s="92"/>
      <c r="I294" s="92"/>
      <c r="J294" s="128"/>
      <c r="K294" s="128"/>
      <c r="L294" s="128"/>
      <c r="M294" s="94"/>
      <c r="N294" s="94"/>
      <c r="O294" s="94"/>
      <c r="P294" s="95"/>
      <c r="Q294" s="96"/>
      <c r="R294" s="128"/>
      <c r="S294" s="98"/>
      <c r="T294" s="99"/>
      <c r="U294" s="99" t="str">
        <f aca="false">IF(ISBLANK($C294),"",IF(G294=Constants!$B$2, TRUE(), IF(G294=Constants!$B$3, FALSE(), TRUE())))</f>
        <v/>
      </c>
      <c r="V294" s="99" t="str">
        <f aca="false">IF(ISBLANK($C294),"",IF(H294=Constants!$B$2, TRUE(), IF(H294=Constants!$B$3, FALSE(), TRUE())))</f>
        <v/>
      </c>
      <c r="W294" s="99" t="str">
        <f aca="false">IF(ISBLANK($C294),"",IF(I294=Constants!$B$2, TRUE(), IF(I294=Constants!$B$3, FALSE(), TRUE())))</f>
        <v/>
      </c>
      <c r="X294" s="99" t="str">
        <f aca="false">IF(ISBLANK($C294),"",IF(AND(ISNUMBER(J294),J294&gt;0),INT(J294),0))</f>
        <v/>
      </c>
      <c r="Y294" s="99" t="str">
        <f aca="false">IF(ISBLANK($C294),"",IF(K294=Constants!$B$2, TRUE(), IF(K294=Constants!$B$3, FALSE(), TRUE())))</f>
        <v/>
      </c>
      <c r="Z294" s="100" t="str">
        <f aca="false">IF(ISBLANK($C294),"",IF(AND(ISNUMBER(L294),L294&gt;0),INT(L294),0))</f>
        <v/>
      </c>
      <c r="AA294" s="101" t="str">
        <f aca="false">IF(ISBLANK($C294),"",IF(ISNUMBER(M294), M294, ""))</f>
        <v/>
      </c>
      <c r="AB294" s="101" t="str">
        <f aca="false">IF(ISBLANK($C294),"",IF(ISNUMBER(N294), N294, ""))</f>
        <v/>
      </c>
      <c r="AC294" s="101" t="str">
        <f aca="false">IF(ISBLANK($C294),"",IF(ISNUMBER(O294), O294, ""))</f>
        <v/>
      </c>
      <c r="AD294" s="102" t="str">
        <f aca="false">IF(ISBLANK($C294),"",IF(ISNUMBER(P294), P294, ""))</f>
        <v/>
      </c>
      <c r="AE294" s="102" t="str">
        <f aca="false">IF(ISBLANK($C294),"",IF(ISNUMBER(Q294), Q294, Constants!$B$13))</f>
        <v/>
      </c>
      <c r="AF294" s="99" t="str">
        <f aca="false">IF(ISBLANK($C294),"",IF(R294=Constants!$B$2, TRUE(), IF(R294=Constants!$B$3, FALSE(), FALSE())))</f>
        <v/>
      </c>
      <c r="AG294" s="99" t="str">
        <f aca="false">IF(ISBLANK(C294), "", IF(AF294, Constants!$B$4,IF(COUNTA(G294:P294)=0, Constants!$B$5, Constants!$B$7)))</f>
        <v/>
      </c>
      <c r="AH294" s="99" t="str">
        <f aca="false">IF(ISBLANK($C294), "",IF($AG294=Constants!$B$7,1,$AG294))</f>
        <v/>
      </c>
      <c r="AI294" s="99" t="str">
        <f aca="false">IF($AG294=Constants!$B$7,POWER(Constants!$B$11,X294)*POWER(Constants!$B$12,Z294),"")</f>
        <v/>
      </c>
      <c r="AJ294" s="99" t="str">
        <f aca="false">IF(AND($AG294=Constants!$B$7, U294, V294) ,IF(OR($AA294="",$AC294=""),"",MAX(0, $AC294-$AA294)),"")</f>
        <v/>
      </c>
      <c r="AK294" s="99" t="str">
        <f aca="false">IF(AND($AG294=Constants!$B$7, U294, V294),IF(OR($AA294="",$AC294=""),$AK$6,""),"")</f>
        <v/>
      </c>
      <c r="AL294" s="99" t="str">
        <f aca="false">IF($AG294=Constants!$B$7,IF(AND(U294,V294,W294,Y294),IF($AJ294="",0,IF($AJ$6=0,Constants!$B$9,Constants!$B$9*AJ294/$AJ$6)), 0),"")</f>
        <v/>
      </c>
      <c r="AM294" s="99" t="str">
        <f aca="false">IF(AL294&lt;&gt;"", AL294*AI294,"")</f>
        <v/>
      </c>
      <c r="AN294" s="99" t="str">
        <f aca="false">IF(AND($AG294=Constants!$B$7, U294, V294) ,IF($AB294="", "", IF(OR($AC294="",$AC294=0),"",MAX(0,1-ABS($AC294-$AB294)/$AC294))),"")</f>
        <v/>
      </c>
      <c r="AO294" s="99" t="str">
        <f aca="false">IF(AND($AG294=Constants!$B$7, U294, V294),IF(AND($AA294&lt;&gt;"",$AB294&lt;&gt;"",$AC294=0),$AO$6,""),"")</f>
        <v/>
      </c>
      <c r="AP294" s="99" t="str">
        <f aca="false">IF($AG294=Constants!$B$7 ,IF(AND(U294,V294,W294,Y294,ISNUMBER(AB294)),IF($AN294="",0,IF($AN$6=0,Constants!$B$10,Constants!$B$10*AN294/$AN$6)), 0),"")</f>
        <v/>
      </c>
      <c r="AQ294" s="99" t="str">
        <f aca="false">IF(AP294&lt;&gt;"", AP294*AI294,"")</f>
        <v/>
      </c>
      <c r="AR294" s="99" t="str">
        <f aca="false">IF($AG294=Constants!$B$7,IF($AD294="",0,IF($AR$6=0,Constants!$B$8,Constants!$B$8*AD294/$AR$6)),"")</f>
        <v/>
      </c>
      <c r="AS294" s="99" t="str">
        <f aca="false">IF($AG294&lt;&gt;Constants!$B$7,$AG294,IF(AK294&amp;AO294&lt;&gt;"",Constants!$B$14,AM294+AQ294+AR294))</f>
        <v/>
      </c>
      <c r="AT294" s="99" t="str">
        <f aca="false">IF(ISBLANK($C294),"",IF($AG294=Constants!$B$7,IF(ISNUMBER(AS294),RANK(AS294,$AS$8:$AS$507),Constants!$B$14),$AG294))</f>
        <v/>
      </c>
      <c r="AU294" s="99" t="str">
        <f aca="false">IF(ISBLANK($C294), "",AM294)</f>
        <v/>
      </c>
      <c r="AV294" s="99" t="str">
        <f aca="false">IF(ISBLANK($C294),"",IF($AG294=Constants!$B$7,RANK(AU294,AU$8:AU$507),$AG294))</f>
        <v/>
      </c>
      <c r="AW294" s="99" t="str">
        <f aca="false">IF(ISBLANK($C294), "",AR294)</f>
        <v/>
      </c>
      <c r="AX294" s="99" t="str">
        <f aca="false">IF(ISBLANK($C294),"",IF($AG294=Constants!$B$7,RANK(AW294,AW$8:AW$507),$AG294))</f>
        <v/>
      </c>
      <c r="AY294" s="99" t="str">
        <f aca="false">IF(ISBLANK($C294), "",AE294)</f>
        <v/>
      </c>
      <c r="AZ294" s="99" t="str">
        <f aca="false">IF(ISBLANK($C294),"",
IF($AG294=Constants!$B$7,
  IF(ISNUMBER(AT294),
    COUNTIFS($AT$8:$AT$507,"&lt;"&amp;$AT294)
    + COUNTIFS($AT$8:$AT$507,$AT294,$AV$8:$AV$507,"&lt;"&amp;$AV294)
    + COUNTIFS($AT$8:$AT$507,$AT294,$AV$8:$AV$507,$AV294,$AX$8:$AX$507,"&lt;"&amp;$AX294)
    + COUNTIFS($AT$8:$AT$507,$AT294,$AV$8:$AV$507,$AV294,$AX$8:$AX$507,$AX294,$AY$8:$AY$507,"&lt;"&amp;$AY294)
    + 1,
  Constants!$B$14),
$AG294))</f>
        <v/>
      </c>
      <c r="BA294" s="99" t="str">
        <f aca="false">IF(ISBLANK(C294),"",IF($AG294=Constants!$B$7, IF(ISNUMBER(AT294),AT294-AZ294,Constants!$B$14),$AG294))</f>
        <v/>
      </c>
      <c r="BB294" s="103"/>
      <c r="BC294" s="104" t="str">
        <f aca="false">IF(ISBLANK($C294),"",TRIM(AK294&amp;" "&amp;AO294))</f>
        <v/>
      </c>
      <c r="BD294" s="105" t="str">
        <f aca="false">IF(ISBLANK($C294),"",IF($AG294&lt;&gt;Constants!$B$7,$AG294,AR294))</f>
        <v/>
      </c>
      <c r="BE294" s="105" t="str">
        <f aca="false">IF(ISBLANK($C294),"",IF($AG294&lt;&gt;Constants!$B$7,$AG294,AM294))</f>
        <v/>
      </c>
      <c r="BF294" s="105" t="str">
        <f aca="false">IF(ISBLANK($C294),"",IF($AG294&lt;&gt;Constants!$B$7,$AG294,AQ294))</f>
        <v/>
      </c>
      <c r="BG294" s="106" t="str">
        <f aca="false">IF(ISBLANK($C294),"",IF($AG294&lt;&gt;Constants!$B$7, $AG294 ,AS294))</f>
        <v/>
      </c>
      <c r="BH294" s="107" t="str">
        <f aca="false">IF(ISBLANK($C294),"",IF($AG294&lt;&gt;Constants!$B$7, $AG294 ,AH294))</f>
        <v/>
      </c>
      <c r="BI294" s="105" t="str">
        <f aca="false">IF(ISBLANK(C294),"",BA294)</f>
        <v/>
      </c>
      <c r="BJ294" s="105" t="str">
        <f aca="false">IF(ISBLANK(C294),"",AZ294)</f>
        <v/>
      </c>
      <c r="BK294" s="108" t="str">
        <f aca="false">IF(ISBLANK(C294),"",IFERROR(_xlfn.SWITCH(BJ294, Constants!$B$4, COUNTA($C$8:$C793)+2, Constants!$B$5, COUNTA($C$8:$C793)+1, Constants!$B$6, COUNTA($C$8:$C793)),BJ294))</f>
        <v/>
      </c>
      <c r="BL294" s="5"/>
      <c r="BM294" s="109" t="n">
        <f aca="false">IF(OR(ISNUMBER(BJ294),BJ294="DQ",BJ294="P",BJ294="NS"),
    1,
    0
)</f>
        <v>0</v>
      </c>
      <c r="BN294" s="109" t="n">
        <v>287</v>
      </c>
      <c r="BO294" s="109" t="str">
        <f aca="false">IF(ISBLANK($C294),"",IF(ISNUMBER(BK294),BK294+ROW($B294)/1000,""))</f>
        <v/>
      </c>
      <c r="BP294" s="109" t="str">
        <f aca="false">IF(ISNUMBER(BO294), RANK(BO294,BO$8:BO$507,1), "")</f>
        <v/>
      </c>
      <c r="BQ294" s="109" t="str">
        <f aca="false">IF(ISBLANK($C294),
    "",
    $B294
)</f>
        <v/>
      </c>
      <c r="BR294" s="109" t="str">
        <f aca="false">IF(ISBLANK($C294),
    "",
    $C294
)</f>
        <v/>
      </c>
      <c r="BS294" s="109" t="str">
        <f aca="false">IF(ISBLANK($C294),
    "",
    $D294
)</f>
        <v/>
      </c>
      <c r="BT294" s="110" t="str">
        <f aca="false">BH294</f>
        <v/>
      </c>
      <c r="BU294" s="111" t="str">
        <f aca="false">BG294</f>
        <v/>
      </c>
      <c r="BV294" s="109" t="str">
        <f aca="false">IF(ISBLANK($C294),
    "",
    BJ294
)</f>
        <v/>
      </c>
      <c r="BW294" s="112" t="str">
        <f aca="false">IF(BN294&gt;BM$7,
    "",
    VLOOKUP(BN294,BP$8:BV793,7,FALSE())
)</f>
        <v/>
      </c>
      <c r="BX294" s="113" t="str">
        <f aca="false">IF(BN294&gt;BM$7,
    "",
    VLOOKUP(BN294,BP$8:BV793,2,FALSE())
)</f>
        <v/>
      </c>
      <c r="BY294" s="113" t="str">
        <f aca="false">IF(BN294&gt;BM$7,
    "",
    VLOOKUP(BN294,BP$8:BV793,3,FALSE())
)</f>
        <v/>
      </c>
      <c r="BZ294" s="113" t="str">
        <f aca="false">IF(BN294&gt;BM$7,
    "",
    VLOOKUP(BN294,BP$8:BV793,4,FALSE())
)</f>
        <v/>
      </c>
      <c r="CA294" s="113" t="str">
        <f aca="false">IF(BN294&gt;BM$7,
    "",
    VLOOKUP(BN294,BP$8:BV793,5,FALSE())
)</f>
        <v/>
      </c>
      <c r="CB294" s="114" t="str">
        <f aca="false">IF(BN294&gt;BM$7,
    "",
    VLOOKUP(BN294,BP$8:BV793,6,FALSE())
)</f>
        <v/>
      </c>
      <c r="CC294" s="53"/>
    </row>
    <row r="295" customFormat="false" ht="15.75" hidden="false" customHeight="false" outlineLevel="0" collapsed="false">
      <c r="A295" s="5"/>
      <c r="B295" s="125"/>
      <c r="C295" s="126"/>
      <c r="D295" s="115"/>
      <c r="E295" s="119"/>
      <c r="F295" s="119"/>
      <c r="G295" s="91"/>
      <c r="H295" s="92"/>
      <c r="I295" s="92"/>
      <c r="J295" s="128"/>
      <c r="K295" s="128"/>
      <c r="L295" s="128"/>
      <c r="M295" s="94"/>
      <c r="N295" s="94"/>
      <c r="O295" s="94"/>
      <c r="P295" s="95"/>
      <c r="Q295" s="96"/>
      <c r="R295" s="128"/>
      <c r="S295" s="98"/>
      <c r="T295" s="99"/>
      <c r="U295" s="99" t="str">
        <f aca="false">IF(ISBLANK($C295),"",IF(G295=Constants!$B$2, TRUE(), IF(G295=Constants!$B$3, FALSE(), TRUE())))</f>
        <v/>
      </c>
      <c r="V295" s="99" t="str">
        <f aca="false">IF(ISBLANK($C295),"",IF(H295=Constants!$B$2, TRUE(), IF(H295=Constants!$B$3, FALSE(), TRUE())))</f>
        <v/>
      </c>
      <c r="W295" s="99" t="str">
        <f aca="false">IF(ISBLANK($C295),"",IF(I295=Constants!$B$2, TRUE(), IF(I295=Constants!$B$3, FALSE(), TRUE())))</f>
        <v/>
      </c>
      <c r="X295" s="99" t="str">
        <f aca="false">IF(ISBLANK($C295),"",IF(AND(ISNUMBER(J295),J295&gt;0),INT(J295),0))</f>
        <v/>
      </c>
      <c r="Y295" s="99" t="str">
        <f aca="false">IF(ISBLANK($C295),"",IF(K295=Constants!$B$2, TRUE(), IF(K295=Constants!$B$3, FALSE(), TRUE())))</f>
        <v/>
      </c>
      <c r="Z295" s="100" t="str">
        <f aca="false">IF(ISBLANK($C295),"",IF(AND(ISNUMBER(L295),L295&gt;0),INT(L295),0))</f>
        <v/>
      </c>
      <c r="AA295" s="101" t="str">
        <f aca="false">IF(ISBLANK($C295),"",IF(ISNUMBER(M295), M295, ""))</f>
        <v/>
      </c>
      <c r="AB295" s="101" t="str">
        <f aca="false">IF(ISBLANK($C295),"",IF(ISNUMBER(N295), N295, ""))</f>
        <v/>
      </c>
      <c r="AC295" s="101" t="str">
        <f aca="false">IF(ISBLANK($C295),"",IF(ISNUMBER(O295), O295, ""))</f>
        <v/>
      </c>
      <c r="AD295" s="102" t="str">
        <f aca="false">IF(ISBLANK($C295),"",IF(ISNUMBER(P295), P295, ""))</f>
        <v/>
      </c>
      <c r="AE295" s="102" t="str">
        <f aca="false">IF(ISBLANK($C295),"",IF(ISNUMBER(Q295), Q295, Constants!$B$13))</f>
        <v/>
      </c>
      <c r="AF295" s="99" t="str">
        <f aca="false">IF(ISBLANK($C295),"",IF(R295=Constants!$B$2, TRUE(), IF(R295=Constants!$B$3, FALSE(), FALSE())))</f>
        <v/>
      </c>
      <c r="AG295" s="99" t="str">
        <f aca="false">IF(ISBLANK(C295), "", IF(AF295, Constants!$B$4,IF(COUNTA(G295:P295)=0, Constants!$B$5, Constants!$B$7)))</f>
        <v/>
      </c>
      <c r="AH295" s="99" t="str">
        <f aca="false">IF(ISBLANK($C295), "",IF($AG295=Constants!$B$7,1,$AG295))</f>
        <v/>
      </c>
      <c r="AI295" s="99" t="str">
        <f aca="false">IF($AG295=Constants!$B$7,POWER(Constants!$B$11,X295)*POWER(Constants!$B$12,Z295),"")</f>
        <v/>
      </c>
      <c r="AJ295" s="99" t="str">
        <f aca="false">IF(AND($AG295=Constants!$B$7, U295, V295) ,IF(OR($AA295="",$AC295=""),"",MAX(0, $AC295-$AA295)),"")</f>
        <v/>
      </c>
      <c r="AK295" s="99" t="str">
        <f aca="false">IF(AND($AG295=Constants!$B$7, U295, V295),IF(OR($AA295="",$AC295=""),$AK$6,""),"")</f>
        <v/>
      </c>
      <c r="AL295" s="99" t="str">
        <f aca="false">IF($AG295=Constants!$B$7,IF(AND(U295,V295,W295,Y295),IF($AJ295="",0,IF($AJ$6=0,Constants!$B$9,Constants!$B$9*AJ295/$AJ$6)), 0),"")</f>
        <v/>
      </c>
      <c r="AM295" s="99" t="str">
        <f aca="false">IF(AL295&lt;&gt;"", AL295*AI295,"")</f>
        <v/>
      </c>
      <c r="AN295" s="99" t="str">
        <f aca="false">IF(AND($AG295=Constants!$B$7, U295, V295) ,IF($AB295="", "", IF(OR($AC295="",$AC295=0),"",MAX(0,1-ABS($AC295-$AB295)/$AC295))),"")</f>
        <v/>
      </c>
      <c r="AO295" s="99" t="str">
        <f aca="false">IF(AND($AG295=Constants!$B$7, U295, V295),IF(AND($AA295&lt;&gt;"",$AB295&lt;&gt;"",$AC295=0),$AO$6,""),"")</f>
        <v/>
      </c>
      <c r="AP295" s="99" t="str">
        <f aca="false">IF($AG295=Constants!$B$7 ,IF(AND(U295,V295,W295,Y295,ISNUMBER(AB295)),IF($AN295="",0,IF($AN$6=0,Constants!$B$10,Constants!$B$10*AN295/$AN$6)), 0),"")</f>
        <v/>
      </c>
      <c r="AQ295" s="99" t="str">
        <f aca="false">IF(AP295&lt;&gt;"", AP295*AI295,"")</f>
        <v/>
      </c>
      <c r="AR295" s="99" t="str">
        <f aca="false">IF($AG295=Constants!$B$7,IF($AD295="",0,IF($AR$6=0,Constants!$B$8,Constants!$B$8*AD295/$AR$6)),"")</f>
        <v/>
      </c>
      <c r="AS295" s="99" t="str">
        <f aca="false">IF($AG295&lt;&gt;Constants!$B$7,$AG295,IF(AK295&amp;AO295&lt;&gt;"",Constants!$B$14,AM295+AQ295+AR295))</f>
        <v/>
      </c>
      <c r="AT295" s="99" t="str">
        <f aca="false">IF(ISBLANK($C295),"",IF($AG295=Constants!$B$7,IF(ISNUMBER(AS295),RANK(AS295,$AS$8:$AS$507),Constants!$B$14),$AG295))</f>
        <v/>
      </c>
      <c r="AU295" s="99" t="str">
        <f aca="false">IF(ISBLANK($C295), "",AM295)</f>
        <v/>
      </c>
      <c r="AV295" s="99" t="str">
        <f aca="false">IF(ISBLANK($C295),"",IF($AG295=Constants!$B$7,RANK(AU295,AU$8:AU$507),$AG295))</f>
        <v/>
      </c>
      <c r="AW295" s="99" t="str">
        <f aca="false">IF(ISBLANK($C295), "",AR295)</f>
        <v/>
      </c>
      <c r="AX295" s="99" t="str">
        <f aca="false">IF(ISBLANK($C295),"",IF($AG295=Constants!$B$7,RANK(AW295,AW$8:AW$507),$AG295))</f>
        <v/>
      </c>
      <c r="AY295" s="99" t="str">
        <f aca="false">IF(ISBLANK($C295), "",AE295)</f>
        <v/>
      </c>
      <c r="AZ295" s="99" t="str">
        <f aca="false">IF(ISBLANK($C295),"",
IF($AG295=Constants!$B$7,
  IF(ISNUMBER(AT295),
    COUNTIFS($AT$8:$AT$507,"&lt;"&amp;$AT295)
    + COUNTIFS($AT$8:$AT$507,$AT295,$AV$8:$AV$507,"&lt;"&amp;$AV295)
    + COUNTIFS($AT$8:$AT$507,$AT295,$AV$8:$AV$507,$AV295,$AX$8:$AX$507,"&lt;"&amp;$AX295)
    + COUNTIFS($AT$8:$AT$507,$AT295,$AV$8:$AV$507,$AV295,$AX$8:$AX$507,$AX295,$AY$8:$AY$507,"&lt;"&amp;$AY295)
    + 1,
  Constants!$B$14),
$AG295))</f>
        <v/>
      </c>
      <c r="BA295" s="99" t="str">
        <f aca="false">IF(ISBLANK(C295),"",IF($AG295=Constants!$B$7, IF(ISNUMBER(AT295),AT295-AZ295,Constants!$B$14),$AG295))</f>
        <v/>
      </c>
      <c r="BB295" s="103"/>
      <c r="BC295" s="104" t="str">
        <f aca="false">IF(ISBLANK($C295),"",TRIM(AK295&amp;" "&amp;AO295))</f>
        <v/>
      </c>
      <c r="BD295" s="105" t="str">
        <f aca="false">IF(ISBLANK($C295),"",IF($AG295&lt;&gt;Constants!$B$7,$AG295,AR295))</f>
        <v/>
      </c>
      <c r="BE295" s="105" t="str">
        <f aca="false">IF(ISBLANK($C295),"",IF($AG295&lt;&gt;Constants!$B$7,$AG295,AM295))</f>
        <v/>
      </c>
      <c r="BF295" s="105" t="str">
        <f aca="false">IF(ISBLANK($C295),"",IF($AG295&lt;&gt;Constants!$B$7,$AG295,AQ295))</f>
        <v/>
      </c>
      <c r="BG295" s="106" t="str">
        <f aca="false">IF(ISBLANK($C295),"",IF($AG295&lt;&gt;Constants!$B$7, $AG295 ,AS295))</f>
        <v/>
      </c>
      <c r="BH295" s="107" t="str">
        <f aca="false">IF(ISBLANK($C295),"",IF($AG295&lt;&gt;Constants!$B$7, $AG295 ,AH295))</f>
        <v/>
      </c>
      <c r="BI295" s="105" t="str">
        <f aca="false">IF(ISBLANK(C295),"",BA295)</f>
        <v/>
      </c>
      <c r="BJ295" s="105" t="str">
        <f aca="false">IF(ISBLANK(C295),"",AZ295)</f>
        <v/>
      </c>
      <c r="BK295" s="108" t="str">
        <f aca="false">IF(ISBLANK(C295),"",IFERROR(_xlfn.SWITCH(BJ295, Constants!$B$4, COUNTA($C$8:$C794)+2, Constants!$B$5, COUNTA($C$8:$C794)+1, Constants!$B$6, COUNTA($C$8:$C794)),BJ295))</f>
        <v/>
      </c>
      <c r="BL295" s="5"/>
      <c r="BM295" s="109" t="n">
        <f aca="false">IF(OR(ISNUMBER(BJ295),BJ295="DQ",BJ295="P",BJ295="NS"),
    1,
    0
)</f>
        <v>0</v>
      </c>
      <c r="BN295" s="109" t="n">
        <v>288</v>
      </c>
      <c r="BO295" s="109" t="str">
        <f aca="false">IF(ISBLANK($C295),"",IF(ISNUMBER(BK295),BK295+ROW($B295)/1000,""))</f>
        <v/>
      </c>
      <c r="BP295" s="109" t="str">
        <f aca="false">IF(ISNUMBER(BO295), RANK(BO295,BO$8:BO$507,1), "")</f>
        <v/>
      </c>
      <c r="BQ295" s="109" t="str">
        <f aca="false">IF(ISBLANK($C295),
    "",
    $B295
)</f>
        <v/>
      </c>
      <c r="BR295" s="109" t="str">
        <f aca="false">IF(ISBLANK($C295),
    "",
    $C295
)</f>
        <v/>
      </c>
      <c r="BS295" s="109" t="str">
        <f aca="false">IF(ISBLANK($C295),
    "",
    $D295
)</f>
        <v/>
      </c>
      <c r="BT295" s="110" t="str">
        <f aca="false">BH295</f>
        <v/>
      </c>
      <c r="BU295" s="111" t="str">
        <f aca="false">BG295</f>
        <v/>
      </c>
      <c r="BV295" s="109" t="str">
        <f aca="false">IF(ISBLANK($C295),
    "",
    BJ295
)</f>
        <v/>
      </c>
      <c r="BW295" s="112" t="str">
        <f aca="false">IF(BN295&gt;BM$7,
    "",
    VLOOKUP(BN295,BP$8:BV794,7,FALSE())
)</f>
        <v/>
      </c>
      <c r="BX295" s="113" t="str">
        <f aca="false">IF(BN295&gt;BM$7,
    "",
    VLOOKUP(BN295,BP$8:BV794,2,FALSE())
)</f>
        <v/>
      </c>
      <c r="BY295" s="113" t="str">
        <f aca="false">IF(BN295&gt;BM$7,
    "",
    VLOOKUP(BN295,BP$8:BV794,3,FALSE())
)</f>
        <v/>
      </c>
      <c r="BZ295" s="113" t="str">
        <f aca="false">IF(BN295&gt;BM$7,
    "",
    VLOOKUP(BN295,BP$8:BV794,4,FALSE())
)</f>
        <v/>
      </c>
      <c r="CA295" s="113" t="str">
        <f aca="false">IF(BN295&gt;BM$7,
    "",
    VLOOKUP(BN295,BP$8:BV794,5,FALSE())
)</f>
        <v/>
      </c>
      <c r="CB295" s="114" t="str">
        <f aca="false">IF(BN295&gt;BM$7,
    "",
    VLOOKUP(BN295,BP$8:BV794,6,FALSE())
)</f>
        <v/>
      </c>
      <c r="CC295" s="53"/>
    </row>
    <row r="296" customFormat="false" ht="15.75" hidden="false" customHeight="false" outlineLevel="0" collapsed="false">
      <c r="A296" s="5"/>
      <c r="B296" s="129"/>
      <c r="C296" s="55"/>
      <c r="D296" s="56"/>
      <c r="E296" s="123"/>
      <c r="F296" s="123"/>
      <c r="G296" s="58"/>
      <c r="H296" s="59"/>
      <c r="I296" s="59"/>
      <c r="J296" s="83"/>
      <c r="K296" s="83"/>
      <c r="L296" s="83"/>
      <c r="M296" s="61"/>
      <c r="N296" s="61"/>
      <c r="O296" s="61"/>
      <c r="P296" s="62"/>
      <c r="Q296" s="63"/>
      <c r="R296" s="83"/>
      <c r="S296" s="65"/>
      <c r="T296" s="66"/>
      <c r="U296" s="66" t="str">
        <f aca="false">IF(ISBLANK($C296),"",IF(G296=Constants!$B$2, TRUE(), IF(G296=Constants!$B$3, FALSE(), TRUE())))</f>
        <v/>
      </c>
      <c r="V296" s="66" t="str">
        <f aca="false">IF(ISBLANK($C296),"",IF(H296=Constants!$B$2, TRUE(), IF(H296=Constants!$B$3, FALSE(), TRUE())))</f>
        <v/>
      </c>
      <c r="W296" s="66" t="str">
        <f aca="false">IF(ISBLANK($C296),"",IF(I296=Constants!$B$2, TRUE(), IF(I296=Constants!$B$3, FALSE(), TRUE())))</f>
        <v/>
      </c>
      <c r="X296" s="66" t="str">
        <f aca="false">IF(ISBLANK($C296),"",IF(AND(ISNUMBER(J296),J296&gt;0),INT(J296),0))</f>
        <v/>
      </c>
      <c r="Y296" s="66" t="str">
        <f aca="false">IF(ISBLANK($C296),"",IF(K296=Constants!$B$2, TRUE(), IF(K296=Constants!$B$3, FALSE(), TRUE())))</f>
        <v/>
      </c>
      <c r="Z296" s="66" t="str">
        <f aca="false">IF(ISBLANK($C296),"",IF(AND(ISNUMBER(L296),L296&gt;0),INT(L296),0))</f>
        <v/>
      </c>
      <c r="AA296" s="68" t="str">
        <f aca="false">IF(ISBLANK($C296),"",IF(ISNUMBER(M296), M296, ""))</f>
        <v/>
      </c>
      <c r="AB296" s="68" t="str">
        <f aca="false">IF(ISBLANK($C296),"",IF(ISNUMBER(N296), N296, ""))</f>
        <v/>
      </c>
      <c r="AC296" s="68" t="str">
        <f aca="false">IF(ISBLANK($C296),"",IF(ISNUMBER(O296), O296, ""))</f>
        <v/>
      </c>
      <c r="AD296" s="69" t="str">
        <f aca="false">IF(ISBLANK($C296),"",IF(ISNUMBER(P296), P296, ""))</f>
        <v/>
      </c>
      <c r="AE296" s="69" t="str">
        <f aca="false">IF(ISBLANK($C296),"",IF(ISNUMBER(Q296), Q296, Constants!$B$13))</f>
        <v/>
      </c>
      <c r="AF296" s="66" t="str">
        <f aca="false">IF(ISBLANK($C296),"",IF(R296=Constants!$B$2, TRUE(), IF(R296=Constants!$B$3, FALSE(), FALSE())))</f>
        <v/>
      </c>
      <c r="AG296" s="66" t="str">
        <f aca="false">IF(ISBLANK(C296), "", IF(AF296, Constants!$B$4,IF(COUNTA(G296:P296)=0, Constants!$B$5, Constants!$B$7)))</f>
        <v/>
      </c>
      <c r="AH296" s="66" t="str">
        <f aca="false">IF(ISBLANK($C296), "",IF($AG296=Constants!$B$7,1,$AG296))</f>
        <v/>
      </c>
      <c r="AI296" s="66" t="str">
        <f aca="false">IF($AG296=Constants!$B$7,POWER(Constants!$B$11,X296)*POWER(Constants!$B$12,Z296),"")</f>
        <v/>
      </c>
      <c r="AJ296" s="66" t="str">
        <f aca="false">IF(AND($AG296=Constants!$B$7, U296, V296) ,IF(OR($AA296="",$AC296=""),"",MAX(0, $AC296-$AA296)),"")</f>
        <v/>
      </c>
      <c r="AK296" s="66" t="str">
        <f aca="false">IF(AND($AG296=Constants!$B$7, U296, V296),IF(OR($AA296="",$AC296=""),$AK$6,""),"")</f>
        <v/>
      </c>
      <c r="AL296" s="66" t="str">
        <f aca="false">IF($AG296=Constants!$B$7,IF(AND(U296,V296,W296,Y296),IF($AJ296="",0,IF($AJ$6=0,Constants!$B$9,Constants!$B$9*AJ296/$AJ$6)), 0),"")</f>
        <v/>
      </c>
      <c r="AM296" s="66" t="str">
        <f aca="false">IF(AL296&lt;&gt;"", AL296*AI296,"")</f>
        <v/>
      </c>
      <c r="AN296" s="66" t="str">
        <f aca="false">IF(AND($AG296=Constants!$B$7, U296, V296) ,IF($AB296="", "", IF(OR($AC296="",$AC296=0),"",MAX(0,1-ABS($AC296-$AB296)/$AC296))),"")</f>
        <v/>
      </c>
      <c r="AO296" s="66" t="str">
        <f aca="false">IF(AND($AG296=Constants!$B$7, U296, V296),IF(AND($AA296&lt;&gt;"",$AB296&lt;&gt;"",$AC296=0),$AO$6,""),"")</f>
        <v/>
      </c>
      <c r="AP296" s="66" t="str">
        <f aca="false">IF($AG296=Constants!$B$7 ,IF(AND(U296,V296,W296,Y296,ISNUMBER(AB296)),IF($AN296="",0,IF($AN$6=0,Constants!$B$10,Constants!$B$10*AN296/$AN$6)), 0),"")</f>
        <v/>
      </c>
      <c r="AQ296" s="66" t="str">
        <f aca="false">IF(AP296&lt;&gt;"", AP296*AI296,"")</f>
        <v/>
      </c>
      <c r="AR296" s="66" t="str">
        <f aca="false">IF($AG296=Constants!$B$7,IF($AD296="",0,IF($AR$6=0,Constants!$B$8,Constants!$B$8*AD296/$AR$6)),"")</f>
        <v/>
      </c>
      <c r="AS296" s="66" t="str">
        <f aca="false">IF($AG296&lt;&gt;Constants!$B$7,$AG296,IF(AK296&amp;AO296&lt;&gt;"",Constants!$B$14,AM296+AQ296+AR296))</f>
        <v/>
      </c>
      <c r="AT296" s="66" t="str">
        <f aca="false">IF(ISBLANK($C296),"",IF($AG296=Constants!$B$7,IF(ISNUMBER(AS296),RANK(AS296,$AS$8:$AS$507),Constants!$B$14),$AG296))</f>
        <v/>
      </c>
      <c r="AU296" s="66" t="str">
        <f aca="false">IF(ISBLANK($C296), "",AM296)</f>
        <v/>
      </c>
      <c r="AV296" s="66" t="str">
        <f aca="false">IF(ISBLANK($C296),"",IF($AG296=Constants!$B$7,RANK(AU296,AU$8:AU$507),$AG296))</f>
        <v/>
      </c>
      <c r="AW296" s="66" t="str">
        <f aca="false">IF(ISBLANK($C296), "",AR296)</f>
        <v/>
      </c>
      <c r="AX296" s="66" t="str">
        <f aca="false">IF(ISBLANK($C296),"",IF($AG296=Constants!$B$7,RANK(AW296,AW$8:AW$507),$AG296))</f>
        <v/>
      </c>
      <c r="AY296" s="66" t="str">
        <f aca="false">IF(ISBLANK($C296), "",AE296)</f>
        <v/>
      </c>
      <c r="AZ296" s="66" t="str">
        <f aca="false">IF(ISBLANK($C296),"",
IF($AG296=Constants!$B$7,
  IF(ISNUMBER(AT296),
    COUNTIFS($AT$8:$AT$507,"&lt;"&amp;$AT296)
    + COUNTIFS($AT$8:$AT$507,$AT296,$AV$8:$AV$507,"&lt;"&amp;$AV296)
    + COUNTIFS($AT$8:$AT$507,$AT296,$AV$8:$AV$507,$AV296,$AX$8:$AX$507,"&lt;"&amp;$AX296)
    + COUNTIFS($AT$8:$AT$507,$AT296,$AV$8:$AV$507,$AV296,$AX$8:$AX$507,$AX296,$AY$8:$AY$507,"&lt;"&amp;$AY296)
    + 1,
  Constants!$B$14),
$AG296))</f>
        <v/>
      </c>
      <c r="BA296" s="66" t="str">
        <f aca="false">IF(ISBLANK(C296),"",IF($AG296=Constants!$B$7, IF(ISNUMBER(AT296),AT296-AZ296,Constants!$B$14),$AG296))</f>
        <v/>
      </c>
      <c r="BB296" s="70"/>
      <c r="BC296" s="84" t="str">
        <f aca="false">IF(ISBLANK($C296),"",TRIM(AK296&amp;" "&amp;AO296))</f>
        <v/>
      </c>
      <c r="BD296" s="72" t="str">
        <f aca="false">IF(ISBLANK($C296),"",IF($AG296&lt;&gt;Constants!$B$7,$AG296,AR296))</f>
        <v/>
      </c>
      <c r="BE296" s="72" t="str">
        <f aca="false">IF(ISBLANK($C296),"",IF($AG296&lt;&gt;Constants!$B$7,$AG296,AM296))</f>
        <v/>
      </c>
      <c r="BF296" s="72" t="str">
        <f aca="false">IF(ISBLANK($C296),"",IF($AG296&lt;&gt;Constants!$B$7,$AG296,AQ296))</f>
        <v/>
      </c>
      <c r="BG296" s="73" t="str">
        <f aca="false">IF(ISBLANK($C296),"",IF($AG296&lt;&gt;Constants!$B$7, $AG296 ,AS296))</f>
        <v/>
      </c>
      <c r="BH296" s="74" t="str">
        <f aca="false">IF(ISBLANK($C296),"",IF($AG296&lt;&gt;Constants!$B$7, $AG296 ,AH296))</f>
        <v/>
      </c>
      <c r="BI296" s="72" t="str">
        <f aca="false">IF(ISBLANK(C296),"",BA296)</f>
        <v/>
      </c>
      <c r="BJ296" s="72" t="str">
        <f aca="false">IF(ISBLANK(C296),"",AZ296)</f>
        <v/>
      </c>
      <c r="BK296" s="75" t="str">
        <f aca="false">IF(ISBLANK(C296),"",IFERROR(_xlfn.SWITCH(BJ296, Constants!$B$4, COUNTA($C$8:$C795)+2, Constants!$B$5, COUNTA($C$8:$C795)+1, Constants!$B$6, COUNTA($C$8:$C795)),BJ296))</f>
        <v/>
      </c>
      <c r="BL296" s="5"/>
      <c r="BM296" s="76" t="n">
        <f aca="false">IF(OR(ISNUMBER(BJ296),BJ296="DQ",BJ296="P",BJ296="NS"),
    1,
    0
)</f>
        <v>0</v>
      </c>
      <c r="BN296" s="76" t="n">
        <v>289</v>
      </c>
      <c r="BO296" s="76" t="str">
        <f aca="false">IF(ISBLANK($C296),"",IF(ISNUMBER(BK296),BK296+ROW($B296)/1000,""))</f>
        <v/>
      </c>
      <c r="BP296" s="76" t="str">
        <f aca="false">IF(ISNUMBER(BO296), RANK(BO296,BO$8:BO$507,1), "")</f>
        <v/>
      </c>
      <c r="BQ296" s="76" t="str">
        <f aca="false">IF(ISBLANK($C296),
    "",
    $B296
)</f>
        <v/>
      </c>
      <c r="BR296" s="76" t="str">
        <f aca="false">IF(ISBLANK($C296),
    "",
    $C296
)</f>
        <v/>
      </c>
      <c r="BS296" s="76" t="str">
        <f aca="false">IF(ISBLANK($C296),
    "",
    $D296
)</f>
        <v/>
      </c>
      <c r="BT296" s="77" t="str">
        <f aca="false">BH296</f>
        <v/>
      </c>
      <c r="BU296" s="78" t="str">
        <f aca="false">BG296</f>
        <v/>
      </c>
      <c r="BV296" s="76" t="str">
        <f aca="false">IF(ISBLANK($C296),
    "",
    BJ296
)</f>
        <v/>
      </c>
      <c r="BW296" s="79" t="str">
        <f aca="false">IF(BN296&gt;BM$7,
    "",
    VLOOKUP(BN296,BP$8:BV795,7,FALSE())
)</f>
        <v/>
      </c>
      <c r="BX296" s="80" t="str">
        <f aca="false">IF(BN296&gt;BM$7,
    "",
    VLOOKUP(BN296,BP$8:BV795,2,FALSE())
)</f>
        <v/>
      </c>
      <c r="BY296" s="80" t="str">
        <f aca="false">IF(BN296&gt;BM$7,
    "",
    VLOOKUP(BN296,BP$8:BV795,3,FALSE())
)</f>
        <v/>
      </c>
      <c r="BZ296" s="80" t="str">
        <f aca="false">IF(BN296&gt;BM$7,
    "",
    VLOOKUP(BN296,BP$8:BV795,4,FALSE())
)</f>
        <v/>
      </c>
      <c r="CA296" s="80" t="str">
        <f aca="false">IF(BN296&gt;BM$7,
    "",
    VLOOKUP(BN296,BP$8:BV795,5,FALSE())
)</f>
        <v/>
      </c>
      <c r="CB296" s="81" t="str">
        <f aca="false">IF(BN296&gt;BM$7,
    "",
    VLOOKUP(BN296,BP$8:BV795,6,FALSE())
)</f>
        <v/>
      </c>
      <c r="CC296" s="53"/>
    </row>
    <row r="297" customFormat="false" ht="15.75" hidden="false" customHeight="false" outlineLevel="0" collapsed="false">
      <c r="A297" s="5"/>
      <c r="B297" s="129"/>
      <c r="C297" s="55"/>
      <c r="D297" s="56"/>
      <c r="E297" s="123"/>
      <c r="F297" s="123"/>
      <c r="G297" s="58"/>
      <c r="H297" s="59"/>
      <c r="I297" s="59"/>
      <c r="J297" s="83"/>
      <c r="K297" s="83"/>
      <c r="L297" s="83"/>
      <c r="M297" s="61"/>
      <c r="N297" s="61"/>
      <c r="O297" s="61"/>
      <c r="P297" s="62"/>
      <c r="Q297" s="63"/>
      <c r="R297" s="83"/>
      <c r="S297" s="65"/>
      <c r="T297" s="66"/>
      <c r="U297" s="66" t="str">
        <f aca="false">IF(ISBLANK($C297),"",IF(G297=Constants!$B$2, TRUE(), IF(G297=Constants!$B$3, FALSE(), TRUE())))</f>
        <v/>
      </c>
      <c r="V297" s="66" t="str">
        <f aca="false">IF(ISBLANK($C297),"",IF(H297=Constants!$B$2, TRUE(), IF(H297=Constants!$B$3, FALSE(), TRUE())))</f>
        <v/>
      </c>
      <c r="W297" s="66" t="str">
        <f aca="false">IF(ISBLANK($C297),"",IF(I297=Constants!$B$2, TRUE(), IF(I297=Constants!$B$3, FALSE(), TRUE())))</f>
        <v/>
      </c>
      <c r="X297" s="66" t="str">
        <f aca="false">IF(ISBLANK($C297),"",IF(AND(ISNUMBER(J297),J297&gt;0),INT(J297),0))</f>
        <v/>
      </c>
      <c r="Y297" s="66" t="str">
        <f aca="false">IF(ISBLANK($C297),"",IF(K297=Constants!$B$2, TRUE(), IF(K297=Constants!$B$3, FALSE(), TRUE())))</f>
        <v/>
      </c>
      <c r="Z297" s="66" t="str">
        <f aca="false">IF(ISBLANK($C297),"",IF(AND(ISNUMBER(L297),L297&gt;0),INT(L297),0))</f>
        <v/>
      </c>
      <c r="AA297" s="68" t="str">
        <f aca="false">IF(ISBLANK($C297),"",IF(ISNUMBER(M297), M297, ""))</f>
        <v/>
      </c>
      <c r="AB297" s="68" t="str">
        <f aca="false">IF(ISBLANK($C297),"",IF(ISNUMBER(N297), N297, ""))</f>
        <v/>
      </c>
      <c r="AC297" s="68" t="str">
        <f aca="false">IF(ISBLANK($C297),"",IF(ISNUMBER(O297), O297, ""))</f>
        <v/>
      </c>
      <c r="AD297" s="69" t="str">
        <f aca="false">IF(ISBLANK($C297),"",IF(ISNUMBER(P297), P297, ""))</f>
        <v/>
      </c>
      <c r="AE297" s="69" t="str">
        <f aca="false">IF(ISBLANK($C297),"",IF(ISNUMBER(Q297), Q297, Constants!$B$13))</f>
        <v/>
      </c>
      <c r="AF297" s="66" t="str">
        <f aca="false">IF(ISBLANK($C297),"",IF(R297=Constants!$B$2, TRUE(), IF(R297=Constants!$B$3, FALSE(), FALSE())))</f>
        <v/>
      </c>
      <c r="AG297" s="66" t="str">
        <f aca="false">IF(ISBLANK(C297), "", IF(AF297, Constants!$B$4,IF(COUNTA(G297:P297)=0, Constants!$B$5, Constants!$B$7)))</f>
        <v/>
      </c>
      <c r="AH297" s="66" t="str">
        <f aca="false">IF(ISBLANK($C297), "",IF($AG297=Constants!$B$7,1,$AG297))</f>
        <v/>
      </c>
      <c r="AI297" s="66" t="str">
        <f aca="false">IF($AG297=Constants!$B$7,POWER(Constants!$B$11,X297)*POWER(Constants!$B$12,Z297),"")</f>
        <v/>
      </c>
      <c r="AJ297" s="66" t="str">
        <f aca="false">IF(AND($AG297=Constants!$B$7, U297, V297) ,IF(OR($AA297="",$AC297=""),"",MAX(0, $AC297-$AA297)),"")</f>
        <v/>
      </c>
      <c r="AK297" s="66" t="str">
        <f aca="false">IF(AND($AG297=Constants!$B$7, U297, V297),IF(OR($AA297="",$AC297=""),$AK$6,""),"")</f>
        <v/>
      </c>
      <c r="AL297" s="66" t="str">
        <f aca="false">IF($AG297=Constants!$B$7,IF(AND(U297,V297,W297,Y297),IF($AJ297="",0,IF($AJ$6=0,Constants!$B$9,Constants!$B$9*AJ297/$AJ$6)), 0),"")</f>
        <v/>
      </c>
      <c r="AM297" s="66" t="str">
        <f aca="false">IF(AL297&lt;&gt;"", AL297*AI297,"")</f>
        <v/>
      </c>
      <c r="AN297" s="66" t="str">
        <f aca="false">IF(AND($AG297=Constants!$B$7, U297, V297) ,IF($AB297="", "", IF(OR($AC297="",$AC297=0),"",MAX(0,1-ABS($AC297-$AB297)/$AC297))),"")</f>
        <v/>
      </c>
      <c r="AO297" s="66" t="str">
        <f aca="false">IF(AND($AG297=Constants!$B$7, U297, V297),IF(AND($AA297&lt;&gt;"",$AB297&lt;&gt;"",$AC297=0),$AO$6,""),"")</f>
        <v/>
      </c>
      <c r="AP297" s="66" t="str">
        <f aca="false">IF($AG297=Constants!$B$7 ,IF(AND(U297,V297,W297,Y297,ISNUMBER(AB297)),IF($AN297="",0,IF($AN$6=0,Constants!$B$10,Constants!$B$10*AN297/$AN$6)), 0),"")</f>
        <v/>
      </c>
      <c r="AQ297" s="66" t="str">
        <f aca="false">IF(AP297&lt;&gt;"", AP297*AI297,"")</f>
        <v/>
      </c>
      <c r="AR297" s="66" t="str">
        <f aca="false">IF($AG297=Constants!$B$7,IF($AD297="",0,IF($AR$6=0,Constants!$B$8,Constants!$B$8*AD297/$AR$6)),"")</f>
        <v/>
      </c>
      <c r="AS297" s="66" t="str">
        <f aca="false">IF($AG297&lt;&gt;Constants!$B$7,$AG297,IF(AK297&amp;AO297&lt;&gt;"",Constants!$B$14,AM297+AQ297+AR297))</f>
        <v/>
      </c>
      <c r="AT297" s="66" t="str">
        <f aca="false">IF(ISBLANK($C297),"",IF($AG297=Constants!$B$7,IF(ISNUMBER(AS297),RANK(AS297,$AS$8:$AS$507),Constants!$B$14),$AG297))</f>
        <v/>
      </c>
      <c r="AU297" s="66" t="str">
        <f aca="false">IF(ISBLANK($C297), "",AM297)</f>
        <v/>
      </c>
      <c r="AV297" s="66" t="str">
        <f aca="false">IF(ISBLANK($C297),"",IF($AG297=Constants!$B$7,RANK(AU297,AU$8:AU$507),$AG297))</f>
        <v/>
      </c>
      <c r="AW297" s="66" t="str">
        <f aca="false">IF(ISBLANK($C297), "",AR297)</f>
        <v/>
      </c>
      <c r="AX297" s="66" t="str">
        <f aca="false">IF(ISBLANK($C297),"",IF($AG297=Constants!$B$7,RANK(AW297,AW$8:AW$507),$AG297))</f>
        <v/>
      </c>
      <c r="AY297" s="66" t="str">
        <f aca="false">IF(ISBLANK($C297), "",AE297)</f>
        <v/>
      </c>
      <c r="AZ297" s="66" t="str">
        <f aca="false">IF(ISBLANK($C297),"",
IF($AG297=Constants!$B$7,
  IF(ISNUMBER(AT297),
    COUNTIFS($AT$8:$AT$507,"&lt;"&amp;$AT297)
    + COUNTIFS($AT$8:$AT$507,$AT297,$AV$8:$AV$507,"&lt;"&amp;$AV297)
    + COUNTIFS($AT$8:$AT$507,$AT297,$AV$8:$AV$507,$AV297,$AX$8:$AX$507,"&lt;"&amp;$AX297)
    + COUNTIFS($AT$8:$AT$507,$AT297,$AV$8:$AV$507,$AV297,$AX$8:$AX$507,$AX297,$AY$8:$AY$507,"&lt;"&amp;$AY297)
    + 1,
  Constants!$B$14),
$AG297))</f>
        <v/>
      </c>
      <c r="BA297" s="66" t="str">
        <f aca="false">IF(ISBLANK(C297),"",IF($AG297=Constants!$B$7, IF(ISNUMBER(AT297),AT297-AZ297,Constants!$B$14),$AG297))</f>
        <v/>
      </c>
      <c r="BB297" s="70"/>
      <c r="BC297" s="84" t="str">
        <f aca="false">IF(ISBLANK($C297),"",TRIM(AK297&amp;" "&amp;AO297))</f>
        <v/>
      </c>
      <c r="BD297" s="72" t="str">
        <f aca="false">IF(ISBLANK($C297),"",IF($AG297&lt;&gt;Constants!$B$7,$AG297,AR297))</f>
        <v/>
      </c>
      <c r="BE297" s="72" t="str">
        <f aca="false">IF(ISBLANK($C297),"",IF($AG297&lt;&gt;Constants!$B$7,$AG297,AM297))</f>
        <v/>
      </c>
      <c r="BF297" s="72" t="str">
        <f aca="false">IF(ISBLANK($C297),"",IF($AG297&lt;&gt;Constants!$B$7,$AG297,AQ297))</f>
        <v/>
      </c>
      <c r="BG297" s="73" t="str">
        <f aca="false">IF(ISBLANK($C297),"",IF($AG297&lt;&gt;Constants!$B$7, $AG297 ,AS297))</f>
        <v/>
      </c>
      <c r="BH297" s="74" t="str">
        <f aca="false">IF(ISBLANK($C297),"",IF($AG297&lt;&gt;Constants!$B$7, $AG297 ,AH297))</f>
        <v/>
      </c>
      <c r="BI297" s="72" t="str">
        <f aca="false">IF(ISBLANK(C297),"",BA297)</f>
        <v/>
      </c>
      <c r="BJ297" s="72" t="str">
        <f aca="false">IF(ISBLANK(C297),"",AZ297)</f>
        <v/>
      </c>
      <c r="BK297" s="75" t="str">
        <f aca="false">IF(ISBLANK(C297),"",IFERROR(_xlfn.SWITCH(BJ297, Constants!$B$4, COUNTA($C$8:$C796)+2, Constants!$B$5, COUNTA($C$8:$C796)+1, Constants!$B$6, COUNTA($C$8:$C796)),BJ297))</f>
        <v/>
      </c>
      <c r="BL297" s="5"/>
      <c r="BM297" s="76" t="n">
        <f aca="false">IF(OR(ISNUMBER(BJ297),BJ297="DQ",BJ297="P",BJ297="NS"),
    1,
    0
)</f>
        <v>0</v>
      </c>
      <c r="BN297" s="76" t="n">
        <v>290</v>
      </c>
      <c r="BO297" s="76" t="str">
        <f aca="false">IF(ISBLANK($C297),"",IF(ISNUMBER(BK297),BK297+ROW($B297)/1000,""))</f>
        <v/>
      </c>
      <c r="BP297" s="76" t="str">
        <f aca="false">IF(ISNUMBER(BO297), RANK(BO297,BO$8:BO$507,1), "")</f>
        <v/>
      </c>
      <c r="BQ297" s="76" t="str">
        <f aca="false">IF(ISBLANK($C297),
    "",
    $B297
)</f>
        <v/>
      </c>
      <c r="BR297" s="76" t="str">
        <f aca="false">IF(ISBLANK($C297),
    "",
    $C297
)</f>
        <v/>
      </c>
      <c r="BS297" s="76" t="str">
        <f aca="false">IF(ISBLANK($C297),
    "",
    $D297
)</f>
        <v/>
      </c>
      <c r="BT297" s="77" t="str">
        <f aca="false">BH297</f>
        <v/>
      </c>
      <c r="BU297" s="78" t="str">
        <f aca="false">BG297</f>
        <v/>
      </c>
      <c r="BV297" s="76" t="str">
        <f aca="false">IF(ISBLANK($C297),
    "",
    BJ297
)</f>
        <v/>
      </c>
      <c r="BW297" s="79" t="str">
        <f aca="false">IF(BN297&gt;BM$7,
    "",
    VLOOKUP(BN297,BP$8:BV796,7,FALSE())
)</f>
        <v/>
      </c>
      <c r="BX297" s="80" t="str">
        <f aca="false">IF(BN297&gt;BM$7,
    "",
    VLOOKUP(BN297,BP$8:BV796,2,FALSE())
)</f>
        <v/>
      </c>
      <c r="BY297" s="80" t="str">
        <f aca="false">IF(BN297&gt;BM$7,
    "",
    VLOOKUP(BN297,BP$8:BV796,3,FALSE())
)</f>
        <v/>
      </c>
      <c r="BZ297" s="80" t="str">
        <f aca="false">IF(BN297&gt;BM$7,
    "",
    VLOOKUP(BN297,BP$8:BV796,4,FALSE())
)</f>
        <v/>
      </c>
      <c r="CA297" s="80" t="str">
        <f aca="false">IF(BN297&gt;BM$7,
    "",
    VLOOKUP(BN297,BP$8:BV796,5,FALSE())
)</f>
        <v/>
      </c>
      <c r="CB297" s="81" t="str">
        <f aca="false">IF(BN297&gt;BM$7,
    "",
    VLOOKUP(BN297,BP$8:BV796,6,FALSE())
)</f>
        <v/>
      </c>
      <c r="CC297" s="53"/>
    </row>
    <row r="298" customFormat="false" ht="15.75" hidden="false" customHeight="false" outlineLevel="0" collapsed="false">
      <c r="A298" s="5"/>
      <c r="B298" s="129"/>
      <c r="C298" s="55"/>
      <c r="D298" s="56"/>
      <c r="E298" s="123"/>
      <c r="F298" s="123"/>
      <c r="G298" s="58"/>
      <c r="H298" s="59"/>
      <c r="I298" s="59"/>
      <c r="J298" s="83"/>
      <c r="K298" s="83"/>
      <c r="L298" s="83"/>
      <c r="M298" s="61"/>
      <c r="N298" s="61"/>
      <c r="O298" s="61"/>
      <c r="P298" s="62"/>
      <c r="Q298" s="63"/>
      <c r="R298" s="83"/>
      <c r="S298" s="65"/>
      <c r="T298" s="66"/>
      <c r="U298" s="66" t="str">
        <f aca="false">IF(ISBLANK($C298),"",IF(G298=Constants!$B$2, TRUE(), IF(G298=Constants!$B$3, FALSE(), TRUE())))</f>
        <v/>
      </c>
      <c r="V298" s="66" t="str">
        <f aca="false">IF(ISBLANK($C298),"",IF(H298=Constants!$B$2, TRUE(), IF(H298=Constants!$B$3, FALSE(), TRUE())))</f>
        <v/>
      </c>
      <c r="W298" s="66" t="str">
        <f aca="false">IF(ISBLANK($C298),"",IF(I298=Constants!$B$2, TRUE(), IF(I298=Constants!$B$3, FALSE(), TRUE())))</f>
        <v/>
      </c>
      <c r="X298" s="66" t="str">
        <f aca="false">IF(ISBLANK($C298),"",IF(AND(ISNUMBER(J298),J298&gt;0),INT(J298),0))</f>
        <v/>
      </c>
      <c r="Y298" s="66" t="str">
        <f aca="false">IF(ISBLANK($C298),"",IF(K298=Constants!$B$2, TRUE(), IF(K298=Constants!$B$3, FALSE(), TRUE())))</f>
        <v/>
      </c>
      <c r="Z298" s="66" t="str">
        <f aca="false">IF(ISBLANK($C298),"",IF(AND(ISNUMBER(L298),L298&gt;0),INT(L298),0))</f>
        <v/>
      </c>
      <c r="AA298" s="68" t="str">
        <f aca="false">IF(ISBLANK($C298),"",IF(ISNUMBER(M298), M298, ""))</f>
        <v/>
      </c>
      <c r="AB298" s="68" t="str">
        <f aca="false">IF(ISBLANK($C298),"",IF(ISNUMBER(N298), N298, ""))</f>
        <v/>
      </c>
      <c r="AC298" s="68" t="str">
        <f aca="false">IF(ISBLANK($C298),"",IF(ISNUMBER(O298), O298, ""))</f>
        <v/>
      </c>
      <c r="AD298" s="69" t="str">
        <f aca="false">IF(ISBLANK($C298),"",IF(ISNUMBER(P298), P298, ""))</f>
        <v/>
      </c>
      <c r="AE298" s="69" t="str">
        <f aca="false">IF(ISBLANK($C298),"",IF(ISNUMBER(Q298), Q298, Constants!$B$13))</f>
        <v/>
      </c>
      <c r="AF298" s="66" t="str">
        <f aca="false">IF(ISBLANK($C298),"",IF(R298=Constants!$B$2, TRUE(), IF(R298=Constants!$B$3, FALSE(), FALSE())))</f>
        <v/>
      </c>
      <c r="AG298" s="66" t="str">
        <f aca="false">IF(ISBLANK(C298), "", IF(AF298, Constants!$B$4,IF(COUNTA(G298:P298)=0, Constants!$B$5, Constants!$B$7)))</f>
        <v/>
      </c>
      <c r="AH298" s="66" t="str">
        <f aca="false">IF(ISBLANK($C298), "",IF($AG298=Constants!$B$7,1,$AG298))</f>
        <v/>
      </c>
      <c r="AI298" s="66" t="str">
        <f aca="false">IF($AG298=Constants!$B$7,POWER(Constants!$B$11,X298)*POWER(Constants!$B$12,Z298),"")</f>
        <v/>
      </c>
      <c r="AJ298" s="66" t="str">
        <f aca="false">IF(AND($AG298=Constants!$B$7, U298, V298) ,IF(OR($AA298="",$AC298=""),"",MAX(0, $AC298-$AA298)),"")</f>
        <v/>
      </c>
      <c r="AK298" s="66" t="str">
        <f aca="false">IF(AND($AG298=Constants!$B$7, U298, V298),IF(OR($AA298="",$AC298=""),$AK$6,""),"")</f>
        <v/>
      </c>
      <c r="AL298" s="66" t="str">
        <f aca="false">IF($AG298=Constants!$B$7,IF(AND(U298,V298,W298,Y298),IF($AJ298="",0,IF($AJ$6=0,Constants!$B$9,Constants!$B$9*AJ298/$AJ$6)), 0),"")</f>
        <v/>
      </c>
      <c r="AM298" s="66" t="str">
        <f aca="false">IF(AL298&lt;&gt;"", AL298*AI298,"")</f>
        <v/>
      </c>
      <c r="AN298" s="66" t="str">
        <f aca="false">IF(AND($AG298=Constants!$B$7, U298, V298) ,IF($AB298="", "", IF(OR($AC298="",$AC298=0),"",MAX(0,1-ABS($AC298-$AB298)/$AC298))),"")</f>
        <v/>
      </c>
      <c r="AO298" s="66" t="str">
        <f aca="false">IF(AND($AG298=Constants!$B$7, U298, V298),IF(AND($AA298&lt;&gt;"",$AB298&lt;&gt;"",$AC298=0),$AO$6,""),"")</f>
        <v/>
      </c>
      <c r="AP298" s="66" t="str">
        <f aca="false">IF($AG298=Constants!$B$7 ,IF(AND(U298,V298,W298,Y298,ISNUMBER(AB298)),IF($AN298="",0,IF($AN$6=0,Constants!$B$10,Constants!$B$10*AN298/$AN$6)), 0),"")</f>
        <v/>
      </c>
      <c r="AQ298" s="66" t="str">
        <f aca="false">IF(AP298&lt;&gt;"", AP298*AI298,"")</f>
        <v/>
      </c>
      <c r="AR298" s="66" t="str">
        <f aca="false">IF($AG298=Constants!$B$7,IF($AD298="",0,IF($AR$6=0,Constants!$B$8,Constants!$B$8*AD298/$AR$6)),"")</f>
        <v/>
      </c>
      <c r="AS298" s="66" t="str">
        <f aca="false">IF($AG298&lt;&gt;Constants!$B$7,$AG298,IF(AK298&amp;AO298&lt;&gt;"",Constants!$B$14,AM298+AQ298+AR298))</f>
        <v/>
      </c>
      <c r="AT298" s="66" t="str">
        <f aca="false">IF(ISBLANK($C298),"",IF($AG298=Constants!$B$7,IF(ISNUMBER(AS298),RANK(AS298,$AS$8:$AS$507),Constants!$B$14),$AG298))</f>
        <v/>
      </c>
      <c r="AU298" s="66" t="str">
        <f aca="false">IF(ISBLANK($C298), "",AM298)</f>
        <v/>
      </c>
      <c r="AV298" s="66" t="str">
        <f aca="false">IF(ISBLANK($C298),"",IF($AG298=Constants!$B$7,RANK(AU298,AU$8:AU$507),$AG298))</f>
        <v/>
      </c>
      <c r="AW298" s="66" t="str">
        <f aca="false">IF(ISBLANK($C298), "",AR298)</f>
        <v/>
      </c>
      <c r="AX298" s="66" t="str">
        <f aca="false">IF(ISBLANK($C298),"",IF($AG298=Constants!$B$7,RANK(AW298,AW$8:AW$507),$AG298))</f>
        <v/>
      </c>
      <c r="AY298" s="66" t="str">
        <f aca="false">IF(ISBLANK($C298), "",AE298)</f>
        <v/>
      </c>
      <c r="AZ298" s="66" t="str">
        <f aca="false">IF(ISBLANK($C298),"",
IF($AG298=Constants!$B$7,
  IF(ISNUMBER(AT298),
    COUNTIFS($AT$8:$AT$507,"&lt;"&amp;$AT298)
    + COUNTIFS($AT$8:$AT$507,$AT298,$AV$8:$AV$507,"&lt;"&amp;$AV298)
    + COUNTIFS($AT$8:$AT$507,$AT298,$AV$8:$AV$507,$AV298,$AX$8:$AX$507,"&lt;"&amp;$AX298)
    + COUNTIFS($AT$8:$AT$507,$AT298,$AV$8:$AV$507,$AV298,$AX$8:$AX$507,$AX298,$AY$8:$AY$507,"&lt;"&amp;$AY298)
    + 1,
  Constants!$B$14),
$AG298))</f>
        <v/>
      </c>
      <c r="BA298" s="66" t="str">
        <f aca="false">IF(ISBLANK(C298),"",IF($AG298=Constants!$B$7, IF(ISNUMBER(AT298),AT298-AZ298,Constants!$B$14),$AG298))</f>
        <v/>
      </c>
      <c r="BB298" s="70"/>
      <c r="BC298" s="84" t="str">
        <f aca="false">IF(ISBLANK($C298),"",TRIM(AK298&amp;" "&amp;AO298))</f>
        <v/>
      </c>
      <c r="BD298" s="72" t="str">
        <f aca="false">IF(ISBLANK($C298),"",IF($AG298&lt;&gt;Constants!$B$7,$AG298,AR298))</f>
        <v/>
      </c>
      <c r="BE298" s="72" t="str">
        <f aca="false">IF(ISBLANK($C298),"",IF($AG298&lt;&gt;Constants!$B$7,$AG298,AM298))</f>
        <v/>
      </c>
      <c r="BF298" s="72" t="str">
        <f aca="false">IF(ISBLANK($C298),"",IF($AG298&lt;&gt;Constants!$B$7,$AG298,AQ298))</f>
        <v/>
      </c>
      <c r="BG298" s="73" t="str">
        <f aca="false">IF(ISBLANK($C298),"",IF($AG298&lt;&gt;Constants!$B$7, $AG298 ,AS298))</f>
        <v/>
      </c>
      <c r="BH298" s="74" t="str">
        <f aca="false">IF(ISBLANK($C298),"",IF($AG298&lt;&gt;Constants!$B$7, $AG298 ,AH298))</f>
        <v/>
      </c>
      <c r="BI298" s="72" t="str">
        <f aca="false">IF(ISBLANK(C298),"",BA298)</f>
        <v/>
      </c>
      <c r="BJ298" s="72" t="str">
        <f aca="false">IF(ISBLANK(C298),"",AZ298)</f>
        <v/>
      </c>
      <c r="BK298" s="75" t="str">
        <f aca="false">IF(ISBLANK(C298),"",IFERROR(_xlfn.SWITCH(BJ298, Constants!$B$4, COUNTA($C$8:$C797)+2, Constants!$B$5, COUNTA($C$8:$C797)+1, Constants!$B$6, COUNTA($C$8:$C797)),BJ298))</f>
        <v/>
      </c>
      <c r="BL298" s="5"/>
      <c r="BM298" s="76" t="n">
        <f aca="false">IF(OR(ISNUMBER(BJ298),BJ298="DQ",BJ298="P",BJ298="NS"),
    1,
    0
)</f>
        <v>0</v>
      </c>
      <c r="BN298" s="76" t="n">
        <v>291</v>
      </c>
      <c r="BO298" s="76" t="str">
        <f aca="false">IF(ISBLANK($C298),"",IF(ISNUMBER(BK298),BK298+ROW($B298)/1000,""))</f>
        <v/>
      </c>
      <c r="BP298" s="76" t="str">
        <f aca="false">IF(ISNUMBER(BO298), RANK(BO298,BO$8:BO$507,1), "")</f>
        <v/>
      </c>
      <c r="BQ298" s="76" t="str">
        <f aca="false">IF(ISBLANK($C298),
    "",
    $B298
)</f>
        <v/>
      </c>
      <c r="BR298" s="76" t="str">
        <f aca="false">IF(ISBLANK($C298),
    "",
    $C298
)</f>
        <v/>
      </c>
      <c r="BS298" s="76" t="str">
        <f aca="false">IF(ISBLANK($C298),
    "",
    $D298
)</f>
        <v/>
      </c>
      <c r="BT298" s="77" t="str">
        <f aca="false">BH298</f>
        <v/>
      </c>
      <c r="BU298" s="78" t="str">
        <f aca="false">BG298</f>
        <v/>
      </c>
      <c r="BV298" s="76" t="str">
        <f aca="false">IF(ISBLANK($C298),
    "",
    BJ298
)</f>
        <v/>
      </c>
      <c r="BW298" s="79" t="str">
        <f aca="false">IF(BN298&gt;BM$7,
    "",
    VLOOKUP(BN298,BP$8:BV797,7,FALSE())
)</f>
        <v/>
      </c>
      <c r="BX298" s="80" t="str">
        <f aca="false">IF(BN298&gt;BM$7,
    "",
    VLOOKUP(BN298,BP$8:BV797,2,FALSE())
)</f>
        <v/>
      </c>
      <c r="BY298" s="80" t="str">
        <f aca="false">IF(BN298&gt;BM$7,
    "",
    VLOOKUP(BN298,BP$8:BV797,3,FALSE())
)</f>
        <v/>
      </c>
      <c r="BZ298" s="80" t="str">
        <f aca="false">IF(BN298&gt;BM$7,
    "",
    VLOOKUP(BN298,BP$8:BV797,4,FALSE())
)</f>
        <v/>
      </c>
      <c r="CA298" s="80" t="str">
        <f aca="false">IF(BN298&gt;BM$7,
    "",
    VLOOKUP(BN298,BP$8:BV797,5,FALSE())
)</f>
        <v/>
      </c>
      <c r="CB298" s="81" t="str">
        <f aca="false">IF(BN298&gt;BM$7,
    "",
    VLOOKUP(BN298,BP$8:BV797,6,FALSE())
)</f>
        <v/>
      </c>
      <c r="CC298" s="53"/>
    </row>
    <row r="299" customFormat="false" ht="15.75" hidden="false" customHeight="false" outlineLevel="0" collapsed="false">
      <c r="A299" s="5"/>
      <c r="B299" s="125"/>
      <c r="C299" s="126"/>
      <c r="D299" s="115"/>
      <c r="E299" s="119"/>
      <c r="F299" s="119"/>
      <c r="G299" s="91"/>
      <c r="H299" s="92"/>
      <c r="I299" s="92"/>
      <c r="J299" s="128"/>
      <c r="K299" s="128"/>
      <c r="L299" s="128"/>
      <c r="M299" s="94"/>
      <c r="N299" s="94"/>
      <c r="O299" s="94"/>
      <c r="P299" s="95"/>
      <c r="Q299" s="96"/>
      <c r="R299" s="128"/>
      <c r="S299" s="98"/>
      <c r="T299" s="99"/>
      <c r="U299" s="99" t="str">
        <f aca="false">IF(ISBLANK($C299),"",IF(G299=Constants!$B$2, TRUE(), IF(G299=Constants!$B$3, FALSE(), TRUE())))</f>
        <v/>
      </c>
      <c r="V299" s="99" t="str">
        <f aca="false">IF(ISBLANK($C299),"",IF(H299=Constants!$B$2, TRUE(), IF(H299=Constants!$B$3, FALSE(), TRUE())))</f>
        <v/>
      </c>
      <c r="W299" s="99" t="str">
        <f aca="false">IF(ISBLANK($C299),"",IF(I299=Constants!$B$2, TRUE(), IF(I299=Constants!$B$3, FALSE(), TRUE())))</f>
        <v/>
      </c>
      <c r="X299" s="99" t="str">
        <f aca="false">IF(ISBLANK($C299),"",IF(AND(ISNUMBER(J299),J299&gt;0),INT(J299),0))</f>
        <v/>
      </c>
      <c r="Y299" s="99" t="str">
        <f aca="false">IF(ISBLANK($C299),"",IF(K299=Constants!$B$2, TRUE(), IF(K299=Constants!$B$3, FALSE(), TRUE())))</f>
        <v/>
      </c>
      <c r="Z299" s="100" t="str">
        <f aca="false">IF(ISBLANK($C299),"",IF(AND(ISNUMBER(L299),L299&gt;0),INT(L299),0))</f>
        <v/>
      </c>
      <c r="AA299" s="101" t="str">
        <f aca="false">IF(ISBLANK($C299),"",IF(ISNUMBER(M299), M299, ""))</f>
        <v/>
      </c>
      <c r="AB299" s="101" t="str">
        <f aca="false">IF(ISBLANK($C299),"",IF(ISNUMBER(N299), N299, ""))</f>
        <v/>
      </c>
      <c r="AC299" s="101" t="str">
        <f aca="false">IF(ISBLANK($C299),"",IF(ISNUMBER(O299), O299, ""))</f>
        <v/>
      </c>
      <c r="AD299" s="102" t="str">
        <f aca="false">IF(ISBLANK($C299),"",IF(ISNUMBER(P299), P299, ""))</f>
        <v/>
      </c>
      <c r="AE299" s="102" t="str">
        <f aca="false">IF(ISBLANK($C299),"",IF(ISNUMBER(Q299), Q299, Constants!$B$13))</f>
        <v/>
      </c>
      <c r="AF299" s="99" t="str">
        <f aca="false">IF(ISBLANK($C299),"",IF(R299=Constants!$B$2, TRUE(), IF(R299=Constants!$B$3, FALSE(), FALSE())))</f>
        <v/>
      </c>
      <c r="AG299" s="99" t="str">
        <f aca="false">IF(ISBLANK(C299), "", IF(AF299, Constants!$B$4,IF(COUNTA(G299:P299)=0, Constants!$B$5, Constants!$B$7)))</f>
        <v/>
      </c>
      <c r="AH299" s="99" t="str">
        <f aca="false">IF(ISBLANK($C299), "",IF($AG299=Constants!$B$7,1,$AG299))</f>
        <v/>
      </c>
      <c r="AI299" s="99" t="str">
        <f aca="false">IF($AG299=Constants!$B$7,POWER(Constants!$B$11,X299)*POWER(Constants!$B$12,Z299),"")</f>
        <v/>
      </c>
      <c r="AJ299" s="99" t="str">
        <f aca="false">IF(AND($AG299=Constants!$B$7, U299, V299) ,IF(OR($AA299="",$AC299=""),"",MAX(0, $AC299-$AA299)),"")</f>
        <v/>
      </c>
      <c r="AK299" s="99" t="str">
        <f aca="false">IF(AND($AG299=Constants!$B$7, U299, V299),IF(OR($AA299="",$AC299=""),$AK$6,""),"")</f>
        <v/>
      </c>
      <c r="AL299" s="99" t="str">
        <f aca="false">IF($AG299=Constants!$B$7,IF(AND(U299,V299,W299,Y299),IF($AJ299="",0,IF($AJ$6=0,Constants!$B$9,Constants!$B$9*AJ299/$AJ$6)), 0),"")</f>
        <v/>
      </c>
      <c r="AM299" s="99" t="str">
        <f aca="false">IF(AL299&lt;&gt;"", AL299*AI299,"")</f>
        <v/>
      </c>
      <c r="AN299" s="99" t="str">
        <f aca="false">IF(AND($AG299=Constants!$B$7, U299, V299) ,IF($AB299="", "", IF(OR($AC299="",$AC299=0),"",MAX(0,1-ABS($AC299-$AB299)/$AC299))),"")</f>
        <v/>
      </c>
      <c r="AO299" s="99" t="str">
        <f aca="false">IF(AND($AG299=Constants!$B$7, U299, V299),IF(AND($AA299&lt;&gt;"",$AB299&lt;&gt;"",$AC299=0),$AO$6,""),"")</f>
        <v/>
      </c>
      <c r="AP299" s="99" t="str">
        <f aca="false">IF($AG299=Constants!$B$7 ,IF(AND(U299,V299,W299,Y299,ISNUMBER(AB299)),IF($AN299="",0,IF($AN$6=0,Constants!$B$10,Constants!$B$10*AN299/$AN$6)), 0),"")</f>
        <v/>
      </c>
      <c r="AQ299" s="99" t="str">
        <f aca="false">IF(AP299&lt;&gt;"", AP299*AI299,"")</f>
        <v/>
      </c>
      <c r="AR299" s="99" t="str">
        <f aca="false">IF($AG299=Constants!$B$7,IF($AD299="",0,IF($AR$6=0,Constants!$B$8,Constants!$B$8*AD299/$AR$6)),"")</f>
        <v/>
      </c>
      <c r="AS299" s="99" t="str">
        <f aca="false">IF($AG299&lt;&gt;Constants!$B$7,$AG299,IF(AK299&amp;AO299&lt;&gt;"",Constants!$B$14,AM299+AQ299+AR299))</f>
        <v/>
      </c>
      <c r="AT299" s="99" t="str">
        <f aca="false">IF(ISBLANK($C299),"",IF($AG299=Constants!$B$7,IF(ISNUMBER(AS299),RANK(AS299,$AS$8:$AS$507),Constants!$B$14),$AG299))</f>
        <v/>
      </c>
      <c r="AU299" s="99" t="str">
        <f aca="false">IF(ISBLANK($C299), "",AM299)</f>
        <v/>
      </c>
      <c r="AV299" s="99" t="str">
        <f aca="false">IF(ISBLANK($C299),"",IF($AG299=Constants!$B$7,RANK(AU299,AU$8:AU$507),$AG299))</f>
        <v/>
      </c>
      <c r="AW299" s="99" t="str">
        <f aca="false">IF(ISBLANK($C299), "",AR299)</f>
        <v/>
      </c>
      <c r="AX299" s="99" t="str">
        <f aca="false">IF(ISBLANK($C299),"",IF($AG299=Constants!$B$7,RANK(AW299,AW$8:AW$507),$AG299))</f>
        <v/>
      </c>
      <c r="AY299" s="99" t="str">
        <f aca="false">IF(ISBLANK($C299), "",AE299)</f>
        <v/>
      </c>
      <c r="AZ299" s="99" t="str">
        <f aca="false">IF(ISBLANK($C299),"",
IF($AG299=Constants!$B$7,
  IF(ISNUMBER(AT299),
    COUNTIFS($AT$8:$AT$507,"&lt;"&amp;$AT299)
    + COUNTIFS($AT$8:$AT$507,$AT299,$AV$8:$AV$507,"&lt;"&amp;$AV299)
    + COUNTIFS($AT$8:$AT$507,$AT299,$AV$8:$AV$507,$AV299,$AX$8:$AX$507,"&lt;"&amp;$AX299)
    + COUNTIFS($AT$8:$AT$507,$AT299,$AV$8:$AV$507,$AV299,$AX$8:$AX$507,$AX299,$AY$8:$AY$507,"&lt;"&amp;$AY299)
    + 1,
  Constants!$B$14),
$AG299))</f>
        <v/>
      </c>
      <c r="BA299" s="99" t="str">
        <f aca="false">IF(ISBLANK(C299),"",IF($AG299=Constants!$B$7, IF(ISNUMBER(AT299),AT299-AZ299,Constants!$B$14),$AG299))</f>
        <v/>
      </c>
      <c r="BB299" s="103"/>
      <c r="BC299" s="104" t="str">
        <f aca="false">IF(ISBLANK($C299),"",TRIM(AK299&amp;" "&amp;AO299))</f>
        <v/>
      </c>
      <c r="BD299" s="105" t="str">
        <f aca="false">IF(ISBLANK($C299),"",IF($AG299&lt;&gt;Constants!$B$7,$AG299,AR299))</f>
        <v/>
      </c>
      <c r="BE299" s="105" t="str">
        <f aca="false">IF(ISBLANK($C299),"",IF($AG299&lt;&gt;Constants!$B$7,$AG299,AM299))</f>
        <v/>
      </c>
      <c r="BF299" s="105" t="str">
        <f aca="false">IF(ISBLANK($C299),"",IF($AG299&lt;&gt;Constants!$B$7,$AG299,AQ299))</f>
        <v/>
      </c>
      <c r="BG299" s="106" t="str">
        <f aca="false">IF(ISBLANK($C299),"",IF($AG299&lt;&gt;Constants!$B$7, $AG299 ,AS299))</f>
        <v/>
      </c>
      <c r="BH299" s="107" t="str">
        <f aca="false">IF(ISBLANK($C299),"",IF($AG299&lt;&gt;Constants!$B$7, $AG299 ,AH299))</f>
        <v/>
      </c>
      <c r="BI299" s="105" t="str">
        <f aca="false">IF(ISBLANK(C299),"",BA299)</f>
        <v/>
      </c>
      <c r="BJ299" s="105" t="str">
        <f aca="false">IF(ISBLANK(C299),"",AZ299)</f>
        <v/>
      </c>
      <c r="BK299" s="108" t="str">
        <f aca="false">IF(ISBLANK(C299),"",IFERROR(_xlfn.SWITCH(BJ299, Constants!$B$4, COUNTA($C$8:$C798)+2, Constants!$B$5, COUNTA($C$8:$C798)+1, Constants!$B$6, COUNTA($C$8:$C798)),BJ299))</f>
        <v/>
      </c>
      <c r="BL299" s="5"/>
      <c r="BM299" s="109" t="n">
        <f aca="false">IF(OR(ISNUMBER(BJ299),BJ299="DQ",BJ299="P",BJ299="NS"),
    1,
    0
)</f>
        <v>0</v>
      </c>
      <c r="BN299" s="109" t="n">
        <v>292</v>
      </c>
      <c r="BO299" s="109" t="str">
        <f aca="false">IF(ISBLANK($C299),"",IF(ISNUMBER(BK299),BK299+ROW($B299)/1000,""))</f>
        <v/>
      </c>
      <c r="BP299" s="109" t="str">
        <f aca="false">IF(ISNUMBER(BO299), RANK(BO299,BO$8:BO$507,1), "")</f>
        <v/>
      </c>
      <c r="BQ299" s="109" t="str">
        <f aca="false">IF(ISBLANK($C299),
    "",
    $B299
)</f>
        <v/>
      </c>
      <c r="BR299" s="109" t="str">
        <f aca="false">IF(ISBLANK($C299),
    "",
    $C299
)</f>
        <v/>
      </c>
      <c r="BS299" s="109" t="str">
        <f aca="false">IF(ISBLANK($C299),
    "",
    $D299
)</f>
        <v/>
      </c>
      <c r="BT299" s="110" t="str">
        <f aca="false">BH299</f>
        <v/>
      </c>
      <c r="BU299" s="111" t="str">
        <f aca="false">BG299</f>
        <v/>
      </c>
      <c r="BV299" s="109" t="str">
        <f aca="false">IF(ISBLANK($C299),
    "",
    BJ299
)</f>
        <v/>
      </c>
      <c r="BW299" s="112" t="str">
        <f aca="false">IF(BN299&gt;BM$7,
    "",
    VLOOKUP(BN299,BP$8:BV798,7,FALSE())
)</f>
        <v/>
      </c>
      <c r="BX299" s="113" t="str">
        <f aca="false">IF(BN299&gt;BM$7,
    "",
    VLOOKUP(BN299,BP$8:BV798,2,FALSE())
)</f>
        <v/>
      </c>
      <c r="BY299" s="113" t="str">
        <f aca="false">IF(BN299&gt;BM$7,
    "",
    VLOOKUP(BN299,BP$8:BV798,3,FALSE())
)</f>
        <v/>
      </c>
      <c r="BZ299" s="113" t="str">
        <f aca="false">IF(BN299&gt;BM$7,
    "",
    VLOOKUP(BN299,BP$8:BV798,4,FALSE())
)</f>
        <v/>
      </c>
      <c r="CA299" s="113" t="str">
        <f aca="false">IF(BN299&gt;BM$7,
    "",
    VLOOKUP(BN299,BP$8:BV798,5,FALSE())
)</f>
        <v/>
      </c>
      <c r="CB299" s="114" t="str">
        <f aca="false">IF(BN299&gt;BM$7,
    "",
    VLOOKUP(BN299,BP$8:BV798,6,FALSE())
)</f>
        <v/>
      </c>
      <c r="CC299" s="53"/>
    </row>
    <row r="300" customFormat="false" ht="15.75" hidden="false" customHeight="false" outlineLevel="0" collapsed="false">
      <c r="A300" s="5"/>
      <c r="B300" s="125"/>
      <c r="C300" s="126"/>
      <c r="D300" s="115"/>
      <c r="E300" s="119"/>
      <c r="F300" s="119"/>
      <c r="G300" s="91"/>
      <c r="H300" s="92"/>
      <c r="I300" s="92"/>
      <c r="J300" s="128"/>
      <c r="K300" s="128"/>
      <c r="L300" s="128"/>
      <c r="M300" s="94"/>
      <c r="N300" s="94"/>
      <c r="O300" s="94"/>
      <c r="P300" s="95"/>
      <c r="Q300" s="96"/>
      <c r="R300" s="128"/>
      <c r="S300" s="98"/>
      <c r="T300" s="99"/>
      <c r="U300" s="99" t="str">
        <f aca="false">IF(ISBLANK($C300),"",IF(G300=Constants!$B$2, TRUE(), IF(G300=Constants!$B$3, FALSE(), TRUE())))</f>
        <v/>
      </c>
      <c r="V300" s="99" t="str">
        <f aca="false">IF(ISBLANK($C300),"",IF(H300=Constants!$B$2, TRUE(), IF(H300=Constants!$B$3, FALSE(), TRUE())))</f>
        <v/>
      </c>
      <c r="W300" s="99" t="str">
        <f aca="false">IF(ISBLANK($C300),"",IF(I300=Constants!$B$2, TRUE(), IF(I300=Constants!$B$3, FALSE(), TRUE())))</f>
        <v/>
      </c>
      <c r="X300" s="99" t="str">
        <f aca="false">IF(ISBLANK($C300),"",IF(AND(ISNUMBER(J300),J300&gt;0),INT(J300),0))</f>
        <v/>
      </c>
      <c r="Y300" s="99" t="str">
        <f aca="false">IF(ISBLANK($C300),"",IF(K300=Constants!$B$2, TRUE(), IF(K300=Constants!$B$3, FALSE(), TRUE())))</f>
        <v/>
      </c>
      <c r="Z300" s="100" t="str">
        <f aca="false">IF(ISBLANK($C300),"",IF(AND(ISNUMBER(L300),L300&gt;0),INT(L300),0))</f>
        <v/>
      </c>
      <c r="AA300" s="101" t="str">
        <f aca="false">IF(ISBLANK($C300),"",IF(ISNUMBER(M300), M300, ""))</f>
        <v/>
      </c>
      <c r="AB300" s="101" t="str">
        <f aca="false">IF(ISBLANK($C300),"",IF(ISNUMBER(N300), N300, ""))</f>
        <v/>
      </c>
      <c r="AC300" s="101" t="str">
        <f aca="false">IF(ISBLANK($C300),"",IF(ISNUMBER(O300), O300, ""))</f>
        <v/>
      </c>
      <c r="AD300" s="102" t="str">
        <f aca="false">IF(ISBLANK($C300),"",IF(ISNUMBER(P300), P300, ""))</f>
        <v/>
      </c>
      <c r="AE300" s="102" t="str">
        <f aca="false">IF(ISBLANK($C300),"",IF(ISNUMBER(Q300), Q300, Constants!$B$13))</f>
        <v/>
      </c>
      <c r="AF300" s="99" t="str">
        <f aca="false">IF(ISBLANK($C300),"",IF(R300=Constants!$B$2, TRUE(), IF(R300=Constants!$B$3, FALSE(), FALSE())))</f>
        <v/>
      </c>
      <c r="AG300" s="99" t="str">
        <f aca="false">IF(ISBLANK(C300), "", IF(AF300, Constants!$B$4,IF(COUNTA(G300:P300)=0, Constants!$B$5, Constants!$B$7)))</f>
        <v/>
      </c>
      <c r="AH300" s="99" t="str">
        <f aca="false">IF(ISBLANK($C300), "",IF($AG300=Constants!$B$7,1,$AG300))</f>
        <v/>
      </c>
      <c r="AI300" s="99" t="str">
        <f aca="false">IF($AG300=Constants!$B$7,POWER(Constants!$B$11,X300)*POWER(Constants!$B$12,Z300),"")</f>
        <v/>
      </c>
      <c r="AJ300" s="99" t="str">
        <f aca="false">IF(AND($AG300=Constants!$B$7, U300, V300) ,IF(OR($AA300="",$AC300=""),"",MAX(0, $AC300-$AA300)),"")</f>
        <v/>
      </c>
      <c r="AK300" s="99" t="str">
        <f aca="false">IF(AND($AG300=Constants!$B$7, U300, V300),IF(OR($AA300="",$AC300=""),$AK$6,""),"")</f>
        <v/>
      </c>
      <c r="AL300" s="99" t="str">
        <f aca="false">IF($AG300=Constants!$B$7,IF(AND(U300,V300,W300,Y300),IF($AJ300="",0,IF($AJ$6=0,Constants!$B$9,Constants!$B$9*AJ300/$AJ$6)), 0),"")</f>
        <v/>
      </c>
      <c r="AM300" s="99" t="str">
        <f aca="false">IF(AL300&lt;&gt;"", AL300*AI300,"")</f>
        <v/>
      </c>
      <c r="AN300" s="99" t="str">
        <f aca="false">IF(AND($AG300=Constants!$B$7, U300, V300) ,IF($AB300="", "", IF(OR($AC300="",$AC300=0),"",MAX(0,1-ABS($AC300-$AB300)/$AC300))),"")</f>
        <v/>
      </c>
      <c r="AO300" s="99" t="str">
        <f aca="false">IF(AND($AG300=Constants!$B$7, U300, V300),IF(AND($AA300&lt;&gt;"",$AB300&lt;&gt;"",$AC300=0),$AO$6,""),"")</f>
        <v/>
      </c>
      <c r="AP300" s="99" t="str">
        <f aca="false">IF($AG300=Constants!$B$7 ,IF(AND(U300,V300,W300,Y300,ISNUMBER(AB300)),IF($AN300="",0,IF($AN$6=0,Constants!$B$10,Constants!$B$10*AN300/$AN$6)), 0),"")</f>
        <v/>
      </c>
      <c r="AQ300" s="99" t="str">
        <f aca="false">IF(AP300&lt;&gt;"", AP300*AI300,"")</f>
        <v/>
      </c>
      <c r="AR300" s="99" t="str">
        <f aca="false">IF($AG300=Constants!$B$7,IF($AD300="",0,IF($AR$6=0,Constants!$B$8,Constants!$B$8*AD300/$AR$6)),"")</f>
        <v/>
      </c>
      <c r="AS300" s="99" t="str">
        <f aca="false">IF($AG300&lt;&gt;Constants!$B$7,$AG300,IF(AK300&amp;AO300&lt;&gt;"",Constants!$B$14,AM300+AQ300+AR300))</f>
        <v/>
      </c>
      <c r="AT300" s="99" t="str">
        <f aca="false">IF(ISBLANK($C300),"",IF($AG300=Constants!$B$7,IF(ISNUMBER(AS300),RANK(AS300,$AS$8:$AS$507),Constants!$B$14),$AG300))</f>
        <v/>
      </c>
      <c r="AU300" s="99" t="str">
        <f aca="false">IF(ISBLANK($C300), "",AM300)</f>
        <v/>
      </c>
      <c r="AV300" s="99" t="str">
        <f aca="false">IF(ISBLANK($C300),"",IF($AG300=Constants!$B$7,RANK(AU300,AU$8:AU$507),$AG300))</f>
        <v/>
      </c>
      <c r="AW300" s="99" t="str">
        <f aca="false">IF(ISBLANK($C300), "",AR300)</f>
        <v/>
      </c>
      <c r="AX300" s="99" t="str">
        <f aca="false">IF(ISBLANK($C300),"",IF($AG300=Constants!$B$7,RANK(AW300,AW$8:AW$507),$AG300))</f>
        <v/>
      </c>
      <c r="AY300" s="99" t="str">
        <f aca="false">IF(ISBLANK($C300), "",AE300)</f>
        <v/>
      </c>
      <c r="AZ300" s="99" t="str">
        <f aca="false">IF(ISBLANK($C300),"",
IF($AG300=Constants!$B$7,
  IF(ISNUMBER(AT300),
    COUNTIFS($AT$8:$AT$507,"&lt;"&amp;$AT300)
    + COUNTIFS($AT$8:$AT$507,$AT300,$AV$8:$AV$507,"&lt;"&amp;$AV300)
    + COUNTIFS($AT$8:$AT$507,$AT300,$AV$8:$AV$507,$AV300,$AX$8:$AX$507,"&lt;"&amp;$AX300)
    + COUNTIFS($AT$8:$AT$507,$AT300,$AV$8:$AV$507,$AV300,$AX$8:$AX$507,$AX300,$AY$8:$AY$507,"&lt;"&amp;$AY300)
    + 1,
  Constants!$B$14),
$AG300))</f>
        <v/>
      </c>
      <c r="BA300" s="99" t="str">
        <f aca="false">IF(ISBLANK(C300),"",IF($AG300=Constants!$B$7, IF(ISNUMBER(AT300),AT300-AZ300,Constants!$B$14),$AG300))</f>
        <v/>
      </c>
      <c r="BB300" s="103"/>
      <c r="BC300" s="104" t="str">
        <f aca="false">IF(ISBLANK($C300),"",TRIM(AK300&amp;" "&amp;AO300))</f>
        <v/>
      </c>
      <c r="BD300" s="105" t="str">
        <f aca="false">IF(ISBLANK($C300),"",IF($AG300&lt;&gt;Constants!$B$7,$AG300,AR300))</f>
        <v/>
      </c>
      <c r="BE300" s="105" t="str">
        <f aca="false">IF(ISBLANK($C300),"",IF($AG300&lt;&gt;Constants!$B$7,$AG300,AM300))</f>
        <v/>
      </c>
      <c r="BF300" s="105" t="str">
        <f aca="false">IF(ISBLANK($C300),"",IF($AG300&lt;&gt;Constants!$B$7,$AG300,AQ300))</f>
        <v/>
      </c>
      <c r="BG300" s="106" t="str">
        <f aca="false">IF(ISBLANK($C300),"",IF($AG300&lt;&gt;Constants!$B$7, $AG300 ,AS300))</f>
        <v/>
      </c>
      <c r="BH300" s="107" t="str">
        <f aca="false">IF(ISBLANK($C300),"",IF($AG300&lt;&gt;Constants!$B$7, $AG300 ,AH300))</f>
        <v/>
      </c>
      <c r="BI300" s="105" t="str">
        <f aca="false">IF(ISBLANK(C300),"",BA300)</f>
        <v/>
      </c>
      <c r="BJ300" s="105" t="str">
        <f aca="false">IF(ISBLANK(C300),"",AZ300)</f>
        <v/>
      </c>
      <c r="BK300" s="108" t="str">
        <f aca="false">IF(ISBLANK(C300),"",IFERROR(_xlfn.SWITCH(BJ300, Constants!$B$4, COUNTA($C$8:$C799)+2, Constants!$B$5, COUNTA($C$8:$C799)+1, Constants!$B$6, COUNTA($C$8:$C799)),BJ300))</f>
        <v/>
      </c>
      <c r="BL300" s="5"/>
      <c r="BM300" s="109" t="n">
        <f aca="false">IF(OR(ISNUMBER(BJ300),BJ300="DQ",BJ300="P",BJ300="NS"),
    1,
    0
)</f>
        <v>0</v>
      </c>
      <c r="BN300" s="109" t="n">
        <v>293</v>
      </c>
      <c r="BO300" s="109" t="str">
        <f aca="false">IF(ISBLANK($C300),"",IF(ISNUMBER(BK300),BK300+ROW($B300)/1000,""))</f>
        <v/>
      </c>
      <c r="BP300" s="109" t="str">
        <f aca="false">IF(ISNUMBER(BO300), RANK(BO300,BO$8:BO$507,1), "")</f>
        <v/>
      </c>
      <c r="BQ300" s="109" t="str">
        <f aca="false">IF(ISBLANK($C300),
    "",
    $B300
)</f>
        <v/>
      </c>
      <c r="BR300" s="109" t="str">
        <f aca="false">IF(ISBLANK($C300),
    "",
    $C300
)</f>
        <v/>
      </c>
      <c r="BS300" s="109" t="str">
        <f aca="false">IF(ISBLANK($C300),
    "",
    $D300
)</f>
        <v/>
      </c>
      <c r="BT300" s="110" t="str">
        <f aca="false">BH300</f>
        <v/>
      </c>
      <c r="BU300" s="111" t="str">
        <f aca="false">BG300</f>
        <v/>
      </c>
      <c r="BV300" s="109" t="str">
        <f aca="false">IF(ISBLANK($C300),
    "",
    BJ300
)</f>
        <v/>
      </c>
      <c r="BW300" s="112" t="str">
        <f aca="false">IF(BN300&gt;BM$7,
    "",
    VLOOKUP(BN300,BP$8:BV799,7,FALSE())
)</f>
        <v/>
      </c>
      <c r="BX300" s="113" t="str">
        <f aca="false">IF(BN300&gt;BM$7,
    "",
    VLOOKUP(BN300,BP$8:BV799,2,FALSE())
)</f>
        <v/>
      </c>
      <c r="BY300" s="113" t="str">
        <f aca="false">IF(BN300&gt;BM$7,
    "",
    VLOOKUP(BN300,BP$8:BV799,3,FALSE())
)</f>
        <v/>
      </c>
      <c r="BZ300" s="113" t="str">
        <f aca="false">IF(BN300&gt;BM$7,
    "",
    VLOOKUP(BN300,BP$8:BV799,4,FALSE())
)</f>
        <v/>
      </c>
      <c r="CA300" s="113" t="str">
        <f aca="false">IF(BN300&gt;BM$7,
    "",
    VLOOKUP(BN300,BP$8:BV799,5,FALSE())
)</f>
        <v/>
      </c>
      <c r="CB300" s="114" t="str">
        <f aca="false">IF(BN300&gt;BM$7,
    "",
    VLOOKUP(BN300,BP$8:BV799,6,FALSE())
)</f>
        <v/>
      </c>
      <c r="CC300" s="53"/>
    </row>
    <row r="301" customFormat="false" ht="15.75" hidden="false" customHeight="false" outlineLevel="0" collapsed="false">
      <c r="A301" s="5"/>
      <c r="B301" s="125"/>
      <c r="C301" s="126"/>
      <c r="D301" s="115"/>
      <c r="E301" s="119"/>
      <c r="F301" s="119"/>
      <c r="G301" s="91"/>
      <c r="H301" s="92"/>
      <c r="I301" s="92"/>
      <c r="J301" s="128"/>
      <c r="K301" s="128"/>
      <c r="L301" s="128"/>
      <c r="M301" s="94"/>
      <c r="N301" s="94"/>
      <c r="O301" s="94"/>
      <c r="P301" s="95"/>
      <c r="Q301" s="96"/>
      <c r="R301" s="128"/>
      <c r="S301" s="98"/>
      <c r="T301" s="99"/>
      <c r="U301" s="99" t="str">
        <f aca="false">IF(ISBLANK($C301),"",IF(G301=Constants!$B$2, TRUE(), IF(G301=Constants!$B$3, FALSE(), TRUE())))</f>
        <v/>
      </c>
      <c r="V301" s="99" t="str">
        <f aca="false">IF(ISBLANK($C301),"",IF(H301=Constants!$B$2, TRUE(), IF(H301=Constants!$B$3, FALSE(), TRUE())))</f>
        <v/>
      </c>
      <c r="W301" s="99" t="str">
        <f aca="false">IF(ISBLANK($C301),"",IF(I301=Constants!$B$2, TRUE(), IF(I301=Constants!$B$3, FALSE(), TRUE())))</f>
        <v/>
      </c>
      <c r="X301" s="99" t="str">
        <f aca="false">IF(ISBLANK($C301),"",IF(AND(ISNUMBER(J301),J301&gt;0),INT(J301),0))</f>
        <v/>
      </c>
      <c r="Y301" s="99" t="str">
        <f aca="false">IF(ISBLANK($C301),"",IF(K301=Constants!$B$2, TRUE(), IF(K301=Constants!$B$3, FALSE(), TRUE())))</f>
        <v/>
      </c>
      <c r="Z301" s="100" t="str">
        <f aca="false">IF(ISBLANK($C301),"",IF(AND(ISNUMBER(L301),L301&gt;0),INT(L301),0))</f>
        <v/>
      </c>
      <c r="AA301" s="101" t="str">
        <f aca="false">IF(ISBLANK($C301),"",IF(ISNUMBER(M301), M301, ""))</f>
        <v/>
      </c>
      <c r="AB301" s="101" t="str">
        <f aca="false">IF(ISBLANK($C301),"",IF(ISNUMBER(N301), N301, ""))</f>
        <v/>
      </c>
      <c r="AC301" s="101" t="str">
        <f aca="false">IF(ISBLANK($C301),"",IF(ISNUMBER(O301), O301, ""))</f>
        <v/>
      </c>
      <c r="AD301" s="102" t="str">
        <f aca="false">IF(ISBLANK($C301),"",IF(ISNUMBER(P301), P301, ""))</f>
        <v/>
      </c>
      <c r="AE301" s="102" t="str">
        <f aca="false">IF(ISBLANK($C301),"",IF(ISNUMBER(Q301), Q301, Constants!$B$13))</f>
        <v/>
      </c>
      <c r="AF301" s="99" t="str">
        <f aca="false">IF(ISBLANK($C301),"",IF(R301=Constants!$B$2, TRUE(), IF(R301=Constants!$B$3, FALSE(), FALSE())))</f>
        <v/>
      </c>
      <c r="AG301" s="99" t="str">
        <f aca="false">IF(ISBLANK(C301), "", IF(AF301, Constants!$B$4,IF(COUNTA(G301:P301)=0, Constants!$B$5, Constants!$B$7)))</f>
        <v/>
      </c>
      <c r="AH301" s="99" t="str">
        <f aca="false">IF(ISBLANK($C301), "",IF($AG301=Constants!$B$7,1,$AG301))</f>
        <v/>
      </c>
      <c r="AI301" s="99" t="str">
        <f aca="false">IF($AG301=Constants!$B$7,POWER(Constants!$B$11,X301)*POWER(Constants!$B$12,Z301),"")</f>
        <v/>
      </c>
      <c r="AJ301" s="99" t="str">
        <f aca="false">IF(AND($AG301=Constants!$B$7, U301, V301) ,IF(OR($AA301="",$AC301=""),"",MAX(0, $AC301-$AA301)),"")</f>
        <v/>
      </c>
      <c r="AK301" s="99" t="str">
        <f aca="false">IF(AND($AG301=Constants!$B$7, U301, V301),IF(OR($AA301="",$AC301=""),$AK$6,""),"")</f>
        <v/>
      </c>
      <c r="AL301" s="99" t="str">
        <f aca="false">IF($AG301=Constants!$B$7,IF(AND(U301,V301,W301,Y301),IF($AJ301="",0,IF($AJ$6=0,Constants!$B$9,Constants!$B$9*AJ301/$AJ$6)), 0),"")</f>
        <v/>
      </c>
      <c r="AM301" s="99" t="str">
        <f aca="false">IF(AL301&lt;&gt;"", AL301*AI301,"")</f>
        <v/>
      </c>
      <c r="AN301" s="99" t="str">
        <f aca="false">IF(AND($AG301=Constants!$B$7, U301, V301) ,IF($AB301="", "", IF(OR($AC301="",$AC301=0),"",MAX(0,1-ABS($AC301-$AB301)/$AC301))),"")</f>
        <v/>
      </c>
      <c r="AO301" s="99" t="str">
        <f aca="false">IF(AND($AG301=Constants!$B$7, U301, V301),IF(AND($AA301&lt;&gt;"",$AB301&lt;&gt;"",$AC301=0),$AO$6,""),"")</f>
        <v/>
      </c>
      <c r="AP301" s="99" t="str">
        <f aca="false">IF($AG301=Constants!$B$7 ,IF(AND(U301,V301,W301,Y301,ISNUMBER(AB301)),IF($AN301="",0,IF($AN$6=0,Constants!$B$10,Constants!$B$10*AN301/$AN$6)), 0),"")</f>
        <v/>
      </c>
      <c r="AQ301" s="99" t="str">
        <f aca="false">IF(AP301&lt;&gt;"", AP301*AI301,"")</f>
        <v/>
      </c>
      <c r="AR301" s="99" t="str">
        <f aca="false">IF($AG301=Constants!$B$7,IF($AD301="",0,IF($AR$6=0,Constants!$B$8,Constants!$B$8*AD301/$AR$6)),"")</f>
        <v/>
      </c>
      <c r="AS301" s="99" t="str">
        <f aca="false">IF($AG301&lt;&gt;Constants!$B$7,$AG301,IF(AK301&amp;AO301&lt;&gt;"",Constants!$B$14,AM301+AQ301+AR301))</f>
        <v/>
      </c>
      <c r="AT301" s="99" t="str">
        <f aca="false">IF(ISBLANK($C301),"",IF($AG301=Constants!$B$7,IF(ISNUMBER(AS301),RANK(AS301,$AS$8:$AS$507),Constants!$B$14),$AG301))</f>
        <v/>
      </c>
      <c r="AU301" s="99" t="str">
        <f aca="false">IF(ISBLANK($C301), "",AM301)</f>
        <v/>
      </c>
      <c r="AV301" s="99" t="str">
        <f aca="false">IF(ISBLANK($C301),"",IF($AG301=Constants!$B$7,RANK(AU301,AU$8:AU$507),$AG301))</f>
        <v/>
      </c>
      <c r="AW301" s="99" t="str">
        <f aca="false">IF(ISBLANK($C301), "",AR301)</f>
        <v/>
      </c>
      <c r="AX301" s="99" t="str">
        <f aca="false">IF(ISBLANK($C301),"",IF($AG301=Constants!$B$7,RANK(AW301,AW$8:AW$507),$AG301))</f>
        <v/>
      </c>
      <c r="AY301" s="99" t="str">
        <f aca="false">IF(ISBLANK($C301), "",AE301)</f>
        <v/>
      </c>
      <c r="AZ301" s="99" t="str">
        <f aca="false">IF(ISBLANK($C301),"",
IF($AG301=Constants!$B$7,
  IF(ISNUMBER(AT301),
    COUNTIFS($AT$8:$AT$507,"&lt;"&amp;$AT301)
    + COUNTIFS($AT$8:$AT$507,$AT301,$AV$8:$AV$507,"&lt;"&amp;$AV301)
    + COUNTIFS($AT$8:$AT$507,$AT301,$AV$8:$AV$507,$AV301,$AX$8:$AX$507,"&lt;"&amp;$AX301)
    + COUNTIFS($AT$8:$AT$507,$AT301,$AV$8:$AV$507,$AV301,$AX$8:$AX$507,$AX301,$AY$8:$AY$507,"&lt;"&amp;$AY301)
    + 1,
  Constants!$B$14),
$AG301))</f>
        <v/>
      </c>
      <c r="BA301" s="99" t="str">
        <f aca="false">IF(ISBLANK(C301),"",IF($AG301=Constants!$B$7, IF(ISNUMBER(AT301),AT301-AZ301,Constants!$B$14),$AG301))</f>
        <v/>
      </c>
      <c r="BB301" s="103"/>
      <c r="BC301" s="104" t="str">
        <f aca="false">IF(ISBLANK($C301),"",TRIM(AK301&amp;" "&amp;AO301))</f>
        <v/>
      </c>
      <c r="BD301" s="105" t="str">
        <f aca="false">IF(ISBLANK($C301),"",IF($AG301&lt;&gt;Constants!$B$7,$AG301,AR301))</f>
        <v/>
      </c>
      <c r="BE301" s="105" t="str">
        <f aca="false">IF(ISBLANK($C301),"",IF($AG301&lt;&gt;Constants!$B$7,$AG301,AM301))</f>
        <v/>
      </c>
      <c r="BF301" s="105" t="str">
        <f aca="false">IF(ISBLANK($C301),"",IF($AG301&lt;&gt;Constants!$B$7,$AG301,AQ301))</f>
        <v/>
      </c>
      <c r="BG301" s="106" t="str">
        <f aca="false">IF(ISBLANK($C301),"",IF($AG301&lt;&gt;Constants!$B$7, $AG301 ,AS301))</f>
        <v/>
      </c>
      <c r="BH301" s="107" t="str">
        <f aca="false">IF(ISBLANK($C301),"",IF($AG301&lt;&gt;Constants!$B$7, $AG301 ,AH301))</f>
        <v/>
      </c>
      <c r="BI301" s="105" t="str">
        <f aca="false">IF(ISBLANK(C301),"",BA301)</f>
        <v/>
      </c>
      <c r="BJ301" s="105" t="str">
        <f aca="false">IF(ISBLANK(C301),"",AZ301)</f>
        <v/>
      </c>
      <c r="BK301" s="108" t="str">
        <f aca="false">IF(ISBLANK(C301),"",IFERROR(_xlfn.SWITCH(BJ301, Constants!$B$4, COUNTA($C$8:$C800)+2, Constants!$B$5, COUNTA($C$8:$C800)+1, Constants!$B$6, COUNTA($C$8:$C800)),BJ301))</f>
        <v/>
      </c>
      <c r="BL301" s="5"/>
      <c r="BM301" s="109" t="n">
        <f aca="false">IF(OR(ISNUMBER(BJ301),BJ301="DQ",BJ301="P",BJ301="NS"),
    1,
    0
)</f>
        <v>0</v>
      </c>
      <c r="BN301" s="109" t="n">
        <v>294</v>
      </c>
      <c r="BO301" s="109" t="str">
        <f aca="false">IF(ISBLANK($C301),"",IF(ISNUMBER(BK301),BK301+ROW($B301)/1000,""))</f>
        <v/>
      </c>
      <c r="BP301" s="109" t="str">
        <f aca="false">IF(ISNUMBER(BO301), RANK(BO301,BO$8:BO$507,1), "")</f>
        <v/>
      </c>
      <c r="BQ301" s="109" t="str">
        <f aca="false">IF(ISBLANK($C301),
    "",
    $B301
)</f>
        <v/>
      </c>
      <c r="BR301" s="109" t="str">
        <f aca="false">IF(ISBLANK($C301),
    "",
    $C301
)</f>
        <v/>
      </c>
      <c r="BS301" s="109" t="str">
        <f aca="false">IF(ISBLANK($C301),
    "",
    $D301
)</f>
        <v/>
      </c>
      <c r="BT301" s="110" t="str">
        <f aca="false">BH301</f>
        <v/>
      </c>
      <c r="BU301" s="111" t="str">
        <f aca="false">BG301</f>
        <v/>
      </c>
      <c r="BV301" s="109" t="str">
        <f aca="false">IF(ISBLANK($C301),
    "",
    BJ301
)</f>
        <v/>
      </c>
      <c r="BW301" s="112" t="str">
        <f aca="false">IF(BN301&gt;BM$7,
    "",
    VLOOKUP(BN301,BP$8:BV800,7,FALSE())
)</f>
        <v/>
      </c>
      <c r="BX301" s="113" t="str">
        <f aca="false">IF(BN301&gt;BM$7,
    "",
    VLOOKUP(BN301,BP$8:BV800,2,FALSE())
)</f>
        <v/>
      </c>
      <c r="BY301" s="113" t="str">
        <f aca="false">IF(BN301&gt;BM$7,
    "",
    VLOOKUP(BN301,BP$8:BV800,3,FALSE())
)</f>
        <v/>
      </c>
      <c r="BZ301" s="113" t="str">
        <f aca="false">IF(BN301&gt;BM$7,
    "",
    VLOOKUP(BN301,BP$8:BV800,4,FALSE())
)</f>
        <v/>
      </c>
      <c r="CA301" s="113" t="str">
        <f aca="false">IF(BN301&gt;BM$7,
    "",
    VLOOKUP(BN301,BP$8:BV800,5,FALSE())
)</f>
        <v/>
      </c>
      <c r="CB301" s="114" t="str">
        <f aca="false">IF(BN301&gt;BM$7,
    "",
    VLOOKUP(BN301,BP$8:BV800,6,FALSE())
)</f>
        <v/>
      </c>
      <c r="CC301" s="53"/>
    </row>
    <row r="302" customFormat="false" ht="15.75" hidden="false" customHeight="false" outlineLevel="0" collapsed="false">
      <c r="A302" s="5"/>
      <c r="B302" s="129"/>
      <c r="C302" s="55"/>
      <c r="D302" s="56"/>
      <c r="E302" s="123"/>
      <c r="F302" s="123"/>
      <c r="G302" s="58"/>
      <c r="H302" s="59"/>
      <c r="I302" s="59"/>
      <c r="J302" s="83"/>
      <c r="K302" s="83"/>
      <c r="L302" s="83"/>
      <c r="M302" s="61"/>
      <c r="N302" s="61"/>
      <c r="O302" s="61"/>
      <c r="P302" s="62"/>
      <c r="Q302" s="63"/>
      <c r="R302" s="83"/>
      <c r="S302" s="65"/>
      <c r="T302" s="66"/>
      <c r="U302" s="66" t="str">
        <f aca="false">IF(ISBLANK($C302),"",IF(G302=Constants!$B$2, TRUE(), IF(G302=Constants!$B$3, FALSE(), TRUE())))</f>
        <v/>
      </c>
      <c r="V302" s="66" t="str">
        <f aca="false">IF(ISBLANK($C302),"",IF(H302=Constants!$B$2, TRUE(), IF(H302=Constants!$B$3, FALSE(), TRUE())))</f>
        <v/>
      </c>
      <c r="W302" s="66" t="str">
        <f aca="false">IF(ISBLANK($C302),"",IF(I302=Constants!$B$2, TRUE(), IF(I302=Constants!$B$3, FALSE(), TRUE())))</f>
        <v/>
      </c>
      <c r="X302" s="66" t="str">
        <f aca="false">IF(ISBLANK($C302),"",IF(AND(ISNUMBER(J302),J302&gt;0),INT(J302),0))</f>
        <v/>
      </c>
      <c r="Y302" s="66" t="str">
        <f aca="false">IF(ISBLANK($C302),"",IF(K302=Constants!$B$2, TRUE(), IF(K302=Constants!$B$3, FALSE(), TRUE())))</f>
        <v/>
      </c>
      <c r="Z302" s="66" t="str">
        <f aca="false">IF(ISBLANK($C302),"",IF(AND(ISNUMBER(L302),L302&gt;0),INT(L302),0))</f>
        <v/>
      </c>
      <c r="AA302" s="68" t="str">
        <f aca="false">IF(ISBLANK($C302),"",IF(ISNUMBER(M302), M302, ""))</f>
        <v/>
      </c>
      <c r="AB302" s="68" t="str">
        <f aca="false">IF(ISBLANK($C302),"",IF(ISNUMBER(N302), N302, ""))</f>
        <v/>
      </c>
      <c r="AC302" s="68" t="str">
        <f aca="false">IF(ISBLANK($C302),"",IF(ISNUMBER(O302), O302, ""))</f>
        <v/>
      </c>
      <c r="AD302" s="69" t="str">
        <f aca="false">IF(ISBLANK($C302),"",IF(ISNUMBER(P302), P302, ""))</f>
        <v/>
      </c>
      <c r="AE302" s="69" t="str">
        <f aca="false">IF(ISBLANK($C302),"",IF(ISNUMBER(Q302), Q302, Constants!$B$13))</f>
        <v/>
      </c>
      <c r="AF302" s="66" t="str">
        <f aca="false">IF(ISBLANK($C302),"",IF(R302=Constants!$B$2, TRUE(), IF(R302=Constants!$B$3, FALSE(), FALSE())))</f>
        <v/>
      </c>
      <c r="AG302" s="66" t="str">
        <f aca="false">IF(ISBLANK(C302), "", IF(AF302, Constants!$B$4,IF(COUNTA(G302:P302)=0, Constants!$B$5, Constants!$B$7)))</f>
        <v/>
      </c>
      <c r="AH302" s="66" t="str">
        <f aca="false">IF(ISBLANK($C302), "",IF($AG302=Constants!$B$7,1,$AG302))</f>
        <v/>
      </c>
      <c r="AI302" s="66" t="str">
        <f aca="false">IF($AG302=Constants!$B$7,POWER(Constants!$B$11,X302)*POWER(Constants!$B$12,Z302),"")</f>
        <v/>
      </c>
      <c r="AJ302" s="66" t="str">
        <f aca="false">IF(AND($AG302=Constants!$B$7, U302, V302) ,IF(OR($AA302="",$AC302=""),"",MAX(0, $AC302-$AA302)),"")</f>
        <v/>
      </c>
      <c r="AK302" s="66" t="str">
        <f aca="false">IF(AND($AG302=Constants!$B$7, U302, V302),IF(OR($AA302="",$AC302=""),$AK$6,""),"")</f>
        <v/>
      </c>
      <c r="AL302" s="66" t="str">
        <f aca="false">IF($AG302=Constants!$B$7,IF(AND(U302,V302,W302,Y302),IF($AJ302="",0,IF($AJ$6=0,Constants!$B$9,Constants!$B$9*AJ302/$AJ$6)), 0),"")</f>
        <v/>
      </c>
      <c r="AM302" s="66" t="str">
        <f aca="false">IF(AL302&lt;&gt;"", AL302*AI302,"")</f>
        <v/>
      </c>
      <c r="AN302" s="66" t="str">
        <f aca="false">IF(AND($AG302=Constants!$B$7, U302, V302) ,IF($AB302="", "", IF(OR($AC302="",$AC302=0),"",MAX(0,1-ABS($AC302-$AB302)/$AC302))),"")</f>
        <v/>
      </c>
      <c r="AO302" s="66" t="str">
        <f aca="false">IF(AND($AG302=Constants!$B$7, U302, V302),IF(AND($AA302&lt;&gt;"",$AB302&lt;&gt;"",$AC302=0),$AO$6,""),"")</f>
        <v/>
      </c>
      <c r="AP302" s="66" t="str">
        <f aca="false">IF($AG302=Constants!$B$7 ,IF(AND(U302,V302,W302,Y302,ISNUMBER(AB302)),IF($AN302="",0,IF($AN$6=0,Constants!$B$10,Constants!$B$10*AN302/$AN$6)), 0),"")</f>
        <v/>
      </c>
      <c r="AQ302" s="66" t="str">
        <f aca="false">IF(AP302&lt;&gt;"", AP302*AI302,"")</f>
        <v/>
      </c>
      <c r="AR302" s="66" t="str">
        <f aca="false">IF($AG302=Constants!$B$7,IF($AD302="",0,IF($AR$6=0,Constants!$B$8,Constants!$B$8*AD302/$AR$6)),"")</f>
        <v/>
      </c>
      <c r="AS302" s="66" t="str">
        <f aca="false">IF($AG302&lt;&gt;Constants!$B$7,$AG302,IF(AK302&amp;AO302&lt;&gt;"",Constants!$B$14,AM302+AQ302+AR302))</f>
        <v/>
      </c>
      <c r="AT302" s="66" t="str">
        <f aca="false">IF(ISBLANK($C302),"",IF($AG302=Constants!$B$7,IF(ISNUMBER(AS302),RANK(AS302,$AS$8:$AS$507),Constants!$B$14),$AG302))</f>
        <v/>
      </c>
      <c r="AU302" s="66" t="str">
        <f aca="false">IF(ISBLANK($C302), "",AM302)</f>
        <v/>
      </c>
      <c r="AV302" s="66" t="str">
        <f aca="false">IF(ISBLANK($C302),"",IF($AG302=Constants!$B$7,RANK(AU302,AU$8:AU$507),$AG302))</f>
        <v/>
      </c>
      <c r="AW302" s="66" t="str">
        <f aca="false">IF(ISBLANK($C302), "",AR302)</f>
        <v/>
      </c>
      <c r="AX302" s="66" t="str">
        <f aca="false">IF(ISBLANK($C302),"",IF($AG302=Constants!$B$7,RANK(AW302,AW$8:AW$507),$AG302))</f>
        <v/>
      </c>
      <c r="AY302" s="66" t="str">
        <f aca="false">IF(ISBLANK($C302), "",AE302)</f>
        <v/>
      </c>
      <c r="AZ302" s="66" t="str">
        <f aca="false">IF(ISBLANK($C302),"",
IF($AG302=Constants!$B$7,
  IF(ISNUMBER(AT302),
    COUNTIFS($AT$8:$AT$507,"&lt;"&amp;$AT302)
    + COUNTIFS($AT$8:$AT$507,$AT302,$AV$8:$AV$507,"&lt;"&amp;$AV302)
    + COUNTIFS($AT$8:$AT$507,$AT302,$AV$8:$AV$507,$AV302,$AX$8:$AX$507,"&lt;"&amp;$AX302)
    + COUNTIFS($AT$8:$AT$507,$AT302,$AV$8:$AV$507,$AV302,$AX$8:$AX$507,$AX302,$AY$8:$AY$507,"&lt;"&amp;$AY302)
    + 1,
  Constants!$B$14),
$AG302))</f>
        <v/>
      </c>
      <c r="BA302" s="66" t="str">
        <f aca="false">IF(ISBLANK(C302),"",IF($AG302=Constants!$B$7, IF(ISNUMBER(AT302),AT302-AZ302,Constants!$B$14),$AG302))</f>
        <v/>
      </c>
      <c r="BB302" s="70"/>
      <c r="BC302" s="84" t="str">
        <f aca="false">IF(ISBLANK($C302),"",TRIM(AK302&amp;" "&amp;AO302))</f>
        <v/>
      </c>
      <c r="BD302" s="72" t="str">
        <f aca="false">IF(ISBLANK($C302),"",IF($AG302&lt;&gt;Constants!$B$7,$AG302,AR302))</f>
        <v/>
      </c>
      <c r="BE302" s="72" t="str">
        <f aca="false">IF(ISBLANK($C302),"",IF($AG302&lt;&gt;Constants!$B$7,$AG302,AM302))</f>
        <v/>
      </c>
      <c r="BF302" s="72" t="str">
        <f aca="false">IF(ISBLANK($C302),"",IF($AG302&lt;&gt;Constants!$B$7,$AG302,AQ302))</f>
        <v/>
      </c>
      <c r="BG302" s="73" t="str">
        <f aca="false">IF(ISBLANK($C302),"",IF($AG302&lt;&gt;Constants!$B$7, $AG302 ,AS302))</f>
        <v/>
      </c>
      <c r="BH302" s="74" t="str">
        <f aca="false">IF(ISBLANK($C302),"",IF($AG302&lt;&gt;Constants!$B$7, $AG302 ,AH302))</f>
        <v/>
      </c>
      <c r="BI302" s="72" t="str">
        <f aca="false">IF(ISBLANK(C302),"",BA302)</f>
        <v/>
      </c>
      <c r="BJ302" s="72" t="str">
        <f aca="false">IF(ISBLANK(C302),"",AZ302)</f>
        <v/>
      </c>
      <c r="BK302" s="75" t="str">
        <f aca="false">IF(ISBLANK(C302),"",IFERROR(_xlfn.SWITCH(BJ302, Constants!$B$4, COUNTA($C$8:$C801)+2, Constants!$B$5, COUNTA($C$8:$C801)+1, Constants!$B$6, COUNTA($C$8:$C801)),BJ302))</f>
        <v/>
      </c>
      <c r="BL302" s="5"/>
      <c r="BM302" s="76" t="n">
        <f aca="false">IF(OR(ISNUMBER(BJ302),BJ302="DQ",BJ302="P",BJ302="NS"),
    1,
    0
)</f>
        <v>0</v>
      </c>
      <c r="BN302" s="76" t="n">
        <v>295</v>
      </c>
      <c r="BO302" s="76" t="str">
        <f aca="false">IF(ISBLANK($C302),"",IF(ISNUMBER(BK302),BK302+ROW($B302)/1000,""))</f>
        <v/>
      </c>
      <c r="BP302" s="76" t="str">
        <f aca="false">IF(ISNUMBER(BO302), RANK(BO302,BO$8:BO$507,1), "")</f>
        <v/>
      </c>
      <c r="BQ302" s="76" t="str">
        <f aca="false">IF(ISBLANK($C302),
    "",
    $B302
)</f>
        <v/>
      </c>
      <c r="BR302" s="76" t="str">
        <f aca="false">IF(ISBLANK($C302),
    "",
    $C302
)</f>
        <v/>
      </c>
      <c r="BS302" s="76" t="str">
        <f aca="false">IF(ISBLANK($C302),
    "",
    $D302
)</f>
        <v/>
      </c>
      <c r="BT302" s="77" t="str">
        <f aca="false">BH302</f>
        <v/>
      </c>
      <c r="BU302" s="78" t="str">
        <f aca="false">BG302</f>
        <v/>
      </c>
      <c r="BV302" s="76" t="str">
        <f aca="false">IF(ISBLANK($C302),
    "",
    BJ302
)</f>
        <v/>
      </c>
      <c r="BW302" s="79" t="str">
        <f aca="false">IF(BN302&gt;BM$7,
    "",
    VLOOKUP(BN302,BP$8:BV801,7,FALSE())
)</f>
        <v/>
      </c>
      <c r="BX302" s="80" t="str">
        <f aca="false">IF(BN302&gt;BM$7,
    "",
    VLOOKUP(BN302,BP$8:BV801,2,FALSE())
)</f>
        <v/>
      </c>
      <c r="BY302" s="80" t="str">
        <f aca="false">IF(BN302&gt;BM$7,
    "",
    VLOOKUP(BN302,BP$8:BV801,3,FALSE())
)</f>
        <v/>
      </c>
      <c r="BZ302" s="80" t="str">
        <f aca="false">IF(BN302&gt;BM$7,
    "",
    VLOOKUP(BN302,BP$8:BV801,4,FALSE())
)</f>
        <v/>
      </c>
      <c r="CA302" s="80" t="str">
        <f aca="false">IF(BN302&gt;BM$7,
    "",
    VLOOKUP(BN302,BP$8:BV801,5,FALSE())
)</f>
        <v/>
      </c>
      <c r="CB302" s="81" t="str">
        <f aca="false">IF(BN302&gt;BM$7,
    "",
    VLOOKUP(BN302,BP$8:BV801,6,FALSE())
)</f>
        <v/>
      </c>
      <c r="CC302" s="53"/>
    </row>
    <row r="303" customFormat="false" ht="15.75" hidden="false" customHeight="false" outlineLevel="0" collapsed="false">
      <c r="A303" s="5"/>
      <c r="B303" s="129"/>
      <c r="C303" s="55"/>
      <c r="D303" s="56"/>
      <c r="E303" s="123"/>
      <c r="F303" s="123"/>
      <c r="G303" s="58"/>
      <c r="H303" s="59"/>
      <c r="I303" s="59"/>
      <c r="J303" s="83"/>
      <c r="K303" s="83"/>
      <c r="L303" s="83"/>
      <c r="M303" s="61"/>
      <c r="N303" s="61"/>
      <c r="O303" s="61"/>
      <c r="P303" s="62"/>
      <c r="Q303" s="63"/>
      <c r="R303" s="83"/>
      <c r="S303" s="65"/>
      <c r="T303" s="66"/>
      <c r="U303" s="66" t="str">
        <f aca="false">IF(ISBLANK($C303),"",IF(G303=Constants!$B$2, TRUE(), IF(G303=Constants!$B$3, FALSE(), TRUE())))</f>
        <v/>
      </c>
      <c r="V303" s="66" t="str">
        <f aca="false">IF(ISBLANK($C303),"",IF(H303=Constants!$B$2, TRUE(), IF(H303=Constants!$B$3, FALSE(), TRUE())))</f>
        <v/>
      </c>
      <c r="W303" s="66" t="str">
        <f aca="false">IF(ISBLANK($C303),"",IF(I303=Constants!$B$2, TRUE(), IF(I303=Constants!$B$3, FALSE(), TRUE())))</f>
        <v/>
      </c>
      <c r="X303" s="66" t="str">
        <f aca="false">IF(ISBLANK($C303),"",IF(AND(ISNUMBER(J303),J303&gt;0),INT(J303),0))</f>
        <v/>
      </c>
      <c r="Y303" s="66" t="str">
        <f aca="false">IF(ISBLANK($C303),"",IF(K303=Constants!$B$2, TRUE(), IF(K303=Constants!$B$3, FALSE(), TRUE())))</f>
        <v/>
      </c>
      <c r="Z303" s="66" t="str">
        <f aca="false">IF(ISBLANK($C303),"",IF(AND(ISNUMBER(L303),L303&gt;0),INT(L303),0))</f>
        <v/>
      </c>
      <c r="AA303" s="68" t="str">
        <f aca="false">IF(ISBLANK($C303),"",IF(ISNUMBER(M303), M303, ""))</f>
        <v/>
      </c>
      <c r="AB303" s="68" t="str">
        <f aca="false">IF(ISBLANK($C303),"",IF(ISNUMBER(N303), N303, ""))</f>
        <v/>
      </c>
      <c r="AC303" s="68" t="str">
        <f aca="false">IF(ISBLANK($C303),"",IF(ISNUMBER(O303), O303, ""))</f>
        <v/>
      </c>
      <c r="AD303" s="69" t="str">
        <f aca="false">IF(ISBLANK($C303),"",IF(ISNUMBER(P303), P303, ""))</f>
        <v/>
      </c>
      <c r="AE303" s="69" t="str">
        <f aca="false">IF(ISBLANK($C303),"",IF(ISNUMBER(Q303), Q303, Constants!$B$13))</f>
        <v/>
      </c>
      <c r="AF303" s="66" t="str">
        <f aca="false">IF(ISBLANK($C303),"",IF(R303=Constants!$B$2, TRUE(), IF(R303=Constants!$B$3, FALSE(), FALSE())))</f>
        <v/>
      </c>
      <c r="AG303" s="66" t="str">
        <f aca="false">IF(ISBLANK(C303), "", IF(AF303, Constants!$B$4,IF(COUNTA(G303:P303)=0, Constants!$B$5, Constants!$B$7)))</f>
        <v/>
      </c>
      <c r="AH303" s="66" t="str">
        <f aca="false">IF(ISBLANK($C303), "",IF($AG303=Constants!$B$7,1,$AG303))</f>
        <v/>
      </c>
      <c r="AI303" s="66" t="str">
        <f aca="false">IF($AG303=Constants!$B$7,POWER(Constants!$B$11,X303)*POWER(Constants!$B$12,Z303),"")</f>
        <v/>
      </c>
      <c r="AJ303" s="66" t="str">
        <f aca="false">IF(AND($AG303=Constants!$B$7, U303, V303) ,IF(OR($AA303="",$AC303=""),"",MAX(0, $AC303-$AA303)),"")</f>
        <v/>
      </c>
      <c r="AK303" s="66" t="str">
        <f aca="false">IF(AND($AG303=Constants!$B$7, U303, V303),IF(OR($AA303="",$AC303=""),$AK$6,""),"")</f>
        <v/>
      </c>
      <c r="AL303" s="66" t="str">
        <f aca="false">IF($AG303=Constants!$B$7,IF(AND(U303,V303,W303,Y303),IF($AJ303="",0,IF($AJ$6=0,Constants!$B$9,Constants!$B$9*AJ303/$AJ$6)), 0),"")</f>
        <v/>
      </c>
      <c r="AM303" s="66" t="str">
        <f aca="false">IF(AL303&lt;&gt;"", AL303*AI303,"")</f>
        <v/>
      </c>
      <c r="AN303" s="66" t="str">
        <f aca="false">IF(AND($AG303=Constants!$B$7, U303, V303) ,IF($AB303="", "", IF(OR($AC303="",$AC303=0),"",MAX(0,1-ABS($AC303-$AB303)/$AC303))),"")</f>
        <v/>
      </c>
      <c r="AO303" s="66" t="str">
        <f aca="false">IF(AND($AG303=Constants!$B$7, U303, V303),IF(AND($AA303&lt;&gt;"",$AB303&lt;&gt;"",$AC303=0),$AO$6,""),"")</f>
        <v/>
      </c>
      <c r="AP303" s="66" t="str">
        <f aca="false">IF($AG303=Constants!$B$7 ,IF(AND(U303,V303,W303,Y303,ISNUMBER(AB303)),IF($AN303="",0,IF($AN$6=0,Constants!$B$10,Constants!$B$10*AN303/$AN$6)), 0),"")</f>
        <v/>
      </c>
      <c r="AQ303" s="66" t="str">
        <f aca="false">IF(AP303&lt;&gt;"", AP303*AI303,"")</f>
        <v/>
      </c>
      <c r="AR303" s="66" t="str">
        <f aca="false">IF($AG303=Constants!$B$7,IF($AD303="",0,IF($AR$6=0,Constants!$B$8,Constants!$B$8*AD303/$AR$6)),"")</f>
        <v/>
      </c>
      <c r="AS303" s="66" t="str">
        <f aca="false">IF($AG303&lt;&gt;Constants!$B$7,$AG303,IF(AK303&amp;AO303&lt;&gt;"",Constants!$B$14,AM303+AQ303+AR303))</f>
        <v/>
      </c>
      <c r="AT303" s="66" t="str">
        <f aca="false">IF(ISBLANK($C303),"",IF($AG303=Constants!$B$7,IF(ISNUMBER(AS303),RANK(AS303,$AS$8:$AS$507),Constants!$B$14),$AG303))</f>
        <v/>
      </c>
      <c r="AU303" s="66" t="str">
        <f aca="false">IF(ISBLANK($C303), "",AM303)</f>
        <v/>
      </c>
      <c r="AV303" s="66" t="str">
        <f aca="false">IF(ISBLANK($C303),"",IF($AG303=Constants!$B$7,RANK(AU303,AU$8:AU$507),$AG303))</f>
        <v/>
      </c>
      <c r="AW303" s="66" t="str">
        <f aca="false">IF(ISBLANK($C303), "",AR303)</f>
        <v/>
      </c>
      <c r="AX303" s="66" t="str">
        <f aca="false">IF(ISBLANK($C303),"",IF($AG303=Constants!$B$7,RANK(AW303,AW$8:AW$507),$AG303))</f>
        <v/>
      </c>
      <c r="AY303" s="66" t="str">
        <f aca="false">IF(ISBLANK($C303), "",AE303)</f>
        <v/>
      </c>
      <c r="AZ303" s="66" t="str">
        <f aca="false">IF(ISBLANK($C303),"",
IF($AG303=Constants!$B$7,
  IF(ISNUMBER(AT303),
    COUNTIFS($AT$8:$AT$507,"&lt;"&amp;$AT303)
    + COUNTIFS($AT$8:$AT$507,$AT303,$AV$8:$AV$507,"&lt;"&amp;$AV303)
    + COUNTIFS($AT$8:$AT$507,$AT303,$AV$8:$AV$507,$AV303,$AX$8:$AX$507,"&lt;"&amp;$AX303)
    + COUNTIFS($AT$8:$AT$507,$AT303,$AV$8:$AV$507,$AV303,$AX$8:$AX$507,$AX303,$AY$8:$AY$507,"&lt;"&amp;$AY303)
    + 1,
  Constants!$B$14),
$AG303))</f>
        <v/>
      </c>
      <c r="BA303" s="66" t="str">
        <f aca="false">IF(ISBLANK(C303),"",IF($AG303=Constants!$B$7, IF(ISNUMBER(AT303),AT303-AZ303,Constants!$B$14),$AG303))</f>
        <v/>
      </c>
      <c r="BB303" s="70"/>
      <c r="BC303" s="84" t="str">
        <f aca="false">IF(ISBLANK($C303),"",TRIM(AK303&amp;" "&amp;AO303))</f>
        <v/>
      </c>
      <c r="BD303" s="72" t="str">
        <f aca="false">IF(ISBLANK($C303),"",IF($AG303&lt;&gt;Constants!$B$7,$AG303,AR303))</f>
        <v/>
      </c>
      <c r="BE303" s="72" t="str">
        <f aca="false">IF(ISBLANK($C303),"",IF($AG303&lt;&gt;Constants!$B$7,$AG303,AM303))</f>
        <v/>
      </c>
      <c r="BF303" s="72" t="str">
        <f aca="false">IF(ISBLANK($C303),"",IF($AG303&lt;&gt;Constants!$B$7,$AG303,AQ303))</f>
        <v/>
      </c>
      <c r="BG303" s="73" t="str">
        <f aca="false">IF(ISBLANK($C303),"",IF($AG303&lt;&gt;Constants!$B$7, $AG303 ,AS303))</f>
        <v/>
      </c>
      <c r="BH303" s="74" t="str">
        <f aca="false">IF(ISBLANK($C303),"",IF($AG303&lt;&gt;Constants!$B$7, $AG303 ,AH303))</f>
        <v/>
      </c>
      <c r="BI303" s="72" t="str">
        <f aca="false">IF(ISBLANK(C303),"",BA303)</f>
        <v/>
      </c>
      <c r="BJ303" s="72" t="str">
        <f aca="false">IF(ISBLANK(C303),"",AZ303)</f>
        <v/>
      </c>
      <c r="BK303" s="75" t="str">
        <f aca="false">IF(ISBLANK(C303),"",IFERROR(_xlfn.SWITCH(BJ303, Constants!$B$4, COUNTA($C$8:$C802)+2, Constants!$B$5, COUNTA($C$8:$C802)+1, Constants!$B$6, COUNTA($C$8:$C802)),BJ303))</f>
        <v/>
      </c>
      <c r="BL303" s="5"/>
      <c r="BM303" s="76" t="n">
        <f aca="false">IF(OR(ISNUMBER(BJ303),BJ303="DQ",BJ303="P",BJ303="NS"),
    1,
    0
)</f>
        <v>0</v>
      </c>
      <c r="BN303" s="76" t="n">
        <v>296</v>
      </c>
      <c r="BO303" s="76" t="str">
        <f aca="false">IF(ISBLANK($C303),"",IF(ISNUMBER(BK303),BK303+ROW($B303)/1000,""))</f>
        <v/>
      </c>
      <c r="BP303" s="76" t="str">
        <f aca="false">IF(ISNUMBER(BO303), RANK(BO303,BO$8:BO$507,1), "")</f>
        <v/>
      </c>
      <c r="BQ303" s="76" t="str">
        <f aca="false">IF(ISBLANK($C303),
    "",
    $B303
)</f>
        <v/>
      </c>
      <c r="BR303" s="76" t="str">
        <f aca="false">IF(ISBLANK($C303),
    "",
    $C303
)</f>
        <v/>
      </c>
      <c r="BS303" s="76" t="str">
        <f aca="false">IF(ISBLANK($C303),
    "",
    $D303
)</f>
        <v/>
      </c>
      <c r="BT303" s="77" t="str">
        <f aca="false">BH303</f>
        <v/>
      </c>
      <c r="BU303" s="78" t="str">
        <f aca="false">BG303</f>
        <v/>
      </c>
      <c r="BV303" s="76" t="str">
        <f aca="false">IF(ISBLANK($C303),
    "",
    BJ303
)</f>
        <v/>
      </c>
      <c r="BW303" s="79" t="str">
        <f aca="false">IF(BN303&gt;BM$7,
    "",
    VLOOKUP(BN303,BP$8:BV802,7,FALSE())
)</f>
        <v/>
      </c>
      <c r="BX303" s="80" t="str">
        <f aca="false">IF(BN303&gt;BM$7,
    "",
    VLOOKUP(BN303,BP$8:BV802,2,FALSE())
)</f>
        <v/>
      </c>
      <c r="BY303" s="80" t="str">
        <f aca="false">IF(BN303&gt;BM$7,
    "",
    VLOOKUP(BN303,BP$8:BV802,3,FALSE())
)</f>
        <v/>
      </c>
      <c r="BZ303" s="80" t="str">
        <f aca="false">IF(BN303&gt;BM$7,
    "",
    VLOOKUP(BN303,BP$8:BV802,4,FALSE())
)</f>
        <v/>
      </c>
      <c r="CA303" s="80" t="str">
        <f aca="false">IF(BN303&gt;BM$7,
    "",
    VLOOKUP(BN303,BP$8:BV802,5,FALSE())
)</f>
        <v/>
      </c>
      <c r="CB303" s="81" t="str">
        <f aca="false">IF(BN303&gt;BM$7,
    "",
    VLOOKUP(BN303,BP$8:BV802,6,FALSE())
)</f>
        <v/>
      </c>
      <c r="CC303" s="53"/>
    </row>
    <row r="304" customFormat="false" ht="15.75" hidden="false" customHeight="false" outlineLevel="0" collapsed="false">
      <c r="A304" s="5"/>
      <c r="B304" s="129"/>
      <c r="C304" s="55"/>
      <c r="D304" s="56"/>
      <c r="E304" s="123"/>
      <c r="F304" s="123"/>
      <c r="G304" s="58"/>
      <c r="H304" s="59"/>
      <c r="I304" s="59"/>
      <c r="J304" s="83"/>
      <c r="K304" s="83"/>
      <c r="L304" s="83"/>
      <c r="M304" s="61"/>
      <c r="N304" s="61"/>
      <c r="O304" s="61"/>
      <c r="P304" s="62"/>
      <c r="Q304" s="63"/>
      <c r="R304" s="83"/>
      <c r="S304" s="65"/>
      <c r="T304" s="66"/>
      <c r="U304" s="66" t="str">
        <f aca="false">IF(ISBLANK($C304),"",IF(G304=Constants!$B$2, TRUE(), IF(G304=Constants!$B$3, FALSE(), TRUE())))</f>
        <v/>
      </c>
      <c r="V304" s="66" t="str">
        <f aca="false">IF(ISBLANK($C304),"",IF(H304=Constants!$B$2, TRUE(), IF(H304=Constants!$B$3, FALSE(), TRUE())))</f>
        <v/>
      </c>
      <c r="W304" s="66" t="str">
        <f aca="false">IF(ISBLANK($C304),"",IF(I304=Constants!$B$2, TRUE(), IF(I304=Constants!$B$3, FALSE(), TRUE())))</f>
        <v/>
      </c>
      <c r="X304" s="66" t="str">
        <f aca="false">IF(ISBLANK($C304),"",IF(AND(ISNUMBER(J304),J304&gt;0),INT(J304),0))</f>
        <v/>
      </c>
      <c r="Y304" s="66" t="str">
        <f aca="false">IF(ISBLANK($C304),"",IF(K304=Constants!$B$2, TRUE(), IF(K304=Constants!$B$3, FALSE(), TRUE())))</f>
        <v/>
      </c>
      <c r="Z304" s="66" t="str">
        <f aca="false">IF(ISBLANK($C304),"",IF(AND(ISNUMBER(L304),L304&gt;0),INT(L304),0))</f>
        <v/>
      </c>
      <c r="AA304" s="68" t="str">
        <f aca="false">IF(ISBLANK($C304),"",IF(ISNUMBER(M304), M304, ""))</f>
        <v/>
      </c>
      <c r="AB304" s="68" t="str">
        <f aca="false">IF(ISBLANK($C304),"",IF(ISNUMBER(N304), N304, ""))</f>
        <v/>
      </c>
      <c r="AC304" s="68" t="str">
        <f aca="false">IF(ISBLANK($C304),"",IF(ISNUMBER(O304), O304, ""))</f>
        <v/>
      </c>
      <c r="AD304" s="69" t="str">
        <f aca="false">IF(ISBLANK($C304),"",IF(ISNUMBER(P304), P304, ""))</f>
        <v/>
      </c>
      <c r="AE304" s="69" t="str">
        <f aca="false">IF(ISBLANK($C304),"",IF(ISNUMBER(Q304), Q304, Constants!$B$13))</f>
        <v/>
      </c>
      <c r="AF304" s="66" t="str">
        <f aca="false">IF(ISBLANK($C304),"",IF(R304=Constants!$B$2, TRUE(), IF(R304=Constants!$B$3, FALSE(), FALSE())))</f>
        <v/>
      </c>
      <c r="AG304" s="66" t="str">
        <f aca="false">IF(ISBLANK(C304), "", IF(AF304, Constants!$B$4,IF(COUNTA(G304:P304)=0, Constants!$B$5, Constants!$B$7)))</f>
        <v/>
      </c>
      <c r="AH304" s="66" t="str">
        <f aca="false">IF(ISBLANK($C304), "",IF($AG304=Constants!$B$7,1,$AG304))</f>
        <v/>
      </c>
      <c r="AI304" s="66" t="str">
        <f aca="false">IF($AG304=Constants!$B$7,POWER(Constants!$B$11,X304)*POWER(Constants!$B$12,Z304),"")</f>
        <v/>
      </c>
      <c r="AJ304" s="66" t="str">
        <f aca="false">IF(AND($AG304=Constants!$B$7, U304, V304) ,IF(OR($AA304="",$AC304=""),"",MAX(0, $AC304-$AA304)),"")</f>
        <v/>
      </c>
      <c r="AK304" s="66" t="str">
        <f aca="false">IF(AND($AG304=Constants!$B$7, U304, V304),IF(OR($AA304="",$AC304=""),$AK$6,""),"")</f>
        <v/>
      </c>
      <c r="AL304" s="66" t="str">
        <f aca="false">IF($AG304=Constants!$B$7,IF(AND(U304,V304,W304,Y304),IF($AJ304="",0,IF($AJ$6=0,Constants!$B$9,Constants!$B$9*AJ304/$AJ$6)), 0),"")</f>
        <v/>
      </c>
      <c r="AM304" s="66" t="str">
        <f aca="false">IF(AL304&lt;&gt;"", AL304*AI304,"")</f>
        <v/>
      </c>
      <c r="AN304" s="66" t="str">
        <f aca="false">IF(AND($AG304=Constants!$B$7, U304, V304) ,IF($AB304="", "", IF(OR($AC304="",$AC304=0),"",MAX(0,1-ABS($AC304-$AB304)/$AC304))),"")</f>
        <v/>
      </c>
      <c r="AO304" s="66" t="str">
        <f aca="false">IF(AND($AG304=Constants!$B$7, U304, V304),IF(AND($AA304&lt;&gt;"",$AB304&lt;&gt;"",$AC304=0),$AO$6,""),"")</f>
        <v/>
      </c>
      <c r="AP304" s="66" t="str">
        <f aca="false">IF($AG304=Constants!$B$7 ,IF(AND(U304,V304,W304,Y304,ISNUMBER(AB304)),IF($AN304="",0,IF($AN$6=0,Constants!$B$10,Constants!$B$10*AN304/$AN$6)), 0),"")</f>
        <v/>
      </c>
      <c r="AQ304" s="66" t="str">
        <f aca="false">IF(AP304&lt;&gt;"", AP304*AI304,"")</f>
        <v/>
      </c>
      <c r="AR304" s="66" t="str">
        <f aca="false">IF($AG304=Constants!$B$7,IF($AD304="",0,IF($AR$6=0,Constants!$B$8,Constants!$B$8*AD304/$AR$6)),"")</f>
        <v/>
      </c>
      <c r="AS304" s="66" t="str">
        <f aca="false">IF($AG304&lt;&gt;Constants!$B$7,$AG304,IF(AK304&amp;AO304&lt;&gt;"",Constants!$B$14,AM304+AQ304+AR304))</f>
        <v/>
      </c>
      <c r="AT304" s="66" t="str">
        <f aca="false">IF(ISBLANK($C304),"",IF($AG304=Constants!$B$7,IF(ISNUMBER(AS304),RANK(AS304,$AS$8:$AS$507),Constants!$B$14),$AG304))</f>
        <v/>
      </c>
      <c r="AU304" s="66" t="str">
        <f aca="false">IF(ISBLANK($C304), "",AM304)</f>
        <v/>
      </c>
      <c r="AV304" s="66" t="str">
        <f aca="false">IF(ISBLANK($C304),"",IF($AG304=Constants!$B$7,RANK(AU304,AU$8:AU$507),$AG304))</f>
        <v/>
      </c>
      <c r="AW304" s="66" t="str">
        <f aca="false">IF(ISBLANK($C304), "",AR304)</f>
        <v/>
      </c>
      <c r="AX304" s="66" t="str">
        <f aca="false">IF(ISBLANK($C304),"",IF($AG304=Constants!$B$7,RANK(AW304,AW$8:AW$507),$AG304))</f>
        <v/>
      </c>
      <c r="AY304" s="66" t="str">
        <f aca="false">IF(ISBLANK($C304), "",AE304)</f>
        <v/>
      </c>
      <c r="AZ304" s="66" t="str">
        <f aca="false">IF(ISBLANK($C304),"",
IF($AG304=Constants!$B$7,
  IF(ISNUMBER(AT304),
    COUNTIFS($AT$8:$AT$507,"&lt;"&amp;$AT304)
    + COUNTIFS($AT$8:$AT$507,$AT304,$AV$8:$AV$507,"&lt;"&amp;$AV304)
    + COUNTIFS($AT$8:$AT$507,$AT304,$AV$8:$AV$507,$AV304,$AX$8:$AX$507,"&lt;"&amp;$AX304)
    + COUNTIFS($AT$8:$AT$507,$AT304,$AV$8:$AV$507,$AV304,$AX$8:$AX$507,$AX304,$AY$8:$AY$507,"&lt;"&amp;$AY304)
    + 1,
  Constants!$B$14),
$AG304))</f>
        <v/>
      </c>
      <c r="BA304" s="66" t="str">
        <f aca="false">IF(ISBLANK(C304),"",IF($AG304=Constants!$B$7, IF(ISNUMBER(AT304),AT304-AZ304,Constants!$B$14),$AG304))</f>
        <v/>
      </c>
      <c r="BB304" s="70"/>
      <c r="BC304" s="84" t="str">
        <f aca="false">IF(ISBLANK($C304),"",TRIM(AK304&amp;" "&amp;AO304))</f>
        <v/>
      </c>
      <c r="BD304" s="72" t="str">
        <f aca="false">IF(ISBLANK($C304),"",IF($AG304&lt;&gt;Constants!$B$7,$AG304,AR304))</f>
        <v/>
      </c>
      <c r="BE304" s="72" t="str">
        <f aca="false">IF(ISBLANK($C304),"",IF($AG304&lt;&gt;Constants!$B$7,$AG304,AM304))</f>
        <v/>
      </c>
      <c r="BF304" s="72" t="str">
        <f aca="false">IF(ISBLANK($C304),"",IF($AG304&lt;&gt;Constants!$B$7,$AG304,AQ304))</f>
        <v/>
      </c>
      <c r="BG304" s="73" t="str">
        <f aca="false">IF(ISBLANK($C304),"",IF($AG304&lt;&gt;Constants!$B$7, $AG304 ,AS304))</f>
        <v/>
      </c>
      <c r="BH304" s="74" t="str">
        <f aca="false">IF(ISBLANK($C304),"",IF($AG304&lt;&gt;Constants!$B$7, $AG304 ,AH304))</f>
        <v/>
      </c>
      <c r="BI304" s="72" t="str">
        <f aca="false">IF(ISBLANK(C304),"",BA304)</f>
        <v/>
      </c>
      <c r="BJ304" s="72" t="str">
        <f aca="false">IF(ISBLANK(C304),"",AZ304)</f>
        <v/>
      </c>
      <c r="BK304" s="75" t="str">
        <f aca="false">IF(ISBLANK(C304),"",IFERROR(_xlfn.SWITCH(BJ304, Constants!$B$4, COUNTA($C$8:$C803)+2, Constants!$B$5, COUNTA($C$8:$C803)+1, Constants!$B$6, COUNTA($C$8:$C803)),BJ304))</f>
        <v/>
      </c>
      <c r="BL304" s="5"/>
      <c r="BM304" s="76" t="n">
        <f aca="false">IF(OR(ISNUMBER(BJ304),BJ304="DQ",BJ304="P",BJ304="NS"),
    1,
    0
)</f>
        <v>0</v>
      </c>
      <c r="BN304" s="76" t="n">
        <v>297</v>
      </c>
      <c r="BO304" s="76" t="str">
        <f aca="false">IF(ISBLANK($C304),"",IF(ISNUMBER(BK304),BK304+ROW($B304)/1000,""))</f>
        <v/>
      </c>
      <c r="BP304" s="76" t="str">
        <f aca="false">IF(ISNUMBER(BO304), RANK(BO304,BO$8:BO$507,1), "")</f>
        <v/>
      </c>
      <c r="BQ304" s="76" t="str">
        <f aca="false">IF(ISBLANK($C304),
    "",
    $B304
)</f>
        <v/>
      </c>
      <c r="BR304" s="76" t="str">
        <f aca="false">IF(ISBLANK($C304),
    "",
    $C304
)</f>
        <v/>
      </c>
      <c r="BS304" s="76" t="str">
        <f aca="false">IF(ISBLANK($C304),
    "",
    $D304
)</f>
        <v/>
      </c>
      <c r="BT304" s="77" t="str">
        <f aca="false">BH304</f>
        <v/>
      </c>
      <c r="BU304" s="78" t="str">
        <f aca="false">BG304</f>
        <v/>
      </c>
      <c r="BV304" s="76" t="str">
        <f aca="false">IF(ISBLANK($C304),
    "",
    BJ304
)</f>
        <v/>
      </c>
      <c r="BW304" s="79" t="str">
        <f aca="false">IF(BN304&gt;BM$7,
    "",
    VLOOKUP(BN304,BP$8:BV803,7,FALSE())
)</f>
        <v/>
      </c>
      <c r="BX304" s="80" t="str">
        <f aca="false">IF(BN304&gt;BM$7,
    "",
    VLOOKUP(BN304,BP$8:BV803,2,FALSE())
)</f>
        <v/>
      </c>
      <c r="BY304" s="80" t="str">
        <f aca="false">IF(BN304&gt;BM$7,
    "",
    VLOOKUP(BN304,BP$8:BV803,3,FALSE())
)</f>
        <v/>
      </c>
      <c r="BZ304" s="80" t="str">
        <f aca="false">IF(BN304&gt;BM$7,
    "",
    VLOOKUP(BN304,BP$8:BV803,4,FALSE())
)</f>
        <v/>
      </c>
      <c r="CA304" s="80" t="str">
        <f aca="false">IF(BN304&gt;BM$7,
    "",
    VLOOKUP(BN304,BP$8:BV803,5,FALSE())
)</f>
        <v/>
      </c>
      <c r="CB304" s="81" t="str">
        <f aca="false">IF(BN304&gt;BM$7,
    "",
    VLOOKUP(BN304,BP$8:BV803,6,FALSE())
)</f>
        <v/>
      </c>
      <c r="CC304" s="53"/>
    </row>
    <row r="305" customFormat="false" ht="15.75" hidden="false" customHeight="false" outlineLevel="0" collapsed="false">
      <c r="A305" s="5"/>
      <c r="B305" s="125"/>
      <c r="C305" s="126"/>
      <c r="D305" s="115"/>
      <c r="E305" s="119"/>
      <c r="F305" s="119"/>
      <c r="G305" s="91"/>
      <c r="H305" s="92"/>
      <c r="I305" s="92"/>
      <c r="J305" s="128"/>
      <c r="K305" s="128"/>
      <c r="L305" s="128"/>
      <c r="M305" s="94"/>
      <c r="N305" s="94"/>
      <c r="O305" s="94"/>
      <c r="P305" s="95"/>
      <c r="Q305" s="96"/>
      <c r="R305" s="128"/>
      <c r="S305" s="98"/>
      <c r="T305" s="99"/>
      <c r="U305" s="99" t="str">
        <f aca="false">IF(ISBLANK($C305),"",IF(G305=Constants!$B$2, TRUE(), IF(G305=Constants!$B$3, FALSE(), TRUE())))</f>
        <v/>
      </c>
      <c r="V305" s="99" t="str">
        <f aca="false">IF(ISBLANK($C305),"",IF(H305=Constants!$B$2, TRUE(), IF(H305=Constants!$B$3, FALSE(), TRUE())))</f>
        <v/>
      </c>
      <c r="W305" s="99" t="str">
        <f aca="false">IF(ISBLANK($C305),"",IF(I305=Constants!$B$2, TRUE(), IF(I305=Constants!$B$3, FALSE(), TRUE())))</f>
        <v/>
      </c>
      <c r="X305" s="99" t="str">
        <f aca="false">IF(ISBLANK($C305),"",IF(AND(ISNUMBER(J305),J305&gt;0),INT(J305),0))</f>
        <v/>
      </c>
      <c r="Y305" s="99" t="str">
        <f aca="false">IF(ISBLANK($C305),"",IF(K305=Constants!$B$2, TRUE(), IF(K305=Constants!$B$3, FALSE(), TRUE())))</f>
        <v/>
      </c>
      <c r="Z305" s="100" t="str">
        <f aca="false">IF(ISBLANK($C305),"",IF(AND(ISNUMBER(L305),L305&gt;0),INT(L305),0))</f>
        <v/>
      </c>
      <c r="AA305" s="101" t="str">
        <f aca="false">IF(ISBLANK($C305),"",IF(ISNUMBER(M305), M305, ""))</f>
        <v/>
      </c>
      <c r="AB305" s="101" t="str">
        <f aca="false">IF(ISBLANK($C305),"",IF(ISNUMBER(N305), N305, ""))</f>
        <v/>
      </c>
      <c r="AC305" s="101" t="str">
        <f aca="false">IF(ISBLANK($C305),"",IF(ISNUMBER(O305), O305, ""))</f>
        <v/>
      </c>
      <c r="AD305" s="102" t="str">
        <f aca="false">IF(ISBLANK($C305),"",IF(ISNUMBER(P305), P305, ""))</f>
        <v/>
      </c>
      <c r="AE305" s="102" t="str">
        <f aca="false">IF(ISBLANK($C305),"",IF(ISNUMBER(Q305), Q305, Constants!$B$13))</f>
        <v/>
      </c>
      <c r="AF305" s="99" t="str">
        <f aca="false">IF(ISBLANK($C305),"",IF(R305=Constants!$B$2, TRUE(), IF(R305=Constants!$B$3, FALSE(), FALSE())))</f>
        <v/>
      </c>
      <c r="AG305" s="99" t="str">
        <f aca="false">IF(ISBLANK(C305), "", IF(AF305, Constants!$B$4,IF(COUNTA(G305:P305)=0, Constants!$B$5, Constants!$B$7)))</f>
        <v/>
      </c>
      <c r="AH305" s="99" t="str">
        <f aca="false">IF(ISBLANK($C305), "",IF($AG305=Constants!$B$7,1,$AG305))</f>
        <v/>
      </c>
      <c r="AI305" s="99" t="str">
        <f aca="false">IF($AG305=Constants!$B$7,POWER(Constants!$B$11,X305)*POWER(Constants!$B$12,Z305),"")</f>
        <v/>
      </c>
      <c r="AJ305" s="99" t="str">
        <f aca="false">IF(AND($AG305=Constants!$B$7, U305, V305) ,IF(OR($AA305="",$AC305=""),"",MAX(0, $AC305-$AA305)),"")</f>
        <v/>
      </c>
      <c r="AK305" s="99" t="str">
        <f aca="false">IF(AND($AG305=Constants!$B$7, U305, V305),IF(OR($AA305="",$AC305=""),$AK$6,""),"")</f>
        <v/>
      </c>
      <c r="AL305" s="99" t="str">
        <f aca="false">IF($AG305=Constants!$B$7,IF(AND(U305,V305,W305,Y305),IF($AJ305="",0,IF($AJ$6=0,Constants!$B$9,Constants!$B$9*AJ305/$AJ$6)), 0),"")</f>
        <v/>
      </c>
      <c r="AM305" s="99" t="str">
        <f aca="false">IF(AL305&lt;&gt;"", AL305*AI305,"")</f>
        <v/>
      </c>
      <c r="AN305" s="99" t="str">
        <f aca="false">IF(AND($AG305=Constants!$B$7, U305, V305) ,IF($AB305="", "", IF(OR($AC305="",$AC305=0),"",MAX(0,1-ABS($AC305-$AB305)/$AC305))),"")</f>
        <v/>
      </c>
      <c r="AO305" s="99" t="str">
        <f aca="false">IF(AND($AG305=Constants!$B$7, U305, V305),IF(AND($AA305&lt;&gt;"",$AB305&lt;&gt;"",$AC305=0),$AO$6,""),"")</f>
        <v/>
      </c>
      <c r="AP305" s="99" t="str">
        <f aca="false">IF($AG305=Constants!$B$7 ,IF(AND(U305,V305,W305,Y305,ISNUMBER(AB305)),IF($AN305="",0,IF($AN$6=0,Constants!$B$10,Constants!$B$10*AN305/$AN$6)), 0),"")</f>
        <v/>
      </c>
      <c r="AQ305" s="99" t="str">
        <f aca="false">IF(AP305&lt;&gt;"", AP305*AI305,"")</f>
        <v/>
      </c>
      <c r="AR305" s="99" t="str">
        <f aca="false">IF($AG305=Constants!$B$7,IF($AD305="",0,IF($AR$6=0,Constants!$B$8,Constants!$B$8*AD305/$AR$6)),"")</f>
        <v/>
      </c>
      <c r="AS305" s="99" t="str">
        <f aca="false">IF($AG305&lt;&gt;Constants!$B$7,$AG305,IF(AK305&amp;AO305&lt;&gt;"",Constants!$B$14,AM305+AQ305+AR305))</f>
        <v/>
      </c>
      <c r="AT305" s="99" t="str">
        <f aca="false">IF(ISBLANK($C305),"",IF($AG305=Constants!$B$7,IF(ISNUMBER(AS305),RANK(AS305,$AS$8:$AS$507),Constants!$B$14),$AG305))</f>
        <v/>
      </c>
      <c r="AU305" s="99" t="str">
        <f aca="false">IF(ISBLANK($C305), "",AM305)</f>
        <v/>
      </c>
      <c r="AV305" s="99" t="str">
        <f aca="false">IF(ISBLANK($C305),"",IF($AG305=Constants!$B$7,RANK(AU305,AU$8:AU$507),$AG305))</f>
        <v/>
      </c>
      <c r="AW305" s="99" t="str">
        <f aca="false">IF(ISBLANK($C305), "",AR305)</f>
        <v/>
      </c>
      <c r="AX305" s="99" t="str">
        <f aca="false">IF(ISBLANK($C305),"",IF($AG305=Constants!$B$7,RANK(AW305,AW$8:AW$507),$AG305))</f>
        <v/>
      </c>
      <c r="AY305" s="99" t="str">
        <f aca="false">IF(ISBLANK($C305), "",AE305)</f>
        <v/>
      </c>
      <c r="AZ305" s="99" t="str">
        <f aca="false">IF(ISBLANK($C305),"",
IF($AG305=Constants!$B$7,
  IF(ISNUMBER(AT305),
    COUNTIFS($AT$8:$AT$507,"&lt;"&amp;$AT305)
    + COUNTIFS($AT$8:$AT$507,$AT305,$AV$8:$AV$507,"&lt;"&amp;$AV305)
    + COUNTIFS($AT$8:$AT$507,$AT305,$AV$8:$AV$507,$AV305,$AX$8:$AX$507,"&lt;"&amp;$AX305)
    + COUNTIFS($AT$8:$AT$507,$AT305,$AV$8:$AV$507,$AV305,$AX$8:$AX$507,$AX305,$AY$8:$AY$507,"&lt;"&amp;$AY305)
    + 1,
  Constants!$B$14),
$AG305))</f>
        <v/>
      </c>
      <c r="BA305" s="99" t="str">
        <f aca="false">IF(ISBLANK(C305),"",IF($AG305=Constants!$B$7, IF(ISNUMBER(AT305),AT305-AZ305,Constants!$B$14),$AG305))</f>
        <v/>
      </c>
      <c r="BB305" s="103"/>
      <c r="BC305" s="104" t="str">
        <f aca="false">IF(ISBLANK($C305),"",TRIM(AK305&amp;" "&amp;AO305))</f>
        <v/>
      </c>
      <c r="BD305" s="105" t="str">
        <f aca="false">IF(ISBLANK($C305),"",IF($AG305&lt;&gt;Constants!$B$7,$AG305,AR305))</f>
        <v/>
      </c>
      <c r="BE305" s="105" t="str">
        <f aca="false">IF(ISBLANK($C305),"",IF($AG305&lt;&gt;Constants!$B$7,$AG305,AM305))</f>
        <v/>
      </c>
      <c r="BF305" s="105" t="str">
        <f aca="false">IF(ISBLANK($C305),"",IF($AG305&lt;&gt;Constants!$B$7,$AG305,AQ305))</f>
        <v/>
      </c>
      <c r="BG305" s="106" t="str">
        <f aca="false">IF(ISBLANK($C305),"",IF($AG305&lt;&gt;Constants!$B$7, $AG305 ,AS305))</f>
        <v/>
      </c>
      <c r="BH305" s="107" t="str">
        <f aca="false">IF(ISBLANK($C305),"",IF($AG305&lt;&gt;Constants!$B$7, $AG305 ,AH305))</f>
        <v/>
      </c>
      <c r="BI305" s="105" t="str">
        <f aca="false">IF(ISBLANK(C305),"",BA305)</f>
        <v/>
      </c>
      <c r="BJ305" s="105" t="str">
        <f aca="false">IF(ISBLANK(C305),"",AZ305)</f>
        <v/>
      </c>
      <c r="BK305" s="108" t="str">
        <f aca="false">IF(ISBLANK(C305),"",IFERROR(_xlfn.SWITCH(BJ305, Constants!$B$4, COUNTA($C$8:$C804)+2, Constants!$B$5, COUNTA($C$8:$C804)+1, Constants!$B$6, COUNTA($C$8:$C804)),BJ305))</f>
        <v/>
      </c>
      <c r="BL305" s="5"/>
      <c r="BM305" s="109" t="n">
        <f aca="false">IF(OR(ISNUMBER(BJ305),BJ305="DQ",BJ305="P",BJ305="NS"),
    1,
    0
)</f>
        <v>0</v>
      </c>
      <c r="BN305" s="109" t="n">
        <v>298</v>
      </c>
      <c r="BO305" s="109" t="str">
        <f aca="false">IF(ISBLANK($C305),"",IF(ISNUMBER(BK305),BK305+ROW($B305)/1000,""))</f>
        <v/>
      </c>
      <c r="BP305" s="109" t="str">
        <f aca="false">IF(ISNUMBER(BO305), RANK(BO305,BO$8:BO$507,1), "")</f>
        <v/>
      </c>
      <c r="BQ305" s="109" t="str">
        <f aca="false">IF(ISBLANK($C305),
    "",
    $B305
)</f>
        <v/>
      </c>
      <c r="BR305" s="109" t="str">
        <f aca="false">IF(ISBLANK($C305),
    "",
    $C305
)</f>
        <v/>
      </c>
      <c r="BS305" s="109" t="str">
        <f aca="false">IF(ISBLANK($C305),
    "",
    $D305
)</f>
        <v/>
      </c>
      <c r="BT305" s="110" t="str">
        <f aca="false">BH305</f>
        <v/>
      </c>
      <c r="BU305" s="111" t="str">
        <f aca="false">BG305</f>
        <v/>
      </c>
      <c r="BV305" s="109" t="str">
        <f aca="false">IF(ISBLANK($C305),
    "",
    BJ305
)</f>
        <v/>
      </c>
      <c r="BW305" s="112" t="str">
        <f aca="false">IF(BN305&gt;BM$7,
    "",
    VLOOKUP(BN305,BP$8:BV804,7,FALSE())
)</f>
        <v/>
      </c>
      <c r="BX305" s="113" t="str">
        <f aca="false">IF(BN305&gt;BM$7,
    "",
    VLOOKUP(BN305,BP$8:BV804,2,FALSE())
)</f>
        <v/>
      </c>
      <c r="BY305" s="113" t="str">
        <f aca="false">IF(BN305&gt;BM$7,
    "",
    VLOOKUP(BN305,BP$8:BV804,3,FALSE())
)</f>
        <v/>
      </c>
      <c r="BZ305" s="113" t="str">
        <f aca="false">IF(BN305&gt;BM$7,
    "",
    VLOOKUP(BN305,BP$8:BV804,4,FALSE())
)</f>
        <v/>
      </c>
      <c r="CA305" s="113" t="str">
        <f aca="false">IF(BN305&gt;BM$7,
    "",
    VLOOKUP(BN305,BP$8:BV804,5,FALSE())
)</f>
        <v/>
      </c>
      <c r="CB305" s="114" t="str">
        <f aca="false">IF(BN305&gt;BM$7,
    "",
    VLOOKUP(BN305,BP$8:BV804,6,FALSE())
)</f>
        <v/>
      </c>
      <c r="CC305" s="53"/>
    </row>
    <row r="306" customFormat="false" ht="15.75" hidden="false" customHeight="false" outlineLevel="0" collapsed="false">
      <c r="A306" s="5"/>
      <c r="B306" s="125"/>
      <c r="C306" s="126"/>
      <c r="D306" s="115"/>
      <c r="E306" s="119"/>
      <c r="F306" s="119"/>
      <c r="G306" s="91"/>
      <c r="H306" s="92"/>
      <c r="I306" s="92"/>
      <c r="J306" s="128"/>
      <c r="K306" s="128"/>
      <c r="L306" s="128"/>
      <c r="M306" s="94"/>
      <c r="N306" s="94"/>
      <c r="O306" s="94"/>
      <c r="P306" s="95"/>
      <c r="Q306" s="96"/>
      <c r="R306" s="128"/>
      <c r="S306" s="98"/>
      <c r="T306" s="99"/>
      <c r="U306" s="99" t="str">
        <f aca="false">IF(ISBLANK($C306),"",IF(G306=Constants!$B$2, TRUE(), IF(G306=Constants!$B$3, FALSE(), TRUE())))</f>
        <v/>
      </c>
      <c r="V306" s="99" t="str">
        <f aca="false">IF(ISBLANK($C306),"",IF(H306=Constants!$B$2, TRUE(), IF(H306=Constants!$B$3, FALSE(), TRUE())))</f>
        <v/>
      </c>
      <c r="W306" s="99" t="str">
        <f aca="false">IF(ISBLANK($C306),"",IF(I306=Constants!$B$2, TRUE(), IF(I306=Constants!$B$3, FALSE(), TRUE())))</f>
        <v/>
      </c>
      <c r="X306" s="99" t="str">
        <f aca="false">IF(ISBLANK($C306),"",IF(AND(ISNUMBER(J306),J306&gt;0),INT(J306),0))</f>
        <v/>
      </c>
      <c r="Y306" s="99" t="str">
        <f aca="false">IF(ISBLANK($C306),"",IF(K306=Constants!$B$2, TRUE(), IF(K306=Constants!$B$3, FALSE(), TRUE())))</f>
        <v/>
      </c>
      <c r="Z306" s="100" t="str">
        <f aca="false">IF(ISBLANK($C306),"",IF(AND(ISNUMBER(L306),L306&gt;0),INT(L306),0))</f>
        <v/>
      </c>
      <c r="AA306" s="101" t="str">
        <f aca="false">IF(ISBLANK($C306),"",IF(ISNUMBER(M306), M306, ""))</f>
        <v/>
      </c>
      <c r="AB306" s="101" t="str">
        <f aca="false">IF(ISBLANK($C306),"",IF(ISNUMBER(N306), N306, ""))</f>
        <v/>
      </c>
      <c r="AC306" s="101" t="str">
        <f aca="false">IF(ISBLANK($C306),"",IF(ISNUMBER(O306), O306, ""))</f>
        <v/>
      </c>
      <c r="AD306" s="102" t="str">
        <f aca="false">IF(ISBLANK($C306),"",IF(ISNUMBER(P306), P306, ""))</f>
        <v/>
      </c>
      <c r="AE306" s="102" t="str">
        <f aca="false">IF(ISBLANK($C306),"",IF(ISNUMBER(Q306), Q306, Constants!$B$13))</f>
        <v/>
      </c>
      <c r="AF306" s="99" t="str">
        <f aca="false">IF(ISBLANK($C306),"",IF(R306=Constants!$B$2, TRUE(), IF(R306=Constants!$B$3, FALSE(), FALSE())))</f>
        <v/>
      </c>
      <c r="AG306" s="99" t="str">
        <f aca="false">IF(ISBLANK(C306), "", IF(AF306, Constants!$B$4,IF(COUNTA(G306:P306)=0, Constants!$B$5, Constants!$B$7)))</f>
        <v/>
      </c>
      <c r="AH306" s="99" t="str">
        <f aca="false">IF(ISBLANK($C306), "",IF($AG306=Constants!$B$7,1,$AG306))</f>
        <v/>
      </c>
      <c r="AI306" s="99" t="str">
        <f aca="false">IF($AG306=Constants!$B$7,POWER(Constants!$B$11,X306)*POWER(Constants!$B$12,Z306),"")</f>
        <v/>
      </c>
      <c r="AJ306" s="99" t="str">
        <f aca="false">IF(AND($AG306=Constants!$B$7, U306, V306) ,IF(OR($AA306="",$AC306=""),"",MAX(0, $AC306-$AA306)),"")</f>
        <v/>
      </c>
      <c r="AK306" s="99" t="str">
        <f aca="false">IF(AND($AG306=Constants!$B$7, U306, V306),IF(OR($AA306="",$AC306=""),$AK$6,""),"")</f>
        <v/>
      </c>
      <c r="AL306" s="99" t="str">
        <f aca="false">IF($AG306=Constants!$B$7,IF(AND(U306,V306,W306,Y306),IF($AJ306="",0,IF($AJ$6=0,Constants!$B$9,Constants!$B$9*AJ306/$AJ$6)), 0),"")</f>
        <v/>
      </c>
      <c r="AM306" s="99" t="str">
        <f aca="false">IF(AL306&lt;&gt;"", AL306*AI306,"")</f>
        <v/>
      </c>
      <c r="AN306" s="99" t="str">
        <f aca="false">IF(AND($AG306=Constants!$B$7, U306, V306) ,IF($AB306="", "", IF(OR($AC306="",$AC306=0),"",MAX(0,1-ABS($AC306-$AB306)/$AC306))),"")</f>
        <v/>
      </c>
      <c r="AO306" s="99" t="str">
        <f aca="false">IF(AND($AG306=Constants!$B$7, U306, V306),IF(AND($AA306&lt;&gt;"",$AB306&lt;&gt;"",$AC306=0),$AO$6,""),"")</f>
        <v/>
      </c>
      <c r="AP306" s="99" t="str">
        <f aca="false">IF($AG306=Constants!$B$7 ,IF(AND(U306,V306,W306,Y306,ISNUMBER(AB306)),IF($AN306="",0,IF($AN$6=0,Constants!$B$10,Constants!$B$10*AN306/$AN$6)), 0),"")</f>
        <v/>
      </c>
      <c r="AQ306" s="99" t="str">
        <f aca="false">IF(AP306&lt;&gt;"", AP306*AI306,"")</f>
        <v/>
      </c>
      <c r="AR306" s="99" t="str">
        <f aca="false">IF($AG306=Constants!$B$7,IF($AD306="",0,IF($AR$6=0,Constants!$B$8,Constants!$B$8*AD306/$AR$6)),"")</f>
        <v/>
      </c>
      <c r="AS306" s="99" t="str">
        <f aca="false">IF($AG306&lt;&gt;Constants!$B$7,$AG306,IF(AK306&amp;AO306&lt;&gt;"",Constants!$B$14,AM306+AQ306+AR306))</f>
        <v/>
      </c>
      <c r="AT306" s="99" t="str">
        <f aca="false">IF(ISBLANK($C306),"",IF($AG306=Constants!$B$7,IF(ISNUMBER(AS306),RANK(AS306,$AS$8:$AS$507),Constants!$B$14),$AG306))</f>
        <v/>
      </c>
      <c r="AU306" s="99" t="str">
        <f aca="false">IF(ISBLANK($C306), "",AM306)</f>
        <v/>
      </c>
      <c r="AV306" s="99" t="str">
        <f aca="false">IF(ISBLANK($C306),"",IF($AG306=Constants!$B$7,RANK(AU306,AU$8:AU$507),$AG306))</f>
        <v/>
      </c>
      <c r="AW306" s="99" t="str">
        <f aca="false">IF(ISBLANK($C306), "",AR306)</f>
        <v/>
      </c>
      <c r="AX306" s="99" t="str">
        <f aca="false">IF(ISBLANK($C306),"",IF($AG306=Constants!$B$7,RANK(AW306,AW$8:AW$507),$AG306))</f>
        <v/>
      </c>
      <c r="AY306" s="99" t="str">
        <f aca="false">IF(ISBLANK($C306), "",AE306)</f>
        <v/>
      </c>
      <c r="AZ306" s="99" t="str">
        <f aca="false">IF(ISBLANK($C306),"",
IF($AG306=Constants!$B$7,
  IF(ISNUMBER(AT306),
    COUNTIFS($AT$8:$AT$507,"&lt;"&amp;$AT306)
    + COUNTIFS($AT$8:$AT$507,$AT306,$AV$8:$AV$507,"&lt;"&amp;$AV306)
    + COUNTIFS($AT$8:$AT$507,$AT306,$AV$8:$AV$507,$AV306,$AX$8:$AX$507,"&lt;"&amp;$AX306)
    + COUNTIFS($AT$8:$AT$507,$AT306,$AV$8:$AV$507,$AV306,$AX$8:$AX$507,$AX306,$AY$8:$AY$507,"&lt;"&amp;$AY306)
    + 1,
  Constants!$B$14),
$AG306))</f>
        <v/>
      </c>
      <c r="BA306" s="99" t="str">
        <f aca="false">IF(ISBLANK(C306),"",IF($AG306=Constants!$B$7, IF(ISNUMBER(AT306),AT306-AZ306,Constants!$B$14),$AG306))</f>
        <v/>
      </c>
      <c r="BB306" s="103"/>
      <c r="BC306" s="104" t="str">
        <f aca="false">IF(ISBLANK($C306),"",TRIM(AK306&amp;" "&amp;AO306))</f>
        <v/>
      </c>
      <c r="BD306" s="105" t="str">
        <f aca="false">IF(ISBLANK($C306),"",IF($AG306&lt;&gt;Constants!$B$7,$AG306,AR306))</f>
        <v/>
      </c>
      <c r="BE306" s="105" t="str">
        <f aca="false">IF(ISBLANK($C306),"",IF($AG306&lt;&gt;Constants!$B$7,$AG306,AM306))</f>
        <v/>
      </c>
      <c r="BF306" s="105" t="str">
        <f aca="false">IF(ISBLANK($C306),"",IF($AG306&lt;&gt;Constants!$B$7,$AG306,AQ306))</f>
        <v/>
      </c>
      <c r="BG306" s="106" t="str">
        <f aca="false">IF(ISBLANK($C306),"",IF($AG306&lt;&gt;Constants!$B$7, $AG306 ,AS306))</f>
        <v/>
      </c>
      <c r="BH306" s="107" t="str">
        <f aca="false">IF(ISBLANK($C306),"",IF($AG306&lt;&gt;Constants!$B$7, $AG306 ,AH306))</f>
        <v/>
      </c>
      <c r="BI306" s="105" t="str">
        <f aca="false">IF(ISBLANK(C306),"",BA306)</f>
        <v/>
      </c>
      <c r="BJ306" s="105" t="str">
        <f aca="false">IF(ISBLANK(C306),"",AZ306)</f>
        <v/>
      </c>
      <c r="BK306" s="108" t="str">
        <f aca="false">IF(ISBLANK(C306),"",IFERROR(_xlfn.SWITCH(BJ306, Constants!$B$4, COUNTA($C$8:$C805)+2, Constants!$B$5, COUNTA($C$8:$C805)+1, Constants!$B$6, COUNTA($C$8:$C805)),BJ306))</f>
        <v/>
      </c>
      <c r="BL306" s="5"/>
      <c r="BM306" s="109" t="n">
        <f aca="false">IF(OR(ISNUMBER(BJ306),BJ306="DQ",BJ306="P",BJ306="NS"),
    1,
    0
)</f>
        <v>0</v>
      </c>
      <c r="BN306" s="109" t="n">
        <v>299</v>
      </c>
      <c r="BO306" s="109" t="str">
        <f aca="false">IF(ISBLANK($C306),"",IF(ISNUMBER(BK306),BK306+ROW($B306)/1000,""))</f>
        <v/>
      </c>
      <c r="BP306" s="109" t="str">
        <f aca="false">IF(ISNUMBER(BO306), RANK(BO306,BO$8:BO$507,1), "")</f>
        <v/>
      </c>
      <c r="BQ306" s="109" t="str">
        <f aca="false">IF(ISBLANK($C306),
    "",
    $B306
)</f>
        <v/>
      </c>
      <c r="BR306" s="109" t="str">
        <f aca="false">IF(ISBLANK($C306),
    "",
    $C306
)</f>
        <v/>
      </c>
      <c r="BS306" s="109" t="str">
        <f aca="false">IF(ISBLANK($C306),
    "",
    $D306
)</f>
        <v/>
      </c>
      <c r="BT306" s="110" t="str">
        <f aca="false">BH306</f>
        <v/>
      </c>
      <c r="BU306" s="111" t="str">
        <f aca="false">BG306</f>
        <v/>
      </c>
      <c r="BV306" s="109" t="str">
        <f aca="false">IF(ISBLANK($C306),
    "",
    BJ306
)</f>
        <v/>
      </c>
      <c r="BW306" s="112" t="str">
        <f aca="false">IF(BN306&gt;BM$7,
    "",
    VLOOKUP(BN306,BP$8:BV805,7,FALSE())
)</f>
        <v/>
      </c>
      <c r="BX306" s="113" t="str">
        <f aca="false">IF(BN306&gt;BM$7,
    "",
    VLOOKUP(BN306,BP$8:BV805,2,FALSE())
)</f>
        <v/>
      </c>
      <c r="BY306" s="113" t="str">
        <f aca="false">IF(BN306&gt;BM$7,
    "",
    VLOOKUP(BN306,BP$8:BV805,3,FALSE())
)</f>
        <v/>
      </c>
      <c r="BZ306" s="113" t="str">
        <f aca="false">IF(BN306&gt;BM$7,
    "",
    VLOOKUP(BN306,BP$8:BV805,4,FALSE())
)</f>
        <v/>
      </c>
      <c r="CA306" s="113" t="str">
        <f aca="false">IF(BN306&gt;BM$7,
    "",
    VLOOKUP(BN306,BP$8:BV805,5,FALSE())
)</f>
        <v/>
      </c>
      <c r="CB306" s="114" t="str">
        <f aca="false">IF(BN306&gt;BM$7,
    "",
    VLOOKUP(BN306,BP$8:BV805,6,FALSE())
)</f>
        <v/>
      </c>
      <c r="CC306" s="53"/>
    </row>
    <row r="307" customFormat="false" ht="15.75" hidden="false" customHeight="false" outlineLevel="0" collapsed="false">
      <c r="A307" s="5"/>
      <c r="B307" s="125"/>
      <c r="C307" s="126"/>
      <c r="D307" s="115"/>
      <c r="E307" s="119"/>
      <c r="F307" s="119"/>
      <c r="G307" s="91"/>
      <c r="H307" s="92"/>
      <c r="I307" s="92"/>
      <c r="J307" s="128"/>
      <c r="K307" s="128"/>
      <c r="L307" s="128"/>
      <c r="M307" s="94"/>
      <c r="N307" s="94"/>
      <c r="O307" s="94"/>
      <c r="P307" s="95"/>
      <c r="Q307" s="96"/>
      <c r="R307" s="128"/>
      <c r="S307" s="98"/>
      <c r="T307" s="99"/>
      <c r="U307" s="99" t="str">
        <f aca="false">IF(ISBLANK($C307),"",IF(G307=Constants!$B$2, TRUE(), IF(G307=Constants!$B$3, FALSE(), TRUE())))</f>
        <v/>
      </c>
      <c r="V307" s="99" t="str">
        <f aca="false">IF(ISBLANK($C307),"",IF(H307=Constants!$B$2, TRUE(), IF(H307=Constants!$B$3, FALSE(), TRUE())))</f>
        <v/>
      </c>
      <c r="W307" s="99" t="str">
        <f aca="false">IF(ISBLANK($C307),"",IF(I307=Constants!$B$2, TRUE(), IF(I307=Constants!$B$3, FALSE(), TRUE())))</f>
        <v/>
      </c>
      <c r="X307" s="99" t="str">
        <f aca="false">IF(ISBLANK($C307),"",IF(AND(ISNUMBER(J307),J307&gt;0),INT(J307),0))</f>
        <v/>
      </c>
      <c r="Y307" s="99" t="str">
        <f aca="false">IF(ISBLANK($C307),"",IF(K307=Constants!$B$2, TRUE(), IF(K307=Constants!$B$3, FALSE(), TRUE())))</f>
        <v/>
      </c>
      <c r="Z307" s="100" t="str">
        <f aca="false">IF(ISBLANK($C307),"",IF(AND(ISNUMBER(L307),L307&gt;0),INT(L307),0))</f>
        <v/>
      </c>
      <c r="AA307" s="101" t="str">
        <f aca="false">IF(ISBLANK($C307),"",IF(ISNUMBER(M307), M307, ""))</f>
        <v/>
      </c>
      <c r="AB307" s="101" t="str">
        <f aca="false">IF(ISBLANK($C307),"",IF(ISNUMBER(N307), N307, ""))</f>
        <v/>
      </c>
      <c r="AC307" s="101" t="str">
        <f aca="false">IF(ISBLANK($C307),"",IF(ISNUMBER(O307), O307, ""))</f>
        <v/>
      </c>
      <c r="AD307" s="102" t="str">
        <f aca="false">IF(ISBLANK($C307),"",IF(ISNUMBER(P307), P307, ""))</f>
        <v/>
      </c>
      <c r="AE307" s="102" t="str">
        <f aca="false">IF(ISBLANK($C307),"",IF(ISNUMBER(Q307), Q307, Constants!$B$13))</f>
        <v/>
      </c>
      <c r="AF307" s="99" t="str">
        <f aca="false">IF(ISBLANK($C307),"",IF(R307=Constants!$B$2, TRUE(), IF(R307=Constants!$B$3, FALSE(), FALSE())))</f>
        <v/>
      </c>
      <c r="AG307" s="99" t="str">
        <f aca="false">IF(ISBLANK(C307), "", IF(AF307, Constants!$B$4,IF(COUNTA(G307:P307)=0, Constants!$B$5, Constants!$B$7)))</f>
        <v/>
      </c>
      <c r="AH307" s="99" t="str">
        <f aca="false">IF(ISBLANK($C307), "",IF($AG307=Constants!$B$7,1,$AG307))</f>
        <v/>
      </c>
      <c r="AI307" s="99" t="str">
        <f aca="false">IF($AG307=Constants!$B$7,POWER(Constants!$B$11,X307)*POWER(Constants!$B$12,Z307),"")</f>
        <v/>
      </c>
      <c r="AJ307" s="99" t="str">
        <f aca="false">IF(AND($AG307=Constants!$B$7, U307, V307) ,IF(OR($AA307="",$AC307=""),"",MAX(0, $AC307-$AA307)),"")</f>
        <v/>
      </c>
      <c r="AK307" s="99" t="str">
        <f aca="false">IF(AND($AG307=Constants!$B$7, U307, V307),IF(OR($AA307="",$AC307=""),$AK$6,""),"")</f>
        <v/>
      </c>
      <c r="AL307" s="99" t="str">
        <f aca="false">IF($AG307=Constants!$B$7,IF(AND(U307,V307,W307,Y307),IF($AJ307="",0,IF($AJ$6=0,Constants!$B$9,Constants!$B$9*AJ307/$AJ$6)), 0),"")</f>
        <v/>
      </c>
      <c r="AM307" s="99" t="str">
        <f aca="false">IF(AL307&lt;&gt;"", AL307*AI307,"")</f>
        <v/>
      </c>
      <c r="AN307" s="99" t="str">
        <f aca="false">IF(AND($AG307=Constants!$B$7, U307, V307) ,IF($AB307="", "", IF(OR($AC307="",$AC307=0),"",MAX(0,1-ABS($AC307-$AB307)/$AC307))),"")</f>
        <v/>
      </c>
      <c r="AO307" s="99" t="str">
        <f aca="false">IF(AND($AG307=Constants!$B$7, U307, V307),IF(AND($AA307&lt;&gt;"",$AB307&lt;&gt;"",$AC307=0),$AO$6,""),"")</f>
        <v/>
      </c>
      <c r="AP307" s="99" t="str">
        <f aca="false">IF($AG307=Constants!$B$7 ,IF(AND(U307,V307,W307,Y307,ISNUMBER(AB307)),IF($AN307="",0,IF($AN$6=0,Constants!$B$10,Constants!$B$10*AN307/$AN$6)), 0),"")</f>
        <v/>
      </c>
      <c r="AQ307" s="99" t="str">
        <f aca="false">IF(AP307&lt;&gt;"", AP307*AI307,"")</f>
        <v/>
      </c>
      <c r="AR307" s="99" t="str">
        <f aca="false">IF($AG307=Constants!$B$7,IF($AD307="",0,IF($AR$6=0,Constants!$B$8,Constants!$B$8*AD307/$AR$6)),"")</f>
        <v/>
      </c>
      <c r="AS307" s="99" t="str">
        <f aca="false">IF($AG307&lt;&gt;Constants!$B$7,$AG307,IF(AK307&amp;AO307&lt;&gt;"",Constants!$B$14,AM307+AQ307+AR307))</f>
        <v/>
      </c>
      <c r="AT307" s="99" t="str">
        <f aca="false">IF(ISBLANK($C307),"",IF($AG307=Constants!$B$7,IF(ISNUMBER(AS307),RANK(AS307,$AS$8:$AS$507),Constants!$B$14),$AG307))</f>
        <v/>
      </c>
      <c r="AU307" s="99" t="str">
        <f aca="false">IF(ISBLANK($C307), "",AM307)</f>
        <v/>
      </c>
      <c r="AV307" s="99" t="str">
        <f aca="false">IF(ISBLANK($C307),"",IF($AG307=Constants!$B$7,RANK(AU307,AU$8:AU$507),$AG307))</f>
        <v/>
      </c>
      <c r="AW307" s="99" t="str">
        <f aca="false">IF(ISBLANK($C307), "",AR307)</f>
        <v/>
      </c>
      <c r="AX307" s="99" t="str">
        <f aca="false">IF(ISBLANK($C307),"",IF($AG307=Constants!$B$7,RANK(AW307,AW$8:AW$507),$AG307))</f>
        <v/>
      </c>
      <c r="AY307" s="99" t="str">
        <f aca="false">IF(ISBLANK($C307), "",AE307)</f>
        <v/>
      </c>
      <c r="AZ307" s="99" t="str">
        <f aca="false">IF(ISBLANK($C307),"",
IF($AG307=Constants!$B$7,
  IF(ISNUMBER(AT307),
    COUNTIFS($AT$8:$AT$507,"&lt;"&amp;$AT307)
    + COUNTIFS($AT$8:$AT$507,$AT307,$AV$8:$AV$507,"&lt;"&amp;$AV307)
    + COUNTIFS($AT$8:$AT$507,$AT307,$AV$8:$AV$507,$AV307,$AX$8:$AX$507,"&lt;"&amp;$AX307)
    + COUNTIFS($AT$8:$AT$507,$AT307,$AV$8:$AV$507,$AV307,$AX$8:$AX$507,$AX307,$AY$8:$AY$507,"&lt;"&amp;$AY307)
    + 1,
  Constants!$B$14),
$AG307))</f>
        <v/>
      </c>
      <c r="BA307" s="99" t="str">
        <f aca="false">IF(ISBLANK(C307),"",IF($AG307=Constants!$B$7, IF(ISNUMBER(AT307),AT307-AZ307,Constants!$B$14),$AG307))</f>
        <v/>
      </c>
      <c r="BB307" s="103"/>
      <c r="BC307" s="104" t="str">
        <f aca="false">IF(ISBLANK($C307),"",TRIM(AK307&amp;" "&amp;AO307))</f>
        <v/>
      </c>
      <c r="BD307" s="105" t="str">
        <f aca="false">IF(ISBLANK($C307),"",IF($AG307&lt;&gt;Constants!$B$7,$AG307,AR307))</f>
        <v/>
      </c>
      <c r="BE307" s="105" t="str">
        <f aca="false">IF(ISBLANK($C307),"",IF($AG307&lt;&gt;Constants!$B$7,$AG307,AM307))</f>
        <v/>
      </c>
      <c r="BF307" s="105" t="str">
        <f aca="false">IF(ISBLANK($C307),"",IF($AG307&lt;&gt;Constants!$B$7,$AG307,AQ307))</f>
        <v/>
      </c>
      <c r="BG307" s="106" t="str">
        <f aca="false">IF(ISBLANK($C307),"",IF($AG307&lt;&gt;Constants!$B$7, $AG307 ,AS307))</f>
        <v/>
      </c>
      <c r="BH307" s="107" t="str">
        <f aca="false">IF(ISBLANK($C307),"",IF($AG307&lt;&gt;Constants!$B$7, $AG307 ,AH307))</f>
        <v/>
      </c>
      <c r="BI307" s="105" t="str">
        <f aca="false">IF(ISBLANK(C307),"",BA307)</f>
        <v/>
      </c>
      <c r="BJ307" s="105" t="str">
        <f aca="false">IF(ISBLANK(C307),"",AZ307)</f>
        <v/>
      </c>
      <c r="BK307" s="108" t="str">
        <f aca="false">IF(ISBLANK(C307),"",IFERROR(_xlfn.SWITCH(BJ307, Constants!$B$4, COUNTA($C$8:$C806)+2, Constants!$B$5, COUNTA($C$8:$C806)+1, Constants!$B$6, COUNTA($C$8:$C806)),BJ307))</f>
        <v/>
      </c>
      <c r="BL307" s="5"/>
      <c r="BM307" s="109" t="n">
        <f aca="false">IF(OR(ISNUMBER(BJ307),BJ307="DQ",BJ307="P",BJ307="NS"),
    1,
    0
)</f>
        <v>0</v>
      </c>
      <c r="BN307" s="109" t="n">
        <v>300</v>
      </c>
      <c r="BO307" s="109" t="str">
        <f aca="false">IF(ISBLANK($C307),"",IF(ISNUMBER(BK307),BK307+ROW($B307)/1000,""))</f>
        <v/>
      </c>
      <c r="BP307" s="109" t="str">
        <f aca="false">IF(ISNUMBER(BO307), RANK(BO307,BO$8:BO$507,1), "")</f>
        <v/>
      </c>
      <c r="BQ307" s="109" t="str">
        <f aca="false">IF(ISBLANK($C307),
    "",
    $B307
)</f>
        <v/>
      </c>
      <c r="BR307" s="109" t="str">
        <f aca="false">IF(ISBLANK($C307),
    "",
    $C307
)</f>
        <v/>
      </c>
      <c r="BS307" s="109" t="str">
        <f aca="false">IF(ISBLANK($C307),
    "",
    $D307
)</f>
        <v/>
      </c>
      <c r="BT307" s="110" t="str">
        <f aca="false">BH307</f>
        <v/>
      </c>
      <c r="BU307" s="111" t="str">
        <f aca="false">BG307</f>
        <v/>
      </c>
      <c r="BV307" s="109" t="str">
        <f aca="false">IF(ISBLANK($C307),
    "",
    BJ307
)</f>
        <v/>
      </c>
      <c r="BW307" s="112" t="str">
        <f aca="false">IF(BN307&gt;BM$7,
    "",
    VLOOKUP(BN307,BP$8:BV806,7,FALSE())
)</f>
        <v/>
      </c>
      <c r="BX307" s="113" t="str">
        <f aca="false">IF(BN307&gt;BM$7,
    "",
    VLOOKUP(BN307,BP$8:BV806,2,FALSE())
)</f>
        <v/>
      </c>
      <c r="BY307" s="113" t="str">
        <f aca="false">IF(BN307&gt;BM$7,
    "",
    VLOOKUP(BN307,BP$8:BV806,3,FALSE())
)</f>
        <v/>
      </c>
      <c r="BZ307" s="113" t="str">
        <f aca="false">IF(BN307&gt;BM$7,
    "",
    VLOOKUP(BN307,BP$8:BV806,4,FALSE())
)</f>
        <v/>
      </c>
      <c r="CA307" s="113" t="str">
        <f aca="false">IF(BN307&gt;BM$7,
    "",
    VLOOKUP(BN307,BP$8:BV806,5,FALSE())
)</f>
        <v/>
      </c>
      <c r="CB307" s="114" t="str">
        <f aca="false">IF(BN307&gt;BM$7,
    "",
    VLOOKUP(BN307,BP$8:BV806,6,FALSE())
)</f>
        <v/>
      </c>
      <c r="CC307" s="53"/>
    </row>
    <row r="308" customFormat="false" ht="15.75" hidden="false" customHeight="false" outlineLevel="0" collapsed="false">
      <c r="A308" s="5"/>
      <c r="B308" s="129"/>
      <c r="C308" s="55"/>
      <c r="D308" s="56"/>
      <c r="E308" s="123"/>
      <c r="F308" s="123"/>
      <c r="G308" s="58"/>
      <c r="H308" s="59"/>
      <c r="I308" s="59"/>
      <c r="J308" s="83"/>
      <c r="K308" s="83"/>
      <c r="L308" s="83"/>
      <c r="M308" s="61"/>
      <c r="N308" s="61"/>
      <c r="O308" s="61"/>
      <c r="P308" s="62"/>
      <c r="Q308" s="63"/>
      <c r="R308" s="83"/>
      <c r="S308" s="65"/>
      <c r="T308" s="66"/>
      <c r="U308" s="66" t="str">
        <f aca="false">IF(ISBLANK($C308),"",IF(G308=Constants!$B$2, TRUE(), IF(G308=Constants!$B$3, FALSE(), TRUE())))</f>
        <v/>
      </c>
      <c r="V308" s="66" t="str">
        <f aca="false">IF(ISBLANK($C308),"",IF(H308=Constants!$B$2, TRUE(), IF(H308=Constants!$B$3, FALSE(), TRUE())))</f>
        <v/>
      </c>
      <c r="W308" s="66" t="str">
        <f aca="false">IF(ISBLANK($C308),"",IF(I308=Constants!$B$2, TRUE(), IF(I308=Constants!$B$3, FALSE(), TRUE())))</f>
        <v/>
      </c>
      <c r="X308" s="66" t="str">
        <f aca="false">IF(ISBLANK($C308),"",IF(AND(ISNUMBER(J308),J308&gt;0),INT(J308),0))</f>
        <v/>
      </c>
      <c r="Y308" s="66" t="str">
        <f aca="false">IF(ISBLANK($C308),"",IF(K308=Constants!$B$2, TRUE(), IF(K308=Constants!$B$3, FALSE(), TRUE())))</f>
        <v/>
      </c>
      <c r="Z308" s="66" t="str">
        <f aca="false">IF(ISBLANK($C308),"",IF(AND(ISNUMBER(L308),L308&gt;0),INT(L308),0))</f>
        <v/>
      </c>
      <c r="AA308" s="68" t="str">
        <f aca="false">IF(ISBLANK($C308),"",IF(ISNUMBER(M308), M308, ""))</f>
        <v/>
      </c>
      <c r="AB308" s="68" t="str">
        <f aca="false">IF(ISBLANK($C308),"",IF(ISNUMBER(N308), N308, ""))</f>
        <v/>
      </c>
      <c r="AC308" s="68" t="str">
        <f aca="false">IF(ISBLANK($C308),"",IF(ISNUMBER(O308), O308, ""))</f>
        <v/>
      </c>
      <c r="AD308" s="69" t="str">
        <f aca="false">IF(ISBLANK($C308),"",IF(ISNUMBER(P308), P308, ""))</f>
        <v/>
      </c>
      <c r="AE308" s="69" t="str">
        <f aca="false">IF(ISBLANK($C308),"",IF(ISNUMBER(Q308), Q308, Constants!$B$13))</f>
        <v/>
      </c>
      <c r="AF308" s="66" t="str">
        <f aca="false">IF(ISBLANK($C308),"",IF(R308=Constants!$B$2, TRUE(), IF(R308=Constants!$B$3, FALSE(), FALSE())))</f>
        <v/>
      </c>
      <c r="AG308" s="66" t="str">
        <f aca="false">IF(ISBLANK(C308), "", IF(AF308, Constants!$B$4,IF(COUNTA(G308:P308)=0, Constants!$B$5, Constants!$B$7)))</f>
        <v/>
      </c>
      <c r="AH308" s="66" t="str">
        <f aca="false">IF(ISBLANK($C308), "",IF($AG308=Constants!$B$7,1,$AG308))</f>
        <v/>
      </c>
      <c r="AI308" s="66" t="str">
        <f aca="false">IF($AG308=Constants!$B$7,POWER(Constants!$B$11,X308)*POWER(Constants!$B$12,Z308),"")</f>
        <v/>
      </c>
      <c r="AJ308" s="66" t="str">
        <f aca="false">IF(AND($AG308=Constants!$B$7, U308, V308) ,IF(OR($AA308="",$AC308=""),"",MAX(0, $AC308-$AA308)),"")</f>
        <v/>
      </c>
      <c r="AK308" s="66" t="str">
        <f aca="false">IF(AND($AG308=Constants!$B$7, U308, V308),IF(OR($AA308="",$AC308=""),$AK$6,""),"")</f>
        <v/>
      </c>
      <c r="AL308" s="66" t="str">
        <f aca="false">IF($AG308=Constants!$B$7,IF(AND(U308,V308,W308,Y308),IF($AJ308="",0,IF($AJ$6=0,Constants!$B$9,Constants!$B$9*AJ308/$AJ$6)), 0),"")</f>
        <v/>
      </c>
      <c r="AM308" s="66" t="str">
        <f aca="false">IF(AL308&lt;&gt;"", AL308*AI308,"")</f>
        <v/>
      </c>
      <c r="AN308" s="66" t="str">
        <f aca="false">IF(AND($AG308=Constants!$B$7, U308, V308) ,IF($AB308="", "", IF(OR($AC308="",$AC308=0),"",MAX(0,1-ABS($AC308-$AB308)/$AC308))),"")</f>
        <v/>
      </c>
      <c r="AO308" s="66" t="str">
        <f aca="false">IF(AND($AG308=Constants!$B$7, U308, V308),IF(AND($AA308&lt;&gt;"",$AB308&lt;&gt;"",$AC308=0),$AO$6,""),"")</f>
        <v/>
      </c>
      <c r="AP308" s="66" t="str">
        <f aca="false">IF($AG308=Constants!$B$7 ,IF(AND(U308,V308,W308,Y308,ISNUMBER(AB308)),IF($AN308="",0,IF($AN$6=0,Constants!$B$10,Constants!$B$10*AN308/$AN$6)), 0),"")</f>
        <v/>
      </c>
      <c r="AQ308" s="66" t="str">
        <f aca="false">IF(AP308&lt;&gt;"", AP308*AI308,"")</f>
        <v/>
      </c>
      <c r="AR308" s="66" t="str">
        <f aca="false">IF($AG308=Constants!$B$7,IF($AD308="",0,IF($AR$6=0,Constants!$B$8,Constants!$B$8*AD308/$AR$6)),"")</f>
        <v/>
      </c>
      <c r="AS308" s="66" t="str">
        <f aca="false">IF($AG308&lt;&gt;Constants!$B$7,$AG308,IF(AK308&amp;AO308&lt;&gt;"",Constants!$B$14,AM308+AQ308+AR308))</f>
        <v/>
      </c>
      <c r="AT308" s="66" t="str">
        <f aca="false">IF(ISBLANK($C308),"",IF($AG308=Constants!$B$7,IF(ISNUMBER(AS308),RANK(AS308,$AS$8:$AS$507),Constants!$B$14),$AG308))</f>
        <v/>
      </c>
      <c r="AU308" s="66" t="str">
        <f aca="false">IF(ISBLANK($C308), "",AM308)</f>
        <v/>
      </c>
      <c r="AV308" s="66" t="str">
        <f aca="false">IF(ISBLANK($C308),"",IF($AG308=Constants!$B$7,RANK(AU308,AU$8:AU$507),$AG308))</f>
        <v/>
      </c>
      <c r="AW308" s="66" t="str">
        <f aca="false">IF(ISBLANK($C308), "",AR308)</f>
        <v/>
      </c>
      <c r="AX308" s="66" t="str">
        <f aca="false">IF(ISBLANK($C308),"",IF($AG308=Constants!$B$7,RANK(AW308,AW$8:AW$507),$AG308))</f>
        <v/>
      </c>
      <c r="AY308" s="66" t="str">
        <f aca="false">IF(ISBLANK($C308), "",AE308)</f>
        <v/>
      </c>
      <c r="AZ308" s="66" t="str">
        <f aca="false">IF(ISBLANK($C308),"",
IF($AG308=Constants!$B$7,
  IF(ISNUMBER(AT308),
    COUNTIFS($AT$8:$AT$507,"&lt;"&amp;$AT308)
    + COUNTIFS($AT$8:$AT$507,$AT308,$AV$8:$AV$507,"&lt;"&amp;$AV308)
    + COUNTIFS($AT$8:$AT$507,$AT308,$AV$8:$AV$507,$AV308,$AX$8:$AX$507,"&lt;"&amp;$AX308)
    + COUNTIFS($AT$8:$AT$507,$AT308,$AV$8:$AV$507,$AV308,$AX$8:$AX$507,$AX308,$AY$8:$AY$507,"&lt;"&amp;$AY308)
    + 1,
  Constants!$B$14),
$AG308))</f>
        <v/>
      </c>
      <c r="BA308" s="66" t="str">
        <f aca="false">IF(ISBLANK(C308),"",IF($AG308=Constants!$B$7, IF(ISNUMBER(AT308),AT308-AZ308,Constants!$B$14),$AG308))</f>
        <v/>
      </c>
      <c r="BB308" s="70"/>
      <c r="BC308" s="84" t="str">
        <f aca="false">IF(ISBLANK($C308),"",TRIM(AK308&amp;" "&amp;AO308))</f>
        <v/>
      </c>
      <c r="BD308" s="72" t="str">
        <f aca="false">IF(ISBLANK($C308),"",IF($AG308&lt;&gt;Constants!$B$7,$AG308,AR308))</f>
        <v/>
      </c>
      <c r="BE308" s="72" t="str">
        <f aca="false">IF(ISBLANK($C308),"",IF($AG308&lt;&gt;Constants!$B$7,$AG308,AM308))</f>
        <v/>
      </c>
      <c r="BF308" s="72" t="str">
        <f aca="false">IF(ISBLANK($C308),"",IF($AG308&lt;&gt;Constants!$B$7,$AG308,AQ308))</f>
        <v/>
      </c>
      <c r="BG308" s="73" t="str">
        <f aca="false">IF(ISBLANK($C308),"",IF($AG308&lt;&gt;Constants!$B$7, $AG308 ,AS308))</f>
        <v/>
      </c>
      <c r="BH308" s="74" t="str">
        <f aca="false">IF(ISBLANK($C308),"",IF($AG308&lt;&gt;Constants!$B$7, $AG308 ,AH308))</f>
        <v/>
      </c>
      <c r="BI308" s="72" t="str">
        <f aca="false">IF(ISBLANK(C308),"",BA308)</f>
        <v/>
      </c>
      <c r="BJ308" s="72" t="str">
        <f aca="false">IF(ISBLANK(C308),"",AZ308)</f>
        <v/>
      </c>
      <c r="BK308" s="75" t="str">
        <f aca="false">IF(ISBLANK(C308),"",IFERROR(_xlfn.SWITCH(BJ308, Constants!$B$4, COUNTA($C$8:$C807)+2, Constants!$B$5, COUNTA($C$8:$C807)+1, Constants!$B$6, COUNTA($C$8:$C807)),BJ308))</f>
        <v/>
      </c>
      <c r="BL308" s="5"/>
      <c r="BM308" s="76" t="n">
        <f aca="false">IF(OR(ISNUMBER(BJ308),BJ308="DQ",BJ308="P",BJ308="NS"),
    1,
    0
)</f>
        <v>0</v>
      </c>
      <c r="BN308" s="76" t="n">
        <v>301</v>
      </c>
      <c r="BO308" s="76" t="str">
        <f aca="false">IF(ISBLANK($C308),"",IF(ISNUMBER(BK308),BK308+ROW($B308)/1000,""))</f>
        <v/>
      </c>
      <c r="BP308" s="76" t="str">
        <f aca="false">IF(ISNUMBER(BO308), RANK(BO308,BO$8:BO$507,1), "")</f>
        <v/>
      </c>
      <c r="BQ308" s="76" t="str">
        <f aca="false">IF(ISBLANK($C308),
    "",
    $B308
)</f>
        <v/>
      </c>
      <c r="BR308" s="76" t="str">
        <f aca="false">IF(ISBLANK($C308),
    "",
    $C308
)</f>
        <v/>
      </c>
      <c r="BS308" s="76" t="str">
        <f aca="false">IF(ISBLANK($C308),
    "",
    $D308
)</f>
        <v/>
      </c>
      <c r="BT308" s="77" t="str">
        <f aca="false">BH308</f>
        <v/>
      </c>
      <c r="BU308" s="78" t="str">
        <f aca="false">BG308</f>
        <v/>
      </c>
      <c r="BV308" s="76" t="str">
        <f aca="false">IF(ISBLANK($C308),
    "",
    BJ308
)</f>
        <v/>
      </c>
      <c r="BW308" s="79" t="str">
        <f aca="false">IF(BN308&gt;BM$7,
    "",
    VLOOKUP(BN308,BP$8:BV807,7,FALSE())
)</f>
        <v/>
      </c>
      <c r="BX308" s="80" t="str">
        <f aca="false">IF(BN308&gt;BM$7,
    "",
    VLOOKUP(BN308,BP$8:BV807,2,FALSE())
)</f>
        <v/>
      </c>
      <c r="BY308" s="80" t="str">
        <f aca="false">IF(BN308&gt;BM$7,
    "",
    VLOOKUP(BN308,BP$8:BV807,3,FALSE())
)</f>
        <v/>
      </c>
      <c r="BZ308" s="80" t="str">
        <f aca="false">IF(BN308&gt;BM$7,
    "",
    VLOOKUP(BN308,BP$8:BV807,4,FALSE())
)</f>
        <v/>
      </c>
      <c r="CA308" s="80" t="str">
        <f aca="false">IF(BN308&gt;BM$7,
    "",
    VLOOKUP(BN308,BP$8:BV807,5,FALSE())
)</f>
        <v/>
      </c>
      <c r="CB308" s="81" t="str">
        <f aca="false">IF(BN308&gt;BM$7,
    "",
    VLOOKUP(BN308,BP$8:BV807,6,FALSE())
)</f>
        <v/>
      </c>
      <c r="CC308" s="53"/>
    </row>
    <row r="309" customFormat="false" ht="15.75" hidden="false" customHeight="false" outlineLevel="0" collapsed="false">
      <c r="A309" s="5"/>
      <c r="B309" s="129"/>
      <c r="C309" s="55"/>
      <c r="D309" s="56"/>
      <c r="E309" s="123"/>
      <c r="F309" s="123"/>
      <c r="G309" s="58"/>
      <c r="H309" s="59"/>
      <c r="I309" s="59"/>
      <c r="J309" s="83"/>
      <c r="K309" s="83"/>
      <c r="L309" s="83"/>
      <c r="M309" s="61"/>
      <c r="N309" s="61"/>
      <c r="O309" s="61"/>
      <c r="P309" s="62"/>
      <c r="Q309" s="63"/>
      <c r="R309" s="83"/>
      <c r="S309" s="65"/>
      <c r="T309" s="66"/>
      <c r="U309" s="66" t="str">
        <f aca="false">IF(ISBLANK($C309),"",IF(G309=Constants!$B$2, TRUE(), IF(G309=Constants!$B$3, FALSE(), TRUE())))</f>
        <v/>
      </c>
      <c r="V309" s="66" t="str">
        <f aca="false">IF(ISBLANK($C309),"",IF(H309=Constants!$B$2, TRUE(), IF(H309=Constants!$B$3, FALSE(), TRUE())))</f>
        <v/>
      </c>
      <c r="W309" s="66" t="str">
        <f aca="false">IF(ISBLANK($C309),"",IF(I309=Constants!$B$2, TRUE(), IF(I309=Constants!$B$3, FALSE(), TRUE())))</f>
        <v/>
      </c>
      <c r="X309" s="66" t="str">
        <f aca="false">IF(ISBLANK($C309),"",IF(AND(ISNUMBER(J309),J309&gt;0),INT(J309),0))</f>
        <v/>
      </c>
      <c r="Y309" s="66" t="str">
        <f aca="false">IF(ISBLANK($C309),"",IF(K309=Constants!$B$2, TRUE(), IF(K309=Constants!$B$3, FALSE(), TRUE())))</f>
        <v/>
      </c>
      <c r="Z309" s="66" t="str">
        <f aca="false">IF(ISBLANK($C309),"",IF(AND(ISNUMBER(L309),L309&gt;0),INT(L309),0))</f>
        <v/>
      </c>
      <c r="AA309" s="68" t="str">
        <f aca="false">IF(ISBLANK($C309),"",IF(ISNUMBER(M309), M309, ""))</f>
        <v/>
      </c>
      <c r="AB309" s="68" t="str">
        <f aca="false">IF(ISBLANK($C309),"",IF(ISNUMBER(N309), N309, ""))</f>
        <v/>
      </c>
      <c r="AC309" s="68" t="str">
        <f aca="false">IF(ISBLANK($C309),"",IF(ISNUMBER(O309), O309, ""))</f>
        <v/>
      </c>
      <c r="AD309" s="69" t="str">
        <f aca="false">IF(ISBLANK($C309),"",IF(ISNUMBER(P309), P309, ""))</f>
        <v/>
      </c>
      <c r="AE309" s="69" t="str">
        <f aca="false">IF(ISBLANK($C309),"",IF(ISNUMBER(Q309), Q309, Constants!$B$13))</f>
        <v/>
      </c>
      <c r="AF309" s="66" t="str">
        <f aca="false">IF(ISBLANK($C309),"",IF(R309=Constants!$B$2, TRUE(), IF(R309=Constants!$B$3, FALSE(), FALSE())))</f>
        <v/>
      </c>
      <c r="AG309" s="66" t="str">
        <f aca="false">IF(ISBLANK(C309), "", IF(AF309, Constants!$B$4,IF(COUNTA(G309:P309)=0, Constants!$B$5, Constants!$B$7)))</f>
        <v/>
      </c>
      <c r="AH309" s="66" t="str">
        <f aca="false">IF(ISBLANK($C309), "",IF($AG309=Constants!$B$7,1,$AG309))</f>
        <v/>
      </c>
      <c r="AI309" s="66" t="str">
        <f aca="false">IF($AG309=Constants!$B$7,POWER(Constants!$B$11,X309)*POWER(Constants!$B$12,Z309),"")</f>
        <v/>
      </c>
      <c r="AJ309" s="66" t="str">
        <f aca="false">IF(AND($AG309=Constants!$B$7, U309, V309) ,IF(OR($AA309="",$AC309=""),"",MAX(0, $AC309-$AA309)),"")</f>
        <v/>
      </c>
      <c r="AK309" s="66" t="str">
        <f aca="false">IF(AND($AG309=Constants!$B$7, U309, V309),IF(OR($AA309="",$AC309=""),$AK$6,""),"")</f>
        <v/>
      </c>
      <c r="AL309" s="66" t="str">
        <f aca="false">IF($AG309=Constants!$B$7,IF(AND(U309,V309,W309,Y309),IF($AJ309="",0,IF($AJ$6=0,Constants!$B$9,Constants!$B$9*AJ309/$AJ$6)), 0),"")</f>
        <v/>
      </c>
      <c r="AM309" s="66" t="str">
        <f aca="false">IF(AL309&lt;&gt;"", AL309*AI309,"")</f>
        <v/>
      </c>
      <c r="AN309" s="66" t="str">
        <f aca="false">IF(AND($AG309=Constants!$B$7, U309, V309) ,IF($AB309="", "", IF(OR($AC309="",$AC309=0),"",MAX(0,1-ABS($AC309-$AB309)/$AC309))),"")</f>
        <v/>
      </c>
      <c r="AO309" s="66" t="str">
        <f aca="false">IF(AND($AG309=Constants!$B$7, U309, V309),IF(AND($AA309&lt;&gt;"",$AB309&lt;&gt;"",$AC309=0),$AO$6,""),"")</f>
        <v/>
      </c>
      <c r="AP309" s="66" t="str">
        <f aca="false">IF($AG309=Constants!$B$7 ,IF(AND(U309,V309,W309,Y309,ISNUMBER(AB309)),IF($AN309="",0,IF($AN$6=0,Constants!$B$10,Constants!$B$10*AN309/$AN$6)), 0),"")</f>
        <v/>
      </c>
      <c r="AQ309" s="66" t="str">
        <f aca="false">IF(AP309&lt;&gt;"", AP309*AI309,"")</f>
        <v/>
      </c>
      <c r="AR309" s="66" t="str">
        <f aca="false">IF($AG309=Constants!$B$7,IF($AD309="",0,IF($AR$6=0,Constants!$B$8,Constants!$B$8*AD309/$AR$6)),"")</f>
        <v/>
      </c>
      <c r="AS309" s="66" t="str">
        <f aca="false">IF($AG309&lt;&gt;Constants!$B$7,$AG309,IF(AK309&amp;AO309&lt;&gt;"",Constants!$B$14,AM309+AQ309+AR309))</f>
        <v/>
      </c>
      <c r="AT309" s="66" t="str">
        <f aca="false">IF(ISBLANK($C309),"",IF($AG309=Constants!$B$7,IF(ISNUMBER(AS309),RANK(AS309,$AS$8:$AS$507),Constants!$B$14),$AG309))</f>
        <v/>
      </c>
      <c r="AU309" s="66" t="str">
        <f aca="false">IF(ISBLANK($C309), "",AM309)</f>
        <v/>
      </c>
      <c r="AV309" s="66" t="str">
        <f aca="false">IF(ISBLANK($C309),"",IF($AG309=Constants!$B$7,RANK(AU309,AU$8:AU$507),$AG309))</f>
        <v/>
      </c>
      <c r="AW309" s="66" t="str">
        <f aca="false">IF(ISBLANK($C309), "",AR309)</f>
        <v/>
      </c>
      <c r="AX309" s="66" t="str">
        <f aca="false">IF(ISBLANK($C309),"",IF($AG309=Constants!$B$7,RANK(AW309,AW$8:AW$507),$AG309))</f>
        <v/>
      </c>
      <c r="AY309" s="66" t="str">
        <f aca="false">IF(ISBLANK($C309), "",AE309)</f>
        <v/>
      </c>
      <c r="AZ309" s="66" t="str">
        <f aca="false">IF(ISBLANK($C309),"",
IF($AG309=Constants!$B$7,
  IF(ISNUMBER(AT309),
    COUNTIFS($AT$8:$AT$507,"&lt;"&amp;$AT309)
    + COUNTIFS($AT$8:$AT$507,$AT309,$AV$8:$AV$507,"&lt;"&amp;$AV309)
    + COUNTIFS($AT$8:$AT$507,$AT309,$AV$8:$AV$507,$AV309,$AX$8:$AX$507,"&lt;"&amp;$AX309)
    + COUNTIFS($AT$8:$AT$507,$AT309,$AV$8:$AV$507,$AV309,$AX$8:$AX$507,$AX309,$AY$8:$AY$507,"&lt;"&amp;$AY309)
    + 1,
  Constants!$B$14),
$AG309))</f>
        <v/>
      </c>
      <c r="BA309" s="66" t="str">
        <f aca="false">IF(ISBLANK(C309),"",IF($AG309=Constants!$B$7, IF(ISNUMBER(AT309),AT309-AZ309,Constants!$B$14),$AG309))</f>
        <v/>
      </c>
      <c r="BB309" s="70"/>
      <c r="BC309" s="84" t="str">
        <f aca="false">IF(ISBLANK($C309),"",TRIM(AK309&amp;" "&amp;AO309))</f>
        <v/>
      </c>
      <c r="BD309" s="72" t="str">
        <f aca="false">IF(ISBLANK($C309),"",IF($AG309&lt;&gt;Constants!$B$7,$AG309,AR309))</f>
        <v/>
      </c>
      <c r="BE309" s="72" t="str">
        <f aca="false">IF(ISBLANK($C309),"",IF($AG309&lt;&gt;Constants!$B$7,$AG309,AM309))</f>
        <v/>
      </c>
      <c r="BF309" s="72" t="str">
        <f aca="false">IF(ISBLANK($C309),"",IF($AG309&lt;&gt;Constants!$B$7,$AG309,AQ309))</f>
        <v/>
      </c>
      <c r="BG309" s="73" t="str">
        <f aca="false">IF(ISBLANK($C309),"",IF($AG309&lt;&gt;Constants!$B$7, $AG309 ,AS309))</f>
        <v/>
      </c>
      <c r="BH309" s="74" t="str">
        <f aca="false">IF(ISBLANK($C309),"",IF($AG309&lt;&gt;Constants!$B$7, $AG309 ,AH309))</f>
        <v/>
      </c>
      <c r="BI309" s="72" t="str">
        <f aca="false">IF(ISBLANK(C309),"",BA309)</f>
        <v/>
      </c>
      <c r="BJ309" s="72" t="str">
        <f aca="false">IF(ISBLANK(C309),"",AZ309)</f>
        <v/>
      </c>
      <c r="BK309" s="75" t="str">
        <f aca="false">IF(ISBLANK(C309),"",IFERROR(_xlfn.SWITCH(BJ309, Constants!$B$4, COUNTA($C$8:$C808)+2, Constants!$B$5, COUNTA($C$8:$C808)+1, Constants!$B$6, COUNTA($C$8:$C808)),BJ309))</f>
        <v/>
      </c>
      <c r="BL309" s="5"/>
      <c r="BM309" s="76" t="n">
        <f aca="false">IF(OR(ISNUMBER(BJ309),BJ309="DQ",BJ309="P",BJ309="NS"),
    1,
    0
)</f>
        <v>0</v>
      </c>
      <c r="BN309" s="76" t="n">
        <v>302</v>
      </c>
      <c r="BO309" s="76" t="str">
        <f aca="false">IF(ISBLANK($C309),"",IF(ISNUMBER(BK309),BK309+ROW($B309)/1000,""))</f>
        <v/>
      </c>
      <c r="BP309" s="76" t="str">
        <f aca="false">IF(ISNUMBER(BO309), RANK(BO309,BO$8:BO$507,1), "")</f>
        <v/>
      </c>
      <c r="BQ309" s="76" t="str">
        <f aca="false">IF(ISBLANK($C309),
    "",
    $B309
)</f>
        <v/>
      </c>
      <c r="BR309" s="76" t="str">
        <f aca="false">IF(ISBLANK($C309),
    "",
    $C309
)</f>
        <v/>
      </c>
      <c r="BS309" s="76" t="str">
        <f aca="false">IF(ISBLANK($C309),
    "",
    $D309
)</f>
        <v/>
      </c>
      <c r="BT309" s="77" t="str">
        <f aca="false">BH309</f>
        <v/>
      </c>
      <c r="BU309" s="78" t="str">
        <f aca="false">BG309</f>
        <v/>
      </c>
      <c r="BV309" s="76" t="str">
        <f aca="false">IF(ISBLANK($C309),
    "",
    BJ309
)</f>
        <v/>
      </c>
      <c r="BW309" s="79" t="str">
        <f aca="false">IF(BN309&gt;BM$7,
    "",
    VLOOKUP(BN309,BP$8:BV808,7,FALSE())
)</f>
        <v/>
      </c>
      <c r="BX309" s="80" t="str">
        <f aca="false">IF(BN309&gt;BM$7,
    "",
    VLOOKUP(BN309,BP$8:BV808,2,FALSE())
)</f>
        <v/>
      </c>
      <c r="BY309" s="80" t="str">
        <f aca="false">IF(BN309&gt;BM$7,
    "",
    VLOOKUP(BN309,BP$8:BV808,3,FALSE())
)</f>
        <v/>
      </c>
      <c r="BZ309" s="80" t="str">
        <f aca="false">IF(BN309&gt;BM$7,
    "",
    VLOOKUP(BN309,BP$8:BV808,4,FALSE())
)</f>
        <v/>
      </c>
      <c r="CA309" s="80" t="str">
        <f aca="false">IF(BN309&gt;BM$7,
    "",
    VLOOKUP(BN309,BP$8:BV808,5,FALSE())
)</f>
        <v/>
      </c>
      <c r="CB309" s="81" t="str">
        <f aca="false">IF(BN309&gt;BM$7,
    "",
    VLOOKUP(BN309,BP$8:BV808,6,FALSE())
)</f>
        <v/>
      </c>
      <c r="CC309" s="53"/>
    </row>
    <row r="310" customFormat="false" ht="15.75" hidden="false" customHeight="false" outlineLevel="0" collapsed="false">
      <c r="A310" s="5"/>
      <c r="B310" s="129"/>
      <c r="C310" s="55"/>
      <c r="D310" s="56"/>
      <c r="E310" s="123"/>
      <c r="F310" s="123"/>
      <c r="G310" s="58"/>
      <c r="H310" s="59"/>
      <c r="I310" s="59"/>
      <c r="J310" s="83"/>
      <c r="K310" s="83"/>
      <c r="L310" s="83"/>
      <c r="M310" s="61"/>
      <c r="N310" s="61"/>
      <c r="O310" s="61"/>
      <c r="P310" s="62"/>
      <c r="Q310" s="63"/>
      <c r="R310" s="83"/>
      <c r="S310" s="65"/>
      <c r="T310" s="66"/>
      <c r="U310" s="66" t="str">
        <f aca="false">IF(ISBLANK($C310),"",IF(G310=Constants!$B$2, TRUE(), IF(G310=Constants!$B$3, FALSE(), TRUE())))</f>
        <v/>
      </c>
      <c r="V310" s="66" t="str">
        <f aca="false">IF(ISBLANK($C310),"",IF(H310=Constants!$B$2, TRUE(), IF(H310=Constants!$B$3, FALSE(), TRUE())))</f>
        <v/>
      </c>
      <c r="W310" s="66" t="str">
        <f aca="false">IF(ISBLANK($C310),"",IF(I310=Constants!$B$2, TRUE(), IF(I310=Constants!$B$3, FALSE(), TRUE())))</f>
        <v/>
      </c>
      <c r="X310" s="66" t="str">
        <f aca="false">IF(ISBLANK($C310),"",IF(AND(ISNUMBER(J310),J310&gt;0),INT(J310),0))</f>
        <v/>
      </c>
      <c r="Y310" s="66" t="str">
        <f aca="false">IF(ISBLANK($C310),"",IF(K310=Constants!$B$2, TRUE(), IF(K310=Constants!$B$3, FALSE(), TRUE())))</f>
        <v/>
      </c>
      <c r="Z310" s="66" t="str">
        <f aca="false">IF(ISBLANK($C310),"",IF(AND(ISNUMBER(L310),L310&gt;0),INT(L310),0))</f>
        <v/>
      </c>
      <c r="AA310" s="68" t="str">
        <f aca="false">IF(ISBLANK($C310),"",IF(ISNUMBER(M310), M310, ""))</f>
        <v/>
      </c>
      <c r="AB310" s="68" t="str">
        <f aca="false">IF(ISBLANK($C310),"",IF(ISNUMBER(N310), N310, ""))</f>
        <v/>
      </c>
      <c r="AC310" s="68" t="str">
        <f aca="false">IF(ISBLANK($C310),"",IF(ISNUMBER(O310), O310, ""))</f>
        <v/>
      </c>
      <c r="AD310" s="69" t="str">
        <f aca="false">IF(ISBLANK($C310),"",IF(ISNUMBER(P310), P310, ""))</f>
        <v/>
      </c>
      <c r="AE310" s="69" t="str">
        <f aca="false">IF(ISBLANK($C310),"",IF(ISNUMBER(Q310), Q310, Constants!$B$13))</f>
        <v/>
      </c>
      <c r="AF310" s="66" t="str">
        <f aca="false">IF(ISBLANK($C310),"",IF(R310=Constants!$B$2, TRUE(), IF(R310=Constants!$B$3, FALSE(), FALSE())))</f>
        <v/>
      </c>
      <c r="AG310" s="66" t="str">
        <f aca="false">IF(ISBLANK(C310), "", IF(AF310, Constants!$B$4,IF(COUNTA(G310:P310)=0, Constants!$B$5, Constants!$B$7)))</f>
        <v/>
      </c>
      <c r="AH310" s="66" t="str">
        <f aca="false">IF(ISBLANK($C310), "",IF($AG310=Constants!$B$7,1,$AG310))</f>
        <v/>
      </c>
      <c r="AI310" s="66" t="str">
        <f aca="false">IF($AG310=Constants!$B$7,POWER(Constants!$B$11,X310)*POWER(Constants!$B$12,Z310),"")</f>
        <v/>
      </c>
      <c r="AJ310" s="66" t="str">
        <f aca="false">IF(AND($AG310=Constants!$B$7, U310, V310) ,IF(OR($AA310="",$AC310=""),"",MAX(0, $AC310-$AA310)),"")</f>
        <v/>
      </c>
      <c r="AK310" s="66" t="str">
        <f aca="false">IF(AND($AG310=Constants!$B$7, U310, V310),IF(OR($AA310="",$AC310=""),$AK$6,""),"")</f>
        <v/>
      </c>
      <c r="AL310" s="66" t="str">
        <f aca="false">IF($AG310=Constants!$B$7,IF(AND(U310,V310,W310,Y310),IF($AJ310="",0,IF($AJ$6=0,Constants!$B$9,Constants!$B$9*AJ310/$AJ$6)), 0),"")</f>
        <v/>
      </c>
      <c r="AM310" s="66" t="str">
        <f aca="false">IF(AL310&lt;&gt;"", AL310*AI310,"")</f>
        <v/>
      </c>
      <c r="AN310" s="66" t="str">
        <f aca="false">IF(AND($AG310=Constants!$B$7, U310, V310) ,IF($AB310="", "", IF(OR($AC310="",$AC310=0),"",MAX(0,1-ABS($AC310-$AB310)/$AC310))),"")</f>
        <v/>
      </c>
      <c r="AO310" s="66" t="str">
        <f aca="false">IF(AND($AG310=Constants!$B$7, U310, V310),IF(AND($AA310&lt;&gt;"",$AB310&lt;&gt;"",$AC310=0),$AO$6,""),"")</f>
        <v/>
      </c>
      <c r="AP310" s="66" t="str">
        <f aca="false">IF($AG310=Constants!$B$7 ,IF(AND(U310,V310,W310,Y310,ISNUMBER(AB310)),IF($AN310="",0,IF($AN$6=0,Constants!$B$10,Constants!$B$10*AN310/$AN$6)), 0),"")</f>
        <v/>
      </c>
      <c r="AQ310" s="66" t="str">
        <f aca="false">IF(AP310&lt;&gt;"", AP310*AI310,"")</f>
        <v/>
      </c>
      <c r="AR310" s="66" t="str">
        <f aca="false">IF($AG310=Constants!$B$7,IF($AD310="",0,IF($AR$6=0,Constants!$B$8,Constants!$B$8*AD310/$AR$6)),"")</f>
        <v/>
      </c>
      <c r="AS310" s="66" t="str">
        <f aca="false">IF($AG310&lt;&gt;Constants!$B$7,$AG310,IF(AK310&amp;AO310&lt;&gt;"",Constants!$B$14,AM310+AQ310+AR310))</f>
        <v/>
      </c>
      <c r="AT310" s="66" t="str">
        <f aca="false">IF(ISBLANK($C310),"",IF($AG310=Constants!$B$7,IF(ISNUMBER(AS310),RANK(AS310,$AS$8:$AS$507),Constants!$B$14),$AG310))</f>
        <v/>
      </c>
      <c r="AU310" s="66" t="str">
        <f aca="false">IF(ISBLANK($C310), "",AM310)</f>
        <v/>
      </c>
      <c r="AV310" s="66" t="str">
        <f aca="false">IF(ISBLANK($C310),"",IF($AG310=Constants!$B$7,RANK(AU310,AU$8:AU$507),$AG310))</f>
        <v/>
      </c>
      <c r="AW310" s="66" t="str">
        <f aca="false">IF(ISBLANK($C310), "",AR310)</f>
        <v/>
      </c>
      <c r="AX310" s="66" t="str">
        <f aca="false">IF(ISBLANK($C310),"",IF($AG310=Constants!$B$7,RANK(AW310,AW$8:AW$507),$AG310))</f>
        <v/>
      </c>
      <c r="AY310" s="66" t="str">
        <f aca="false">IF(ISBLANK($C310), "",AE310)</f>
        <v/>
      </c>
      <c r="AZ310" s="66" t="str">
        <f aca="false">IF(ISBLANK($C310),"",
IF($AG310=Constants!$B$7,
  IF(ISNUMBER(AT310),
    COUNTIFS($AT$8:$AT$507,"&lt;"&amp;$AT310)
    + COUNTIFS($AT$8:$AT$507,$AT310,$AV$8:$AV$507,"&lt;"&amp;$AV310)
    + COUNTIFS($AT$8:$AT$507,$AT310,$AV$8:$AV$507,$AV310,$AX$8:$AX$507,"&lt;"&amp;$AX310)
    + COUNTIFS($AT$8:$AT$507,$AT310,$AV$8:$AV$507,$AV310,$AX$8:$AX$507,$AX310,$AY$8:$AY$507,"&lt;"&amp;$AY310)
    + 1,
  Constants!$B$14),
$AG310))</f>
        <v/>
      </c>
      <c r="BA310" s="66" t="str">
        <f aca="false">IF(ISBLANK(C310),"",IF($AG310=Constants!$B$7, IF(ISNUMBER(AT310),AT310-AZ310,Constants!$B$14),$AG310))</f>
        <v/>
      </c>
      <c r="BB310" s="70"/>
      <c r="BC310" s="84" t="str">
        <f aca="false">IF(ISBLANK($C310),"",TRIM(AK310&amp;" "&amp;AO310))</f>
        <v/>
      </c>
      <c r="BD310" s="72" t="str">
        <f aca="false">IF(ISBLANK($C310),"",IF($AG310&lt;&gt;Constants!$B$7,$AG310,AR310))</f>
        <v/>
      </c>
      <c r="BE310" s="72" t="str">
        <f aca="false">IF(ISBLANK($C310),"",IF($AG310&lt;&gt;Constants!$B$7,$AG310,AM310))</f>
        <v/>
      </c>
      <c r="BF310" s="72" t="str">
        <f aca="false">IF(ISBLANK($C310),"",IF($AG310&lt;&gt;Constants!$B$7,$AG310,AQ310))</f>
        <v/>
      </c>
      <c r="BG310" s="73" t="str">
        <f aca="false">IF(ISBLANK($C310),"",IF($AG310&lt;&gt;Constants!$B$7, $AG310 ,AS310))</f>
        <v/>
      </c>
      <c r="BH310" s="74" t="str">
        <f aca="false">IF(ISBLANK($C310),"",IF($AG310&lt;&gt;Constants!$B$7, $AG310 ,AH310))</f>
        <v/>
      </c>
      <c r="BI310" s="72" t="str">
        <f aca="false">IF(ISBLANK(C310),"",BA310)</f>
        <v/>
      </c>
      <c r="BJ310" s="72" t="str">
        <f aca="false">IF(ISBLANK(C310),"",AZ310)</f>
        <v/>
      </c>
      <c r="BK310" s="75" t="str">
        <f aca="false">IF(ISBLANK(C310),"",IFERROR(_xlfn.SWITCH(BJ310, Constants!$B$4, COUNTA($C$8:$C809)+2, Constants!$B$5, COUNTA($C$8:$C809)+1, Constants!$B$6, COUNTA($C$8:$C809)),BJ310))</f>
        <v/>
      </c>
      <c r="BL310" s="5"/>
      <c r="BM310" s="76" t="n">
        <f aca="false">IF(OR(ISNUMBER(BJ310),BJ310="DQ",BJ310="P",BJ310="NS"),
    1,
    0
)</f>
        <v>0</v>
      </c>
      <c r="BN310" s="76" t="n">
        <v>303</v>
      </c>
      <c r="BO310" s="76" t="str">
        <f aca="false">IF(ISBLANK($C310),"",IF(ISNUMBER(BK310),BK310+ROW($B310)/1000,""))</f>
        <v/>
      </c>
      <c r="BP310" s="76" t="str">
        <f aca="false">IF(ISNUMBER(BO310), RANK(BO310,BO$8:BO$507,1), "")</f>
        <v/>
      </c>
      <c r="BQ310" s="76" t="str">
        <f aca="false">IF(ISBLANK($C310),
    "",
    $B310
)</f>
        <v/>
      </c>
      <c r="BR310" s="76" t="str">
        <f aca="false">IF(ISBLANK($C310),
    "",
    $C310
)</f>
        <v/>
      </c>
      <c r="BS310" s="76" t="str">
        <f aca="false">IF(ISBLANK($C310),
    "",
    $D310
)</f>
        <v/>
      </c>
      <c r="BT310" s="77" t="str">
        <f aca="false">BH310</f>
        <v/>
      </c>
      <c r="BU310" s="78" t="str">
        <f aca="false">BG310</f>
        <v/>
      </c>
      <c r="BV310" s="76" t="str">
        <f aca="false">IF(ISBLANK($C310),
    "",
    BJ310
)</f>
        <v/>
      </c>
      <c r="BW310" s="79" t="str">
        <f aca="false">IF(BN310&gt;BM$7,
    "",
    VLOOKUP(BN310,BP$8:BV809,7,FALSE())
)</f>
        <v/>
      </c>
      <c r="BX310" s="80" t="str">
        <f aca="false">IF(BN310&gt;BM$7,
    "",
    VLOOKUP(BN310,BP$8:BV809,2,FALSE())
)</f>
        <v/>
      </c>
      <c r="BY310" s="80" t="str">
        <f aca="false">IF(BN310&gt;BM$7,
    "",
    VLOOKUP(BN310,BP$8:BV809,3,FALSE())
)</f>
        <v/>
      </c>
      <c r="BZ310" s="80" t="str">
        <f aca="false">IF(BN310&gt;BM$7,
    "",
    VLOOKUP(BN310,BP$8:BV809,4,FALSE())
)</f>
        <v/>
      </c>
      <c r="CA310" s="80" t="str">
        <f aca="false">IF(BN310&gt;BM$7,
    "",
    VLOOKUP(BN310,BP$8:BV809,5,FALSE())
)</f>
        <v/>
      </c>
      <c r="CB310" s="81" t="str">
        <f aca="false">IF(BN310&gt;BM$7,
    "",
    VLOOKUP(BN310,BP$8:BV809,6,FALSE())
)</f>
        <v/>
      </c>
      <c r="CC310" s="53"/>
    </row>
    <row r="311" customFormat="false" ht="15.75" hidden="false" customHeight="false" outlineLevel="0" collapsed="false">
      <c r="A311" s="5"/>
      <c r="B311" s="125"/>
      <c r="C311" s="126"/>
      <c r="D311" s="115"/>
      <c r="E311" s="119"/>
      <c r="F311" s="119"/>
      <c r="G311" s="91"/>
      <c r="H311" s="92"/>
      <c r="I311" s="92"/>
      <c r="J311" s="128"/>
      <c r="K311" s="128"/>
      <c r="L311" s="128"/>
      <c r="M311" s="94"/>
      <c r="N311" s="94"/>
      <c r="O311" s="94"/>
      <c r="P311" s="95"/>
      <c r="Q311" s="96"/>
      <c r="R311" s="128"/>
      <c r="S311" s="98"/>
      <c r="T311" s="99"/>
      <c r="U311" s="99" t="str">
        <f aca="false">IF(ISBLANK($C311),"",IF(G311=Constants!$B$2, TRUE(), IF(G311=Constants!$B$3, FALSE(), TRUE())))</f>
        <v/>
      </c>
      <c r="V311" s="99" t="str">
        <f aca="false">IF(ISBLANK($C311),"",IF(H311=Constants!$B$2, TRUE(), IF(H311=Constants!$B$3, FALSE(), TRUE())))</f>
        <v/>
      </c>
      <c r="W311" s="99" t="str">
        <f aca="false">IF(ISBLANK($C311),"",IF(I311=Constants!$B$2, TRUE(), IF(I311=Constants!$B$3, FALSE(), TRUE())))</f>
        <v/>
      </c>
      <c r="X311" s="99" t="str">
        <f aca="false">IF(ISBLANK($C311),"",IF(AND(ISNUMBER(J311),J311&gt;0),INT(J311),0))</f>
        <v/>
      </c>
      <c r="Y311" s="99" t="str">
        <f aca="false">IF(ISBLANK($C311),"",IF(K311=Constants!$B$2, TRUE(), IF(K311=Constants!$B$3, FALSE(), TRUE())))</f>
        <v/>
      </c>
      <c r="Z311" s="100" t="str">
        <f aca="false">IF(ISBLANK($C311),"",IF(AND(ISNUMBER(L311),L311&gt;0),INT(L311),0))</f>
        <v/>
      </c>
      <c r="AA311" s="101" t="str">
        <f aca="false">IF(ISBLANK($C311),"",IF(ISNUMBER(M311), M311, ""))</f>
        <v/>
      </c>
      <c r="AB311" s="101" t="str">
        <f aca="false">IF(ISBLANK($C311),"",IF(ISNUMBER(N311), N311, ""))</f>
        <v/>
      </c>
      <c r="AC311" s="101" t="str">
        <f aca="false">IF(ISBLANK($C311),"",IF(ISNUMBER(O311), O311, ""))</f>
        <v/>
      </c>
      <c r="AD311" s="102" t="str">
        <f aca="false">IF(ISBLANK($C311),"",IF(ISNUMBER(P311), P311, ""))</f>
        <v/>
      </c>
      <c r="AE311" s="102" t="str">
        <f aca="false">IF(ISBLANK($C311),"",IF(ISNUMBER(Q311), Q311, Constants!$B$13))</f>
        <v/>
      </c>
      <c r="AF311" s="99" t="str">
        <f aca="false">IF(ISBLANK($C311),"",IF(R311=Constants!$B$2, TRUE(), IF(R311=Constants!$B$3, FALSE(), FALSE())))</f>
        <v/>
      </c>
      <c r="AG311" s="99" t="str">
        <f aca="false">IF(ISBLANK(C311), "", IF(AF311, Constants!$B$4,IF(COUNTA(G311:P311)=0, Constants!$B$5, Constants!$B$7)))</f>
        <v/>
      </c>
      <c r="AH311" s="99" t="str">
        <f aca="false">IF(ISBLANK($C311), "",IF($AG311=Constants!$B$7,1,$AG311))</f>
        <v/>
      </c>
      <c r="AI311" s="99" t="str">
        <f aca="false">IF($AG311=Constants!$B$7,POWER(Constants!$B$11,X311)*POWER(Constants!$B$12,Z311),"")</f>
        <v/>
      </c>
      <c r="AJ311" s="99" t="str">
        <f aca="false">IF(AND($AG311=Constants!$B$7, U311, V311) ,IF(OR($AA311="",$AC311=""),"",MAX(0, $AC311-$AA311)),"")</f>
        <v/>
      </c>
      <c r="AK311" s="99" t="str">
        <f aca="false">IF(AND($AG311=Constants!$B$7, U311, V311),IF(OR($AA311="",$AC311=""),$AK$6,""),"")</f>
        <v/>
      </c>
      <c r="AL311" s="99" t="str">
        <f aca="false">IF($AG311=Constants!$B$7,IF(AND(U311,V311,W311,Y311),IF($AJ311="",0,IF($AJ$6=0,Constants!$B$9,Constants!$B$9*AJ311/$AJ$6)), 0),"")</f>
        <v/>
      </c>
      <c r="AM311" s="99" t="str">
        <f aca="false">IF(AL311&lt;&gt;"", AL311*AI311,"")</f>
        <v/>
      </c>
      <c r="AN311" s="99" t="str">
        <f aca="false">IF(AND($AG311=Constants!$B$7, U311, V311) ,IF($AB311="", "", IF(OR($AC311="",$AC311=0),"",MAX(0,1-ABS($AC311-$AB311)/$AC311))),"")</f>
        <v/>
      </c>
      <c r="AO311" s="99" t="str">
        <f aca="false">IF(AND($AG311=Constants!$B$7, U311, V311),IF(AND($AA311&lt;&gt;"",$AB311&lt;&gt;"",$AC311=0),$AO$6,""),"")</f>
        <v/>
      </c>
      <c r="AP311" s="99" t="str">
        <f aca="false">IF($AG311=Constants!$B$7 ,IF(AND(U311,V311,W311,Y311,ISNUMBER(AB311)),IF($AN311="",0,IF($AN$6=0,Constants!$B$10,Constants!$B$10*AN311/$AN$6)), 0),"")</f>
        <v/>
      </c>
      <c r="AQ311" s="99" t="str">
        <f aca="false">IF(AP311&lt;&gt;"", AP311*AI311,"")</f>
        <v/>
      </c>
      <c r="AR311" s="99" t="str">
        <f aca="false">IF($AG311=Constants!$B$7,IF($AD311="",0,IF($AR$6=0,Constants!$B$8,Constants!$B$8*AD311/$AR$6)),"")</f>
        <v/>
      </c>
      <c r="AS311" s="99" t="str">
        <f aca="false">IF($AG311&lt;&gt;Constants!$B$7,$AG311,IF(AK311&amp;AO311&lt;&gt;"",Constants!$B$14,AM311+AQ311+AR311))</f>
        <v/>
      </c>
      <c r="AT311" s="99" t="str">
        <f aca="false">IF(ISBLANK($C311),"",IF($AG311=Constants!$B$7,IF(ISNUMBER(AS311),RANK(AS311,$AS$8:$AS$507),Constants!$B$14),$AG311))</f>
        <v/>
      </c>
      <c r="AU311" s="99" t="str">
        <f aca="false">IF(ISBLANK($C311), "",AM311)</f>
        <v/>
      </c>
      <c r="AV311" s="99" t="str">
        <f aca="false">IF(ISBLANK($C311),"",IF($AG311=Constants!$B$7,RANK(AU311,AU$8:AU$507),$AG311))</f>
        <v/>
      </c>
      <c r="AW311" s="99" t="str">
        <f aca="false">IF(ISBLANK($C311), "",AR311)</f>
        <v/>
      </c>
      <c r="AX311" s="99" t="str">
        <f aca="false">IF(ISBLANK($C311),"",IF($AG311=Constants!$B$7,RANK(AW311,AW$8:AW$507),$AG311))</f>
        <v/>
      </c>
      <c r="AY311" s="99" t="str">
        <f aca="false">IF(ISBLANK($C311), "",AE311)</f>
        <v/>
      </c>
      <c r="AZ311" s="99" t="str">
        <f aca="false">IF(ISBLANK($C311),"",
IF($AG311=Constants!$B$7,
  IF(ISNUMBER(AT311),
    COUNTIFS($AT$8:$AT$507,"&lt;"&amp;$AT311)
    + COUNTIFS($AT$8:$AT$507,$AT311,$AV$8:$AV$507,"&lt;"&amp;$AV311)
    + COUNTIFS($AT$8:$AT$507,$AT311,$AV$8:$AV$507,$AV311,$AX$8:$AX$507,"&lt;"&amp;$AX311)
    + COUNTIFS($AT$8:$AT$507,$AT311,$AV$8:$AV$507,$AV311,$AX$8:$AX$507,$AX311,$AY$8:$AY$507,"&lt;"&amp;$AY311)
    + 1,
  Constants!$B$14),
$AG311))</f>
        <v/>
      </c>
      <c r="BA311" s="99" t="str">
        <f aca="false">IF(ISBLANK(C311),"",IF($AG311=Constants!$B$7, IF(ISNUMBER(AT311),AT311-AZ311,Constants!$B$14),$AG311))</f>
        <v/>
      </c>
      <c r="BB311" s="103"/>
      <c r="BC311" s="104" t="str">
        <f aca="false">IF(ISBLANK($C311),"",TRIM(AK311&amp;" "&amp;AO311))</f>
        <v/>
      </c>
      <c r="BD311" s="105" t="str">
        <f aca="false">IF(ISBLANK($C311),"",IF($AG311&lt;&gt;Constants!$B$7,$AG311,AR311))</f>
        <v/>
      </c>
      <c r="BE311" s="105" t="str">
        <f aca="false">IF(ISBLANK($C311),"",IF($AG311&lt;&gt;Constants!$B$7,$AG311,AM311))</f>
        <v/>
      </c>
      <c r="BF311" s="105" t="str">
        <f aca="false">IF(ISBLANK($C311),"",IF($AG311&lt;&gt;Constants!$B$7,$AG311,AQ311))</f>
        <v/>
      </c>
      <c r="BG311" s="106" t="str">
        <f aca="false">IF(ISBLANK($C311),"",IF($AG311&lt;&gt;Constants!$B$7, $AG311 ,AS311))</f>
        <v/>
      </c>
      <c r="BH311" s="107" t="str">
        <f aca="false">IF(ISBLANK($C311),"",IF($AG311&lt;&gt;Constants!$B$7, $AG311 ,AH311))</f>
        <v/>
      </c>
      <c r="BI311" s="105" t="str">
        <f aca="false">IF(ISBLANK(C311),"",BA311)</f>
        <v/>
      </c>
      <c r="BJ311" s="105" t="str">
        <f aca="false">IF(ISBLANK(C311),"",AZ311)</f>
        <v/>
      </c>
      <c r="BK311" s="108" t="str">
        <f aca="false">IF(ISBLANK(C311),"",IFERROR(_xlfn.SWITCH(BJ311, Constants!$B$4, COUNTA($C$8:$C810)+2, Constants!$B$5, COUNTA($C$8:$C810)+1, Constants!$B$6, COUNTA($C$8:$C810)),BJ311))</f>
        <v/>
      </c>
      <c r="BL311" s="5"/>
      <c r="BM311" s="109" t="n">
        <f aca="false">IF(OR(ISNUMBER(BJ311),BJ311="DQ",BJ311="P",BJ311="NS"),
    1,
    0
)</f>
        <v>0</v>
      </c>
      <c r="BN311" s="109" t="n">
        <v>304</v>
      </c>
      <c r="BO311" s="109" t="str">
        <f aca="false">IF(ISBLANK($C311),"",IF(ISNUMBER(BK311),BK311+ROW($B311)/1000,""))</f>
        <v/>
      </c>
      <c r="BP311" s="109" t="str">
        <f aca="false">IF(ISNUMBER(BO311), RANK(BO311,BO$8:BO$507,1), "")</f>
        <v/>
      </c>
      <c r="BQ311" s="109" t="str">
        <f aca="false">IF(ISBLANK($C311),
    "",
    $B311
)</f>
        <v/>
      </c>
      <c r="BR311" s="109" t="str">
        <f aca="false">IF(ISBLANK($C311),
    "",
    $C311
)</f>
        <v/>
      </c>
      <c r="BS311" s="109" t="str">
        <f aca="false">IF(ISBLANK($C311),
    "",
    $D311
)</f>
        <v/>
      </c>
      <c r="BT311" s="110" t="str">
        <f aca="false">BH311</f>
        <v/>
      </c>
      <c r="BU311" s="111" t="str">
        <f aca="false">BG311</f>
        <v/>
      </c>
      <c r="BV311" s="109" t="str">
        <f aca="false">IF(ISBLANK($C311),
    "",
    BJ311
)</f>
        <v/>
      </c>
      <c r="BW311" s="112" t="str">
        <f aca="false">IF(BN311&gt;BM$7,
    "",
    VLOOKUP(BN311,BP$8:BV810,7,FALSE())
)</f>
        <v/>
      </c>
      <c r="BX311" s="113" t="str">
        <f aca="false">IF(BN311&gt;BM$7,
    "",
    VLOOKUP(BN311,BP$8:BV810,2,FALSE())
)</f>
        <v/>
      </c>
      <c r="BY311" s="113" t="str">
        <f aca="false">IF(BN311&gt;BM$7,
    "",
    VLOOKUP(BN311,BP$8:BV810,3,FALSE())
)</f>
        <v/>
      </c>
      <c r="BZ311" s="113" t="str">
        <f aca="false">IF(BN311&gt;BM$7,
    "",
    VLOOKUP(BN311,BP$8:BV810,4,FALSE())
)</f>
        <v/>
      </c>
      <c r="CA311" s="113" t="str">
        <f aca="false">IF(BN311&gt;BM$7,
    "",
    VLOOKUP(BN311,BP$8:BV810,5,FALSE())
)</f>
        <v/>
      </c>
      <c r="CB311" s="114" t="str">
        <f aca="false">IF(BN311&gt;BM$7,
    "",
    VLOOKUP(BN311,BP$8:BV810,6,FALSE())
)</f>
        <v/>
      </c>
      <c r="CC311" s="53"/>
    </row>
    <row r="312" customFormat="false" ht="15.75" hidden="false" customHeight="false" outlineLevel="0" collapsed="false">
      <c r="A312" s="5"/>
      <c r="B312" s="125"/>
      <c r="C312" s="126"/>
      <c r="D312" s="115"/>
      <c r="E312" s="119"/>
      <c r="F312" s="119"/>
      <c r="G312" s="91"/>
      <c r="H312" s="92"/>
      <c r="I312" s="92"/>
      <c r="J312" s="128"/>
      <c r="K312" s="128"/>
      <c r="L312" s="128"/>
      <c r="M312" s="94"/>
      <c r="N312" s="94"/>
      <c r="O312" s="94"/>
      <c r="P312" s="95"/>
      <c r="Q312" s="96"/>
      <c r="R312" s="128"/>
      <c r="S312" s="98"/>
      <c r="T312" s="99"/>
      <c r="U312" s="99" t="str">
        <f aca="false">IF(ISBLANK($C312),"",IF(G312=Constants!$B$2, TRUE(), IF(G312=Constants!$B$3, FALSE(), TRUE())))</f>
        <v/>
      </c>
      <c r="V312" s="99" t="str">
        <f aca="false">IF(ISBLANK($C312),"",IF(H312=Constants!$B$2, TRUE(), IF(H312=Constants!$B$3, FALSE(), TRUE())))</f>
        <v/>
      </c>
      <c r="W312" s="99" t="str">
        <f aca="false">IF(ISBLANK($C312),"",IF(I312=Constants!$B$2, TRUE(), IF(I312=Constants!$B$3, FALSE(), TRUE())))</f>
        <v/>
      </c>
      <c r="X312" s="99" t="str">
        <f aca="false">IF(ISBLANK($C312),"",IF(AND(ISNUMBER(J312),J312&gt;0),INT(J312),0))</f>
        <v/>
      </c>
      <c r="Y312" s="99" t="str">
        <f aca="false">IF(ISBLANK($C312),"",IF(K312=Constants!$B$2, TRUE(), IF(K312=Constants!$B$3, FALSE(), TRUE())))</f>
        <v/>
      </c>
      <c r="Z312" s="100" t="str">
        <f aca="false">IF(ISBLANK($C312),"",IF(AND(ISNUMBER(L312),L312&gt;0),INT(L312),0))</f>
        <v/>
      </c>
      <c r="AA312" s="101" t="str">
        <f aca="false">IF(ISBLANK($C312),"",IF(ISNUMBER(M312), M312, ""))</f>
        <v/>
      </c>
      <c r="AB312" s="101" t="str">
        <f aca="false">IF(ISBLANK($C312),"",IF(ISNUMBER(N312), N312, ""))</f>
        <v/>
      </c>
      <c r="AC312" s="101" t="str">
        <f aca="false">IF(ISBLANK($C312),"",IF(ISNUMBER(O312), O312, ""))</f>
        <v/>
      </c>
      <c r="AD312" s="102" t="str">
        <f aca="false">IF(ISBLANK($C312),"",IF(ISNUMBER(P312), P312, ""))</f>
        <v/>
      </c>
      <c r="AE312" s="102" t="str">
        <f aca="false">IF(ISBLANK($C312),"",IF(ISNUMBER(Q312), Q312, Constants!$B$13))</f>
        <v/>
      </c>
      <c r="AF312" s="99" t="str">
        <f aca="false">IF(ISBLANK($C312),"",IF(R312=Constants!$B$2, TRUE(), IF(R312=Constants!$B$3, FALSE(), FALSE())))</f>
        <v/>
      </c>
      <c r="AG312" s="99" t="str">
        <f aca="false">IF(ISBLANK(C312), "", IF(AF312, Constants!$B$4,IF(COUNTA(G312:P312)=0, Constants!$B$5, Constants!$B$7)))</f>
        <v/>
      </c>
      <c r="AH312" s="99" t="str">
        <f aca="false">IF(ISBLANK($C312), "",IF($AG312=Constants!$B$7,1,$AG312))</f>
        <v/>
      </c>
      <c r="AI312" s="99" t="str">
        <f aca="false">IF($AG312=Constants!$B$7,POWER(Constants!$B$11,X312)*POWER(Constants!$B$12,Z312),"")</f>
        <v/>
      </c>
      <c r="AJ312" s="99" t="str">
        <f aca="false">IF(AND($AG312=Constants!$B$7, U312, V312) ,IF(OR($AA312="",$AC312=""),"",MAX(0, $AC312-$AA312)),"")</f>
        <v/>
      </c>
      <c r="AK312" s="99" t="str">
        <f aca="false">IF(AND($AG312=Constants!$B$7, U312, V312),IF(OR($AA312="",$AC312=""),$AK$6,""),"")</f>
        <v/>
      </c>
      <c r="AL312" s="99" t="str">
        <f aca="false">IF($AG312=Constants!$B$7,IF(AND(U312,V312,W312,Y312),IF($AJ312="",0,IF($AJ$6=0,Constants!$B$9,Constants!$B$9*AJ312/$AJ$6)), 0),"")</f>
        <v/>
      </c>
      <c r="AM312" s="99" t="str">
        <f aca="false">IF(AL312&lt;&gt;"", AL312*AI312,"")</f>
        <v/>
      </c>
      <c r="AN312" s="99" t="str">
        <f aca="false">IF(AND($AG312=Constants!$B$7, U312, V312) ,IF($AB312="", "", IF(OR($AC312="",$AC312=0),"",MAX(0,1-ABS($AC312-$AB312)/$AC312))),"")</f>
        <v/>
      </c>
      <c r="AO312" s="99" t="str">
        <f aca="false">IF(AND($AG312=Constants!$B$7, U312, V312),IF(AND($AA312&lt;&gt;"",$AB312&lt;&gt;"",$AC312=0),$AO$6,""),"")</f>
        <v/>
      </c>
      <c r="AP312" s="99" t="str">
        <f aca="false">IF($AG312=Constants!$B$7 ,IF(AND(U312,V312,W312,Y312,ISNUMBER(AB312)),IF($AN312="",0,IF($AN$6=0,Constants!$B$10,Constants!$B$10*AN312/$AN$6)), 0),"")</f>
        <v/>
      </c>
      <c r="AQ312" s="99" t="str">
        <f aca="false">IF(AP312&lt;&gt;"", AP312*AI312,"")</f>
        <v/>
      </c>
      <c r="AR312" s="99" t="str">
        <f aca="false">IF($AG312=Constants!$B$7,IF($AD312="",0,IF($AR$6=0,Constants!$B$8,Constants!$B$8*AD312/$AR$6)),"")</f>
        <v/>
      </c>
      <c r="AS312" s="99" t="str">
        <f aca="false">IF($AG312&lt;&gt;Constants!$B$7,$AG312,IF(AK312&amp;AO312&lt;&gt;"",Constants!$B$14,AM312+AQ312+AR312))</f>
        <v/>
      </c>
      <c r="AT312" s="99" t="str">
        <f aca="false">IF(ISBLANK($C312),"",IF($AG312=Constants!$B$7,IF(ISNUMBER(AS312),RANK(AS312,$AS$8:$AS$507),Constants!$B$14),$AG312))</f>
        <v/>
      </c>
      <c r="AU312" s="99" t="str">
        <f aca="false">IF(ISBLANK($C312), "",AM312)</f>
        <v/>
      </c>
      <c r="AV312" s="99" t="str">
        <f aca="false">IF(ISBLANK($C312),"",IF($AG312=Constants!$B$7,RANK(AU312,AU$8:AU$507),$AG312))</f>
        <v/>
      </c>
      <c r="AW312" s="99" t="str">
        <f aca="false">IF(ISBLANK($C312), "",AR312)</f>
        <v/>
      </c>
      <c r="AX312" s="99" t="str">
        <f aca="false">IF(ISBLANK($C312),"",IF($AG312=Constants!$B$7,RANK(AW312,AW$8:AW$507),$AG312))</f>
        <v/>
      </c>
      <c r="AY312" s="99" t="str">
        <f aca="false">IF(ISBLANK($C312), "",AE312)</f>
        <v/>
      </c>
      <c r="AZ312" s="99" t="str">
        <f aca="false">IF(ISBLANK($C312),"",
IF($AG312=Constants!$B$7,
  IF(ISNUMBER(AT312),
    COUNTIFS($AT$8:$AT$507,"&lt;"&amp;$AT312)
    + COUNTIFS($AT$8:$AT$507,$AT312,$AV$8:$AV$507,"&lt;"&amp;$AV312)
    + COUNTIFS($AT$8:$AT$507,$AT312,$AV$8:$AV$507,$AV312,$AX$8:$AX$507,"&lt;"&amp;$AX312)
    + COUNTIFS($AT$8:$AT$507,$AT312,$AV$8:$AV$507,$AV312,$AX$8:$AX$507,$AX312,$AY$8:$AY$507,"&lt;"&amp;$AY312)
    + 1,
  Constants!$B$14),
$AG312))</f>
        <v/>
      </c>
      <c r="BA312" s="99" t="str">
        <f aca="false">IF(ISBLANK(C312),"",IF($AG312=Constants!$B$7, IF(ISNUMBER(AT312),AT312-AZ312,Constants!$B$14),$AG312))</f>
        <v/>
      </c>
      <c r="BB312" s="103"/>
      <c r="BC312" s="104" t="str">
        <f aca="false">IF(ISBLANK($C312),"",TRIM(AK312&amp;" "&amp;AO312))</f>
        <v/>
      </c>
      <c r="BD312" s="105" t="str">
        <f aca="false">IF(ISBLANK($C312),"",IF($AG312&lt;&gt;Constants!$B$7,$AG312,AR312))</f>
        <v/>
      </c>
      <c r="BE312" s="105" t="str">
        <f aca="false">IF(ISBLANK($C312),"",IF($AG312&lt;&gt;Constants!$B$7,$AG312,AM312))</f>
        <v/>
      </c>
      <c r="BF312" s="105" t="str">
        <f aca="false">IF(ISBLANK($C312),"",IF($AG312&lt;&gt;Constants!$B$7,$AG312,AQ312))</f>
        <v/>
      </c>
      <c r="BG312" s="106" t="str">
        <f aca="false">IF(ISBLANK($C312),"",IF($AG312&lt;&gt;Constants!$B$7, $AG312 ,AS312))</f>
        <v/>
      </c>
      <c r="BH312" s="107" t="str">
        <f aca="false">IF(ISBLANK($C312),"",IF($AG312&lt;&gt;Constants!$B$7, $AG312 ,AH312))</f>
        <v/>
      </c>
      <c r="BI312" s="105" t="str">
        <f aca="false">IF(ISBLANK(C312),"",BA312)</f>
        <v/>
      </c>
      <c r="BJ312" s="105" t="str">
        <f aca="false">IF(ISBLANK(C312),"",AZ312)</f>
        <v/>
      </c>
      <c r="BK312" s="108" t="str">
        <f aca="false">IF(ISBLANK(C312),"",IFERROR(_xlfn.SWITCH(BJ312, Constants!$B$4, COUNTA($C$8:$C811)+2, Constants!$B$5, COUNTA($C$8:$C811)+1, Constants!$B$6, COUNTA($C$8:$C811)),BJ312))</f>
        <v/>
      </c>
      <c r="BL312" s="5"/>
      <c r="BM312" s="109" t="n">
        <f aca="false">IF(OR(ISNUMBER(BJ312),BJ312="DQ",BJ312="P",BJ312="NS"),
    1,
    0
)</f>
        <v>0</v>
      </c>
      <c r="BN312" s="109" t="n">
        <v>305</v>
      </c>
      <c r="BO312" s="109" t="str">
        <f aca="false">IF(ISBLANK($C312),"",IF(ISNUMBER(BK312),BK312+ROW($B312)/1000,""))</f>
        <v/>
      </c>
      <c r="BP312" s="109" t="str">
        <f aca="false">IF(ISNUMBER(BO312), RANK(BO312,BO$8:BO$507,1), "")</f>
        <v/>
      </c>
      <c r="BQ312" s="109" t="str">
        <f aca="false">IF(ISBLANK($C312),
    "",
    $B312
)</f>
        <v/>
      </c>
      <c r="BR312" s="109" t="str">
        <f aca="false">IF(ISBLANK($C312),
    "",
    $C312
)</f>
        <v/>
      </c>
      <c r="BS312" s="109" t="str">
        <f aca="false">IF(ISBLANK($C312),
    "",
    $D312
)</f>
        <v/>
      </c>
      <c r="BT312" s="110" t="str">
        <f aca="false">BH312</f>
        <v/>
      </c>
      <c r="BU312" s="111" t="str">
        <f aca="false">BG312</f>
        <v/>
      </c>
      <c r="BV312" s="109" t="str">
        <f aca="false">IF(ISBLANK($C312),
    "",
    BJ312
)</f>
        <v/>
      </c>
      <c r="BW312" s="112" t="str">
        <f aca="false">IF(BN312&gt;BM$7,
    "",
    VLOOKUP(BN312,BP$8:BV811,7,FALSE())
)</f>
        <v/>
      </c>
      <c r="BX312" s="113" t="str">
        <f aca="false">IF(BN312&gt;BM$7,
    "",
    VLOOKUP(BN312,BP$8:BV811,2,FALSE())
)</f>
        <v/>
      </c>
      <c r="BY312" s="113" t="str">
        <f aca="false">IF(BN312&gt;BM$7,
    "",
    VLOOKUP(BN312,BP$8:BV811,3,FALSE())
)</f>
        <v/>
      </c>
      <c r="BZ312" s="113" t="str">
        <f aca="false">IF(BN312&gt;BM$7,
    "",
    VLOOKUP(BN312,BP$8:BV811,4,FALSE())
)</f>
        <v/>
      </c>
      <c r="CA312" s="113" t="str">
        <f aca="false">IF(BN312&gt;BM$7,
    "",
    VLOOKUP(BN312,BP$8:BV811,5,FALSE())
)</f>
        <v/>
      </c>
      <c r="CB312" s="114" t="str">
        <f aca="false">IF(BN312&gt;BM$7,
    "",
    VLOOKUP(BN312,BP$8:BV811,6,FALSE())
)</f>
        <v/>
      </c>
      <c r="CC312" s="53"/>
    </row>
    <row r="313" customFormat="false" ht="15.75" hidden="false" customHeight="false" outlineLevel="0" collapsed="false">
      <c r="A313" s="5"/>
      <c r="B313" s="125"/>
      <c r="C313" s="126"/>
      <c r="D313" s="115"/>
      <c r="E313" s="119"/>
      <c r="F313" s="119"/>
      <c r="G313" s="91"/>
      <c r="H313" s="92"/>
      <c r="I313" s="92"/>
      <c r="J313" s="128"/>
      <c r="K313" s="128"/>
      <c r="L313" s="128"/>
      <c r="M313" s="94"/>
      <c r="N313" s="94"/>
      <c r="O313" s="94"/>
      <c r="P313" s="95"/>
      <c r="Q313" s="96"/>
      <c r="R313" s="128"/>
      <c r="S313" s="98"/>
      <c r="T313" s="99"/>
      <c r="U313" s="99" t="str">
        <f aca="false">IF(ISBLANK($C313),"",IF(G313=Constants!$B$2, TRUE(), IF(G313=Constants!$B$3, FALSE(), TRUE())))</f>
        <v/>
      </c>
      <c r="V313" s="99" t="str">
        <f aca="false">IF(ISBLANK($C313),"",IF(H313=Constants!$B$2, TRUE(), IF(H313=Constants!$B$3, FALSE(), TRUE())))</f>
        <v/>
      </c>
      <c r="W313" s="99" t="str">
        <f aca="false">IF(ISBLANK($C313),"",IF(I313=Constants!$B$2, TRUE(), IF(I313=Constants!$B$3, FALSE(), TRUE())))</f>
        <v/>
      </c>
      <c r="X313" s="99" t="str">
        <f aca="false">IF(ISBLANK($C313),"",IF(AND(ISNUMBER(J313),J313&gt;0),INT(J313),0))</f>
        <v/>
      </c>
      <c r="Y313" s="99" t="str">
        <f aca="false">IF(ISBLANK($C313),"",IF(K313=Constants!$B$2, TRUE(), IF(K313=Constants!$B$3, FALSE(), TRUE())))</f>
        <v/>
      </c>
      <c r="Z313" s="100" t="str">
        <f aca="false">IF(ISBLANK($C313),"",IF(AND(ISNUMBER(L313),L313&gt;0),INT(L313),0))</f>
        <v/>
      </c>
      <c r="AA313" s="101" t="str">
        <f aca="false">IF(ISBLANK($C313),"",IF(ISNUMBER(M313), M313, ""))</f>
        <v/>
      </c>
      <c r="AB313" s="101" t="str">
        <f aca="false">IF(ISBLANK($C313),"",IF(ISNUMBER(N313), N313, ""))</f>
        <v/>
      </c>
      <c r="AC313" s="101" t="str">
        <f aca="false">IF(ISBLANK($C313),"",IF(ISNUMBER(O313), O313, ""))</f>
        <v/>
      </c>
      <c r="AD313" s="102" t="str">
        <f aca="false">IF(ISBLANK($C313),"",IF(ISNUMBER(P313), P313, ""))</f>
        <v/>
      </c>
      <c r="AE313" s="102" t="str">
        <f aca="false">IF(ISBLANK($C313),"",IF(ISNUMBER(Q313), Q313, Constants!$B$13))</f>
        <v/>
      </c>
      <c r="AF313" s="99" t="str">
        <f aca="false">IF(ISBLANK($C313),"",IF(R313=Constants!$B$2, TRUE(), IF(R313=Constants!$B$3, FALSE(), FALSE())))</f>
        <v/>
      </c>
      <c r="AG313" s="99" t="str">
        <f aca="false">IF(ISBLANK(C313), "", IF(AF313, Constants!$B$4,IF(COUNTA(G313:P313)=0, Constants!$B$5, Constants!$B$7)))</f>
        <v/>
      </c>
      <c r="AH313" s="99" t="str">
        <f aca="false">IF(ISBLANK($C313), "",IF($AG313=Constants!$B$7,1,$AG313))</f>
        <v/>
      </c>
      <c r="AI313" s="99" t="str">
        <f aca="false">IF($AG313=Constants!$B$7,POWER(Constants!$B$11,X313)*POWER(Constants!$B$12,Z313),"")</f>
        <v/>
      </c>
      <c r="AJ313" s="99" t="str">
        <f aca="false">IF(AND($AG313=Constants!$B$7, U313, V313) ,IF(OR($AA313="",$AC313=""),"",MAX(0, $AC313-$AA313)),"")</f>
        <v/>
      </c>
      <c r="AK313" s="99" t="str">
        <f aca="false">IF(AND($AG313=Constants!$B$7, U313, V313),IF(OR($AA313="",$AC313=""),$AK$6,""),"")</f>
        <v/>
      </c>
      <c r="AL313" s="99" t="str">
        <f aca="false">IF($AG313=Constants!$B$7,IF(AND(U313,V313,W313,Y313),IF($AJ313="",0,IF($AJ$6=0,Constants!$B$9,Constants!$B$9*AJ313/$AJ$6)), 0),"")</f>
        <v/>
      </c>
      <c r="AM313" s="99" t="str">
        <f aca="false">IF(AL313&lt;&gt;"", AL313*AI313,"")</f>
        <v/>
      </c>
      <c r="AN313" s="99" t="str">
        <f aca="false">IF(AND($AG313=Constants!$B$7, U313, V313) ,IF($AB313="", "", IF(OR($AC313="",$AC313=0),"",MAX(0,1-ABS($AC313-$AB313)/$AC313))),"")</f>
        <v/>
      </c>
      <c r="AO313" s="99" t="str">
        <f aca="false">IF(AND($AG313=Constants!$B$7, U313, V313),IF(AND($AA313&lt;&gt;"",$AB313&lt;&gt;"",$AC313=0),$AO$6,""),"")</f>
        <v/>
      </c>
      <c r="AP313" s="99" t="str">
        <f aca="false">IF($AG313=Constants!$B$7 ,IF(AND(U313,V313,W313,Y313,ISNUMBER(AB313)),IF($AN313="",0,IF($AN$6=0,Constants!$B$10,Constants!$B$10*AN313/$AN$6)), 0),"")</f>
        <v/>
      </c>
      <c r="AQ313" s="99" t="str">
        <f aca="false">IF(AP313&lt;&gt;"", AP313*AI313,"")</f>
        <v/>
      </c>
      <c r="AR313" s="99" t="str">
        <f aca="false">IF($AG313=Constants!$B$7,IF($AD313="",0,IF($AR$6=0,Constants!$B$8,Constants!$B$8*AD313/$AR$6)),"")</f>
        <v/>
      </c>
      <c r="AS313" s="99" t="str">
        <f aca="false">IF($AG313&lt;&gt;Constants!$B$7,$AG313,IF(AK313&amp;AO313&lt;&gt;"",Constants!$B$14,AM313+AQ313+AR313))</f>
        <v/>
      </c>
      <c r="AT313" s="99" t="str">
        <f aca="false">IF(ISBLANK($C313),"",IF($AG313=Constants!$B$7,IF(ISNUMBER(AS313),RANK(AS313,$AS$8:$AS$507),Constants!$B$14),$AG313))</f>
        <v/>
      </c>
      <c r="AU313" s="99" t="str">
        <f aca="false">IF(ISBLANK($C313), "",AM313)</f>
        <v/>
      </c>
      <c r="AV313" s="99" t="str">
        <f aca="false">IF(ISBLANK($C313),"",IF($AG313=Constants!$B$7,RANK(AU313,AU$8:AU$507),$AG313))</f>
        <v/>
      </c>
      <c r="AW313" s="99" t="str">
        <f aca="false">IF(ISBLANK($C313), "",AR313)</f>
        <v/>
      </c>
      <c r="AX313" s="99" t="str">
        <f aca="false">IF(ISBLANK($C313),"",IF($AG313=Constants!$B$7,RANK(AW313,AW$8:AW$507),$AG313))</f>
        <v/>
      </c>
      <c r="AY313" s="99" t="str">
        <f aca="false">IF(ISBLANK($C313), "",AE313)</f>
        <v/>
      </c>
      <c r="AZ313" s="99" t="str">
        <f aca="false">IF(ISBLANK($C313),"",
IF($AG313=Constants!$B$7,
  IF(ISNUMBER(AT313),
    COUNTIFS($AT$8:$AT$507,"&lt;"&amp;$AT313)
    + COUNTIFS($AT$8:$AT$507,$AT313,$AV$8:$AV$507,"&lt;"&amp;$AV313)
    + COUNTIFS($AT$8:$AT$507,$AT313,$AV$8:$AV$507,$AV313,$AX$8:$AX$507,"&lt;"&amp;$AX313)
    + COUNTIFS($AT$8:$AT$507,$AT313,$AV$8:$AV$507,$AV313,$AX$8:$AX$507,$AX313,$AY$8:$AY$507,"&lt;"&amp;$AY313)
    + 1,
  Constants!$B$14),
$AG313))</f>
        <v/>
      </c>
      <c r="BA313" s="99" t="str">
        <f aca="false">IF(ISBLANK(C313),"",IF($AG313=Constants!$B$7, IF(ISNUMBER(AT313),AT313-AZ313,Constants!$B$14),$AG313))</f>
        <v/>
      </c>
      <c r="BB313" s="103"/>
      <c r="BC313" s="104" t="str">
        <f aca="false">IF(ISBLANK($C313),"",TRIM(AK313&amp;" "&amp;AO313))</f>
        <v/>
      </c>
      <c r="BD313" s="105" t="str">
        <f aca="false">IF(ISBLANK($C313),"",IF($AG313&lt;&gt;Constants!$B$7,$AG313,AR313))</f>
        <v/>
      </c>
      <c r="BE313" s="105" t="str">
        <f aca="false">IF(ISBLANK($C313),"",IF($AG313&lt;&gt;Constants!$B$7,$AG313,AM313))</f>
        <v/>
      </c>
      <c r="BF313" s="105" t="str">
        <f aca="false">IF(ISBLANK($C313),"",IF($AG313&lt;&gt;Constants!$B$7,$AG313,AQ313))</f>
        <v/>
      </c>
      <c r="BG313" s="106" t="str">
        <f aca="false">IF(ISBLANK($C313),"",IF($AG313&lt;&gt;Constants!$B$7, $AG313 ,AS313))</f>
        <v/>
      </c>
      <c r="BH313" s="107" t="str">
        <f aca="false">IF(ISBLANK($C313),"",IF($AG313&lt;&gt;Constants!$B$7, $AG313 ,AH313))</f>
        <v/>
      </c>
      <c r="BI313" s="105" t="str">
        <f aca="false">IF(ISBLANK(C313),"",BA313)</f>
        <v/>
      </c>
      <c r="BJ313" s="105" t="str">
        <f aca="false">IF(ISBLANK(C313),"",AZ313)</f>
        <v/>
      </c>
      <c r="BK313" s="108" t="str">
        <f aca="false">IF(ISBLANK(C313),"",IFERROR(_xlfn.SWITCH(BJ313, Constants!$B$4, COUNTA($C$8:$C812)+2, Constants!$B$5, COUNTA($C$8:$C812)+1, Constants!$B$6, COUNTA($C$8:$C812)),BJ313))</f>
        <v/>
      </c>
      <c r="BL313" s="5"/>
      <c r="BM313" s="109" t="n">
        <f aca="false">IF(OR(ISNUMBER(BJ313),BJ313="DQ",BJ313="P",BJ313="NS"),
    1,
    0
)</f>
        <v>0</v>
      </c>
      <c r="BN313" s="109" t="n">
        <v>306</v>
      </c>
      <c r="BO313" s="109" t="str">
        <f aca="false">IF(ISBLANK($C313),"",IF(ISNUMBER(BK313),BK313+ROW($B313)/1000,""))</f>
        <v/>
      </c>
      <c r="BP313" s="109" t="str">
        <f aca="false">IF(ISNUMBER(BO313), RANK(BO313,BO$8:BO$507,1), "")</f>
        <v/>
      </c>
      <c r="BQ313" s="109" t="str">
        <f aca="false">IF(ISBLANK($C313),
    "",
    $B313
)</f>
        <v/>
      </c>
      <c r="BR313" s="109" t="str">
        <f aca="false">IF(ISBLANK($C313),
    "",
    $C313
)</f>
        <v/>
      </c>
      <c r="BS313" s="109" t="str">
        <f aca="false">IF(ISBLANK($C313),
    "",
    $D313
)</f>
        <v/>
      </c>
      <c r="BT313" s="110" t="str">
        <f aca="false">BH313</f>
        <v/>
      </c>
      <c r="BU313" s="111" t="str">
        <f aca="false">BG313</f>
        <v/>
      </c>
      <c r="BV313" s="109" t="str">
        <f aca="false">IF(ISBLANK($C313),
    "",
    BJ313
)</f>
        <v/>
      </c>
      <c r="BW313" s="112" t="str">
        <f aca="false">IF(BN313&gt;BM$7,
    "",
    VLOOKUP(BN313,BP$8:BV812,7,FALSE())
)</f>
        <v/>
      </c>
      <c r="BX313" s="113" t="str">
        <f aca="false">IF(BN313&gt;BM$7,
    "",
    VLOOKUP(BN313,BP$8:BV812,2,FALSE())
)</f>
        <v/>
      </c>
      <c r="BY313" s="113" t="str">
        <f aca="false">IF(BN313&gt;BM$7,
    "",
    VLOOKUP(BN313,BP$8:BV812,3,FALSE())
)</f>
        <v/>
      </c>
      <c r="BZ313" s="113" t="str">
        <f aca="false">IF(BN313&gt;BM$7,
    "",
    VLOOKUP(BN313,BP$8:BV812,4,FALSE())
)</f>
        <v/>
      </c>
      <c r="CA313" s="113" t="str">
        <f aca="false">IF(BN313&gt;BM$7,
    "",
    VLOOKUP(BN313,BP$8:BV812,5,FALSE())
)</f>
        <v/>
      </c>
      <c r="CB313" s="114" t="str">
        <f aca="false">IF(BN313&gt;BM$7,
    "",
    VLOOKUP(BN313,BP$8:BV812,6,FALSE())
)</f>
        <v/>
      </c>
      <c r="CC313" s="53"/>
    </row>
    <row r="314" customFormat="false" ht="15.75" hidden="false" customHeight="false" outlineLevel="0" collapsed="false">
      <c r="A314" s="5"/>
      <c r="B314" s="129"/>
      <c r="C314" s="55"/>
      <c r="D314" s="56"/>
      <c r="E314" s="123"/>
      <c r="F314" s="123"/>
      <c r="G314" s="58"/>
      <c r="H314" s="59"/>
      <c r="I314" s="59"/>
      <c r="J314" s="83"/>
      <c r="K314" s="83"/>
      <c r="L314" s="83"/>
      <c r="M314" s="61"/>
      <c r="N314" s="61"/>
      <c r="O314" s="61"/>
      <c r="P314" s="62"/>
      <c r="Q314" s="63"/>
      <c r="R314" s="83"/>
      <c r="S314" s="65"/>
      <c r="T314" s="66"/>
      <c r="U314" s="66" t="str">
        <f aca="false">IF(ISBLANK($C314),"",IF(G314=Constants!$B$2, TRUE(), IF(G314=Constants!$B$3, FALSE(), TRUE())))</f>
        <v/>
      </c>
      <c r="V314" s="66" t="str">
        <f aca="false">IF(ISBLANK($C314),"",IF(H314=Constants!$B$2, TRUE(), IF(H314=Constants!$B$3, FALSE(), TRUE())))</f>
        <v/>
      </c>
      <c r="W314" s="66" t="str">
        <f aca="false">IF(ISBLANK($C314),"",IF(I314=Constants!$B$2, TRUE(), IF(I314=Constants!$B$3, FALSE(), TRUE())))</f>
        <v/>
      </c>
      <c r="X314" s="66" t="str">
        <f aca="false">IF(ISBLANK($C314),"",IF(AND(ISNUMBER(J314),J314&gt;0),INT(J314),0))</f>
        <v/>
      </c>
      <c r="Y314" s="66" t="str">
        <f aca="false">IF(ISBLANK($C314),"",IF(K314=Constants!$B$2, TRUE(), IF(K314=Constants!$B$3, FALSE(), TRUE())))</f>
        <v/>
      </c>
      <c r="Z314" s="66" t="str">
        <f aca="false">IF(ISBLANK($C314),"",IF(AND(ISNUMBER(L314),L314&gt;0),INT(L314),0))</f>
        <v/>
      </c>
      <c r="AA314" s="68" t="str">
        <f aca="false">IF(ISBLANK($C314),"",IF(ISNUMBER(M314), M314, ""))</f>
        <v/>
      </c>
      <c r="AB314" s="68" t="str">
        <f aca="false">IF(ISBLANK($C314),"",IF(ISNUMBER(N314), N314, ""))</f>
        <v/>
      </c>
      <c r="AC314" s="68" t="str">
        <f aca="false">IF(ISBLANK($C314),"",IF(ISNUMBER(O314), O314, ""))</f>
        <v/>
      </c>
      <c r="AD314" s="69" t="str">
        <f aca="false">IF(ISBLANK($C314),"",IF(ISNUMBER(P314), P314, ""))</f>
        <v/>
      </c>
      <c r="AE314" s="69" t="str">
        <f aca="false">IF(ISBLANK($C314),"",IF(ISNUMBER(Q314), Q314, Constants!$B$13))</f>
        <v/>
      </c>
      <c r="AF314" s="66" t="str">
        <f aca="false">IF(ISBLANK($C314),"",IF(R314=Constants!$B$2, TRUE(), IF(R314=Constants!$B$3, FALSE(), FALSE())))</f>
        <v/>
      </c>
      <c r="AG314" s="66" t="str">
        <f aca="false">IF(ISBLANK(C314), "", IF(AF314, Constants!$B$4,IF(COUNTA(G314:P314)=0, Constants!$B$5, Constants!$B$7)))</f>
        <v/>
      </c>
      <c r="AH314" s="66" t="str">
        <f aca="false">IF(ISBLANK($C314), "",IF($AG314=Constants!$B$7,1,$AG314))</f>
        <v/>
      </c>
      <c r="AI314" s="66" t="str">
        <f aca="false">IF($AG314=Constants!$B$7,POWER(Constants!$B$11,X314)*POWER(Constants!$B$12,Z314),"")</f>
        <v/>
      </c>
      <c r="AJ314" s="66" t="str">
        <f aca="false">IF(AND($AG314=Constants!$B$7, U314, V314) ,IF(OR($AA314="",$AC314=""),"",MAX(0, $AC314-$AA314)),"")</f>
        <v/>
      </c>
      <c r="AK314" s="66" t="str">
        <f aca="false">IF(AND($AG314=Constants!$B$7, U314, V314),IF(OR($AA314="",$AC314=""),$AK$6,""),"")</f>
        <v/>
      </c>
      <c r="AL314" s="66" t="str">
        <f aca="false">IF($AG314=Constants!$B$7,IF(AND(U314,V314,W314,Y314),IF($AJ314="",0,IF($AJ$6=0,Constants!$B$9,Constants!$B$9*AJ314/$AJ$6)), 0),"")</f>
        <v/>
      </c>
      <c r="AM314" s="66" t="str">
        <f aca="false">IF(AL314&lt;&gt;"", AL314*AI314,"")</f>
        <v/>
      </c>
      <c r="AN314" s="66" t="str">
        <f aca="false">IF(AND($AG314=Constants!$B$7, U314, V314) ,IF($AB314="", "", IF(OR($AC314="",$AC314=0),"",MAX(0,1-ABS($AC314-$AB314)/$AC314))),"")</f>
        <v/>
      </c>
      <c r="AO314" s="66" t="str">
        <f aca="false">IF(AND($AG314=Constants!$B$7, U314, V314),IF(AND($AA314&lt;&gt;"",$AB314&lt;&gt;"",$AC314=0),$AO$6,""),"")</f>
        <v/>
      </c>
      <c r="AP314" s="66" t="str">
        <f aca="false">IF($AG314=Constants!$B$7 ,IF(AND(U314,V314,W314,Y314,ISNUMBER(AB314)),IF($AN314="",0,IF($AN$6=0,Constants!$B$10,Constants!$B$10*AN314/$AN$6)), 0),"")</f>
        <v/>
      </c>
      <c r="AQ314" s="66" t="str">
        <f aca="false">IF(AP314&lt;&gt;"", AP314*AI314,"")</f>
        <v/>
      </c>
      <c r="AR314" s="66" t="str">
        <f aca="false">IF($AG314=Constants!$B$7,IF($AD314="",0,IF($AR$6=0,Constants!$B$8,Constants!$B$8*AD314/$AR$6)),"")</f>
        <v/>
      </c>
      <c r="AS314" s="66" t="str">
        <f aca="false">IF($AG314&lt;&gt;Constants!$B$7,$AG314,IF(AK314&amp;AO314&lt;&gt;"",Constants!$B$14,AM314+AQ314+AR314))</f>
        <v/>
      </c>
      <c r="AT314" s="66" t="str">
        <f aca="false">IF(ISBLANK($C314),"",IF($AG314=Constants!$B$7,IF(ISNUMBER(AS314),RANK(AS314,$AS$8:$AS$507),Constants!$B$14),$AG314))</f>
        <v/>
      </c>
      <c r="AU314" s="66" t="str">
        <f aca="false">IF(ISBLANK($C314), "",AM314)</f>
        <v/>
      </c>
      <c r="AV314" s="66" t="str">
        <f aca="false">IF(ISBLANK($C314),"",IF($AG314=Constants!$B$7,RANK(AU314,AU$8:AU$507),$AG314))</f>
        <v/>
      </c>
      <c r="AW314" s="66" t="str">
        <f aca="false">IF(ISBLANK($C314), "",AR314)</f>
        <v/>
      </c>
      <c r="AX314" s="66" t="str">
        <f aca="false">IF(ISBLANK($C314),"",IF($AG314=Constants!$B$7,RANK(AW314,AW$8:AW$507),$AG314))</f>
        <v/>
      </c>
      <c r="AY314" s="66" t="str">
        <f aca="false">IF(ISBLANK($C314), "",AE314)</f>
        <v/>
      </c>
      <c r="AZ314" s="66" t="str">
        <f aca="false">IF(ISBLANK($C314),"",
IF($AG314=Constants!$B$7,
  IF(ISNUMBER(AT314),
    COUNTIFS($AT$8:$AT$507,"&lt;"&amp;$AT314)
    + COUNTIFS($AT$8:$AT$507,$AT314,$AV$8:$AV$507,"&lt;"&amp;$AV314)
    + COUNTIFS($AT$8:$AT$507,$AT314,$AV$8:$AV$507,$AV314,$AX$8:$AX$507,"&lt;"&amp;$AX314)
    + COUNTIFS($AT$8:$AT$507,$AT314,$AV$8:$AV$507,$AV314,$AX$8:$AX$507,$AX314,$AY$8:$AY$507,"&lt;"&amp;$AY314)
    + 1,
  Constants!$B$14),
$AG314))</f>
        <v/>
      </c>
      <c r="BA314" s="66" t="str">
        <f aca="false">IF(ISBLANK(C314),"",IF($AG314=Constants!$B$7, IF(ISNUMBER(AT314),AT314-AZ314,Constants!$B$14),$AG314))</f>
        <v/>
      </c>
      <c r="BB314" s="70"/>
      <c r="BC314" s="84" t="str">
        <f aca="false">IF(ISBLANK($C314),"",TRIM(AK314&amp;" "&amp;AO314))</f>
        <v/>
      </c>
      <c r="BD314" s="72" t="str">
        <f aca="false">IF(ISBLANK($C314),"",IF($AG314&lt;&gt;Constants!$B$7,$AG314,AR314))</f>
        <v/>
      </c>
      <c r="BE314" s="72" t="str">
        <f aca="false">IF(ISBLANK($C314),"",IF($AG314&lt;&gt;Constants!$B$7,$AG314,AM314))</f>
        <v/>
      </c>
      <c r="BF314" s="72" t="str">
        <f aca="false">IF(ISBLANK($C314),"",IF($AG314&lt;&gt;Constants!$B$7,$AG314,AQ314))</f>
        <v/>
      </c>
      <c r="BG314" s="73" t="str">
        <f aca="false">IF(ISBLANK($C314),"",IF($AG314&lt;&gt;Constants!$B$7, $AG314 ,AS314))</f>
        <v/>
      </c>
      <c r="BH314" s="74" t="str">
        <f aca="false">IF(ISBLANK($C314),"",IF($AG314&lt;&gt;Constants!$B$7, $AG314 ,AH314))</f>
        <v/>
      </c>
      <c r="BI314" s="72" t="str">
        <f aca="false">IF(ISBLANK(C314),"",BA314)</f>
        <v/>
      </c>
      <c r="BJ314" s="72" t="str">
        <f aca="false">IF(ISBLANK(C314),"",AZ314)</f>
        <v/>
      </c>
      <c r="BK314" s="75" t="str">
        <f aca="false">IF(ISBLANK(C314),"",IFERROR(_xlfn.SWITCH(BJ314, Constants!$B$4, COUNTA($C$8:$C813)+2, Constants!$B$5, COUNTA($C$8:$C813)+1, Constants!$B$6, COUNTA($C$8:$C813)),BJ314))</f>
        <v/>
      </c>
      <c r="BL314" s="5"/>
      <c r="BM314" s="76" t="n">
        <f aca="false">IF(OR(ISNUMBER(BJ314),BJ314="DQ",BJ314="P",BJ314="NS"),
    1,
    0
)</f>
        <v>0</v>
      </c>
      <c r="BN314" s="76" t="n">
        <v>307</v>
      </c>
      <c r="BO314" s="76" t="str">
        <f aca="false">IF(ISBLANK($C314),"",IF(ISNUMBER(BK314),BK314+ROW($B314)/1000,""))</f>
        <v/>
      </c>
      <c r="BP314" s="76" t="str">
        <f aca="false">IF(ISNUMBER(BO314), RANK(BO314,BO$8:BO$507,1), "")</f>
        <v/>
      </c>
      <c r="BQ314" s="76" t="str">
        <f aca="false">IF(ISBLANK($C314),
    "",
    $B314
)</f>
        <v/>
      </c>
      <c r="BR314" s="76" t="str">
        <f aca="false">IF(ISBLANK($C314),
    "",
    $C314
)</f>
        <v/>
      </c>
      <c r="BS314" s="76" t="str">
        <f aca="false">IF(ISBLANK($C314),
    "",
    $D314
)</f>
        <v/>
      </c>
      <c r="BT314" s="77" t="str">
        <f aca="false">BH314</f>
        <v/>
      </c>
      <c r="BU314" s="78" t="str">
        <f aca="false">BG314</f>
        <v/>
      </c>
      <c r="BV314" s="76" t="str">
        <f aca="false">IF(ISBLANK($C314),
    "",
    BJ314
)</f>
        <v/>
      </c>
      <c r="BW314" s="79" t="str">
        <f aca="false">IF(BN314&gt;BM$7,
    "",
    VLOOKUP(BN314,BP$8:BV813,7,FALSE())
)</f>
        <v/>
      </c>
      <c r="BX314" s="80" t="str">
        <f aca="false">IF(BN314&gt;BM$7,
    "",
    VLOOKUP(BN314,BP$8:BV813,2,FALSE())
)</f>
        <v/>
      </c>
      <c r="BY314" s="80" t="str">
        <f aca="false">IF(BN314&gt;BM$7,
    "",
    VLOOKUP(BN314,BP$8:BV813,3,FALSE())
)</f>
        <v/>
      </c>
      <c r="BZ314" s="80" t="str">
        <f aca="false">IF(BN314&gt;BM$7,
    "",
    VLOOKUP(BN314,BP$8:BV813,4,FALSE())
)</f>
        <v/>
      </c>
      <c r="CA314" s="80" t="str">
        <f aca="false">IF(BN314&gt;BM$7,
    "",
    VLOOKUP(BN314,BP$8:BV813,5,FALSE())
)</f>
        <v/>
      </c>
      <c r="CB314" s="81" t="str">
        <f aca="false">IF(BN314&gt;BM$7,
    "",
    VLOOKUP(BN314,BP$8:BV813,6,FALSE())
)</f>
        <v/>
      </c>
      <c r="CC314" s="53"/>
    </row>
    <row r="315" customFormat="false" ht="15.75" hidden="false" customHeight="false" outlineLevel="0" collapsed="false">
      <c r="A315" s="5"/>
      <c r="B315" s="129"/>
      <c r="C315" s="55"/>
      <c r="D315" s="56"/>
      <c r="E315" s="123"/>
      <c r="F315" s="123"/>
      <c r="G315" s="58"/>
      <c r="H315" s="59"/>
      <c r="I315" s="59"/>
      <c r="J315" s="83"/>
      <c r="K315" s="83"/>
      <c r="L315" s="83"/>
      <c r="M315" s="61"/>
      <c r="N315" s="61"/>
      <c r="O315" s="61"/>
      <c r="P315" s="62"/>
      <c r="Q315" s="63"/>
      <c r="R315" s="83"/>
      <c r="S315" s="65"/>
      <c r="T315" s="66"/>
      <c r="U315" s="66" t="str">
        <f aca="false">IF(ISBLANK($C315),"",IF(G315=Constants!$B$2, TRUE(), IF(G315=Constants!$B$3, FALSE(), TRUE())))</f>
        <v/>
      </c>
      <c r="V315" s="66" t="str">
        <f aca="false">IF(ISBLANK($C315),"",IF(H315=Constants!$B$2, TRUE(), IF(H315=Constants!$B$3, FALSE(), TRUE())))</f>
        <v/>
      </c>
      <c r="W315" s="66" t="str">
        <f aca="false">IF(ISBLANK($C315),"",IF(I315=Constants!$B$2, TRUE(), IF(I315=Constants!$B$3, FALSE(), TRUE())))</f>
        <v/>
      </c>
      <c r="X315" s="66" t="str">
        <f aca="false">IF(ISBLANK($C315),"",IF(AND(ISNUMBER(J315),J315&gt;0),INT(J315),0))</f>
        <v/>
      </c>
      <c r="Y315" s="66" t="str">
        <f aca="false">IF(ISBLANK($C315),"",IF(K315=Constants!$B$2, TRUE(), IF(K315=Constants!$B$3, FALSE(), TRUE())))</f>
        <v/>
      </c>
      <c r="Z315" s="66" t="str">
        <f aca="false">IF(ISBLANK($C315),"",IF(AND(ISNUMBER(L315),L315&gt;0),INT(L315),0))</f>
        <v/>
      </c>
      <c r="AA315" s="68" t="str">
        <f aca="false">IF(ISBLANK($C315),"",IF(ISNUMBER(M315), M315, ""))</f>
        <v/>
      </c>
      <c r="AB315" s="68" t="str">
        <f aca="false">IF(ISBLANK($C315),"",IF(ISNUMBER(N315), N315, ""))</f>
        <v/>
      </c>
      <c r="AC315" s="68" t="str">
        <f aca="false">IF(ISBLANK($C315),"",IF(ISNUMBER(O315), O315, ""))</f>
        <v/>
      </c>
      <c r="AD315" s="69" t="str">
        <f aca="false">IF(ISBLANK($C315),"",IF(ISNUMBER(P315), P315, ""))</f>
        <v/>
      </c>
      <c r="AE315" s="69" t="str">
        <f aca="false">IF(ISBLANK($C315),"",IF(ISNUMBER(Q315), Q315, Constants!$B$13))</f>
        <v/>
      </c>
      <c r="AF315" s="66" t="str">
        <f aca="false">IF(ISBLANK($C315),"",IF(R315=Constants!$B$2, TRUE(), IF(R315=Constants!$B$3, FALSE(), FALSE())))</f>
        <v/>
      </c>
      <c r="AG315" s="66" t="str">
        <f aca="false">IF(ISBLANK(C315), "", IF(AF315, Constants!$B$4,IF(COUNTA(G315:P315)=0, Constants!$B$5, Constants!$B$7)))</f>
        <v/>
      </c>
      <c r="AH315" s="66" t="str">
        <f aca="false">IF(ISBLANK($C315), "",IF($AG315=Constants!$B$7,1,$AG315))</f>
        <v/>
      </c>
      <c r="AI315" s="66" t="str">
        <f aca="false">IF($AG315=Constants!$B$7,POWER(Constants!$B$11,X315)*POWER(Constants!$B$12,Z315),"")</f>
        <v/>
      </c>
      <c r="AJ315" s="66" t="str">
        <f aca="false">IF(AND($AG315=Constants!$B$7, U315, V315) ,IF(OR($AA315="",$AC315=""),"",MAX(0, $AC315-$AA315)),"")</f>
        <v/>
      </c>
      <c r="AK315" s="66" t="str">
        <f aca="false">IF(AND($AG315=Constants!$B$7, U315, V315),IF(OR($AA315="",$AC315=""),$AK$6,""),"")</f>
        <v/>
      </c>
      <c r="AL315" s="66" t="str">
        <f aca="false">IF($AG315=Constants!$B$7,IF(AND(U315,V315,W315,Y315),IF($AJ315="",0,IF($AJ$6=0,Constants!$B$9,Constants!$B$9*AJ315/$AJ$6)), 0),"")</f>
        <v/>
      </c>
      <c r="AM315" s="66" t="str">
        <f aca="false">IF(AL315&lt;&gt;"", AL315*AI315,"")</f>
        <v/>
      </c>
      <c r="AN315" s="66" t="str">
        <f aca="false">IF(AND($AG315=Constants!$B$7, U315, V315) ,IF($AB315="", "", IF(OR($AC315="",$AC315=0),"",MAX(0,1-ABS($AC315-$AB315)/$AC315))),"")</f>
        <v/>
      </c>
      <c r="AO315" s="66" t="str">
        <f aca="false">IF(AND($AG315=Constants!$B$7, U315, V315),IF(AND($AA315&lt;&gt;"",$AB315&lt;&gt;"",$AC315=0),$AO$6,""),"")</f>
        <v/>
      </c>
      <c r="AP315" s="66" t="str">
        <f aca="false">IF($AG315=Constants!$B$7 ,IF(AND(U315,V315,W315,Y315,ISNUMBER(AB315)),IF($AN315="",0,IF($AN$6=0,Constants!$B$10,Constants!$B$10*AN315/$AN$6)), 0),"")</f>
        <v/>
      </c>
      <c r="AQ315" s="66" t="str">
        <f aca="false">IF(AP315&lt;&gt;"", AP315*AI315,"")</f>
        <v/>
      </c>
      <c r="AR315" s="66" t="str">
        <f aca="false">IF($AG315=Constants!$B$7,IF($AD315="",0,IF($AR$6=0,Constants!$B$8,Constants!$B$8*AD315/$AR$6)),"")</f>
        <v/>
      </c>
      <c r="AS315" s="66" t="str">
        <f aca="false">IF($AG315&lt;&gt;Constants!$B$7,$AG315,IF(AK315&amp;AO315&lt;&gt;"",Constants!$B$14,AM315+AQ315+AR315))</f>
        <v/>
      </c>
      <c r="AT315" s="66" t="str">
        <f aca="false">IF(ISBLANK($C315),"",IF($AG315=Constants!$B$7,IF(ISNUMBER(AS315),RANK(AS315,$AS$8:$AS$507),Constants!$B$14),$AG315))</f>
        <v/>
      </c>
      <c r="AU315" s="66" t="str">
        <f aca="false">IF(ISBLANK($C315), "",AM315)</f>
        <v/>
      </c>
      <c r="AV315" s="66" t="str">
        <f aca="false">IF(ISBLANK($C315),"",IF($AG315=Constants!$B$7,RANK(AU315,AU$8:AU$507),$AG315))</f>
        <v/>
      </c>
      <c r="AW315" s="66" t="str">
        <f aca="false">IF(ISBLANK($C315), "",AR315)</f>
        <v/>
      </c>
      <c r="AX315" s="66" t="str">
        <f aca="false">IF(ISBLANK($C315),"",IF($AG315=Constants!$B$7,RANK(AW315,AW$8:AW$507),$AG315))</f>
        <v/>
      </c>
      <c r="AY315" s="66" t="str">
        <f aca="false">IF(ISBLANK($C315), "",AE315)</f>
        <v/>
      </c>
      <c r="AZ315" s="66" t="str">
        <f aca="false">IF(ISBLANK($C315),"",
IF($AG315=Constants!$B$7,
  IF(ISNUMBER(AT315),
    COUNTIFS($AT$8:$AT$507,"&lt;"&amp;$AT315)
    + COUNTIFS($AT$8:$AT$507,$AT315,$AV$8:$AV$507,"&lt;"&amp;$AV315)
    + COUNTIFS($AT$8:$AT$507,$AT315,$AV$8:$AV$507,$AV315,$AX$8:$AX$507,"&lt;"&amp;$AX315)
    + COUNTIFS($AT$8:$AT$507,$AT315,$AV$8:$AV$507,$AV315,$AX$8:$AX$507,$AX315,$AY$8:$AY$507,"&lt;"&amp;$AY315)
    + 1,
  Constants!$B$14),
$AG315))</f>
        <v/>
      </c>
      <c r="BA315" s="66" t="str">
        <f aca="false">IF(ISBLANK(C315),"",IF($AG315=Constants!$B$7, IF(ISNUMBER(AT315),AT315-AZ315,Constants!$B$14),$AG315))</f>
        <v/>
      </c>
      <c r="BB315" s="70"/>
      <c r="BC315" s="84" t="str">
        <f aca="false">IF(ISBLANK($C315),"",TRIM(AK315&amp;" "&amp;AO315))</f>
        <v/>
      </c>
      <c r="BD315" s="72" t="str">
        <f aca="false">IF(ISBLANK($C315),"",IF($AG315&lt;&gt;Constants!$B$7,$AG315,AR315))</f>
        <v/>
      </c>
      <c r="BE315" s="72" t="str">
        <f aca="false">IF(ISBLANK($C315),"",IF($AG315&lt;&gt;Constants!$B$7,$AG315,AM315))</f>
        <v/>
      </c>
      <c r="BF315" s="72" t="str">
        <f aca="false">IF(ISBLANK($C315),"",IF($AG315&lt;&gt;Constants!$B$7,$AG315,AQ315))</f>
        <v/>
      </c>
      <c r="BG315" s="73" t="str">
        <f aca="false">IF(ISBLANK($C315),"",IF($AG315&lt;&gt;Constants!$B$7, $AG315 ,AS315))</f>
        <v/>
      </c>
      <c r="BH315" s="74" t="str">
        <f aca="false">IF(ISBLANK($C315),"",IF($AG315&lt;&gt;Constants!$B$7, $AG315 ,AH315))</f>
        <v/>
      </c>
      <c r="BI315" s="72" t="str">
        <f aca="false">IF(ISBLANK(C315),"",BA315)</f>
        <v/>
      </c>
      <c r="BJ315" s="72" t="str">
        <f aca="false">IF(ISBLANK(C315),"",AZ315)</f>
        <v/>
      </c>
      <c r="BK315" s="75" t="str">
        <f aca="false">IF(ISBLANK(C315),"",IFERROR(_xlfn.SWITCH(BJ315, Constants!$B$4, COUNTA($C$8:$C814)+2, Constants!$B$5, COUNTA($C$8:$C814)+1, Constants!$B$6, COUNTA($C$8:$C814)),BJ315))</f>
        <v/>
      </c>
      <c r="BL315" s="5"/>
      <c r="BM315" s="76" t="n">
        <f aca="false">IF(OR(ISNUMBER(BJ315),BJ315="DQ",BJ315="P",BJ315="NS"),
    1,
    0
)</f>
        <v>0</v>
      </c>
      <c r="BN315" s="76" t="n">
        <v>308</v>
      </c>
      <c r="BO315" s="76" t="str">
        <f aca="false">IF(ISBLANK($C315),"",IF(ISNUMBER(BK315),BK315+ROW($B315)/1000,""))</f>
        <v/>
      </c>
      <c r="BP315" s="76" t="str">
        <f aca="false">IF(ISNUMBER(BO315), RANK(BO315,BO$8:BO$507,1), "")</f>
        <v/>
      </c>
      <c r="BQ315" s="76" t="str">
        <f aca="false">IF(ISBLANK($C315),
    "",
    $B315
)</f>
        <v/>
      </c>
      <c r="BR315" s="76" t="str">
        <f aca="false">IF(ISBLANK($C315),
    "",
    $C315
)</f>
        <v/>
      </c>
      <c r="BS315" s="76" t="str">
        <f aca="false">IF(ISBLANK($C315),
    "",
    $D315
)</f>
        <v/>
      </c>
      <c r="BT315" s="77" t="str">
        <f aca="false">BH315</f>
        <v/>
      </c>
      <c r="BU315" s="78" t="str">
        <f aca="false">BG315</f>
        <v/>
      </c>
      <c r="BV315" s="76" t="str">
        <f aca="false">IF(ISBLANK($C315),
    "",
    BJ315
)</f>
        <v/>
      </c>
      <c r="BW315" s="79" t="str">
        <f aca="false">IF(BN315&gt;BM$7,
    "",
    VLOOKUP(BN315,BP$8:BV814,7,FALSE())
)</f>
        <v/>
      </c>
      <c r="BX315" s="80" t="str">
        <f aca="false">IF(BN315&gt;BM$7,
    "",
    VLOOKUP(BN315,BP$8:BV814,2,FALSE())
)</f>
        <v/>
      </c>
      <c r="BY315" s="80" t="str">
        <f aca="false">IF(BN315&gt;BM$7,
    "",
    VLOOKUP(BN315,BP$8:BV814,3,FALSE())
)</f>
        <v/>
      </c>
      <c r="BZ315" s="80" t="str">
        <f aca="false">IF(BN315&gt;BM$7,
    "",
    VLOOKUP(BN315,BP$8:BV814,4,FALSE())
)</f>
        <v/>
      </c>
      <c r="CA315" s="80" t="str">
        <f aca="false">IF(BN315&gt;BM$7,
    "",
    VLOOKUP(BN315,BP$8:BV814,5,FALSE())
)</f>
        <v/>
      </c>
      <c r="CB315" s="81" t="str">
        <f aca="false">IF(BN315&gt;BM$7,
    "",
    VLOOKUP(BN315,BP$8:BV814,6,FALSE())
)</f>
        <v/>
      </c>
      <c r="CC315" s="53"/>
    </row>
    <row r="316" customFormat="false" ht="15.75" hidden="false" customHeight="false" outlineLevel="0" collapsed="false">
      <c r="A316" s="5"/>
      <c r="B316" s="129"/>
      <c r="C316" s="55"/>
      <c r="D316" s="56"/>
      <c r="E316" s="123"/>
      <c r="F316" s="123"/>
      <c r="G316" s="58"/>
      <c r="H316" s="59"/>
      <c r="I316" s="59"/>
      <c r="J316" s="83"/>
      <c r="K316" s="83"/>
      <c r="L316" s="83"/>
      <c r="M316" s="61"/>
      <c r="N316" s="61"/>
      <c r="O316" s="61"/>
      <c r="P316" s="62"/>
      <c r="Q316" s="63"/>
      <c r="R316" s="83"/>
      <c r="S316" s="65"/>
      <c r="T316" s="66"/>
      <c r="U316" s="66" t="str">
        <f aca="false">IF(ISBLANK($C316),"",IF(G316=Constants!$B$2, TRUE(), IF(G316=Constants!$B$3, FALSE(), TRUE())))</f>
        <v/>
      </c>
      <c r="V316" s="66" t="str">
        <f aca="false">IF(ISBLANK($C316),"",IF(H316=Constants!$B$2, TRUE(), IF(H316=Constants!$B$3, FALSE(), TRUE())))</f>
        <v/>
      </c>
      <c r="W316" s="66" t="str">
        <f aca="false">IF(ISBLANK($C316),"",IF(I316=Constants!$B$2, TRUE(), IF(I316=Constants!$B$3, FALSE(), TRUE())))</f>
        <v/>
      </c>
      <c r="X316" s="66" t="str">
        <f aca="false">IF(ISBLANK($C316),"",IF(AND(ISNUMBER(J316),J316&gt;0),INT(J316),0))</f>
        <v/>
      </c>
      <c r="Y316" s="66" t="str">
        <f aca="false">IF(ISBLANK($C316),"",IF(K316=Constants!$B$2, TRUE(), IF(K316=Constants!$B$3, FALSE(), TRUE())))</f>
        <v/>
      </c>
      <c r="Z316" s="66" t="str">
        <f aca="false">IF(ISBLANK($C316),"",IF(AND(ISNUMBER(L316),L316&gt;0),INT(L316),0))</f>
        <v/>
      </c>
      <c r="AA316" s="68" t="str">
        <f aca="false">IF(ISBLANK($C316),"",IF(ISNUMBER(M316), M316, ""))</f>
        <v/>
      </c>
      <c r="AB316" s="68" t="str">
        <f aca="false">IF(ISBLANK($C316),"",IF(ISNUMBER(N316), N316, ""))</f>
        <v/>
      </c>
      <c r="AC316" s="68" t="str">
        <f aca="false">IF(ISBLANK($C316),"",IF(ISNUMBER(O316), O316, ""))</f>
        <v/>
      </c>
      <c r="AD316" s="69" t="str">
        <f aca="false">IF(ISBLANK($C316),"",IF(ISNUMBER(P316), P316, ""))</f>
        <v/>
      </c>
      <c r="AE316" s="69" t="str">
        <f aca="false">IF(ISBLANK($C316),"",IF(ISNUMBER(Q316), Q316, Constants!$B$13))</f>
        <v/>
      </c>
      <c r="AF316" s="66" t="str">
        <f aca="false">IF(ISBLANK($C316),"",IF(R316=Constants!$B$2, TRUE(), IF(R316=Constants!$B$3, FALSE(), FALSE())))</f>
        <v/>
      </c>
      <c r="AG316" s="66" t="str">
        <f aca="false">IF(ISBLANK(C316), "", IF(AF316, Constants!$B$4,IF(COUNTA(G316:P316)=0, Constants!$B$5, Constants!$B$7)))</f>
        <v/>
      </c>
      <c r="AH316" s="66" t="str">
        <f aca="false">IF(ISBLANK($C316), "",IF($AG316=Constants!$B$7,1,$AG316))</f>
        <v/>
      </c>
      <c r="AI316" s="66" t="str">
        <f aca="false">IF($AG316=Constants!$B$7,POWER(Constants!$B$11,X316)*POWER(Constants!$B$12,Z316),"")</f>
        <v/>
      </c>
      <c r="AJ316" s="66" t="str">
        <f aca="false">IF(AND($AG316=Constants!$B$7, U316, V316) ,IF(OR($AA316="",$AC316=""),"",MAX(0, $AC316-$AA316)),"")</f>
        <v/>
      </c>
      <c r="AK316" s="66" t="str">
        <f aca="false">IF(AND($AG316=Constants!$B$7, U316, V316),IF(OR($AA316="",$AC316=""),$AK$6,""),"")</f>
        <v/>
      </c>
      <c r="AL316" s="66" t="str">
        <f aca="false">IF($AG316=Constants!$B$7,IF(AND(U316,V316,W316,Y316),IF($AJ316="",0,IF($AJ$6=0,Constants!$B$9,Constants!$B$9*AJ316/$AJ$6)), 0),"")</f>
        <v/>
      </c>
      <c r="AM316" s="66" t="str">
        <f aca="false">IF(AL316&lt;&gt;"", AL316*AI316,"")</f>
        <v/>
      </c>
      <c r="AN316" s="66" t="str">
        <f aca="false">IF(AND($AG316=Constants!$B$7, U316, V316) ,IF($AB316="", "", IF(OR($AC316="",$AC316=0),"",MAX(0,1-ABS($AC316-$AB316)/$AC316))),"")</f>
        <v/>
      </c>
      <c r="AO316" s="66" t="str">
        <f aca="false">IF(AND($AG316=Constants!$B$7, U316, V316),IF(AND($AA316&lt;&gt;"",$AB316&lt;&gt;"",$AC316=0),$AO$6,""),"")</f>
        <v/>
      </c>
      <c r="AP316" s="66" t="str">
        <f aca="false">IF($AG316=Constants!$B$7 ,IF(AND(U316,V316,W316,Y316,ISNUMBER(AB316)),IF($AN316="",0,IF($AN$6=0,Constants!$B$10,Constants!$B$10*AN316/$AN$6)), 0),"")</f>
        <v/>
      </c>
      <c r="AQ316" s="66" t="str">
        <f aca="false">IF(AP316&lt;&gt;"", AP316*AI316,"")</f>
        <v/>
      </c>
      <c r="AR316" s="66" t="str">
        <f aca="false">IF($AG316=Constants!$B$7,IF($AD316="",0,IF($AR$6=0,Constants!$B$8,Constants!$B$8*AD316/$AR$6)),"")</f>
        <v/>
      </c>
      <c r="AS316" s="66" t="str">
        <f aca="false">IF($AG316&lt;&gt;Constants!$B$7,$AG316,IF(AK316&amp;AO316&lt;&gt;"",Constants!$B$14,AM316+AQ316+AR316))</f>
        <v/>
      </c>
      <c r="AT316" s="66" t="str">
        <f aca="false">IF(ISBLANK($C316),"",IF($AG316=Constants!$B$7,IF(ISNUMBER(AS316),RANK(AS316,$AS$8:$AS$507),Constants!$B$14),$AG316))</f>
        <v/>
      </c>
      <c r="AU316" s="66" t="str">
        <f aca="false">IF(ISBLANK($C316), "",AM316)</f>
        <v/>
      </c>
      <c r="AV316" s="66" t="str">
        <f aca="false">IF(ISBLANK($C316),"",IF($AG316=Constants!$B$7,RANK(AU316,AU$8:AU$507),$AG316))</f>
        <v/>
      </c>
      <c r="AW316" s="66" t="str">
        <f aca="false">IF(ISBLANK($C316), "",AR316)</f>
        <v/>
      </c>
      <c r="AX316" s="66" t="str">
        <f aca="false">IF(ISBLANK($C316),"",IF($AG316=Constants!$B$7,RANK(AW316,AW$8:AW$507),$AG316))</f>
        <v/>
      </c>
      <c r="AY316" s="66" t="str">
        <f aca="false">IF(ISBLANK($C316), "",AE316)</f>
        <v/>
      </c>
      <c r="AZ316" s="66" t="str">
        <f aca="false">IF(ISBLANK($C316),"",
IF($AG316=Constants!$B$7,
  IF(ISNUMBER(AT316),
    COUNTIFS($AT$8:$AT$507,"&lt;"&amp;$AT316)
    + COUNTIFS($AT$8:$AT$507,$AT316,$AV$8:$AV$507,"&lt;"&amp;$AV316)
    + COUNTIFS($AT$8:$AT$507,$AT316,$AV$8:$AV$507,$AV316,$AX$8:$AX$507,"&lt;"&amp;$AX316)
    + COUNTIFS($AT$8:$AT$507,$AT316,$AV$8:$AV$507,$AV316,$AX$8:$AX$507,$AX316,$AY$8:$AY$507,"&lt;"&amp;$AY316)
    + 1,
  Constants!$B$14),
$AG316))</f>
        <v/>
      </c>
      <c r="BA316" s="66" t="str">
        <f aca="false">IF(ISBLANK(C316),"",IF($AG316=Constants!$B$7, IF(ISNUMBER(AT316),AT316-AZ316,Constants!$B$14),$AG316))</f>
        <v/>
      </c>
      <c r="BB316" s="70"/>
      <c r="BC316" s="84" t="str">
        <f aca="false">IF(ISBLANK($C316),"",TRIM(AK316&amp;" "&amp;AO316))</f>
        <v/>
      </c>
      <c r="BD316" s="72" t="str">
        <f aca="false">IF(ISBLANK($C316),"",IF($AG316&lt;&gt;Constants!$B$7,$AG316,AR316))</f>
        <v/>
      </c>
      <c r="BE316" s="72" t="str">
        <f aca="false">IF(ISBLANK($C316),"",IF($AG316&lt;&gt;Constants!$B$7,$AG316,AM316))</f>
        <v/>
      </c>
      <c r="BF316" s="72" t="str">
        <f aca="false">IF(ISBLANK($C316),"",IF($AG316&lt;&gt;Constants!$B$7,$AG316,AQ316))</f>
        <v/>
      </c>
      <c r="BG316" s="73" t="str">
        <f aca="false">IF(ISBLANK($C316),"",IF($AG316&lt;&gt;Constants!$B$7, $AG316 ,AS316))</f>
        <v/>
      </c>
      <c r="BH316" s="74" t="str">
        <f aca="false">IF(ISBLANK($C316),"",IF($AG316&lt;&gt;Constants!$B$7, $AG316 ,AH316))</f>
        <v/>
      </c>
      <c r="BI316" s="72" t="str">
        <f aca="false">IF(ISBLANK(C316),"",BA316)</f>
        <v/>
      </c>
      <c r="BJ316" s="72" t="str">
        <f aca="false">IF(ISBLANK(C316),"",AZ316)</f>
        <v/>
      </c>
      <c r="BK316" s="75" t="str">
        <f aca="false">IF(ISBLANK(C316),"",IFERROR(_xlfn.SWITCH(BJ316, Constants!$B$4, COUNTA($C$8:$C815)+2, Constants!$B$5, COUNTA($C$8:$C815)+1, Constants!$B$6, COUNTA($C$8:$C815)),BJ316))</f>
        <v/>
      </c>
      <c r="BL316" s="5"/>
      <c r="BM316" s="76" t="n">
        <f aca="false">IF(OR(ISNUMBER(BJ316),BJ316="DQ",BJ316="P",BJ316="NS"),
    1,
    0
)</f>
        <v>0</v>
      </c>
      <c r="BN316" s="76" t="n">
        <v>309</v>
      </c>
      <c r="BO316" s="76" t="str">
        <f aca="false">IF(ISBLANK($C316),"",IF(ISNUMBER(BK316),BK316+ROW($B316)/1000,""))</f>
        <v/>
      </c>
      <c r="BP316" s="76" t="str">
        <f aca="false">IF(ISNUMBER(BO316), RANK(BO316,BO$8:BO$507,1), "")</f>
        <v/>
      </c>
      <c r="BQ316" s="76" t="str">
        <f aca="false">IF(ISBLANK($C316),
    "",
    $B316
)</f>
        <v/>
      </c>
      <c r="BR316" s="76" t="str">
        <f aca="false">IF(ISBLANK($C316),
    "",
    $C316
)</f>
        <v/>
      </c>
      <c r="BS316" s="76" t="str">
        <f aca="false">IF(ISBLANK($C316),
    "",
    $D316
)</f>
        <v/>
      </c>
      <c r="BT316" s="77" t="str">
        <f aca="false">BH316</f>
        <v/>
      </c>
      <c r="BU316" s="78" t="str">
        <f aca="false">BG316</f>
        <v/>
      </c>
      <c r="BV316" s="76" t="str">
        <f aca="false">IF(ISBLANK($C316),
    "",
    BJ316
)</f>
        <v/>
      </c>
      <c r="BW316" s="79" t="str">
        <f aca="false">IF(BN316&gt;BM$7,
    "",
    VLOOKUP(BN316,BP$8:BV815,7,FALSE())
)</f>
        <v/>
      </c>
      <c r="BX316" s="80" t="str">
        <f aca="false">IF(BN316&gt;BM$7,
    "",
    VLOOKUP(BN316,BP$8:BV815,2,FALSE())
)</f>
        <v/>
      </c>
      <c r="BY316" s="80" t="str">
        <f aca="false">IF(BN316&gt;BM$7,
    "",
    VLOOKUP(BN316,BP$8:BV815,3,FALSE())
)</f>
        <v/>
      </c>
      <c r="BZ316" s="80" t="str">
        <f aca="false">IF(BN316&gt;BM$7,
    "",
    VLOOKUP(BN316,BP$8:BV815,4,FALSE())
)</f>
        <v/>
      </c>
      <c r="CA316" s="80" t="str">
        <f aca="false">IF(BN316&gt;BM$7,
    "",
    VLOOKUP(BN316,BP$8:BV815,5,FALSE())
)</f>
        <v/>
      </c>
      <c r="CB316" s="81" t="str">
        <f aca="false">IF(BN316&gt;BM$7,
    "",
    VLOOKUP(BN316,BP$8:BV815,6,FALSE())
)</f>
        <v/>
      </c>
      <c r="CC316" s="53"/>
    </row>
    <row r="317" customFormat="false" ht="15.75" hidden="false" customHeight="false" outlineLevel="0" collapsed="false">
      <c r="A317" s="5"/>
      <c r="B317" s="125"/>
      <c r="C317" s="126"/>
      <c r="D317" s="115"/>
      <c r="E317" s="119"/>
      <c r="F317" s="119"/>
      <c r="G317" s="91"/>
      <c r="H317" s="92"/>
      <c r="I317" s="92"/>
      <c r="J317" s="128"/>
      <c r="K317" s="128"/>
      <c r="L317" s="128"/>
      <c r="M317" s="94"/>
      <c r="N317" s="94"/>
      <c r="O317" s="94"/>
      <c r="P317" s="95"/>
      <c r="Q317" s="96"/>
      <c r="R317" s="128"/>
      <c r="S317" s="98"/>
      <c r="T317" s="99"/>
      <c r="U317" s="99" t="str">
        <f aca="false">IF(ISBLANK($C317),"",IF(G317=Constants!$B$2, TRUE(), IF(G317=Constants!$B$3, FALSE(), TRUE())))</f>
        <v/>
      </c>
      <c r="V317" s="99" t="str">
        <f aca="false">IF(ISBLANK($C317),"",IF(H317=Constants!$B$2, TRUE(), IF(H317=Constants!$B$3, FALSE(), TRUE())))</f>
        <v/>
      </c>
      <c r="W317" s="99" t="str">
        <f aca="false">IF(ISBLANK($C317),"",IF(I317=Constants!$B$2, TRUE(), IF(I317=Constants!$B$3, FALSE(), TRUE())))</f>
        <v/>
      </c>
      <c r="X317" s="99" t="str">
        <f aca="false">IF(ISBLANK($C317),"",IF(AND(ISNUMBER(J317),J317&gt;0),INT(J317),0))</f>
        <v/>
      </c>
      <c r="Y317" s="99" t="str">
        <f aca="false">IF(ISBLANK($C317),"",IF(K317=Constants!$B$2, TRUE(), IF(K317=Constants!$B$3, FALSE(), TRUE())))</f>
        <v/>
      </c>
      <c r="Z317" s="100" t="str">
        <f aca="false">IF(ISBLANK($C317),"",IF(AND(ISNUMBER(L317),L317&gt;0),INT(L317),0))</f>
        <v/>
      </c>
      <c r="AA317" s="101" t="str">
        <f aca="false">IF(ISBLANK($C317),"",IF(ISNUMBER(M317), M317, ""))</f>
        <v/>
      </c>
      <c r="AB317" s="101" t="str">
        <f aca="false">IF(ISBLANK($C317),"",IF(ISNUMBER(N317), N317, ""))</f>
        <v/>
      </c>
      <c r="AC317" s="101" t="str">
        <f aca="false">IF(ISBLANK($C317),"",IF(ISNUMBER(O317), O317, ""))</f>
        <v/>
      </c>
      <c r="AD317" s="102" t="str">
        <f aca="false">IF(ISBLANK($C317),"",IF(ISNUMBER(P317), P317, ""))</f>
        <v/>
      </c>
      <c r="AE317" s="102" t="str">
        <f aca="false">IF(ISBLANK($C317),"",IF(ISNUMBER(Q317), Q317, Constants!$B$13))</f>
        <v/>
      </c>
      <c r="AF317" s="99" t="str">
        <f aca="false">IF(ISBLANK($C317),"",IF(R317=Constants!$B$2, TRUE(), IF(R317=Constants!$B$3, FALSE(), FALSE())))</f>
        <v/>
      </c>
      <c r="AG317" s="99" t="str">
        <f aca="false">IF(ISBLANK(C317), "", IF(AF317, Constants!$B$4,IF(COUNTA(G317:P317)=0, Constants!$B$5, Constants!$B$7)))</f>
        <v/>
      </c>
      <c r="AH317" s="99" t="str">
        <f aca="false">IF(ISBLANK($C317), "",IF($AG317=Constants!$B$7,1,$AG317))</f>
        <v/>
      </c>
      <c r="AI317" s="99" t="str">
        <f aca="false">IF($AG317=Constants!$B$7,POWER(Constants!$B$11,X317)*POWER(Constants!$B$12,Z317),"")</f>
        <v/>
      </c>
      <c r="AJ317" s="99" t="str">
        <f aca="false">IF(AND($AG317=Constants!$B$7, U317, V317) ,IF(OR($AA317="",$AC317=""),"",MAX(0, $AC317-$AA317)),"")</f>
        <v/>
      </c>
      <c r="AK317" s="99" t="str">
        <f aca="false">IF(AND($AG317=Constants!$B$7, U317, V317),IF(OR($AA317="",$AC317=""),$AK$6,""),"")</f>
        <v/>
      </c>
      <c r="AL317" s="99" t="str">
        <f aca="false">IF($AG317=Constants!$B$7,IF(AND(U317,V317,W317,Y317),IF($AJ317="",0,IF($AJ$6=0,Constants!$B$9,Constants!$B$9*AJ317/$AJ$6)), 0),"")</f>
        <v/>
      </c>
      <c r="AM317" s="99" t="str">
        <f aca="false">IF(AL317&lt;&gt;"", AL317*AI317,"")</f>
        <v/>
      </c>
      <c r="AN317" s="99" t="str">
        <f aca="false">IF(AND($AG317=Constants!$B$7, U317, V317) ,IF($AB317="", "", IF(OR($AC317="",$AC317=0),"",MAX(0,1-ABS($AC317-$AB317)/$AC317))),"")</f>
        <v/>
      </c>
      <c r="AO317" s="99" t="str">
        <f aca="false">IF(AND($AG317=Constants!$B$7, U317, V317),IF(AND($AA317&lt;&gt;"",$AB317&lt;&gt;"",$AC317=0),$AO$6,""),"")</f>
        <v/>
      </c>
      <c r="AP317" s="99" t="str">
        <f aca="false">IF($AG317=Constants!$B$7 ,IF(AND(U317,V317,W317,Y317,ISNUMBER(AB317)),IF($AN317="",0,IF($AN$6=0,Constants!$B$10,Constants!$B$10*AN317/$AN$6)), 0),"")</f>
        <v/>
      </c>
      <c r="AQ317" s="99" t="str">
        <f aca="false">IF(AP317&lt;&gt;"", AP317*AI317,"")</f>
        <v/>
      </c>
      <c r="AR317" s="99" t="str">
        <f aca="false">IF($AG317=Constants!$B$7,IF($AD317="",0,IF($AR$6=0,Constants!$B$8,Constants!$B$8*AD317/$AR$6)),"")</f>
        <v/>
      </c>
      <c r="AS317" s="99" t="str">
        <f aca="false">IF($AG317&lt;&gt;Constants!$B$7,$AG317,IF(AK317&amp;AO317&lt;&gt;"",Constants!$B$14,AM317+AQ317+AR317))</f>
        <v/>
      </c>
      <c r="AT317" s="99" t="str">
        <f aca="false">IF(ISBLANK($C317),"",IF($AG317=Constants!$B$7,IF(ISNUMBER(AS317),RANK(AS317,$AS$8:$AS$507),Constants!$B$14),$AG317))</f>
        <v/>
      </c>
      <c r="AU317" s="99" t="str">
        <f aca="false">IF(ISBLANK($C317), "",AM317)</f>
        <v/>
      </c>
      <c r="AV317" s="99" t="str">
        <f aca="false">IF(ISBLANK($C317),"",IF($AG317=Constants!$B$7,RANK(AU317,AU$8:AU$507),$AG317))</f>
        <v/>
      </c>
      <c r="AW317" s="99" t="str">
        <f aca="false">IF(ISBLANK($C317), "",AR317)</f>
        <v/>
      </c>
      <c r="AX317" s="99" t="str">
        <f aca="false">IF(ISBLANK($C317),"",IF($AG317=Constants!$B$7,RANK(AW317,AW$8:AW$507),$AG317))</f>
        <v/>
      </c>
      <c r="AY317" s="99" t="str">
        <f aca="false">IF(ISBLANK($C317), "",AE317)</f>
        <v/>
      </c>
      <c r="AZ317" s="99" t="str">
        <f aca="false">IF(ISBLANK($C317),"",
IF($AG317=Constants!$B$7,
  IF(ISNUMBER(AT317),
    COUNTIFS($AT$8:$AT$507,"&lt;"&amp;$AT317)
    + COUNTIFS($AT$8:$AT$507,$AT317,$AV$8:$AV$507,"&lt;"&amp;$AV317)
    + COUNTIFS($AT$8:$AT$507,$AT317,$AV$8:$AV$507,$AV317,$AX$8:$AX$507,"&lt;"&amp;$AX317)
    + COUNTIFS($AT$8:$AT$507,$AT317,$AV$8:$AV$507,$AV317,$AX$8:$AX$507,$AX317,$AY$8:$AY$507,"&lt;"&amp;$AY317)
    + 1,
  Constants!$B$14),
$AG317))</f>
        <v/>
      </c>
      <c r="BA317" s="99" t="str">
        <f aca="false">IF(ISBLANK(C317),"",IF($AG317=Constants!$B$7, IF(ISNUMBER(AT317),AT317-AZ317,Constants!$B$14),$AG317))</f>
        <v/>
      </c>
      <c r="BB317" s="103"/>
      <c r="BC317" s="104" t="str">
        <f aca="false">IF(ISBLANK($C317),"",TRIM(AK317&amp;" "&amp;AO317))</f>
        <v/>
      </c>
      <c r="BD317" s="105" t="str">
        <f aca="false">IF(ISBLANK($C317),"",IF($AG317&lt;&gt;Constants!$B$7,$AG317,AR317))</f>
        <v/>
      </c>
      <c r="BE317" s="105" t="str">
        <f aca="false">IF(ISBLANK($C317),"",IF($AG317&lt;&gt;Constants!$B$7,$AG317,AM317))</f>
        <v/>
      </c>
      <c r="BF317" s="105" t="str">
        <f aca="false">IF(ISBLANK($C317),"",IF($AG317&lt;&gt;Constants!$B$7,$AG317,AQ317))</f>
        <v/>
      </c>
      <c r="BG317" s="106" t="str">
        <f aca="false">IF(ISBLANK($C317),"",IF($AG317&lt;&gt;Constants!$B$7, $AG317 ,AS317))</f>
        <v/>
      </c>
      <c r="BH317" s="107" t="str">
        <f aca="false">IF(ISBLANK($C317),"",IF($AG317&lt;&gt;Constants!$B$7, $AG317 ,AH317))</f>
        <v/>
      </c>
      <c r="BI317" s="105" t="str">
        <f aca="false">IF(ISBLANK(C317),"",BA317)</f>
        <v/>
      </c>
      <c r="BJ317" s="105" t="str">
        <f aca="false">IF(ISBLANK(C317),"",AZ317)</f>
        <v/>
      </c>
      <c r="BK317" s="108" t="str">
        <f aca="false">IF(ISBLANK(C317),"",IFERROR(_xlfn.SWITCH(BJ317, Constants!$B$4, COUNTA($C$8:$C816)+2, Constants!$B$5, COUNTA($C$8:$C816)+1, Constants!$B$6, COUNTA($C$8:$C816)),BJ317))</f>
        <v/>
      </c>
      <c r="BL317" s="5"/>
      <c r="BM317" s="109" t="n">
        <f aca="false">IF(OR(ISNUMBER(BJ317),BJ317="DQ",BJ317="P",BJ317="NS"),
    1,
    0
)</f>
        <v>0</v>
      </c>
      <c r="BN317" s="109" t="n">
        <v>310</v>
      </c>
      <c r="BO317" s="109" t="str">
        <f aca="false">IF(ISBLANK($C317),"",IF(ISNUMBER(BK317),BK317+ROW($B317)/1000,""))</f>
        <v/>
      </c>
      <c r="BP317" s="109" t="str">
        <f aca="false">IF(ISNUMBER(BO317), RANK(BO317,BO$8:BO$507,1), "")</f>
        <v/>
      </c>
      <c r="BQ317" s="109" t="str">
        <f aca="false">IF(ISBLANK($C317),
    "",
    $B317
)</f>
        <v/>
      </c>
      <c r="BR317" s="109" t="str">
        <f aca="false">IF(ISBLANK($C317),
    "",
    $C317
)</f>
        <v/>
      </c>
      <c r="BS317" s="109" t="str">
        <f aca="false">IF(ISBLANK($C317),
    "",
    $D317
)</f>
        <v/>
      </c>
      <c r="BT317" s="110" t="str">
        <f aca="false">BH317</f>
        <v/>
      </c>
      <c r="BU317" s="111" t="str">
        <f aca="false">BG317</f>
        <v/>
      </c>
      <c r="BV317" s="109" t="str">
        <f aca="false">IF(ISBLANK($C317),
    "",
    BJ317
)</f>
        <v/>
      </c>
      <c r="BW317" s="112" t="str">
        <f aca="false">IF(BN317&gt;BM$7,
    "",
    VLOOKUP(BN317,BP$8:BV816,7,FALSE())
)</f>
        <v/>
      </c>
      <c r="BX317" s="113" t="str">
        <f aca="false">IF(BN317&gt;BM$7,
    "",
    VLOOKUP(BN317,BP$8:BV816,2,FALSE())
)</f>
        <v/>
      </c>
      <c r="BY317" s="113" t="str">
        <f aca="false">IF(BN317&gt;BM$7,
    "",
    VLOOKUP(BN317,BP$8:BV816,3,FALSE())
)</f>
        <v/>
      </c>
      <c r="BZ317" s="113" t="str">
        <f aca="false">IF(BN317&gt;BM$7,
    "",
    VLOOKUP(BN317,BP$8:BV816,4,FALSE())
)</f>
        <v/>
      </c>
      <c r="CA317" s="113" t="str">
        <f aca="false">IF(BN317&gt;BM$7,
    "",
    VLOOKUP(BN317,BP$8:BV816,5,FALSE())
)</f>
        <v/>
      </c>
      <c r="CB317" s="114" t="str">
        <f aca="false">IF(BN317&gt;BM$7,
    "",
    VLOOKUP(BN317,BP$8:BV816,6,FALSE())
)</f>
        <v/>
      </c>
      <c r="CC317" s="53"/>
    </row>
    <row r="318" customFormat="false" ht="15.75" hidden="false" customHeight="false" outlineLevel="0" collapsed="false">
      <c r="A318" s="5"/>
      <c r="B318" s="125"/>
      <c r="C318" s="126"/>
      <c r="D318" s="115"/>
      <c r="E318" s="119"/>
      <c r="F318" s="119"/>
      <c r="G318" s="91"/>
      <c r="H318" s="92"/>
      <c r="I318" s="92"/>
      <c r="J318" s="128"/>
      <c r="K318" s="128"/>
      <c r="L318" s="128"/>
      <c r="M318" s="94"/>
      <c r="N318" s="94"/>
      <c r="O318" s="94"/>
      <c r="P318" s="95"/>
      <c r="Q318" s="96"/>
      <c r="R318" s="128"/>
      <c r="S318" s="98"/>
      <c r="T318" s="99"/>
      <c r="U318" s="99" t="str">
        <f aca="false">IF(ISBLANK($C318),"",IF(G318=Constants!$B$2, TRUE(), IF(G318=Constants!$B$3, FALSE(), TRUE())))</f>
        <v/>
      </c>
      <c r="V318" s="99" t="str">
        <f aca="false">IF(ISBLANK($C318),"",IF(H318=Constants!$B$2, TRUE(), IF(H318=Constants!$B$3, FALSE(), TRUE())))</f>
        <v/>
      </c>
      <c r="W318" s="99" t="str">
        <f aca="false">IF(ISBLANK($C318),"",IF(I318=Constants!$B$2, TRUE(), IF(I318=Constants!$B$3, FALSE(), TRUE())))</f>
        <v/>
      </c>
      <c r="X318" s="99" t="str">
        <f aca="false">IF(ISBLANK($C318),"",IF(AND(ISNUMBER(J318),J318&gt;0),INT(J318),0))</f>
        <v/>
      </c>
      <c r="Y318" s="99" t="str">
        <f aca="false">IF(ISBLANK($C318),"",IF(K318=Constants!$B$2, TRUE(), IF(K318=Constants!$B$3, FALSE(), TRUE())))</f>
        <v/>
      </c>
      <c r="Z318" s="100" t="str">
        <f aca="false">IF(ISBLANK($C318),"",IF(AND(ISNUMBER(L318),L318&gt;0),INT(L318),0))</f>
        <v/>
      </c>
      <c r="AA318" s="101" t="str">
        <f aca="false">IF(ISBLANK($C318),"",IF(ISNUMBER(M318), M318, ""))</f>
        <v/>
      </c>
      <c r="AB318" s="101" t="str">
        <f aca="false">IF(ISBLANK($C318),"",IF(ISNUMBER(N318), N318, ""))</f>
        <v/>
      </c>
      <c r="AC318" s="101" t="str">
        <f aca="false">IF(ISBLANK($C318),"",IF(ISNUMBER(O318), O318, ""))</f>
        <v/>
      </c>
      <c r="AD318" s="102" t="str">
        <f aca="false">IF(ISBLANK($C318),"",IF(ISNUMBER(P318), P318, ""))</f>
        <v/>
      </c>
      <c r="AE318" s="102" t="str">
        <f aca="false">IF(ISBLANK($C318),"",IF(ISNUMBER(Q318), Q318, Constants!$B$13))</f>
        <v/>
      </c>
      <c r="AF318" s="99" t="str">
        <f aca="false">IF(ISBLANK($C318),"",IF(R318=Constants!$B$2, TRUE(), IF(R318=Constants!$B$3, FALSE(), FALSE())))</f>
        <v/>
      </c>
      <c r="AG318" s="99" t="str">
        <f aca="false">IF(ISBLANK(C318), "", IF(AF318, Constants!$B$4,IF(COUNTA(G318:P318)=0, Constants!$B$5, Constants!$B$7)))</f>
        <v/>
      </c>
      <c r="AH318" s="99" t="str">
        <f aca="false">IF(ISBLANK($C318), "",IF($AG318=Constants!$B$7,1,$AG318))</f>
        <v/>
      </c>
      <c r="AI318" s="99" t="str">
        <f aca="false">IF($AG318=Constants!$B$7,POWER(Constants!$B$11,X318)*POWER(Constants!$B$12,Z318),"")</f>
        <v/>
      </c>
      <c r="AJ318" s="99" t="str">
        <f aca="false">IF(AND($AG318=Constants!$B$7, U318, V318) ,IF(OR($AA318="",$AC318=""),"",MAX(0, $AC318-$AA318)),"")</f>
        <v/>
      </c>
      <c r="AK318" s="99" t="str">
        <f aca="false">IF(AND($AG318=Constants!$B$7, U318, V318),IF(OR($AA318="",$AC318=""),$AK$6,""),"")</f>
        <v/>
      </c>
      <c r="AL318" s="99" t="str">
        <f aca="false">IF($AG318=Constants!$B$7,IF(AND(U318,V318,W318,Y318),IF($AJ318="",0,IF($AJ$6=0,Constants!$B$9,Constants!$B$9*AJ318/$AJ$6)), 0),"")</f>
        <v/>
      </c>
      <c r="AM318" s="99" t="str">
        <f aca="false">IF(AL318&lt;&gt;"", AL318*AI318,"")</f>
        <v/>
      </c>
      <c r="AN318" s="99" t="str">
        <f aca="false">IF(AND($AG318=Constants!$B$7, U318, V318) ,IF($AB318="", "", IF(OR($AC318="",$AC318=0),"",MAX(0,1-ABS($AC318-$AB318)/$AC318))),"")</f>
        <v/>
      </c>
      <c r="AO318" s="99" t="str">
        <f aca="false">IF(AND($AG318=Constants!$B$7, U318, V318),IF(AND($AA318&lt;&gt;"",$AB318&lt;&gt;"",$AC318=0),$AO$6,""),"")</f>
        <v/>
      </c>
      <c r="AP318" s="99" t="str">
        <f aca="false">IF($AG318=Constants!$B$7 ,IF(AND(U318,V318,W318,Y318,ISNUMBER(AB318)),IF($AN318="",0,IF($AN$6=0,Constants!$B$10,Constants!$B$10*AN318/$AN$6)), 0),"")</f>
        <v/>
      </c>
      <c r="AQ318" s="99" t="str">
        <f aca="false">IF(AP318&lt;&gt;"", AP318*AI318,"")</f>
        <v/>
      </c>
      <c r="AR318" s="99" t="str">
        <f aca="false">IF($AG318=Constants!$B$7,IF($AD318="",0,IF($AR$6=0,Constants!$B$8,Constants!$B$8*AD318/$AR$6)),"")</f>
        <v/>
      </c>
      <c r="AS318" s="99" t="str">
        <f aca="false">IF($AG318&lt;&gt;Constants!$B$7,$AG318,IF(AK318&amp;AO318&lt;&gt;"",Constants!$B$14,AM318+AQ318+AR318))</f>
        <v/>
      </c>
      <c r="AT318" s="99" t="str">
        <f aca="false">IF(ISBLANK($C318),"",IF($AG318=Constants!$B$7,IF(ISNUMBER(AS318),RANK(AS318,$AS$8:$AS$507),Constants!$B$14),$AG318))</f>
        <v/>
      </c>
      <c r="AU318" s="99" t="str">
        <f aca="false">IF(ISBLANK($C318), "",AM318)</f>
        <v/>
      </c>
      <c r="AV318" s="99" t="str">
        <f aca="false">IF(ISBLANK($C318),"",IF($AG318=Constants!$B$7,RANK(AU318,AU$8:AU$507),$AG318))</f>
        <v/>
      </c>
      <c r="AW318" s="99" t="str">
        <f aca="false">IF(ISBLANK($C318), "",AR318)</f>
        <v/>
      </c>
      <c r="AX318" s="99" t="str">
        <f aca="false">IF(ISBLANK($C318),"",IF($AG318=Constants!$B$7,RANK(AW318,AW$8:AW$507),$AG318))</f>
        <v/>
      </c>
      <c r="AY318" s="99" t="str">
        <f aca="false">IF(ISBLANK($C318), "",AE318)</f>
        <v/>
      </c>
      <c r="AZ318" s="99" t="str">
        <f aca="false">IF(ISBLANK($C318),"",
IF($AG318=Constants!$B$7,
  IF(ISNUMBER(AT318),
    COUNTIFS($AT$8:$AT$507,"&lt;"&amp;$AT318)
    + COUNTIFS($AT$8:$AT$507,$AT318,$AV$8:$AV$507,"&lt;"&amp;$AV318)
    + COUNTIFS($AT$8:$AT$507,$AT318,$AV$8:$AV$507,$AV318,$AX$8:$AX$507,"&lt;"&amp;$AX318)
    + COUNTIFS($AT$8:$AT$507,$AT318,$AV$8:$AV$507,$AV318,$AX$8:$AX$507,$AX318,$AY$8:$AY$507,"&lt;"&amp;$AY318)
    + 1,
  Constants!$B$14),
$AG318))</f>
        <v/>
      </c>
      <c r="BA318" s="99" t="str">
        <f aca="false">IF(ISBLANK(C318),"",IF($AG318=Constants!$B$7, IF(ISNUMBER(AT318),AT318-AZ318,Constants!$B$14),$AG318))</f>
        <v/>
      </c>
      <c r="BB318" s="103"/>
      <c r="BC318" s="104" t="str">
        <f aca="false">IF(ISBLANK($C318),"",TRIM(AK318&amp;" "&amp;AO318))</f>
        <v/>
      </c>
      <c r="BD318" s="105" t="str">
        <f aca="false">IF(ISBLANK($C318),"",IF($AG318&lt;&gt;Constants!$B$7,$AG318,AR318))</f>
        <v/>
      </c>
      <c r="BE318" s="105" t="str">
        <f aca="false">IF(ISBLANK($C318),"",IF($AG318&lt;&gt;Constants!$B$7,$AG318,AM318))</f>
        <v/>
      </c>
      <c r="BF318" s="105" t="str">
        <f aca="false">IF(ISBLANK($C318),"",IF($AG318&lt;&gt;Constants!$B$7,$AG318,AQ318))</f>
        <v/>
      </c>
      <c r="BG318" s="106" t="str">
        <f aca="false">IF(ISBLANK($C318),"",IF($AG318&lt;&gt;Constants!$B$7, $AG318 ,AS318))</f>
        <v/>
      </c>
      <c r="BH318" s="107" t="str">
        <f aca="false">IF(ISBLANK($C318),"",IF($AG318&lt;&gt;Constants!$B$7, $AG318 ,AH318))</f>
        <v/>
      </c>
      <c r="BI318" s="105" t="str">
        <f aca="false">IF(ISBLANK(C318),"",BA318)</f>
        <v/>
      </c>
      <c r="BJ318" s="105" t="str">
        <f aca="false">IF(ISBLANK(C318),"",AZ318)</f>
        <v/>
      </c>
      <c r="BK318" s="108" t="str">
        <f aca="false">IF(ISBLANK(C318),"",IFERROR(_xlfn.SWITCH(BJ318, Constants!$B$4, COUNTA($C$8:$C817)+2, Constants!$B$5, COUNTA($C$8:$C817)+1, Constants!$B$6, COUNTA($C$8:$C817)),BJ318))</f>
        <v/>
      </c>
      <c r="BL318" s="5"/>
      <c r="BM318" s="109" t="n">
        <f aca="false">IF(OR(ISNUMBER(BJ318),BJ318="DQ",BJ318="P",BJ318="NS"),
    1,
    0
)</f>
        <v>0</v>
      </c>
      <c r="BN318" s="109" t="n">
        <v>311</v>
      </c>
      <c r="BO318" s="109" t="str">
        <f aca="false">IF(ISBLANK($C318),"",IF(ISNUMBER(BK318),BK318+ROW($B318)/1000,""))</f>
        <v/>
      </c>
      <c r="BP318" s="109" t="str">
        <f aca="false">IF(ISNUMBER(BO318), RANK(BO318,BO$8:BO$507,1), "")</f>
        <v/>
      </c>
      <c r="BQ318" s="109" t="str">
        <f aca="false">IF(ISBLANK($C318),
    "",
    $B318
)</f>
        <v/>
      </c>
      <c r="BR318" s="109" t="str">
        <f aca="false">IF(ISBLANK($C318),
    "",
    $C318
)</f>
        <v/>
      </c>
      <c r="BS318" s="109" t="str">
        <f aca="false">IF(ISBLANK($C318),
    "",
    $D318
)</f>
        <v/>
      </c>
      <c r="BT318" s="110" t="str">
        <f aca="false">BH318</f>
        <v/>
      </c>
      <c r="BU318" s="111" t="str">
        <f aca="false">BG318</f>
        <v/>
      </c>
      <c r="BV318" s="109" t="str">
        <f aca="false">IF(ISBLANK($C318),
    "",
    BJ318
)</f>
        <v/>
      </c>
      <c r="BW318" s="112" t="str">
        <f aca="false">IF(BN318&gt;BM$7,
    "",
    VLOOKUP(BN318,BP$8:BV817,7,FALSE())
)</f>
        <v/>
      </c>
      <c r="BX318" s="113" t="str">
        <f aca="false">IF(BN318&gt;BM$7,
    "",
    VLOOKUP(BN318,BP$8:BV817,2,FALSE())
)</f>
        <v/>
      </c>
      <c r="BY318" s="113" t="str">
        <f aca="false">IF(BN318&gt;BM$7,
    "",
    VLOOKUP(BN318,BP$8:BV817,3,FALSE())
)</f>
        <v/>
      </c>
      <c r="BZ318" s="113" t="str">
        <f aca="false">IF(BN318&gt;BM$7,
    "",
    VLOOKUP(BN318,BP$8:BV817,4,FALSE())
)</f>
        <v/>
      </c>
      <c r="CA318" s="113" t="str">
        <f aca="false">IF(BN318&gt;BM$7,
    "",
    VLOOKUP(BN318,BP$8:BV817,5,FALSE())
)</f>
        <v/>
      </c>
      <c r="CB318" s="114" t="str">
        <f aca="false">IF(BN318&gt;BM$7,
    "",
    VLOOKUP(BN318,BP$8:BV817,6,FALSE())
)</f>
        <v/>
      </c>
      <c r="CC318" s="53"/>
    </row>
    <row r="319" customFormat="false" ht="15.75" hidden="false" customHeight="false" outlineLevel="0" collapsed="false">
      <c r="A319" s="5"/>
      <c r="B319" s="125"/>
      <c r="C319" s="126"/>
      <c r="D319" s="115"/>
      <c r="E319" s="119"/>
      <c r="F319" s="119"/>
      <c r="G319" s="91"/>
      <c r="H319" s="92"/>
      <c r="I319" s="92"/>
      <c r="J319" s="128"/>
      <c r="K319" s="128"/>
      <c r="L319" s="128"/>
      <c r="M319" s="94"/>
      <c r="N319" s="94"/>
      <c r="O319" s="94"/>
      <c r="P319" s="95"/>
      <c r="Q319" s="96"/>
      <c r="R319" s="128"/>
      <c r="S319" s="98"/>
      <c r="T319" s="99"/>
      <c r="U319" s="99" t="str">
        <f aca="false">IF(ISBLANK($C319),"",IF(G319=Constants!$B$2, TRUE(), IF(G319=Constants!$B$3, FALSE(), TRUE())))</f>
        <v/>
      </c>
      <c r="V319" s="99" t="str">
        <f aca="false">IF(ISBLANK($C319),"",IF(H319=Constants!$B$2, TRUE(), IF(H319=Constants!$B$3, FALSE(), TRUE())))</f>
        <v/>
      </c>
      <c r="W319" s="99" t="str">
        <f aca="false">IF(ISBLANK($C319),"",IF(I319=Constants!$B$2, TRUE(), IF(I319=Constants!$B$3, FALSE(), TRUE())))</f>
        <v/>
      </c>
      <c r="X319" s="99" t="str">
        <f aca="false">IF(ISBLANK($C319),"",IF(AND(ISNUMBER(J319),J319&gt;0),INT(J319),0))</f>
        <v/>
      </c>
      <c r="Y319" s="99" t="str">
        <f aca="false">IF(ISBLANK($C319),"",IF(K319=Constants!$B$2, TRUE(), IF(K319=Constants!$B$3, FALSE(), TRUE())))</f>
        <v/>
      </c>
      <c r="Z319" s="100" t="str">
        <f aca="false">IF(ISBLANK($C319),"",IF(AND(ISNUMBER(L319),L319&gt;0),INT(L319),0))</f>
        <v/>
      </c>
      <c r="AA319" s="101" t="str">
        <f aca="false">IF(ISBLANK($C319),"",IF(ISNUMBER(M319), M319, ""))</f>
        <v/>
      </c>
      <c r="AB319" s="101" t="str">
        <f aca="false">IF(ISBLANK($C319),"",IF(ISNUMBER(N319), N319, ""))</f>
        <v/>
      </c>
      <c r="AC319" s="101" t="str">
        <f aca="false">IF(ISBLANK($C319),"",IF(ISNUMBER(O319), O319, ""))</f>
        <v/>
      </c>
      <c r="AD319" s="102" t="str">
        <f aca="false">IF(ISBLANK($C319),"",IF(ISNUMBER(P319), P319, ""))</f>
        <v/>
      </c>
      <c r="AE319" s="102" t="str">
        <f aca="false">IF(ISBLANK($C319),"",IF(ISNUMBER(Q319), Q319, Constants!$B$13))</f>
        <v/>
      </c>
      <c r="AF319" s="99" t="str">
        <f aca="false">IF(ISBLANK($C319),"",IF(R319=Constants!$B$2, TRUE(), IF(R319=Constants!$B$3, FALSE(), FALSE())))</f>
        <v/>
      </c>
      <c r="AG319" s="99" t="str">
        <f aca="false">IF(ISBLANK(C319), "", IF(AF319, Constants!$B$4,IF(COUNTA(G319:P319)=0, Constants!$B$5, Constants!$B$7)))</f>
        <v/>
      </c>
      <c r="AH319" s="99" t="str">
        <f aca="false">IF(ISBLANK($C319), "",IF($AG319=Constants!$B$7,1,$AG319))</f>
        <v/>
      </c>
      <c r="AI319" s="99" t="str">
        <f aca="false">IF($AG319=Constants!$B$7,POWER(Constants!$B$11,X319)*POWER(Constants!$B$12,Z319),"")</f>
        <v/>
      </c>
      <c r="AJ319" s="99" t="str">
        <f aca="false">IF(AND($AG319=Constants!$B$7, U319, V319) ,IF(OR($AA319="",$AC319=""),"",MAX(0, $AC319-$AA319)),"")</f>
        <v/>
      </c>
      <c r="AK319" s="99" t="str">
        <f aca="false">IF(AND($AG319=Constants!$B$7, U319, V319),IF(OR($AA319="",$AC319=""),$AK$6,""),"")</f>
        <v/>
      </c>
      <c r="AL319" s="99" t="str">
        <f aca="false">IF($AG319=Constants!$B$7,IF(AND(U319,V319,W319,Y319),IF($AJ319="",0,IF($AJ$6=0,Constants!$B$9,Constants!$B$9*AJ319/$AJ$6)), 0),"")</f>
        <v/>
      </c>
      <c r="AM319" s="99" t="str">
        <f aca="false">IF(AL319&lt;&gt;"", AL319*AI319,"")</f>
        <v/>
      </c>
      <c r="AN319" s="99" t="str">
        <f aca="false">IF(AND($AG319=Constants!$B$7, U319, V319) ,IF($AB319="", "", IF(OR($AC319="",$AC319=0),"",MAX(0,1-ABS($AC319-$AB319)/$AC319))),"")</f>
        <v/>
      </c>
      <c r="AO319" s="99" t="str">
        <f aca="false">IF(AND($AG319=Constants!$B$7, U319, V319),IF(AND($AA319&lt;&gt;"",$AB319&lt;&gt;"",$AC319=0),$AO$6,""),"")</f>
        <v/>
      </c>
      <c r="AP319" s="99" t="str">
        <f aca="false">IF($AG319=Constants!$B$7 ,IF(AND(U319,V319,W319,Y319,ISNUMBER(AB319)),IF($AN319="",0,IF($AN$6=0,Constants!$B$10,Constants!$B$10*AN319/$AN$6)), 0),"")</f>
        <v/>
      </c>
      <c r="AQ319" s="99" t="str">
        <f aca="false">IF(AP319&lt;&gt;"", AP319*AI319,"")</f>
        <v/>
      </c>
      <c r="AR319" s="99" t="str">
        <f aca="false">IF($AG319=Constants!$B$7,IF($AD319="",0,IF($AR$6=0,Constants!$B$8,Constants!$B$8*AD319/$AR$6)),"")</f>
        <v/>
      </c>
      <c r="AS319" s="99" t="str">
        <f aca="false">IF($AG319&lt;&gt;Constants!$B$7,$AG319,IF(AK319&amp;AO319&lt;&gt;"",Constants!$B$14,AM319+AQ319+AR319))</f>
        <v/>
      </c>
      <c r="AT319" s="99" t="str">
        <f aca="false">IF(ISBLANK($C319),"",IF($AG319=Constants!$B$7,IF(ISNUMBER(AS319),RANK(AS319,$AS$8:$AS$507),Constants!$B$14),$AG319))</f>
        <v/>
      </c>
      <c r="AU319" s="99" t="str">
        <f aca="false">IF(ISBLANK($C319), "",AM319)</f>
        <v/>
      </c>
      <c r="AV319" s="99" t="str">
        <f aca="false">IF(ISBLANK($C319),"",IF($AG319=Constants!$B$7,RANK(AU319,AU$8:AU$507),$AG319))</f>
        <v/>
      </c>
      <c r="AW319" s="99" t="str">
        <f aca="false">IF(ISBLANK($C319), "",AR319)</f>
        <v/>
      </c>
      <c r="AX319" s="99" t="str">
        <f aca="false">IF(ISBLANK($C319),"",IF($AG319=Constants!$B$7,RANK(AW319,AW$8:AW$507),$AG319))</f>
        <v/>
      </c>
      <c r="AY319" s="99" t="str">
        <f aca="false">IF(ISBLANK($C319), "",AE319)</f>
        <v/>
      </c>
      <c r="AZ319" s="99" t="str">
        <f aca="false">IF(ISBLANK($C319),"",
IF($AG319=Constants!$B$7,
  IF(ISNUMBER(AT319),
    COUNTIFS($AT$8:$AT$507,"&lt;"&amp;$AT319)
    + COUNTIFS($AT$8:$AT$507,$AT319,$AV$8:$AV$507,"&lt;"&amp;$AV319)
    + COUNTIFS($AT$8:$AT$507,$AT319,$AV$8:$AV$507,$AV319,$AX$8:$AX$507,"&lt;"&amp;$AX319)
    + COUNTIFS($AT$8:$AT$507,$AT319,$AV$8:$AV$507,$AV319,$AX$8:$AX$507,$AX319,$AY$8:$AY$507,"&lt;"&amp;$AY319)
    + 1,
  Constants!$B$14),
$AG319))</f>
        <v/>
      </c>
      <c r="BA319" s="99" t="str">
        <f aca="false">IF(ISBLANK(C319),"",IF($AG319=Constants!$B$7, IF(ISNUMBER(AT319),AT319-AZ319,Constants!$B$14),$AG319))</f>
        <v/>
      </c>
      <c r="BB319" s="103"/>
      <c r="BC319" s="104" t="str">
        <f aca="false">IF(ISBLANK($C319),"",TRIM(AK319&amp;" "&amp;AO319))</f>
        <v/>
      </c>
      <c r="BD319" s="105" t="str">
        <f aca="false">IF(ISBLANK($C319),"",IF($AG319&lt;&gt;Constants!$B$7,$AG319,AR319))</f>
        <v/>
      </c>
      <c r="BE319" s="105" t="str">
        <f aca="false">IF(ISBLANK($C319),"",IF($AG319&lt;&gt;Constants!$B$7,$AG319,AM319))</f>
        <v/>
      </c>
      <c r="BF319" s="105" t="str">
        <f aca="false">IF(ISBLANK($C319),"",IF($AG319&lt;&gt;Constants!$B$7,$AG319,AQ319))</f>
        <v/>
      </c>
      <c r="BG319" s="106" t="str">
        <f aca="false">IF(ISBLANK($C319),"",IF($AG319&lt;&gt;Constants!$B$7, $AG319 ,AS319))</f>
        <v/>
      </c>
      <c r="BH319" s="107" t="str">
        <f aca="false">IF(ISBLANK($C319),"",IF($AG319&lt;&gt;Constants!$B$7, $AG319 ,AH319))</f>
        <v/>
      </c>
      <c r="BI319" s="105" t="str">
        <f aca="false">IF(ISBLANK(C319),"",BA319)</f>
        <v/>
      </c>
      <c r="BJ319" s="105" t="str">
        <f aca="false">IF(ISBLANK(C319),"",AZ319)</f>
        <v/>
      </c>
      <c r="BK319" s="108" t="str">
        <f aca="false">IF(ISBLANK(C319),"",IFERROR(_xlfn.SWITCH(BJ319, Constants!$B$4, COUNTA($C$8:$C818)+2, Constants!$B$5, COUNTA($C$8:$C818)+1, Constants!$B$6, COUNTA($C$8:$C818)),BJ319))</f>
        <v/>
      </c>
      <c r="BL319" s="5"/>
      <c r="BM319" s="109" t="n">
        <f aca="false">IF(OR(ISNUMBER(BJ319),BJ319="DQ",BJ319="P",BJ319="NS"),
    1,
    0
)</f>
        <v>0</v>
      </c>
      <c r="BN319" s="109" t="n">
        <v>312</v>
      </c>
      <c r="BO319" s="109" t="str">
        <f aca="false">IF(ISBLANK($C319),"",IF(ISNUMBER(BK319),BK319+ROW($B319)/1000,""))</f>
        <v/>
      </c>
      <c r="BP319" s="109" t="str">
        <f aca="false">IF(ISNUMBER(BO319), RANK(BO319,BO$8:BO$507,1), "")</f>
        <v/>
      </c>
      <c r="BQ319" s="109" t="str">
        <f aca="false">IF(ISBLANK($C319),
    "",
    $B319
)</f>
        <v/>
      </c>
      <c r="BR319" s="109" t="str">
        <f aca="false">IF(ISBLANK($C319),
    "",
    $C319
)</f>
        <v/>
      </c>
      <c r="BS319" s="109" t="str">
        <f aca="false">IF(ISBLANK($C319),
    "",
    $D319
)</f>
        <v/>
      </c>
      <c r="BT319" s="110" t="str">
        <f aca="false">BH319</f>
        <v/>
      </c>
      <c r="BU319" s="111" t="str">
        <f aca="false">BG319</f>
        <v/>
      </c>
      <c r="BV319" s="109" t="str">
        <f aca="false">IF(ISBLANK($C319),
    "",
    BJ319
)</f>
        <v/>
      </c>
      <c r="BW319" s="112" t="str">
        <f aca="false">IF(BN319&gt;BM$7,
    "",
    VLOOKUP(BN319,BP$8:BV818,7,FALSE())
)</f>
        <v/>
      </c>
      <c r="BX319" s="113" t="str">
        <f aca="false">IF(BN319&gt;BM$7,
    "",
    VLOOKUP(BN319,BP$8:BV818,2,FALSE())
)</f>
        <v/>
      </c>
      <c r="BY319" s="113" t="str">
        <f aca="false">IF(BN319&gt;BM$7,
    "",
    VLOOKUP(BN319,BP$8:BV818,3,FALSE())
)</f>
        <v/>
      </c>
      <c r="BZ319" s="113" t="str">
        <f aca="false">IF(BN319&gt;BM$7,
    "",
    VLOOKUP(BN319,BP$8:BV818,4,FALSE())
)</f>
        <v/>
      </c>
      <c r="CA319" s="113" t="str">
        <f aca="false">IF(BN319&gt;BM$7,
    "",
    VLOOKUP(BN319,BP$8:BV818,5,FALSE())
)</f>
        <v/>
      </c>
      <c r="CB319" s="114" t="str">
        <f aca="false">IF(BN319&gt;BM$7,
    "",
    VLOOKUP(BN319,BP$8:BV818,6,FALSE())
)</f>
        <v/>
      </c>
      <c r="CC319" s="53"/>
    </row>
    <row r="320" customFormat="false" ht="15.75" hidden="false" customHeight="false" outlineLevel="0" collapsed="false">
      <c r="A320" s="5"/>
      <c r="B320" s="129"/>
      <c r="C320" s="55"/>
      <c r="D320" s="56"/>
      <c r="E320" s="123"/>
      <c r="F320" s="123"/>
      <c r="G320" s="58"/>
      <c r="H320" s="59"/>
      <c r="I320" s="59"/>
      <c r="J320" s="83"/>
      <c r="K320" s="83"/>
      <c r="L320" s="83"/>
      <c r="M320" s="61"/>
      <c r="N320" s="61"/>
      <c r="O320" s="61"/>
      <c r="P320" s="62"/>
      <c r="Q320" s="63"/>
      <c r="R320" s="83"/>
      <c r="S320" s="65"/>
      <c r="T320" s="66"/>
      <c r="U320" s="66" t="str">
        <f aca="false">IF(ISBLANK($C320),"",IF(G320=Constants!$B$2, TRUE(), IF(G320=Constants!$B$3, FALSE(), TRUE())))</f>
        <v/>
      </c>
      <c r="V320" s="66" t="str">
        <f aca="false">IF(ISBLANK($C320),"",IF(H320=Constants!$B$2, TRUE(), IF(H320=Constants!$B$3, FALSE(), TRUE())))</f>
        <v/>
      </c>
      <c r="W320" s="66" t="str">
        <f aca="false">IF(ISBLANK($C320),"",IF(I320=Constants!$B$2, TRUE(), IF(I320=Constants!$B$3, FALSE(), TRUE())))</f>
        <v/>
      </c>
      <c r="X320" s="66" t="str">
        <f aca="false">IF(ISBLANK($C320),"",IF(AND(ISNUMBER(J320),J320&gt;0),INT(J320),0))</f>
        <v/>
      </c>
      <c r="Y320" s="66" t="str">
        <f aca="false">IF(ISBLANK($C320),"",IF(K320=Constants!$B$2, TRUE(), IF(K320=Constants!$B$3, FALSE(), TRUE())))</f>
        <v/>
      </c>
      <c r="Z320" s="66" t="str">
        <f aca="false">IF(ISBLANK($C320),"",IF(AND(ISNUMBER(L320),L320&gt;0),INT(L320),0))</f>
        <v/>
      </c>
      <c r="AA320" s="68" t="str">
        <f aca="false">IF(ISBLANK($C320),"",IF(ISNUMBER(M320), M320, ""))</f>
        <v/>
      </c>
      <c r="AB320" s="68" t="str">
        <f aca="false">IF(ISBLANK($C320),"",IF(ISNUMBER(N320), N320, ""))</f>
        <v/>
      </c>
      <c r="AC320" s="68" t="str">
        <f aca="false">IF(ISBLANK($C320),"",IF(ISNUMBER(O320), O320, ""))</f>
        <v/>
      </c>
      <c r="AD320" s="69" t="str">
        <f aca="false">IF(ISBLANK($C320),"",IF(ISNUMBER(P320), P320, ""))</f>
        <v/>
      </c>
      <c r="AE320" s="69" t="str">
        <f aca="false">IF(ISBLANK($C320),"",IF(ISNUMBER(Q320), Q320, Constants!$B$13))</f>
        <v/>
      </c>
      <c r="AF320" s="66" t="str">
        <f aca="false">IF(ISBLANK($C320),"",IF(R320=Constants!$B$2, TRUE(), IF(R320=Constants!$B$3, FALSE(), FALSE())))</f>
        <v/>
      </c>
      <c r="AG320" s="66" t="str">
        <f aca="false">IF(ISBLANK(C320), "", IF(AF320, Constants!$B$4,IF(COUNTA(G320:P320)=0, Constants!$B$5, Constants!$B$7)))</f>
        <v/>
      </c>
      <c r="AH320" s="66" t="str">
        <f aca="false">IF(ISBLANK($C320), "",IF($AG320=Constants!$B$7,1,$AG320))</f>
        <v/>
      </c>
      <c r="AI320" s="66" t="str">
        <f aca="false">IF($AG320=Constants!$B$7,POWER(Constants!$B$11,X320)*POWER(Constants!$B$12,Z320),"")</f>
        <v/>
      </c>
      <c r="AJ320" s="66" t="str">
        <f aca="false">IF(AND($AG320=Constants!$B$7, U320, V320) ,IF(OR($AA320="",$AC320=""),"",MAX(0, $AC320-$AA320)),"")</f>
        <v/>
      </c>
      <c r="AK320" s="66" t="str">
        <f aca="false">IF(AND($AG320=Constants!$B$7, U320, V320),IF(OR($AA320="",$AC320=""),$AK$6,""),"")</f>
        <v/>
      </c>
      <c r="AL320" s="66" t="str">
        <f aca="false">IF($AG320=Constants!$B$7,IF(AND(U320,V320,W320,Y320),IF($AJ320="",0,IF($AJ$6=0,Constants!$B$9,Constants!$B$9*AJ320/$AJ$6)), 0),"")</f>
        <v/>
      </c>
      <c r="AM320" s="66" t="str">
        <f aca="false">IF(AL320&lt;&gt;"", AL320*AI320,"")</f>
        <v/>
      </c>
      <c r="AN320" s="66" t="str">
        <f aca="false">IF(AND($AG320=Constants!$B$7, U320, V320) ,IF($AB320="", "", IF(OR($AC320="",$AC320=0),"",MAX(0,1-ABS($AC320-$AB320)/$AC320))),"")</f>
        <v/>
      </c>
      <c r="AO320" s="66" t="str">
        <f aca="false">IF(AND($AG320=Constants!$B$7, U320, V320),IF(AND($AA320&lt;&gt;"",$AB320&lt;&gt;"",$AC320=0),$AO$6,""),"")</f>
        <v/>
      </c>
      <c r="AP320" s="66" t="str">
        <f aca="false">IF($AG320=Constants!$B$7 ,IF(AND(U320,V320,W320,Y320,ISNUMBER(AB320)),IF($AN320="",0,IF($AN$6=0,Constants!$B$10,Constants!$B$10*AN320/$AN$6)), 0),"")</f>
        <v/>
      </c>
      <c r="AQ320" s="66" t="str">
        <f aca="false">IF(AP320&lt;&gt;"", AP320*AI320,"")</f>
        <v/>
      </c>
      <c r="AR320" s="66" t="str">
        <f aca="false">IF($AG320=Constants!$B$7,IF($AD320="",0,IF($AR$6=0,Constants!$B$8,Constants!$B$8*AD320/$AR$6)),"")</f>
        <v/>
      </c>
      <c r="AS320" s="66" t="str">
        <f aca="false">IF($AG320&lt;&gt;Constants!$B$7,$AG320,IF(AK320&amp;AO320&lt;&gt;"",Constants!$B$14,AM320+AQ320+AR320))</f>
        <v/>
      </c>
      <c r="AT320" s="66" t="str">
        <f aca="false">IF(ISBLANK($C320),"",IF($AG320=Constants!$B$7,IF(ISNUMBER(AS320),RANK(AS320,$AS$8:$AS$507),Constants!$B$14),$AG320))</f>
        <v/>
      </c>
      <c r="AU320" s="66" t="str">
        <f aca="false">IF(ISBLANK($C320), "",AM320)</f>
        <v/>
      </c>
      <c r="AV320" s="66" t="str">
        <f aca="false">IF(ISBLANK($C320),"",IF($AG320=Constants!$B$7,RANK(AU320,AU$8:AU$507),$AG320))</f>
        <v/>
      </c>
      <c r="AW320" s="66" t="str">
        <f aca="false">IF(ISBLANK($C320), "",AR320)</f>
        <v/>
      </c>
      <c r="AX320" s="66" t="str">
        <f aca="false">IF(ISBLANK($C320),"",IF($AG320=Constants!$B$7,RANK(AW320,AW$8:AW$507),$AG320))</f>
        <v/>
      </c>
      <c r="AY320" s="66" t="str">
        <f aca="false">IF(ISBLANK($C320), "",AE320)</f>
        <v/>
      </c>
      <c r="AZ320" s="66" t="str">
        <f aca="false">IF(ISBLANK($C320),"",
IF($AG320=Constants!$B$7,
  IF(ISNUMBER(AT320),
    COUNTIFS($AT$8:$AT$507,"&lt;"&amp;$AT320)
    + COUNTIFS($AT$8:$AT$507,$AT320,$AV$8:$AV$507,"&lt;"&amp;$AV320)
    + COUNTIFS($AT$8:$AT$507,$AT320,$AV$8:$AV$507,$AV320,$AX$8:$AX$507,"&lt;"&amp;$AX320)
    + COUNTIFS($AT$8:$AT$507,$AT320,$AV$8:$AV$507,$AV320,$AX$8:$AX$507,$AX320,$AY$8:$AY$507,"&lt;"&amp;$AY320)
    + 1,
  Constants!$B$14),
$AG320))</f>
        <v/>
      </c>
      <c r="BA320" s="66" t="str">
        <f aca="false">IF(ISBLANK(C320),"",IF($AG320=Constants!$B$7, IF(ISNUMBER(AT320),AT320-AZ320,Constants!$B$14),$AG320))</f>
        <v/>
      </c>
      <c r="BB320" s="70"/>
      <c r="BC320" s="84" t="str">
        <f aca="false">IF(ISBLANK($C320),"",TRIM(AK320&amp;" "&amp;AO320))</f>
        <v/>
      </c>
      <c r="BD320" s="72" t="str">
        <f aca="false">IF(ISBLANK($C320),"",IF($AG320&lt;&gt;Constants!$B$7,$AG320,AR320))</f>
        <v/>
      </c>
      <c r="BE320" s="72" t="str">
        <f aca="false">IF(ISBLANK($C320),"",IF($AG320&lt;&gt;Constants!$B$7,$AG320,AM320))</f>
        <v/>
      </c>
      <c r="BF320" s="72" t="str">
        <f aca="false">IF(ISBLANK($C320),"",IF($AG320&lt;&gt;Constants!$B$7,$AG320,AQ320))</f>
        <v/>
      </c>
      <c r="BG320" s="73" t="str">
        <f aca="false">IF(ISBLANK($C320),"",IF($AG320&lt;&gt;Constants!$B$7, $AG320 ,AS320))</f>
        <v/>
      </c>
      <c r="BH320" s="74" t="str">
        <f aca="false">IF(ISBLANK($C320),"",IF($AG320&lt;&gt;Constants!$B$7, $AG320 ,AH320))</f>
        <v/>
      </c>
      <c r="BI320" s="72" t="str">
        <f aca="false">IF(ISBLANK(C320),"",BA320)</f>
        <v/>
      </c>
      <c r="BJ320" s="72" t="str">
        <f aca="false">IF(ISBLANK(C320),"",AZ320)</f>
        <v/>
      </c>
      <c r="BK320" s="75" t="str">
        <f aca="false">IF(ISBLANK(C320),"",IFERROR(_xlfn.SWITCH(BJ320, Constants!$B$4, COUNTA($C$8:$C819)+2, Constants!$B$5, COUNTA($C$8:$C819)+1, Constants!$B$6, COUNTA($C$8:$C819)),BJ320))</f>
        <v/>
      </c>
      <c r="BL320" s="5"/>
      <c r="BM320" s="76" t="n">
        <f aca="false">IF(OR(ISNUMBER(BJ320),BJ320="DQ",BJ320="P",BJ320="NS"),
    1,
    0
)</f>
        <v>0</v>
      </c>
      <c r="BN320" s="76" t="n">
        <v>313</v>
      </c>
      <c r="BO320" s="76" t="str">
        <f aca="false">IF(ISBLANK($C320),"",IF(ISNUMBER(BK320),BK320+ROW($B320)/1000,""))</f>
        <v/>
      </c>
      <c r="BP320" s="76" t="str">
        <f aca="false">IF(ISNUMBER(BO320), RANK(BO320,BO$8:BO$507,1), "")</f>
        <v/>
      </c>
      <c r="BQ320" s="76" t="str">
        <f aca="false">IF(ISBLANK($C320),
    "",
    $B320
)</f>
        <v/>
      </c>
      <c r="BR320" s="76" t="str">
        <f aca="false">IF(ISBLANK($C320),
    "",
    $C320
)</f>
        <v/>
      </c>
      <c r="BS320" s="76" t="str">
        <f aca="false">IF(ISBLANK($C320),
    "",
    $D320
)</f>
        <v/>
      </c>
      <c r="BT320" s="77" t="str">
        <f aca="false">BH320</f>
        <v/>
      </c>
      <c r="BU320" s="78" t="str">
        <f aca="false">BG320</f>
        <v/>
      </c>
      <c r="BV320" s="76" t="str">
        <f aca="false">IF(ISBLANK($C320),
    "",
    BJ320
)</f>
        <v/>
      </c>
      <c r="BW320" s="79" t="str">
        <f aca="false">IF(BN320&gt;BM$7,
    "",
    VLOOKUP(BN320,BP$8:BV819,7,FALSE())
)</f>
        <v/>
      </c>
      <c r="BX320" s="80" t="str">
        <f aca="false">IF(BN320&gt;BM$7,
    "",
    VLOOKUP(BN320,BP$8:BV819,2,FALSE())
)</f>
        <v/>
      </c>
      <c r="BY320" s="80" t="str">
        <f aca="false">IF(BN320&gt;BM$7,
    "",
    VLOOKUP(BN320,BP$8:BV819,3,FALSE())
)</f>
        <v/>
      </c>
      <c r="BZ320" s="80" t="str">
        <f aca="false">IF(BN320&gt;BM$7,
    "",
    VLOOKUP(BN320,BP$8:BV819,4,FALSE())
)</f>
        <v/>
      </c>
      <c r="CA320" s="80" t="str">
        <f aca="false">IF(BN320&gt;BM$7,
    "",
    VLOOKUP(BN320,BP$8:BV819,5,FALSE())
)</f>
        <v/>
      </c>
      <c r="CB320" s="81" t="str">
        <f aca="false">IF(BN320&gt;BM$7,
    "",
    VLOOKUP(BN320,BP$8:BV819,6,FALSE())
)</f>
        <v/>
      </c>
      <c r="CC320" s="53"/>
    </row>
    <row r="321" customFormat="false" ht="15.75" hidden="false" customHeight="false" outlineLevel="0" collapsed="false">
      <c r="A321" s="5"/>
      <c r="B321" s="129"/>
      <c r="C321" s="55"/>
      <c r="D321" s="56"/>
      <c r="E321" s="123"/>
      <c r="F321" s="123"/>
      <c r="G321" s="58"/>
      <c r="H321" s="59"/>
      <c r="I321" s="59"/>
      <c r="J321" s="83"/>
      <c r="K321" s="83"/>
      <c r="L321" s="83"/>
      <c r="M321" s="61"/>
      <c r="N321" s="61"/>
      <c r="O321" s="61"/>
      <c r="P321" s="62"/>
      <c r="Q321" s="63"/>
      <c r="R321" s="83"/>
      <c r="S321" s="65"/>
      <c r="T321" s="66"/>
      <c r="U321" s="66" t="str">
        <f aca="false">IF(ISBLANK($C321),"",IF(G321=Constants!$B$2, TRUE(), IF(G321=Constants!$B$3, FALSE(), TRUE())))</f>
        <v/>
      </c>
      <c r="V321" s="66" t="str">
        <f aca="false">IF(ISBLANK($C321),"",IF(H321=Constants!$B$2, TRUE(), IF(H321=Constants!$B$3, FALSE(), TRUE())))</f>
        <v/>
      </c>
      <c r="W321" s="66" t="str">
        <f aca="false">IF(ISBLANK($C321),"",IF(I321=Constants!$B$2, TRUE(), IF(I321=Constants!$B$3, FALSE(), TRUE())))</f>
        <v/>
      </c>
      <c r="X321" s="66" t="str">
        <f aca="false">IF(ISBLANK($C321),"",IF(AND(ISNUMBER(J321),J321&gt;0),INT(J321),0))</f>
        <v/>
      </c>
      <c r="Y321" s="66" t="str">
        <f aca="false">IF(ISBLANK($C321),"",IF(K321=Constants!$B$2, TRUE(), IF(K321=Constants!$B$3, FALSE(), TRUE())))</f>
        <v/>
      </c>
      <c r="Z321" s="66" t="str">
        <f aca="false">IF(ISBLANK($C321),"",IF(AND(ISNUMBER(L321),L321&gt;0),INT(L321),0))</f>
        <v/>
      </c>
      <c r="AA321" s="68" t="str">
        <f aca="false">IF(ISBLANK($C321),"",IF(ISNUMBER(M321), M321, ""))</f>
        <v/>
      </c>
      <c r="AB321" s="68" t="str">
        <f aca="false">IF(ISBLANK($C321),"",IF(ISNUMBER(N321), N321, ""))</f>
        <v/>
      </c>
      <c r="AC321" s="68" t="str">
        <f aca="false">IF(ISBLANK($C321),"",IF(ISNUMBER(O321), O321, ""))</f>
        <v/>
      </c>
      <c r="AD321" s="69" t="str">
        <f aca="false">IF(ISBLANK($C321),"",IF(ISNUMBER(P321), P321, ""))</f>
        <v/>
      </c>
      <c r="AE321" s="69" t="str">
        <f aca="false">IF(ISBLANK($C321),"",IF(ISNUMBER(Q321), Q321, Constants!$B$13))</f>
        <v/>
      </c>
      <c r="AF321" s="66" t="str">
        <f aca="false">IF(ISBLANK($C321),"",IF(R321=Constants!$B$2, TRUE(), IF(R321=Constants!$B$3, FALSE(), FALSE())))</f>
        <v/>
      </c>
      <c r="AG321" s="66" t="str">
        <f aca="false">IF(ISBLANK(C321), "", IF(AF321, Constants!$B$4,IF(COUNTA(G321:P321)=0, Constants!$B$5, Constants!$B$7)))</f>
        <v/>
      </c>
      <c r="AH321" s="66" t="str">
        <f aca="false">IF(ISBLANK($C321), "",IF($AG321=Constants!$B$7,1,$AG321))</f>
        <v/>
      </c>
      <c r="AI321" s="66" t="str">
        <f aca="false">IF($AG321=Constants!$B$7,POWER(Constants!$B$11,X321)*POWER(Constants!$B$12,Z321),"")</f>
        <v/>
      </c>
      <c r="AJ321" s="66" t="str">
        <f aca="false">IF(AND($AG321=Constants!$B$7, U321, V321) ,IF(OR($AA321="",$AC321=""),"",MAX(0, $AC321-$AA321)),"")</f>
        <v/>
      </c>
      <c r="AK321" s="66" t="str">
        <f aca="false">IF(AND($AG321=Constants!$B$7, U321, V321),IF(OR($AA321="",$AC321=""),$AK$6,""),"")</f>
        <v/>
      </c>
      <c r="AL321" s="66" t="str">
        <f aca="false">IF($AG321=Constants!$B$7,IF(AND(U321,V321,W321,Y321),IF($AJ321="",0,IF($AJ$6=0,Constants!$B$9,Constants!$B$9*AJ321/$AJ$6)), 0),"")</f>
        <v/>
      </c>
      <c r="AM321" s="66" t="str">
        <f aca="false">IF(AL321&lt;&gt;"", AL321*AI321,"")</f>
        <v/>
      </c>
      <c r="AN321" s="66" t="str">
        <f aca="false">IF(AND($AG321=Constants!$B$7, U321, V321) ,IF($AB321="", "", IF(OR($AC321="",$AC321=0),"",MAX(0,1-ABS($AC321-$AB321)/$AC321))),"")</f>
        <v/>
      </c>
      <c r="AO321" s="66" t="str">
        <f aca="false">IF(AND($AG321=Constants!$B$7, U321, V321),IF(AND($AA321&lt;&gt;"",$AB321&lt;&gt;"",$AC321=0),$AO$6,""),"")</f>
        <v/>
      </c>
      <c r="AP321" s="66" t="str">
        <f aca="false">IF($AG321=Constants!$B$7 ,IF(AND(U321,V321,W321,Y321,ISNUMBER(AB321)),IF($AN321="",0,IF($AN$6=0,Constants!$B$10,Constants!$B$10*AN321/$AN$6)), 0),"")</f>
        <v/>
      </c>
      <c r="AQ321" s="66" t="str">
        <f aca="false">IF(AP321&lt;&gt;"", AP321*AI321,"")</f>
        <v/>
      </c>
      <c r="AR321" s="66" t="str">
        <f aca="false">IF($AG321=Constants!$B$7,IF($AD321="",0,IF($AR$6=0,Constants!$B$8,Constants!$B$8*AD321/$AR$6)),"")</f>
        <v/>
      </c>
      <c r="AS321" s="66" t="str">
        <f aca="false">IF($AG321&lt;&gt;Constants!$B$7,$AG321,IF(AK321&amp;AO321&lt;&gt;"",Constants!$B$14,AM321+AQ321+AR321))</f>
        <v/>
      </c>
      <c r="AT321" s="66" t="str">
        <f aca="false">IF(ISBLANK($C321),"",IF($AG321=Constants!$B$7,IF(ISNUMBER(AS321),RANK(AS321,$AS$8:$AS$507),Constants!$B$14),$AG321))</f>
        <v/>
      </c>
      <c r="AU321" s="66" t="str">
        <f aca="false">IF(ISBLANK($C321), "",AM321)</f>
        <v/>
      </c>
      <c r="AV321" s="66" t="str">
        <f aca="false">IF(ISBLANK($C321),"",IF($AG321=Constants!$B$7,RANK(AU321,AU$8:AU$507),$AG321))</f>
        <v/>
      </c>
      <c r="AW321" s="66" t="str">
        <f aca="false">IF(ISBLANK($C321), "",AR321)</f>
        <v/>
      </c>
      <c r="AX321" s="66" t="str">
        <f aca="false">IF(ISBLANK($C321),"",IF($AG321=Constants!$B$7,RANK(AW321,AW$8:AW$507),$AG321))</f>
        <v/>
      </c>
      <c r="AY321" s="66" t="str">
        <f aca="false">IF(ISBLANK($C321), "",AE321)</f>
        <v/>
      </c>
      <c r="AZ321" s="66" t="str">
        <f aca="false">IF(ISBLANK($C321),"",
IF($AG321=Constants!$B$7,
  IF(ISNUMBER(AT321),
    COUNTIFS($AT$8:$AT$507,"&lt;"&amp;$AT321)
    + COUNTIFS($AT$8:$AT$507,$AT321,$AV$8:$AV$507,"&lt;"&amp;$AV321)
    + COUNTIFS($AT$8:$AT$507,$AT321,$AV$8:$AV$507,$AV321,$AX$8:$AX$507,"&lt;"&amp;$AX321)
    + COUNTIFS($AT$8:$AT$507,$AT321,$AV$8:$AV$507,$AV321,$AX$8:$AX$507,$AX321,$AY$8:$AY$507,"&lt;"&amp;$AY321)
    + 1,
  Constants!$B$14),
$AG321))</f>
        <v/>
      </c>
      <c r="BA321" s="66" t="str">
        <f aca="false">IF(ISBLANK(C321),"",IF($AG321=Constants!$B$7, IF(ISNUMBER(AT321),AT321-AZ321,Constants!$B$14),$AG321))</f>
        <v/>
      </c>
      <c r="BB321" s="70"/>
      <c r="BC321" s="84" t="str">
        <f aca="false">IF(ISBLANK($C321),"",TRIM(AK321&amp;" "&amp;AO321))</f>
        <v/>
      </c>
      <c r="BD321" s="72" t="str">
        <f aca="false">IF(ISBLANK($C321),"",IF($AG321&lt;&gt;Constants!$B$7,$AG321,AR321))</f>
        <v/>
      </c>
      <c r="BE321" s="72" t="str">
        <f aca="false">IF(ISBLANK($C321),"",IF($AG321&lt;&gt;Constants!$B$7,$AG321,AM321))</f>
        <v/>
      </c>
      <c r="BF321" s="72" t="str">
        <f aca="false">IF(ISBLANK($C321),"",IF($AG321&lt;&gt;Constants!$B$7,$AG321,AQ321))</f>
        <v/>
      </c>
      <c r="BG321" s="73" t="str">
        <f aca="false">IF(ISBLANK($C321),"",IF($AG321&lt;&gt;Constants!$B$7, $AG321 ,AS321))</f>
        <v/>
      </c>
      <c r="BH321" s="74" t="str">
        <f aca="false">IF(ISBLANK($C321),"",IF($AG321&lt;&gt;Constants!$B$7, $AG321 ,AH321))</f>
        <v/>
      </c>
      <c r="BI321" s="72" t="str">
        <f aca="false">IF(ISBLANK(C321),"",BA321)</f>
        <v/>
      </c>
      <c r="BJ321" s="72" t="str">
        <f aca="false">IF(ISBLANK(C321),"",AZ321)</f>
        <v/>
      </c>
      <c r="BK321" s="75" t="str">
        <f aca="false">IF(ISBLANK(C321),"",IFERROR(_xlfn.SWITCH(BJ321, Constants!$B$4, COUNTA($C$8:$C820)+2, Constants!$B$5, COUNTA($C$8:$C820)+1, Constants!$B$6, COUNTA($C$8:$C820)),BJ321))</f>
        <v/>
      </c>
      <c r="BL321" s="5"/>
      <c r="BM321" s="76" t="n">
        <f aca="false">IF(OR(ISNUMBER(BJ321),BJ321="DQ",BJ321="P",BJ321="NS"),
    1,
    0
)</f>
        <v>0</v>
      </c>
      <c r="BN321" s="76" t="n">
        <v>314</v>
      </c>
      <c r="BO321" s="76" t="str">
        <f aca="false">IF(ISBLANK($C321),"",IF(ISNUMBER(BK321),BK321+ROW($B321)/1000,""))</f>
        <v/>
      </c>
      <c r="BP321" s="76" t="str">
        <f aca="false">IF(ISNUMBER(BO321), RANK(BO321,BO$8:BO$507,1), "")</f>
        <v/>
      </c>
      <c r="BQ321" s="76" t="str">
        <f aca="false">IF(ISBLANK($C321),
    "",
    $B321
)</f>
        <v/>
      </c>
      <c r="BR321" s="76" t="str">
        <f aca="false">IF(ISBLANK($C321),
    "",
    $C321
)</f>
        <v/>
      </c>
      <c r="BS321" s="76" t="str">
        <f aca="false">IF(ISBLANK($C321),
    "",
    $D321
)</f>
        <v/>
      </c>
      <c r="BT321" s="77" t="str">
        <f aca="false">BH321</f>
        <v/>
      </c>
      <c r="BU321" s="78" t="str">
        <f aca="false">BG321</f>
        <v/>
      </c>
      <c r="BV321" s="76" t="str">
        <f aca="false">IF(ISBLANK($C321),
    "",
    BJ321
)</f>
        <v/>
      </c>
      <c r="BW321" s="79" t="str">
        <f aca="false">IF(BN321&gt;BM$7,
    "",
    VLOOKUP(BN321,BP$8:BV820,7,FALSE())
)</f>
        <v/>
      </c>
      <c r="BX321" s="80" t="str">
        <f aca="false">IF(BN321&gt;BM$7,
    "",
    VLOOKUP(BN321,BP$8:BV820,2,FALSE())
)</f>
        <v/>
      </c>
      <c r="BY321" s="80" t="str">
        <f aca="false">IF(BN321&gt;BM$7,
    "",
    VLOOKUP(BN321,BP$8:BV820,3,FALSE())
)</f>
        <v/>
      </c>
      <c r="BZ321" s="80" t="str">
        <f aca="false">IF(BN321&gt;BM$7,
    "",
    VLOOKUP(BN321,BP$8:BV820,4,FALSE())
)</f>
        <v/>
      </c>
      <c r="CA321" s="80" t="str">
        <f aca="false">IF(BN321&gt;BM$7,
    "",
    VLOOKUP(BN321,BP$8:BV820,5,FALSE())
)</f>
        <v/>
      </c>
      <c r="CB321" s="81" t="str">
        <f aca="false">IF(BN321&gt;BM$7,
    "",
    VLOOKUP(BN321,BP$8:BV820,6,FALSE())
)</f>
        <v/>
      </c>
      <c r="CC321" s="53"/>
    </row>
    <row r="322" customFormat="false" ht="15.75" hidden="false" customHeight="false" outlineLevel="0" collapsed="false">
      <c r="A322" s="5"/>
      <c r="B322" s="129"/>
      <c r="C322" s="55"/>
      <c r="D322" s="56"/>
      <c r="E322" s="123"/>
      <c r="F322" s="123"/>
      <c r="G322" s="58"/>
      <c r="H322" s="59"/>
      <c r="I322" s="59"/>
      <c r="J322" s="83"/>
      <c r="K322" s="83"/>
      <c r="L322" s="83"/>
      <c r="M322" s="61"/>
      <c r="N322" s="61"/>
      <c r="O322" s="61"/>
      <c r="P322" s="62"/>
      <c r="Q322" s="63"/>
      <c r="R322" s="83"/>
      <c r="S322" s="65"/>
      <c r="T322" s="66"/>
      <c r="U322" s="66" t="str">
        <f aca="false">IF(ISBLANK($C322),"",IF(G322=Constants!$B$2, TRUE(), IF(G322=Constants!$B$3, FALSE(), TRUE())))</f>
        <v/>
      </c>
      <c r="V322" s="66" t="str">
        <f aca="false">IF(ISBLANK($C322),"",IF(H322=Constants!$B$2, TRUE(), IF(H322=Constants!$B$3, FALSE(), TRUE())))</f>
        <v/>
      </c>
      <c r="W322" s="66" t="str">
        <f aca="false">IF(ISBLANK($C322),"",IF(I322=Constants!$B$2, TRUE(), IF(I322=Constants!$B$3, FALSE(), TRUE())))</f>
        <v/>
      </c>
      <c r="X322" s="66" t="str">
        <f aca="false">IF(ISBLANK($C322),"",IF(AND(ISNUMBER(J322),J322&gt;0),INT(J322),0))</f>
        <v/>
      </c>
      <c r="Y322" s="66" t="str">
        <f aca="false">IF(ISBLANK($C322),"",IF(K322=Constants!$B$2, TRUE(), IF(K322=Constants!$B$3, FALSE(), TRUE())))</f>
        <v/>
      </c>
      <c r="Z322" s="66" t="str">
        <f aca="false">IF(ISBLANK($C322),"",IF(AND(ISNUMBER(L322),L322&gt;0),INT(L322),0))</f>
        <v/>
      </c>
      <c r="AA322" s="68" t="str">
        <f aca="false">IF(ISBLANK($C322),"",IF(ISNUMBER(M322), M322, ""))</f>
        <v/>
      </c>
      <c r="AB322" s="68" t="str">
        <f aca="false">IF(ISBLANK($C322),"",IF(ISNUMBER(N322), N322, ""))</f>
        <v/>
      </c>
      <c r="AC322" s="68" t="str">
        <f aca="false">IF(ISBLANK($C322),"",IF(ISNUMBER(O322), O322, ""))</f>
        <v/>
      </c>
      <c r="AD322" s="69" t="str">
        <f aca="false">IF(ISBLANK($C322),"",IF(ISNUMBER(P322), P322, ""))</f>
        <v/>
      </c>
      <c r="AE322" s="69" t="str">
        <f aca="false">IF(ISBLANK($C322),"",IF(ISNUMBER(Q322), Q322, Constants!$B$13))</f>
        <v/>
      </c>
      <c r="AF322" s="66" t="str">
        <f aca="false">IF(ISBLANK($C322),"",IF(R322=Constants!$B$2, TRUE(), IF(R322=Constants!$B$3, FALSE(), FALSE())))</f>
        <v/>
      </c>
      <c r="AG322" s="66" t="str">
        <f aca="false">IF(ISBLANK(C322), "", IF(AF322, Constants!$B$4,IF(COUNTA(G322:P322)=0, Constants!$B$5, Constants!$B$7)))</f>
        <v/>
      </c>
      <c r="AH322" s="66" t="str">
        <f aca="false">IF(ISBLANK($C322), "",IF($AG322=Constants!$B$7,1,$AG322))</f>
        <v/>
      </c>
      <c r="AI322" s="66" t="str">
        <f aca="false">IF($AG322=Constants!$B$7,POWER(Constants!$B$11,X322)*POWER(Constants!$B$12,Z322),"")</f>
        <v/>
      </c>
      <c r="AJ322" s="66" t="str">
        <f aca="false">IF(AND($AG322=Constants!$B$7, U322, V322) ,IF(OR($AA322="",$AC322=""),"",MAX(0, $AC322-$AA322)),"")</f>
        <v/>
      </c>
      <c r="AK322" s="66" t="str">
        <f aca="false">IF(AND($AG322=Constants!$B$7, U322, V322),IF(OR($AA322="",$AC322=""),$AK$6,""),"")</f>
        <v/>
      </c>
      <c r="AL322" s="66" t="str">
        <f aca="false">IF($AG322=Constants!$B$7,IF(AND(U322,V322,W322,Y322),IF($AJ322="",0,IF($AJ$6=0,Constants!$B$9,Constants!$B$9*AJ322/$AJ$6)), 0),"")</f>
        <v/>
      </c>
      <c r="AM322" s="66" t="str">
        <f aca="false">IF(AL322&lt;&gt;"", AL322*AI322,"")</f>
        <v/>
      </c>
      <c r="AN322" s="66" t="str">
        <f aca="false">IF(AND($AG322=Constants!$B$7, U322, V322) ,IF($AB322="", "", IF(OR($AC322="",$AC322=0),"",MAX(0,1-ABS($AC322-$AB322)/$AC322))),"")</f>
        <v/>
      </c>
      <c r="AO322" s="66" t="str">
        <f aca="false">IF(AND($AG322=Constants!$B$7, U322, V322),IF(AND($AA322&lt;&gt;"",$AB322&lt;&gt;"",$AC322=0),$AO$6,""),"")</f>
        <v/>
      </c>
      <c r="AP322" s="66" t="str">
        <f aca="false">IF($AG322=Constants!$B$7 ,IF(AND(U322,V322,W322,Y322,ISNUMBER(AB322)),IF($AN322="",0,IF($AN$6=0,Constants!$B$10,Constants!$B$10*AN322/$AN$6)), 0),"")</f>
        <v/>
      </c>
      <c r="AQ322" s="66" t="str">
        <f aca="false">IF(AP322&lt;&gt;"", AP322*AI322,"")</f>
        <v/>
      </c>
      <c r="AR322" s="66" t="str">
        <f aca="false">IF($AG322=Constants!$B$7,IF($AD322="",0,IF($AR$6=0,Constants!$B$8,Constants!$B$8*AD322/$AR$6)),"")</f>
        <v/>
      </c>
      <c r="AS322" s="66" t="str">
        <f aca="false">IF($AG322&lt;&gt;Constants!$B$7,$AG322,IF(AK322&amp;AO322&lt;&gt;"",Constants!$B$14,AM322+AQ322+AR322))</f>
        <v/>
      </c>
      <c r="AT322" s="66" t="str">
        <f aca="false">IF(ISBLANK($C322),"",IF($AG322=Constants!$B$7,IF(ISNUMBER(AS322),RANK(AS322,$AS$8:$AS$507),Constants!$B$14),$AG322))</f>
        <v/>
      </c>
      <c r="AU322" s="66" t="str">
        <f aca="false">IF(ISBLANK($C322), "",AM322)</f>
        <v/>
      </c>
      <c r="AV322" s="66" t="str">
        <f aca="false">IF(ISBLANK($C322),"",IF($AG322=Constants!$B$7,RANK(AU322,AU$8:AU$507),$AG322))</f>
        <v/>
      </c>
      <c r="AW322" s="66" t="str">
        <f aca="false">IF(ISBLANK($C322), "",AR322)</f>
        <v/>
      </c>
      <c r="AX322" s="66" t="str">
        <f aca="false">IF(ISBLANK($C322),"",IF($AG322=Constants!$B$7,RANK(AW322,AW$8:AW$507),$AG322))</f>
        <v/>
      </c>
      <c r="AY322" s="66" t="str">
        <f aca="false">IF(ISBLANK($C322), "",AE322)</f>
        <v/>
      </c>
      <c r="AZ322" s="66" t="str">
        <f aca="false">IF(ISBLANK($C322),"",
IF($AG322=Constants!$B$7,
  IF(ISNUMBER(AT322),
    COUNTIFS($AT$8:$AT$507,"&lt;"&amp;$AT322)
    + COUNTIFS($AT$8:$AT$507,$AT322,$AV$8:$AV$507,"&lt;"&amp;$AV322)
    + COUNTIFS($AT$8:$AT$507,$AT322,$AV$8:$AV$507,$AV322,$AX$8:$AX$507,"&lt;"&amp;$AX322)
    + COUNTIFS($AT$8:$AT$507,$AT322,$AV$8:$AV$507,$AV322,$AX$8:$AX$507,$AX322,$AY$8:$AY$507,"&lt;"&amp;$AY322)
    + 1,
  Constants!$B$14),
$AG322))</f>
        <v/>
      </c>
      <c r="BA322" s="66" t="str">
        <f aca="false">IF(ISBLANK(C322),"",IF($AG322=Constants!$B$7, IF(ISNUMBER(AT322),AT322-AZ322,Constants!$B$14),$AG322))</f>
        <v/>
      </c>
      <c r="BB322" s="70"/>
      <c r="BC322" s="84" t="str">
        <f aca="false">IF(ISBLANK($C322),"",TRIM(AK322&amp;" "&amp;AO322))</f>
        <v/>
      </c>
      <c r="BD322" s="72" t="str">
        <f aca="false">IF(ISBLANK($C322),"",IF($AG322&lt;&gt;Constants!$B$7,$AG322,AR322))</f>
        <v/>
      </c>
      <c r="BE322" s="72" t="str">
        <f aca="false">IF(ISBLANK($C322),"",IF($AG322&lt;&gt;Constants!$B$7,$AG322,AM322))</f>
        <v/>
      </c>
      <c r="BF322" s="72" t="str">
        <f aca="false">IF(ISBLANK($C322),"",IF($AG322&lt;&gt;Constants!$B$7,$AG322,AQ322))</f>
        <v/>
      </c>
      <c r="BG322" s="73" t="str">
        <f aca="false">IF(ISBLANK($C322),"",IF($AG322&lt;&gt;Constants!$B$7, $AG322 ,AS322))</f>
        <v/>
      </c>
      <c r="BH322" s="74" t="str">
        <f aca="false">IF(ISBLANK($C322),"",IF($AG322&lt;&gt;Constants!$B$7, $AG322 ,AH322))</f>
        <v/>
      </c>
      <c r="BI322" s="72" t="str">
        <f aca="false">IF(ISBLANK(C322),"",BA322)</f>
        <v/>
      </c>
      <c r="BJ322" s="72" t="str">
        <f aca="false">IF(ISBLANK(C322),"",AZ322)</f>
        <v/>
      </c>
      <c r="BK322" s="75" t="str">
        <f aca="false">IF(ISBLANK(C322),"",IFERROR(_xlfn.SWITCH(BJ322, Constants!$B$4, COUNTA($C$8:$C821)+2, Constants!$B$5, COUNTA($C$8:$C821)+1, Constants!$B$6, COUNTA($C$8:$C821)),BJ322))</f>
        <v/>
      </c>
      <c r="BL322" s="5"/>
      <c r="BM322" s="76" t="n">
        <f aca="false">IF(OR(ISNUMBER(BJ322),BJ322="DQ",BJ322="P",BJ322="NS"),
    1,
    0
)</f>
        <v>0</v>
      </c>
      <c r="BN322" s="76" t="n">
        <v>315</v>
      </c>
      <c r="BO322" s="76" t="str">
        <f aca="false">IF(ISBLANK($C322),"",IF(ISNUMBER(BK322),BK322+ROW($B322)/1000,""))</f>
        <v/>
      </c>
      <c r="BP322" s="76" t="str">
        <f aca="false">IF(ISNUMBER(BO322), RANK(BO322,BO$8:BO$507,1), "")</f>
        <v/>
      </c>
      <c r="BQ322" s="76" t="str">
        <f aca="false">IF(ISBLANK($C322),
    "",
    $B322
)</f>
        <v/>
      </c>
      <c r="BR322" s="76" t="str">
        <f aca="false">IF(ISBLANK($C322),
    "",
    $C322
)</f>
        <v/>
      </c>
      <c r="BS322" s="76" t="str">
        <f aca="false">IF(ISBLANK($C322),
    "",
    $D322
)</f>
        <v/>
      </c>
      <c r="BT322" s="77" t="str">
        <f aca="false">BH322</f>
        <v/>
      </c>
      <c r="BU322" s="78" t="str">
        <f aca="false">BG322</f>
        <v/>
      </c>
      <c r="BV322" s="76" t="str">
        <f aca="false">IF(ISBLANK($C322),
    "",
    BJ322
)</f>
        <v/>
      </c>
      <c r="BW322" s="79" t="str">
        <f aca="false">IF(BN322&gt;BM$7,
    "",
    VLOOKUP(BN322,BP$8:BV821,7,FALSE())
)</f>
        <v/>
      </c>
      <c r="BX322" s="80" t="str">
        <f aca="false">IF(BN322&gt;BM$7,
    "",
    VLOOKUP(BN322,BP$8:BV821,2,FALSE())
)</f>
        <v/>
      </c>
      <c r="BY322" s="80" t="str">
        <f aca="false">IF(BN322&gt;BM$7,
    "",
    VLOOKUP(BN322,BP$8:BV821,3,FALSE())
)</f>
        <v/>
      </c>
      <c r="BZ322" s="80" t="str">
        <f aca="false">IF(BN322&gt;BM$7,
    "",
    VLOOKUP(BN322,BP$8:BV821,4,FALSE())
)</f>
        <v/>
      </c>
      <c r="CA322" s="80" t="str">
        <f aca="false">IF(BN322&gt;BM$7,
    "",
    VLOOKUP(BN322,BP$8:BV821,5,FALSE())
)</f>
        <v/>
      </c>
      <c r="CB322" s="81" t="str">
        <f aca="false">IF(BN322&gt;BM$7,
    "",
    VLOOKUP(BN322,BP$8:BV821,6,FALSE())
)</f>
        <v/>
      </c>
      <c r="CC322" s="53"/>
    </row>
    <row r="323" customFormat="false" ht="15.75" hidden="false" customHeight="false" outlineLevel="0" collapsed="false">
      <c r="A323" s="5"/>
      <c r="B323" s="125"/>
      <c r="C323" s="126"/>
      <c r="D323" s="115"/>
      <c r="E323" s="119"/>
      <c r="F323" s="119"/>
      <c r="G323" s="91"/>
      <c r="H323" s="92"/>
      <c r="I323" s="92"/>
      <c r="J323" s="128"/>
      <c r="K323" s="128"/>
      <c r="L323" s="128"/>
      <c r="M323" s="94"/>
      <c r="N323" s="94"/>
      <c r="O323" s="94"/>
      <c r="P323" s="95"/>
      <c r="Q323" s="96"/>
      <c r="R323" s="128"/>
      <c r="S323" s="98"/>
      <c r="T323" s="99"/>
      <c r="U323" s="99" t="str">
        <f aca="false">IF(ISBLANK($C323),"",IF(G323=Constants!$B$2, TRUE(), IF(G323=Constants!$B$3, FALSE(), TRUE())))</f>
        <v/>
      </c>
      <c r="V323" s="99" t="str">
        <f aca="false">IF(ISBLANK($C323),"",IF(H323=Constants!$B$2, TRUE(), IF(H323=Constants!$B$3, FALSE(), TRUE())))</f>
        <v/>
      </c>
      <c r="W323" s="99" t="str">
        <f aca="false">IF(ISBLANK($C323),"",IF(I323=Constants!$B$2, TRUE(), IF(I323=Constants!$B$3, FALSE(), TRUE())))</f>
        <v/>
      </c>
      <c r="X323" s="99" t="str">
        <f aca="false">IF(ISBLANK($C323),"",IF(AND(ISNUMBER(J323),J323&gt;0),INT(J323),0))</f>
        <v/>
      </c>
      <c r="Y323" s="99" t="str">
        <f aca="false">IF(ISBLANK($C323),"",IF(K323=Constants!$B$2, TRUE(), IF(K323=Constants!$B$3, FALSE(), TRUE())))</f>
        <v/>
      </c>
      <c r="Z323" s="100" t="str">
        <f aca="false">IF(ISBLANK($C323),"",IF(AND(ISNUMBER(L323),L323&gt;0),INT(L323),0))</f>
        <v/>
      </c>
      <c r="AA323" s="101" t="str">
        <f aca="false">IF(ISBLANK($C323),"",IF(ISNUMBER(M323), M323, ""))</f>
        <v/>
      </c>
      <c r="AB323" s="101" t="str">
        <f aca="false">IF(ISBLANK($C323),"",IF(ISNUMBER(N323), N323, ""))</f>
        <v/>
      </c>
      <c r="AC323" s="101" t="str">
        <f aca="false">IF(ISBLANK($C323),"",IF(ISNUMBER(O323), O323, ""))</f>
        <v/>
      </c>
      <c r="AD323" s="102" t="str">
        <f aca="false">IF(ISBLANK($C323),"",IF(ISNUMBER(P323), P323, ""))</f>
        <v/>
      </c>
      <c r="AE323" s="102" t="str">
        <f aca="false">IF(ISBLANK($C323),"",IF(ISNUMBER(Q323), Q323, Constants!$B$13))</f>
        <v/>
      </c>
      <c r="AF323" s="99" t="str">
        <f aca="false">IF(ISBLANK($C323),"",IF(R323=Constants!$B$2, TRUE(), IF(R323=Constants!$B$3, FALSE(), FALSE())))</f>
        <v/>
      </c>
      <c r="AG323" s="99" t="str">
        <f aca="false">IF(ISBLANK(C323), "", IF(AF323, Constants!$B$4,IF(COUNTA(G323:P323)=0, Constants!$B$5, Constants!$B$7)))</f>
        <v/>
      </c>
      <c r="AH323" s="99" t="str">
        <f aca="false">IF(ISBLANK($C323), "",IF($AG323=Constants!$B$7,1,$AG323))</f>
        <v/>
      </c>
      <c r="AI323" s="99" t="str">
        <f aca="false">IF($AG323=Constants!$B$7,POWER(Constants!$B$11,X323)*POWER(Constants!$B$12,Z323),"")</f>
        <v/>
      </c>
      <c r="AJ323" s="99" t="str">
        <f aca="false">IF(AND($AG323=Constants!$B$7, U323, V323) ,IF(OR($AA323="",$AC323=""),"",MAX(0, $AC323-$AA323)),"")</f>
        <v/>
      </c>
      <c r="AK323" s="99" t="str">
        <f aca="false">IF(AND($AG323=Constants!$B$7, U323, V323),IF(OR($AA323="",$AC323=""),$AK$6,""),"")</f>
        <v/>
      </c>
      <c r="AL323" s="99" t="str">
        <f aca="false">IF($AG323=Constants!$B$7,IF(AND(U323,V323,W323,Y323),IF($AJ323="",0,IF($AJ$6=0,Constants!$B$9,Constants!$B$9*AJ323/$AJ$6)), 0),"")</f>
        <v/>
      </c>
      <c r="AM323" s="99" t="str">
        <f aca="false">IF(AL323&lt;&gt;"", AL323*AI323,"")</f>
        <v/>
      </c>
      <c r="AN323" s="99" t="str">
        <f aca="false">IF(AND($AG323=Constants!$B$7, U323, V323) ,IF($AB323="", "", IF(OR($AC323="",$AC323=0),"",MAX(0,1-ABS($AC323-$AB323)/$AC323))),"")</f>
        <v/>
      </c>
      <c r="AO323" s="99" t="str">
        <f aca="false">IF(AND($AG323=Constants!$B$7, U323, V323),IF(AND($AA323&lt;&gt;"",$AB323&lt;&gt;"",$AC323=0),$AO$6,""),"")</f>
        <v/>
      </c>
      <c r="AP323" s="99" t="str">
        <f aca="false">IF($AG323=Constants!$B$7 ,IF(AND(U323,V323,W323,Y323,ISNUMBER(AB323)),IF($AN323="",0,IF($AN$6=0,Constants!$B$10,Constants!$B$10*AN323/$AN$6)), 0),"")</f>
        <v/>
      </c>
      <c r="AQ323" s="99" t="str">
        <f aca="false">IF(AP323&lt;&gt;"", AP323*AI323,"")</f>
        <v/>
      </c>
      <c r="AR323" s="99" t="str">
        <f aca="false">IF($AG323=Constants!$B$7,IF($AD323="",0,IF($AR$6=0,Constants!$B$8,Constants!$B$8*AD323/$AR$6)),"")</f>
        <v/>
      </c>
      <c r="AS323" s="99" t="str">
        <f aca="false">IF($AG323&lt;&gt;Constants!$B$7,$AG323,IF(AK323&amp;AO323&lt;&gt;"",Constants!$B$14,AM323+AQ323+AR323))</f>
        <v/>
      </c>
      <c r="AT323" s="99" t="str">
        <f aca="false">IF(ISBLANK($C323),"",IF($AG323=Constants!$B$7,IF(ISNUMBER(AS323),RANK(AS323,$AS$8:$AS$507),Constants!$B$14),$AG323))</f>
        <v/>
      </c>
      <c r="AU323" s="99" t="str">
        <f aca="false">IF(ISBLANK($C323), "",AM323)</f>
        <v/>
      </c>
      <c r="AV323" s="99" t="str">
        <f aca="false">IF(ISBLANK($C323),"",IF($AG323=Constants!$B$7,RANK(AU323,AU$8:AU$507),$AG323))</f>
        <v/>
      </c>
      <c r="AW323" s="99" t="str">
        <f aca="false">IF(ISBLANK($C323), "",AR323)</f>
        <v/>
      </c>
      <c r="AX323" s="99" t="str">
        <f aca="false">IF(ISBLANK($C323),"",IF($AG323=Constants!$B$7,RANK(AW323,AW$8:AW$507),$AG323))</f>
        <v/>
      </c>
      <c r="AY323" s="99" t="str">
        <f aca="false">IF(ISBLANK($C323), "",AE323)</f>
        <v/>
      </c>
      <c r="AZ323" s="99" t="str">
        <f aca="false">IF(ISBLANK($C323),"",
IF($AG323=Constants!$B$7,
  IF(ISNUMBER(AT323),
    COUNTIFS($AT$8:$AT$507,"&lt;"&amp;$AT323)
    + COUNTIFS($AT$8:$AT$507,$AT323,$AV$8:$AV$507,"&lt;"&amp;$AV323)
    + COUNTIFS($AT$8:$AT$507,$AT323,$AV$8:$AV$507,$AV323,$AX$8:$AX$507,"&lt;"&amp;$AX323)
    + COUNTIFS($AT$8:$AT$507,$AT323,$AV$8:$AV$507,$AV323,$AX$8:$AX$507,$AX323,$AY$8:$AY$507,"&lt;"&amp;$AY323)
    + 1,
  Constants!$B$14),
$AG323))</f>
        <v/>
      </c>
      <c r="BA323" s="99" t="str">
        <f aca="false">IF(ISBLANK(C323),"",IF($AG323=Constants!$B$7, IF(ISNUMBER(AT323),AT323-AZ323,Constants!$B$14),$AG323))</f>
        <v/>
      </c>
      <c r="BB323" s="103"/>
      <c r="BC323" s="104" t="str">
        <f aca="false">IF(ISBLANK($C323),"",TRIM(AK323&amp;" "&amp;AO323))</f>
        <v/>
      </c>
      <c r="BD323" s="105" t="str">
        <f aca="false">IF(ISBLANK($C323),"",IF($AG323&lt;&gt;Constants!$B$7,$AG323,AR323))</f>
        <v/>
      </c>
      <c r="BE323" s="105" t="str">
        <f aca="false">IF(ISBLANK($C323),"",IF($AG323&lt;&gt;Constants!$B$7,$AG323,AM323))</f>
        <v/>
      </c>
      <c r="BF323" s="105" t="str">
        <f aca="false">IF(ISBLANK($C323),"",IF($AG323&lt;&gt;Constants!$B$7,$AG323,AQ323))</f>
        <v/>
      </c>
      <c r="BG323" s="106" t="str">
        <f aca="false">IF(ISBLANK($C323),"",IF($AG323&lt;&gt;Constants!$B$7, $AG323 ,AS323))</f>
        <v/>
      </c>
      <c r="BH323" s="107" t="str">
        <f aca="false">IF(ISBLANK($C323),"",IF($AG323&lt;&gt;Constants!$B$7, $AG323 ,AH323))</f>
        <v/>
      </c>
      <c r="BI323" s="105" t="str">
        <f aca="false">IF(ISBLANK(C323),"",BA323)</f>
        <v/>
      </c>
      <c r="BJ323" s="105" t="str">
        <f aca="false">IF(ISBLANK(C323),"",AZ323)</f>
        <v/>
      </c>
      <c r="BK323" s="108" t="str">
        <f aca="false">IF(ISBLANK(C323),"",IFERROR(_xlfn.SWITCH(BJ323, Constants!$B$4, COUNTA($C$8:$C822)+2, Constants!$B$5, COUNTA($C$8:$C822)+1, Constants!$B$6, COUNTA($C$8:$C822)),BJ323))</f>
        <v/>
      </c>
      <c r="BL323" s="5"/>
      <c r="BM323" s="109" t="n">
        <f aca="false">IF(OR(ISNUMBER(BJ323),BJ323="DQ",BJ323="P",BJ323="NS"),
    1,
    0
)</f>
        <v>0</v>
      </c>
      <c r="BN323" s="109" t="n">
        <v>316</v>
      </c>
      <c r="BO323" s="109" t="str">
        <f aca="false">IF(ISBLANK($C323),"",IF(ISNUMBER(BK323),BK323+ROW($B323)/1000,""))</f>
        <v/>
      </c>
      <c r="BP323" s="109" t="str">
        <f aca="false">IF(ISNUMBER(BO323), RANK(BO323,BO$8:BO$507,1), "")</f>
        <v/>
      </c>
      <c r="BQ323" s="109" t="str">
        <f aca="false">IF(ISBLANK($C323),
    "",
    $B323
)</f>
        <v/>
      </c>
      <c r="BR323" s="109" t="str">
        <f aca="false">IF(ISBLANK($C323),
    "",
    $C323
)</f>
        <v/>
      </c>
      <c r="BS323" s="109" t="str">
        <f aca="false">IF(ISBLANK($C323),
    "",
    $D323
)</f>
        <v/>
      </c>
      <c r="BT323" s="110" t="str">
        <f aca="false">BH323</f>
        <v/>
      </c>
      <c r="BU323" s="111" t="str">
        <f aca="false">BG323</f>
        <v/>
      </c>
      <c r="BV323" s="109" t="str">
        <f aca="false">IF(ISBLANK($C323),
    "",
    BJ323
)</f>
        <v/>
      </c>
      <c r="BW323" s="112" t="str">
        <f aca="false">IF(BN323&gt;BM$7,
    "",
    VLOOKUP(BN323,BP$8:BV822,7,FALSE())
)</f>
        <v/>
      </c>
      <c r="BX323" s="113" t="str">
        <f aca="false">IF(BN323&gt;BM$7,
    "",
    VLOOKUP(BN323,BP$8:BV822,2,FALSE())
)</f>
        <v/>
      </c>
      <c r="BY323" s="113" t="str">
        <f aca="false">IF(BN323&gt;BM$7,
    "",
    VLOOKUP(BN323,BP$8:BV822,3,FALSE())
)</f>
        <v/>
      </c>
      <c r="BZ323" s="113" t="str">
        <f aca="false">IF(BN323&gt;BM$7,
    "",
    VLOOKUP(BN323,BP$8:BV822,4,FALSE())
)</f>
        <v/>
      </c>
      <c r="CA323" s="113" t="str">
        <f aca="false">IF(BN323&gt;BM$7,
    "",
    VLOOKUP(BN323,BP$8:BV822,5,FALSE())
)</f>
        <v/>
      </c>
      <c r="CB323" s="114" t="str">
        <f aca="false">IF(BN323&gt;BM$7,
    "",
    VLOOKUP(BN323,BP$8:BV822,6,FALSE())
)</f>
        <v/>
      </c>
      <c r="CC323" s="53"/>
    </row>
    <row r="324" customFormat="false" ht="15.75" hidden="false" customHeight="false" outlineLevel="0" collapsed="false">
      <c r="A324" s="5"/>
      <c r="B324" s="125"/>
      <c r="C324" s="126"/>
      <c r="D324" s="115"/>
      <c r="E324" s="119"/>
      <c r="F324" s="119"/>
      <c r="G324" s="91"/>
      <c r="H324" s="92"/>
      <c r="I324" s="92"/>
      <c r="J324" s="128"/>
      <c r="K324" s="128"/>
      <c r="L324" s="128"/>
      <c r="M324" s="94"/>
      <c r="N324" s="94"/>
      <c r="O324" s="94"/>
      <c r="P324" s="95"/>
      <c r="Q324" s="96"/>
      <c r="R324" s="128"/>
      <c r="S324" s="98"/>
      <c r="T324" s="99"/>
      <c r="U324" s="99" t="str">
        <f aca="false">IF(ISBLANK($C324),"",IF(G324=Constants!$B$2, TRUE(), IF(G324=Constants!$B$3, FALSE(), TRUE())))</f>
        <v/>
      </c>
      <c r="V324" s="99" t="str">
        <f aca="false">IF(ISBLANK($C324),"",IF(H324=Constants!$B$2, TRUE(), IF(H324=Constants!$B$3, FALSE(), TRUE())))</f>
        <v/>
      </c>
      <c r="W324" s="99" t="str">
        <f aca="false">IF(ISBLANK($C324),"",IF(I324=Constants!$B$2, TRUE(), IF(I324=Constants!$B$3, FALSE(), TRUE())))</f>
        <v/>
      </c>
      <c r="X324" s="99" t="str">
        <f aca="false">IF(ISBLANK($C324),"",IF(AND(ISNUMBER(J324),J324&gt;0),INT(J324),0))</f>
        <v/>
      </c>
      <c r="Y324" s="99" t="str">
        <f aca="false">IF(ISBLANK($C324),"",IF(K324=Constants!$B$2, TRUE(), IF(K324=Constants!$B$3, FALSE(), TRUE())))</f>
        <v/>
      </c>
      <c r="Z324" s="100" t="str">
        <f aca="false">IF(ISBLANK($C324),"",IF(AND(ISNUMBER(L324),L324&gt;0),INT(L324),0))</f>
        <v/>
      </c>
      <c r="AA324" s="101" t="str">
        <f aca="false">IF(ISBLANK($C324),"",IF(ISNUMBER(M324), M324, ""))</f>
        <v/>
      </c>
      <c r="AB324" s="101" t="str">
        <f aca="false">IF(ISBLANK($C324),"",IF(ISNUMBER(N324), N324, ""))</f>
        <v/>
      </c>
      <c r="AC324" s="101" t="str">
        <f aca="false">IF(ISBLANK($C324),"",IF(ISNUMBER(O324), O324, ""))</f>
        <v/>
      </c>
      <c r="AD324" s="102" t="str">
        <f aca="false">IF(ISBLANK($C324),"",IF(ISNUMBER(P324), P324, ""))</f>
        <v/>
      </c>
      <c r="AE324" s="102" t="str">
        <f aca="false">IF(ISBLANK($C324),"",IF(ISNUMBER(Q324), Q324, Constants!$B$13))</f>
        <v/>
      </c>
      <c r="AF324" s="99" t="str">
        <f aca="false">IF(ISBLANK($C324),"",IF(R324=Constants!$B$2, TRUE(), IF(R324=Constants!$B$3, FALSE(), FALSE())))</f>
        <v/>
      </c>
      <c r="AG324" s="99" t="str">
        <f aca="false">IF(ISBLANK(C324), "", IF(AF324, Constants!$B$4,IF(COUNTA(G324:P324)=0, Constants!$B$5, Constants!$B$7)))</f>
        <v/>
      </c>
      <c r="AH324" s="99" t="str">
        <f aca="false">IF(ISBLANK($C324), "",IF($AG324=Constants!$B$7,1,$AG324))</f>
        <v/>
      </c>
      <c r="AI324" s="99" t="str">
        <f aca="false">IF($AG324=Constants!$B$7,POWER(Constants!$B$11,X324)*POWER(Constants!$B$12,Z324),"")</f>
        <v/>
      </c>
      <c r="AJ324" s="99" t="str">
        <f aca="false">IF(AND($AG324=Constants!$B$7, U324, V324) ,IF(OR($AA324="",$AC324=""),"",MAX(0, $AC324-$AA324)),"")</f>
        <v/>
      </c>
      <c r="AK324" s="99" t="str">
        <f aca="false">IF(AND($AG324=Constants!$B$7, U324, V324),IF(OR($AA324="",$AC324=""),$AK$6,""),"")</f>
        <v/>
      </c>
      <c r="AL324" s="99" t="str">
        <f aca="false">IF($AG324=Constants!$B$7,IF(AND(U324,V324,W324,Y324),IF($AJ324="",0,IF($AJ$6=0,Constants!$B$9,Constants!$B$9*AJ324/$AJ$6)), 0),"")</f>
        <v/>
      </c>
      <c r="AM324" s="99" t="str">
        <f aca="false">IF(AL324&lt;&gt;"", AL324*AI324,"")</f>
        <v/>
      </c>
      <c r="AN324" s="99" t="str">
        <f aca="false">IF(AND($AG324=Constants!$B$7, U324, V324) ,IF($AB324="", "", IF(OR($AC324="",$AC324=0),"",MAX(0,1-ABS($AC324-$AB324)/$AC324))),"")</f>
        <v/>
      </c>
      <c r="AO324" s="99" t="str">
        <f aca="false">IF(AND($AG324=Constants!$B$7, U324, V324),IF(AND($AA324&lt;&gt;"",$AB324&lt;&gt;"",$AC324=0),$AO$6,""),"")</f>
        <v/>
      </c>
      <c r="AP324" s="99" t="str">
        <f aca="false">IF($AG324=Constants!$B$7 ,IF(AND(U324,V324,W324,Y324,ISNUMBER(AB324)),IF($AN324="",0,IF($AN$6=0,Constants!$B$10,Constants!$B$10*AN324/$AN$6)), 0),"")</f>
        <v/>
      </c>
      <c r="AQ324" s="99" t="str">
        <f aca="false">IF(AP324&lt;&gt;"", AP324*AI324,"")</f>
        <v/>
      </c>
      <c r="AR324" s="99" t="str">
        <f aca="false">IF($AG324=Constants!$B$7,IF($AD324="",0,IF($AR$6=0,Constants!$B$8,Constants!$B$8*AD324/$AR$6)),"")</f>
        <v/>
      </c>
      <c r="AS324" s="99" t="str">
        <f aca="false">IF($AG324&lt;&gt;Constants!$B$7,$AG324,IF(AK324&amp;AO324&lt;&gt;"",Constants!$B$14,AM324+AQ324+AR324))</f>
        <v/>
      </c>
      <c r="AT324" s="99" t="str">
        <f aca="false">IF(ISBLANK($C324),"",IF($AG324=Constants!$B$7,IF(ISNUMBER(AS324),RANK(AS324,$AS$8:$AS$507),Constants!$B$14),$AG324))</f>
        <v/>
      </c>
      <c r="AU324" s="99" t="str">
        <f aca="false">IF(ISBLANK($C324), "",AM324)</f>
        <v/>
      </c>
      <c r="AV324" s="99" t="str">
        <f aca="false">IF(ISBLANK($C324),"",IF($AG324=Constants!$B$7,RANK(AU324,AU$8:AU$507),$AG324))</f>
        <v/>
      </c>
      <c r="AW324" s="99" t="str">
        <f aca="false">IF(ISBLANK($C324), "",AR324)</f>
        <v/>
      </c>
      <c r="AX324" s="99" t="str">
        <f aca="false">IF(ISBLANK($C324),"",IF($AG324=Constants!$B$7,RANK(AW324,AW$8:AW$507),$AG324))</f>
        <v/>
      </c>
      <c r="AY324" s="99" t="str">
        <f aca="false">IF(ISBLANK($C324), "",AE324)</f>
        <v/>
      </c>
      <c r="AZ324" s="99" t="str">
        <f aca="false">IF(ISBLANK($C324),"",
IF($AG324=Constants!$B$7,
  IF(ISNUMBER(AT324),
    COUNTIFS($AT$8:$AT$507,"&lt;"&amp;$AT324)
    + COUNTIFS($AT$8:$AT$507,$AT324,$AV$8:$AV$507,"&lt;"&amp;$AV324)
    + COUNTIFS($AT$8:$AT$507,$AT324,$AV$8:$AV$507,$AV324,$AX$8:$AX$507,"&lt;"&amp;$AX324)
    + COUNTIFS($AT$8:$AT$507,$AT324,$AV$8:$AV$507,$AV324,$AX$8:$AX$507,$AX324,$AY$8:$AY$507,"&lt;"&amp;$AY324)
    + 1,
  Constants!$B$14),
$AG324))</f>
        <v/>
      </c>
      <c r="BA324" s="99" t="str">
        <f aca="false">IF(ISBLANK(C324),"",IF($AG324=Constants!$B$7, IF(ISNUMBER(AT324),AT324-AZ324,Constants!$B$14),$AG324))</f>
        <v/>
      </c>
      <c r="BB324" s="103"/>
      <c r="BC324" s="104" t="str">
        <f aca="false">IF(ISBLANK($C324),"",TRIM(AK324&amp;" "&amp;AO324))</f>
        <v/>
      </c>
      <c r="BD324" s="105" t="str">
        <f aca="false">IF(ISBLANK($C324),"",IF($AG324&lt;&gt;Constants!$B$7,$AG324,AR324))</f>
        <v/>
      </c>
      <c r="BE324" s="105" t="str">
        <f aca="false">IF(ISBLANK($C324),"",IF($AG324&lt;&gt;Constants!$B$7,$AG324,AM324))</f>
        <v/>
      </c>
      <c r="BF324" s="105" t="str">
        <f aca="false">IF(ISBLANK($C324),"",IF($AG324&lt;&gt;Constants!$B$7,$AG324,AQ324))</f>
        <v/>
      </c>
      <c r="BG324" s="106" t="str">
        <f aca="false">IF(ISBLANK($C324),"",IF($AG324&lt;&gt;Constants!$B$7, $AG324 ,AS324))</f>
        <v/>
      </c>
      <c r="BH324" s="107" t="str">
        <f aca="false">IF(ISBLANK($C324),"",IF($AG324&lt;&gt;Constants!$B$7, $AG324 ,AH324))</f>
        <v/>
      </c>
      <c r="BI324" s="105" t="str">
        <f aca="false">IF(ISBLANK(C324),"",BA324)</f>
        <v/>
      </c>
      <c r="BJ324" s="105" t="str">
        <f aca="false">IF(ISBLANK(C324),"",AZ324)</f>
        <v/>
      </c>
      <c r="BK324" s="108" t="str">
        <f aca="false">IF(ISBLANK(C324),"",IFERROR(_xlfn.SWITCH(BJ324, Constants!$B$4, COUNTA($C$8:$C823)+2, Constants!$B$5, COUNTA($C$8:$C823)+1, Constants!$B$6, COUNTA($C$8:$C823)),BJ324))</f>
        <v/>
      </c>
      <c r="BL324" s="5"/>
      <c r="BM324" s="109" t="n">
        <f aca="false">IF(OR(ISNUMBER(BJ324),BJ324="DQ",BJ324="P",BJ324="NS"),
    1,
    0
)</f>
        <v>0</v>
      </c>
      <c r="BN324" s="109" t="n">
        <v>317</v>
      </c>
      <c r="BO324" s="109" t="str">
        <f aca="false">IF(ISBLANK($C324),"",IF(ISNUMBER(BK324),BK324+ROW($B324)/1000,""))</f>
        <v/>
      </c>
      <c r="BP324" s="109" t="str">
        <f aca="false">IF(ISNUMBER(BO324), RANK(BO324,BO$8:BO$507,1), "")</f>
        <v/>
      </c>
      <c r="BQ324" s="109" t="str">
        <f aca="false">IF(ISBLANK($C324),
    "",
    $B324
)</f>
        <v/>
      </c>
      <c r="BR324" s="109" t="str">
        <f aca="false">IF(ISBLANK($C324),
    "",
    $C324
)</f>
        <v/>
      </c>
      <c r="BS324" s="109" t="str">
        <f aca="false">IF(ISBLANK($C324),
    "",
    $D324
)</f>
        <v/>
      </c>
      <c r="BT324" s="110" t="str">
        <f aca="false">BH324</f>
        <v/>
      </c>
      <c r="BU324" s="111" t="str">
        <f aca="false">BG324</f>
        <v/>
      </c>
      <c r="BV324" s="109" t="str">
        <f aca="false">IF(ISBLANK($C324),
    "",
    BJ324
)</f>
        <v/>
      </c>
      <c r="BW324" s="112" t="str">
        <f aca="false">IF(BN324&gt;BM$7,
    "",
    VLOOKUP(BN324,BP$8:BV823,7,FALSE())
)</f>
        <v/>
      </c>
      <c r="BX324" s="113" t="str">
        <f aca="false">IF(BN324&gt;BM$7,
    "",
    VLOOKUP(BN324,BP$8:BV823,2,FALSE())
)</f>
        <v/>
      </c>
      <c r="BY324" s="113" t="str">
        <f aca="false">IF(BN324&gt;BM$7,
    "",
    VLOOKUP(BN324,BP$8:BV823,3,FALSE())
)</f>
        <v/>
      </c>
      <c r="BZ324" s="113" t="str">
        <f aca="false">IF(BN324&gt;BM$7,
    "",
    VLOOKUP(BN324,BP$8:BV823,4,FALSE())
)</f>
        <v/>
      </c>
      <c r="CA324" s="113" t="str">
        <f aca="false">IF(BN324&gt;BM$7,
    "",
    VLOOKUP(BN324,BP$8:BV823,5,FALSE())
)</f>
        <v/>
      </c>
      <c r="CB324" s="114" t="str">
        <f aca="false">IF(BN324&gt;BM$7,
    "",
    VLOOKUP(BN324,BP$8:BV823,6,FALSE())
)</f>
        <v/>
      </c>
      <c r="CC324" s="53"/>
    </row>
    <row r="325" customFormat="false" ht="15.75" hidden="false" customHeight="false" outlineLevel="0" collapsed="false">
      <c r="A325" s="5"/>
      <c r="B325" s="125"/>
      <c r="C325" s="126"/>
      <c r="D325" s="115"/>
      <c r="E325" s="119"/>
      <c r="F325" s="119"/>
      <c r="G325" s="91"/>
      <c r="H325" s="92"/>
      <c r="I325" s="92"/>
      <c r="J325" s="128"/>
      <c r="K325" s="128"/>
      <c r="L325" s="128"/>
      <c r="M325" s="94"/>
      <c r="N325" s="94"/>
      <c r="O325" s="94"/>
      <c r="P325" s="95"/>
      <c r="Q325" s="96"/>
      <c r="R325" s="128"/>
      <c r="S325" s="98"/>
      <c r="T325" s="99"/>
      <c r="U325" s="99" t="str">
        <f aca="false">IF(ISBLANK($C325),"",IF(G325=Constants!$B$2, TRUE(), IF(G325=Constants!$B$3, FALSE(), TRUE())))</f>
        <v/>
      </c>
      <c r="V325" s="99" t="str">
        <f aca="false">IF(ISBLANK($C325),"",IF(H325=Constants!$B$2, TRUE(), IF(H325=Constants!$B$3, FALSE(), TRUE())))</f>
        <v/>
      </c>
      <c r="W325" s="99" t="str">
        <f aca="false">IF(ISBLANK($C325),"",IF(I325=Constants!$B$2, TRUE(), IF(I325=Constants!$B$3, FALSE(), TRUE())))</f>
        <v/>
      </c>
      <c r="X325" s="99" t="str">
        <f aca="false">IF(ISBLANK($C325),"",IF(AND(ISNUMBER(J325),J325&gt;0),INT(J325),0))</f>
        <v/>
      </c>
      <c r="Y325" s="99" t="str">
        <f aca="false">IF(ISBLANK($C325),"",IF(K325=Constants!$B$2, TRUE(), IF(K325=Constants!$B$3, FALSE(), TRUE())))</f>
        <v/>
      </c>
      <c r="Z325" s="100" t="str">
        <f aca="false">IF(ISBLANK($C325),"",IF(AND(ISNUMBER(L325),L325&gt;0),INT(L325),0))</f>
        <v/>
      </c>
      <c r="AA325" s="101" t="str">
        <f aca="false">IF(ISBLANK($C325),"",IF(ISNUMBER(M325), M325, ""))</f>
        <v/>
      </c>
      <c r="AB325" s="101" t="str">
        <f aca="false">IF(ISBLANK($C325),"",IF(ISNUMBER(N325), N325, ""))</f>
        <v/>
      </c>
      <c r="AC325" s="101" t="str">
        <f aca="false">IF(ISBLANK($C325),"",IF(ISNUMBER(O325), O325, ""))</f>
        <v/>
      </c>
      <c r="AD325" s="102" t="str">
        <f aca="false">IF(ISBLANK($C325),"",IF(ISNUMBER(P325), P325, ""))</f>
        <v/>
      </c>
      <c r="AE325" s="102" t="str">
        <f aca="false">IF(ISBLANK($C325),"",IF(ISNUMBER(Q325), Q325, Constants!$B$13))</f>
        <v/>
      </c>
      <c r="AF325" s="99" t="str">
        <f aca="false">IF(ISBLANK($C325),"",IF(R325=Constants!$B$2, TRUE(), IF(R325=Constants!$B$3, FALSE(), FALSE())))</f>
        <v/>
      </c>
      <c r="AG325" s="99" t="str">
        <f aca="false">IF(ISBLANK(C325), "", IF(AF325, Constants!$B$4,IF(COUNTA(G325:P325)=0, Constants!$B$5, Constants!$B$7)))</f>
        <v/>
      </c>
      <c r="AH325" s="99" t="str">
        <f aca="false">IF(ISBLANK($C325), "",IF($AG325=Constants!$B$7,1,$AG325))</f>
        <v/>
      </c>
      <c r="AI325" s="99" t="str">
        <f aca="false">IF($AG325=Constants!$B$7,POWER(Constants!$B$11,X325)*POWER(Constants!$B$12,Z325),"")</f>
        <v/>
      </c>
      <c r="AJ325" s="99" t="str">
        <f aca="false">IF(AND($AG325=Constants!$B$7, U325, V325) ,IF(OR($AA325="",$AC325=""),"",MAX(0, $AC325-$AA325)),"")</f>
        <v/>
      </c>
      <c r="AK325" s="99" t="str">
        <f aca="false">IF(AND($AG325=Constants!$B$7, U325, V325),IF(OR($AA325="",$AC325=""),$AK$6,""),"")</f>
        <v/>
      </c>
      <c r="AL325" s="99" t="str">
        <f aca="false">IF($AG325=Constants!$B$7,IF(AND(U325,V325,W325,Y325),IF($AJ325="",0,IF($AJ$6=0,Constants!$B$9,Constants!$B$9*AJ325/$AJ$6)), 0),"")</f>
        <v/>
      </c>
      <c r="AM325" s="99" t="str">
        <f aca="false">IF(AL325&lt;&gt;"", AL325*AI325,"")</f>
        <v/>
      </c>
      <c r="AN325" s="99" t="str">
        <f aca="false">IF(AND($AG325=Constants!$B$7, U325, V325) ,IF($AB325="", "", IF(OR($AC325="",$AC325=0),"",MAX(0,1-ABS($AC325-$AB325)/$AC325))),"")</f>
        <v/>
      </c>
      <c r="AO325" s="99" t="str">
        <f aca="false">IF(AND($AG325=Constants!$B$7, U325, V325),IF(AND($AA325&lt;&gt;"",$AB325&lt;&gt;"",$AC325=0),$AO$6,""),"")</f>
        <v/>
      </c>
      <c r="AP325" s="99" t="str">
        <f aca="false">IF($AG325=Constants!$B$7 ,IF(AND(U325,V325,W325,Y325,ISNUMBER(AB325)),IF($AN325="",0,IF($AN$6=0,Constants!$B$10,Constants!$B$10*AN325/$AN$6)), 0),"")</f>
        <v/>
      </c>
      <c r="AQ325" s="99" t="str">
        <f aca="false">IF(AP325&lt;&gt;"", AP325*AI325,"")</f>
        <v/>
      </c>
      <c r="AR325" s="99" t="str">
        <f aca="false">IF($AG325=Constants!$B$7,IF($AD325="",0,IF($AR$6=0,Constants!$B$8,Constants!$B$8*AD325/$AR$6)),"")</f>
        <v/>
      </c>
      <c r="AS325" s="99" t="str">
        <f aca="false">IF($AG325&lt;&gt;Constants!$B$7,$AG325,IF(AK325&amp;AO325&lt;&gt;"",Constants!$B$14,AM325+AQ325+AR325))</f>
        <v/>
      </c>
      <c r="AT325" s="99" t="str">
        <f aca="false">IF(ISBLANK($C325),"",IF($AG325=Constants!$B$7,IF(ISNUMBER(AS325),RANK(AS325,$AS$8:$AS$507),Constants!$B$14),$AG325))</f>
        <v/>
      </c>
      <c r="AU325" s="99" t="str">
        <f aca="false">IF(ISBLANK($C325), "",AM325)</f>
        <v/>
      </c>
      <c r="AV325" s="99" t="str">
        <f aca="false">IF(ISBLANK($C325),"",IF($AG325=Constants!$B$7,RANK(AU325,AU$8:AU$507),$AG325))</f>
        <v/>
      </c>
      <c r="AW325" s="99" t="str">
        <f aca="false">IF(ISBLANK($C325), "",AR325)</f>
        <v/>
      </c>
      <c r="AX325" s="99" t="str">
        <f aca="false">IF(ISBLANK($C325),"",IF($AG325=Constants!$B$7,RANK(AW325,AW$8:AW$507),$AG325))</f>
        <v/>
      </c>
      <c r="AY325" s="99" t="str">
        <f aca="false">IF(ISBLANK($C325), "",AE325)</f>
        <v/>
      </c>
      <c r="AZ325" s="99" t="str">
        <f aca="false">IF(ISBLANK($C325),"",
IF($AG325=Constants!$B$7,
  IF(ISNUMBER(AT325),
    COUNTIFS($AT$8:$AT$507,"&lt;"&amp;$AT325)
    + COUNTIFS($AT$8:$AT$507,$AT325,$AV$8:$AV$507,"&lt;"&amp;$AV325)
    + COUNTIFS($AT$8:$AT$507,$AT325,$AV$8:$AV$507,$AV325,$AX$8:$AX$507,"&lt;"&amp;$AX325)
    + COUNTIFS($AT$8:$AT$507,$AT325,$AV$8:$AV$507,$AV325,$AX$8:$AX$507,$AX325,$AY$8:$AY$507,"&lt;"&amp;$AY325)
    + 1,
  Constants!$B$14),
$AG325))</f>
        <v/>
      </c>
      <c r="BA325" s="99" t="str">
        <f aca="false">IF(ISBLANK(C325),"",IF($AG325=Constants!$B$7, IF(ISNUMBER(AT325),AT325-AZ325,Constants!$B$14),$AG325))</f>
        <v/>
      </c>
      <c r="BB325" s="103"/>
      <c r="BC325" s="104" t="str">
        <f aca="false">IF(ISBLANK($C325),"",TRIM(AK325&amp;" "&amp;AO325))</f>
        <v/>
      </c>
      <c r="BD325" s="105" t="str">
        <f aca="false">IF(ISBLANK($C325),"",IF($AG325&lt;&gt;Constants!$B$7,$AG325,AR325))</f>
        <v/>
      </c>
      <c r="BE325" s="105" t="str">
        <f aca="false">IF(ISBLANK($C325),"",IF($AG325&lt;&gt;Constants!$B$7,$AG325,AM325))</f>
        <v/>
      </c>
      <c r="BF325" s="105" t="str">
        <f aca="false">IF(ISBLANK($C325),"",IF($AG325&lt;&gt;Constants!$B$7,$AG325,AQ325))</f>
        <v/>
      </c>
      <c r="BG325" s="106" t="str">
        <f aca="false">IF(ISBLANK($C325),"",IF($AG325&lt;&gt;Constants!$B$7, $AG325 ,AS325))</f>
        <v/>
      </c>
      <c r="BH325" s="107" t="str">
        <f aca="false">IF(ISBLANK($C325),"",IF($AG325&lt;&gt;Constants!$B$7, $AG325 ,AH325))</f>
        <v/>
      </c>
      <c r="BI325" s="105" t="str">
        <f aca="false">IF(ISBLANK(C325),"",BA325)</f>
        <v/>
      </c>
      <c r="BJ325" s="105" t="str">
        <f aca="false">IF(ISBLANK(C325),"",AZ325)</f>
        <v/>
      </c>
      <c r="BK325" s="108" t="str">
        <f aca="false">IF(ISBLANK(C325),"",IFERROR(_xlfn.SWITCH(BJ325, Constants!$B$4, COUNTA($C$8:$C824)+2, Constants!$B$5, COUNTA($C$8:$C824)+1, Constants!$B$6, COUNTA($C$8:$C824)),BJ325))</f>
        <v/>
      </c>
      <c r="BL325" s="5"/>
      <c r="BM325" s="109" t="n">
        <f aca="false">IF(OR(ISNUMBER(BJ325),BJ325="DQ",BJ325="P",BJ325="NS"),
    1,
    0
)</f>
        <v>0</v>
      </c>
      <c r="BN325" s="109" t="n">
        <v>318</v>
      </c>
      <c r="BO325" s="109" t="str">
        <f aca="false">IF(ISBLANK($C325),"",IF(ISNUMBER(BK325),BK325+ROW($B325)/1000,""))</f>
        <v/>
      </c>
      <c r="BP325" s="109" t="str">
        <f aca="false">IF(ISNUMBER(BO325), RANK(BO325,BO$8:BO$507,1), "")</f>
        <v/>
      </c>
      <c r="BQ325" s="109" t="str">
        <f aca="false">IF(ISBLANK($C325),
    "",
    $B325
)</f>
        <v/>
      </c>
      <c r="BR325" s="109" t="str">
        <f aca="false">IF(ISBLANK($C325),
    "",
    $C325
)</f>
        <v/>
      </c>
      <c r="BS325" s="109" t="str">
        <f aca="false">IF(ISBLANK($C325),
    "",
    $D325
)</f>
        <v/>
      </c>
      <c r="BT325" s="110" t="str">
        <f aca="false">BH325</f>
        <v/>
      </c>
      <c r="BU325" s="111" t="str">
        <f aca="false">BG325</f>
        <v/>
      </c>
      <c r="BV325" s="109" t="str">
        <f aca="false">IF(ISBLANK($C325),
    "",
    BJ325
)</f>
        <v/>
      </c>
      <c r="BW325" s="112" t="str">
        <f aca="false">IF(BN325&gt;BM$7,
    "",
    VLOOKUP(BN325,BP$8:BV824,7,FALSE())
)</f>
        <v/>
      </c>
      <c r="BX325" s="113" t="str">
        <f aca="false">IF(BN325&gt;BM$7,
    "",
    VLOOKUP(BN325,BP$8:BV824,2,FALSE())
)</f>
        <v/>
      </c>
      <c r="BY325" s="113" t="str">
        <f aca="false">IF(BN325&gt;BM$7,
    "",
    VLOOKUP(BN325,BP$8:BV824,3,FALSE())
)</f>
        <v/>
      </c>
      <c r="BZ325" s="113" t="str">
        <f aca="false">IF(BN325&gt;BM$7,
    "",
    VLOOKUP(BN325,BP$8:BV824,4,FALSE())
)</f>
        <v/>
      </c>
      <c r="CA325" s="113" t="str">
        <f aca="false">IF(BN325&gt;BM$7,
    "",
    VLOOKUP(BN325,BP$8:BV824,5,FALSE())
)</f>
        <v/>
      </c>
      <c r="CB325" s="114" t="str">
        <f aca="false">IF(BN325&gt;BM$7,
    "",
    VLOOKUP(BN325,BP$8:BV824,6,FALSE())
)</f>
        <v/>
      </c>
      <c r="CC325" s="53"/>
    </row>
    <row r="326" customFormat="false" ht="15.75" hidden="false" customHeight="false" outlineLevel="0" collapsed="false">
      <c r="A326" s="5"/>
      <c r="B326" s="129"/>
      <c r="C326" s="55"/>
      <c r="D326" s="56"/>
      <c r="E326" s="123"/>
      <c r="F326" s="123"/>
      <c r="G326" s="58"/>
      <c r="H326" s="59"/>
      <c r="I326" s="59"/>
      <c r="J326" s="83"/>
      <c r="K326" s="83"/>
      <c r="L326" s="83"/>
      <c r="M326" s="61"/>
      <c r="N326" s="61"/>
      <c r="O326" s="61"/>
      <c r="P326" s="62"/>
      <c r="Q326" s="63"/>
      <c r="R326" s="83"/>
      <c r="S326" s="65"/>
      <c r="T326" s="66"/>
      <c r="U326" s="66" t="str">
        <f aca="false">IF(ISBLANK($C326),"",IF(G326=Constants!$B$2, TRUE(), IF(G326=Constants!$B$3, FALSE(), TRUE())))</f>
        <v/>
      </c>
      <c r="V326" s="66" t="str">
        <f aca="false">IF(ISBLANK($C326),"",IF(H326=Constants!$B$2, TRUE(), IF(H326=Constants!$B$3, FALSE(), TRUE())))</f>
        <v/>
      </c>
      <c r="W326" s="66" t="str">
        <f aca="false">IF(ISBLANK($C326),"",IF(I326=Constants!$B$2, TRUE(), IF(I326=Constants!$B$3, FALSE(), TRUE())))</f>
        <v/>
      </c>
      <c r="X326" s="66" t="str">
        <f aca="false">IF(ISBLANK($C326),"",IF(AND(ISNUMBER(J326),J326&gt;0),INT(J326),0))</f>
        <v/>
      </c>
      <c r="Y326" s="66" t="str">
        <f aca="false">IF(ISBLANK($C326),"",IF(K326=Constants!$B$2, TRUE(), IF(K326=Constants!$B$3, FALSE(), TRUE())))</f>
        <v/>
      </c>
      <c r="Z326" s="66" t="str">
        <f aca="false">IF(ISBLANK($C326),"",IF(AND(ISNUMBER(L326),L326&gt;0),INT(L326),0))</f>
        <v/>
      </c>
      <c r="AA326" s="68" t="str">
        <f aca="false">IF(ISBLANK($C326),"",IF(ISNUMBER(M326), M326, ""))</f>
        <v/>
      </c>
      <c r="AB326" s="68" t="str">
        <f aca="false">IF(ISBLANK($C326),"",IF(ISNUMBER(N326), N326, ""))</f>
        <v/>
      </c>
      <c r="AC326" s="68" t="str">
        <f aca="false">IF(ISBLANK($C326),"",IF(ISNUMBER(O326), O326, ""))</f>
        <v/>
      </c>
      <c r="AD326" s="69" t="str">
        <f aca="false">IF(ISBLANK($C326),"",IF(ISNUMBER(P326), P326, ""))</f>
        <v/>
      </c>
      <c r="AE326" s="69" t="str">
        <f aca="false">IF(ISBLANK($C326),"",IF(ISNUMBER(Q326), Q326, Constants!$B$13))</f>
        <v/>
      </c>
      <c r="AF326" s="66" t="str">
        <f aca="false">IF(ISBLANK($C326),"",IF(R326=Constants!$B$2, TRUE(), IF(R326=Constants!$B$3, FALSE(), FALSE())))</f>
        <v/>
      </c>
      <c r="AG326" s="66" t="str">
        <f aca="false">IF(ISBLANK(C326), "", IF(AF326, Constants!$B$4,IF(COUNTA(G326:P326)=0, Constants!$B$5, Constants!$B$7)))</f>
        <v/>
      </c>
      <c r="AH326" s="66" t="str">
        <f aca="false">IF(ISBLANK($C326), "",IF($AG326=Constants!$B$7,1,$AG326))</f>
        <v/>
      </c>
      <c r="AI326" s="66" t="str">
        <f aca="false">IF($AG326=Constants!$B$7,POWER(Constants!$B$11,X326)*POWER(Constants!$B$12,Z326),"")</f>
        <v/>
      </c>
      <c r="AJ326" s="66" t="str">
        <f aca="false">IF(AND($AG326=Constants!$B$7, U326, V326) ,IF(OR($AA326="",$AC326=""),"",MAX(0, $AC326-$AA326)),"")</f>
        <v/>
      </c>
      <c r="AK326" s="66" t="str">
        <f aca="false">IF(AND($AG326=Constants!$B$7, U326, V326),IF(OR($AA326="",$AC326=""),$AK$6,""),"")</f>
        <v/>
      </c>
      <c r="AL326" s="66" t="str">
        <f aca="false">IF($AG326=Constants!$B$7,IF(AND(U326,V326,W326,Y326),IF($AJ326="",0,IF($AJ$6=0,Constants!$B$9,Constants!$B$9*AJ326/$AJ$6)), 0),"")</f>
        <v/>
      </c>
      <c r="AM326" s="66" t="str">
        <f aca="false">IF(AL326&lt;&gt;"", AL326*AI326,"")</f>
        <v/>
      </c>
      <c r="AN326" s="66" t="str">
        <f aca="false">IF(AND($AG326=Constants!$B$7, U326, V326) ,IF($AB326="", "", IF(OR($AC326="",$AC326=0),"",MAX(0,1-ABS($AC326-$AB326)/$AC326))),"")</f>
        <v/>
      </c>
      <c r="AO326" s="66" t="str">
        <f aca="false">IF(AND($AG326=Constants!$B$7, U326, V326),IF(AND($AA326&lt;&gt;"",$AB326&lt;&gt;"",$AC326=0),$AO$6,""),"")</f>
        <v/>
      </c>
      <c r="AP326" s="66" t="str">
        <f aca="false">IF($AG326=Constants!$B$7 ,IF(AND(U326,V326,W326,Y326,ISNUMBER(AB326)),IF($AN326="",0,IF($AN$6=0,Constants!$B$10,Constants!$B$10*AN326/$AN$6)), 0),"")</f>
        <v/>
      </c>
      <c r="AQ326" s="66" t="str">
        <f aca="false">IF(AP326&lt;&gt;"", AP326*AI326,"")</f>
        <v/>
      </c>
      <c r="AR326" s="66" t="str">
        <f aca="false">IF($AG326=Constants!$B$7,IF($AD326="",0,IF($AR$6=0,Constants!$B$8,Constants!$B$8*AD326/$AR$6)),"")</f>
        <v/>
      </c>
      <c r="AS326" s="66" t="str">
        <f aca="false">IF($AG326&lt;&gt;Constants!$B$7,$AG326,IF(AK326&amp;AO326&lt;&gt;"",Constants!$B$14,AM326+AQ326+AR326))</f>
        <v/>
      </c>
      <c r="AT326" s="66" t="str">
        <f aca="false">IF(ISBLANK($C326),"",IF($AG326=Constants!$B$7,IF(ISNUMBER(AS326),RANK(AS326,$AS$8:$AS$507),Constants!$B$14),$AG326))</f>
        <v/>
      </c>
      <c r="AU326" s="66" t="str">
        <f aca="false">IF(ISBLANK($C326), "",AM326)</f>
        <v/>
      </c>
      <c r="AV326" s="66" t="str">
        <f aca="false">IF(ISBLANK($C326),"",IF($AG326=Constants!$B$7,RANK(AU326,AU$8:AU$507),$AG326))</f>
        <v/>
      </c>
      <c r="AW326" s="66" t="str">
        <f aca="false">IF(ISBLANK($C326), "",AR326)</f>
        <v/>
      </c>
      <c r="AX326" s="66" t="str">
        <f aca="false">IF(ISBLANK($C326),"",IF($AG326=Constants!$B$7,RANK(AW326,AW$8:AW$507),$AG326))</f>
        <v/>
      </c>
      <c r="AY326" s="66" t="str">
        <f aca="false">IF(ISBLANK($C326), "",AE326)</f>
        <v/>
      </c>
      <c r="AZ326" s="66" t="str">
        <f aca="false">IF(ISBLANK($C326),"",
IF($AG326=Constants!$B$7,
  IF(ISNUMBER(AT326),
    COUNTIFS($AT$8:$AT$507,"&lt;"&amp;$AT326)
    + COUNTIFS($AT$8:$AT$507,$AT326,$AV$8:$AV$507,"&lt;"&amp;$AV326)
    + COUNTIFS($AT$8:$AT$507,$AT326,$AV$8:$AV$507,$AV326,$AX$8:$AX$507,"&lt;"&amp;$AX326)
    + COUNTIFS($AT$8:$AT$507,$AT326,$AV$8:$AV$507,$AV326,$AX$8:$AX$507,$AX326,$AY$8:$AY$507,"&lt;"&amp;$AY326)
    + 1,
  Constants!$B$14),
$AG326))</f>
        <v/>
      </c>
      <c r="BA326" s="66" t="str">
        <f aca="false">IF(ISBLANK(C326),"",IF($AG326=Constants!$B$7, IF(ISNUMBER(AT326),AT326-AZ326,Constants!$B$14),$AG326))</f>
        <v/>
      </c>
      <c r="BB326" s="70"/>
      <c r="BC326" s="84" t="str">
        <f aca="false">IF(ISBLANK($C326),"",TRIM(AK326&amp;" "&amp;AO326))</f>
        <v/>
      </c>
      <c r="BD326" s="72" t="str">
        <f aca="false">IF(ISBLANK($C326),"",IF($AG326&lt;&gt;Constants!$B$7,$AG326,AR326))</f>
        <v/>
      </c>
      <c r="BE326" s="72" t="str">
        <f aca="false">IF(ISBLANK($C326),"",IF($AG326&lt;&gt;Constants!$B$7,$AG326,AM326))</f>
        <v/>
      </c>
      <c r="BF326" s="72" t="str">
        <f aca="false">IF(ISBLANK($C326),"",IF($AG326&lt;&gt;Constants!$B$7,$AG326,AQ326))</f>
        <v/>
      </c>
      <c r="BG326" s="73" t="str">
        <f aca="false">IF(ISBLANK($C326),"",IF($AG326&lt;&gt;Constants!$B$7, $AG326 ,AS326))</f>
        <v/>
      </c>
      <c r="BH326" s="74" t="str">
        <f aca="false">IF(ISBLANK($C326),"",IF($AG326&lt;&gt;Constants!$B$7, $AG326 ,AH326))</f>
        <v/>
      </c>
      <c r="BI326" s="72" t="str">
        <f aca="false">IF(ISBLANK(C326),"",BA326)</f>
        <v/>
      </c>
      <c r="BJ326" s="72" t="str">
        <f aca="false">IF(ISBLANK(C326),"",AZ326)</f>
        <v/>
      </c>
      <c r="BK326" s="75" t="str">
        <f aca="false">IF(ISBLANK(C326),"",IFERROR(_xlfn.SWITCH(BJ326, Constants!$B$4, COUNTA($C$8:$C825)+2, Constants!$B$5, COUNTA($C$8:$C825)+1, Constants!$B$6, COUNTA($C$8:$C825)),BJ326))</f>
        <v/>
      </c>
      <c r="BL326" s="5"/>
      <c r="BM326" s="76" t="n">
        <f aca="false">IF(OR(ISNUMBER(BJ326),BJ326="DQ",BJ326="P",BJ326="NS"),
    1,
    0
)</f>
        <v>0</v>
      </c>
      <c r="BN326" s="76" t="n">
        <v>319</v>
      </c>
      <c r="BO326" s="76" t="str">
        <f aca="false">IF(ISBLANK($C326),"",IF(ISNUMBER(BK326),BK326+ROW($B326)/1000,""))</f>
        <v/>
      </c>
      <c r="BP326" s="76" t="str">
        <f aca="false">IF(ISNUMBER(BO326), RANK(BO326,BO$8:BO$507,1), "")</f>
        <v/>
      </c>
      <c r="BQ326" s="76" t="str">
        <f aca="false">IF(ISBLANK($C326),
    "",
    $B326
)</f>
        <v/>
      </c>
      <c r="BR326" s="76" t="str">
        <f aca="false">IF(ISBLANK($C326),
    "",
    $C326
)</f>
        <v/>
      </c>
      <c r="BS326" s="76" t="str">
        <f aca="false">IF(ISBLANK($C326),
    "",
    $D326
)</f>
        <v/>
      </c>
      <c r="BT326" s="77" t="str">
        <f aca="false">BH326</f>
        <v/>
      </c>
      <c r="BU326" s="78" t="str">
        <f aca="false">BG326</f>
        <v/>
      </c>
      <c r="BV326" s="76" t="str">
        <f aca="false">IF(ISBLANK($C326),
    "",
    BJ326
)</f>
        <v/>
      </c>
      <c r="BW326" s="79" t="str">
        <f aca="false">IF(BN326&gt;BM$7,
    "",
    VLOOKUP(BN326,BP$8:BV825,7,FALSE())
)</f>
        <v/>
      </c>
      <c r="BX326" s="80" t="str">
        <f aca="false">IF(BN326&gt;BM$7,
    "",
    VLOOKUP(BN326,BP$8:BV825,2,FALSE())
)</f>
        <v/>
      </c>
      <c r="BY326" s="80" t="str">
        <f aca="false">IF(BN326&gt;BM$7,
    "",
    VLOOKUP(BN326,BP$8:BV825,3,FALSE())
)</f>
        <v/>
      </c>
      <c r="BZ326" s="80" t="str">
        <f aca="false">IF(BN326&gt;BM$7,
    "",
    VLOOKUP(BN326,BP$8:BV825,4,FALSE())
)</f>
        <v/>
      </c>
      <c r="CA326" s="80" t="str">
        <f aca="false">IF(BN326&gt;BM$7,
    "",
    VLOOKUP(BN326,BP$8:BV825,5,FALSE())
)</f>
        <v/>
      </c>
      <c r="CB326" s="81" t="str">
        <f aca="false">IF(BN326&gt;BM$7,
    "",
    VLOOKUP(BN326,BP$8:BV825,6,FALSE())
)</f>
        <v/>
      </c>
      <c r="CC326" s="53"/>
    </row>
    <row r="327" customFormat="false" ht="15.75" hidden="false" customHeight="false" outlineLevel="0" collapsed="false">
      <c r="A327" s="5"/>
      <c r="B327" s="129"/>
      <c r="C327" s="55"/>
      <c r="D327" s="56"/>
      <c r="E327" s="123"/>
      <c r="F327" s="123"/>
      <c r="G327" s="58"/>
      <c r="H327" s="59"/>
      <c r="I327" s="59"/>
      <c r="J327" s="83"/>
      <c r="K327" s="83"/>
      <c r="L327" s="83"/>
      <c r="M327" s="61"/>
      <c r="N327" s="61"/>
      <c r="O327" s="61"/>
      <c r="P327" s="62"/>
      <c r="Q327" s="63"/>
      <c r="R327" s="83"/>
      <c r="S327" s="65"/>
      <c r="T327" s="66"/>
      <c r="U327" s="66" t="str">
        <f aca="false">IF(ISBLANK($C327),"",IF(G327=Constants!$B$2, TRUE(), IF(G327=Constants!$B$3, FALSE(), TRUE())))</f>
        <v/>
      </c>
      <c r="V327" s="66" t="str">
        <f aca="false">IF(ISBLANK($C327),"",IF(H327=Constants!$B$2, TRUE(), IF(H327=Constants!$B$3, FALSE(), TRUE())))</f>
        <v/>
      </c>
      <c r="W327" s="66" t="str">
        <f aca="false">IF(ISBLANK($C327),"",IF(I327=Constants!$B$2, TRUE(), IF(I327=Constants!$B$3, FALSE(), TRUE())))</f>
        <v/>
      </c>
      <c r="X327" s="66" t="str">
        <f aca="false">IF(ISBLANK($C327),"",IF(AND(ISNUMBER(J327),J327&gt;0),INT(J327),0))</f>
        <v/>
      </c>
      <c r="Y327" s="66" t="str">
        <f aca="false">IF(ISBLANK($C327),"",IF(K327=Constants!$B$2, TRUE(), IF(K327=Constants!$B$3, FALSE(), TRUE())))</f>
        <v/>
      </c>
      <c r="Z327" s="66" t="str">
        <f aca="false">IF(ISBLANK($C327),"",IF(AND(ISNUMBER(L327),L327&gt;0),INT(L327),0))</f>
        <v/>
      </c>
      <c r="AA327" s="68" t="str">
        <f aca="false">IF(ISBLANK($C327),"",IF(ISNUMBER(M327), M327, ""))</f>
        <v/>
      </c>
      <c r="AB327" s="68" t="str">
        <f aca="false">IF(ISBLANK($C327),"",IF(ISNUMBER(N327), N327, ""))</f>
        <v/>
      </c>
      <c r="AC327" s="68" t="str">
        <f aca="false">IF(ISBLANK($C327),"",IF(ISNUMBER(O327), O327, ""))</f>
        <v/>
      </c>
      <c r="AD327" s="69" t="str">
        <f aca="false">IF(ISBLANK($C327),"",IF(ISNUMBER(P327), P327, ""))</f>
        <v/>
      </c>
      <c r="AE327" s="69" t="str">
        <f aca="false">IF(ISBLANK($C327),"",IF(ISNUMBER(Q327), Q327, Constants!$B$13))</f>
        <v/>
      </c>
      <c r="AF327" s="66" t="str">
        <f aca="false">IF(ISBLANK($C327),"",IF(R327=Constants!$B$2, TRUE(), IF(R327=Constants!$B$3, FALSE(), FALSE())))</f>
        <v/>
      </c>
      <c r="AG327" s="66" t="str">
        <f aca="false">IF(ISBLANK(C327), "", IF(AF327, Constants!$B$4,IF(COUNTA(G327:P327)=0, Constants!$B$5, Constants!$B$7)))</f>
        <v/>
      </c>
      <c r="AH327" s="66" t="str">
        <f aca="false">IF(ISBLANK($C327), "",IF($AG327=Constants!$B$7,1,$AG327))</f>
        <v/>
      </c>
      <c r="AI327" s="66" t="str">
        <f aca="false">IF($AG327=Constants!$B$7,POWER(Constants!$B$11,X327)*POWER(Constants!$B$12,Z327),"")</f>
        <v/>
      </c>
      <c r="AJ327" s="66" t="str">
        <f aca="false">IF(AND($AG327=Constants!$B$7, U327, V327) ,IF(OR($AA327="",$AC327=""),"",MAX(0, $AC327-$AA327)),"")</f>
        <v/>
      </c>
      <c r="AK327" s="66" t="str">
        <f aca="false">IF(AND($AG327=Constants!$B$7, U327, V327),IF(OR($AA327="",$AC327=""),$AK$6,""),"")</f>
        <v/>
      </c>
      <c r="AL327" s="66" t="str">
        <f aca="false">IF($AG327=Constants!$B$7,IF(AND(U327,V327,W327,Y327),IF($AJ327="",0,IF($AJ$6=0,Constants!$B$9,Constants!$B$9*AJ327/$AJ$6)), 0),"")</f>
        <v/>
      </c>
      <c r="AM327" s="66" t="str">
        <f aca="false">IF(AL327&lt;&gt;"", AL327*AI327,"")</f>
        <v/>
      </c>
      <c r="AN327" s="66" t="str">
        <f aca="false">IF(AND($AG327=Constants!$B$7, U327, V327) ,IF($AB327="", "", IF(OR($AC327="",$AC327=0),"",MAX(0,1-ABS($AC327-$AB327)/$AC327))),"")</f>
        <v/>
      </c>
      <c r="AO327" s="66" t="str">
        <f aca="false">IF(AND($AG327=Constants!$B$7, U327, V327),IF(AND($AA327&lt;&gt;"",$AB327&lt;&gt;"",$AC327=0),$AO$6,""),"")</f>
        <v/>
      </c>
      <c r="AP327" s="66" t="str">
        <f aca="false">IF($AG327=Constants!$B$7 ,IF(AND(U327,V327,W327,Y327,ISNUMBER(AB327)),IF($AN327="",0,IF($AN$6=0,Constants!$B$10,Constants!$B$10*AN327/$AN$6)), 0),"")</f>
        <v/>
      </c>
      <c r="AQ327" s="66" t="str">
        <f aca="false">IF(AP327&lt;&gt;"", AP327*AI327,"")</f>
        <v/>
      </c>
      <c r="AR327" s="66" t="str">
        <f aca="false">IF($AG327=Constants!$B$7,IF($AD327="",0,IF($AR$6=0,Constants!$B$8,Constants!$B$8*AD327/$AR$6)),"")</f>
        <v/>
      </c>
      <c r="AS327" s="66" t="str">
        <f aca="false">IF($AG327&lt;&gt;Constants!$B$7,$AG327,IF(AK327&amp;AO327&lt;&gt;"",Constants!$B$14,AM327+AQ327+AR327))</f>
        <v/>
      </c>
      <c r="AT327" s="66" t="str">
        <f aca="false">IF(ISBLANK($C327),"",IF($AG327=Constants!$B$7,IF(ISNUMBER(AS327),RANK(AS327,$AS$8:$AS$507),Constants!$B$14),$AG327))</f>
        <v/>
      </c>
      <c r="AU327" s="66" t="str">
        <f aca="false">IF(ISBLANK($C327), "",AM327)</f>
        <v/>
      </c>
      <c r="AV327" s="66" t="str">
        <f aca="false">IF(ISBLANK($C327),"",IF($AG327=Constants!$B$7,RANK(AU327,AU$8:AU$507),$AG327))</f>
        <v/>
      </c>
      <c r="AW327" s="66" t="str">
        <f aca="false">IF(ISBLANK($C327), "",AR327)</f>
        <v/>
      </c>
      <c r="AX327" s="66" t="str">
        <f aca="false">IF(ISBLANK($C327),"",IF($AG327=Constants!$B$7,RANK(AW327,AW$8:AW$507),$AG327))</f>
        <v/>
      </c>
      <c r="AY327" s="66" t="str">
        <f aca="false">IF(ISBLANK($C327), "",AE327)</f>
        <v/>
      </c>
      <c r="AZ327" s="66" t="str">
        <f aca="false">IF(ISBLANK($C327),"",
IF($AG327=Constants!$B$7,
  IF(ISNUMBER(AT327),
    COUNTIFS($AT$8:$AT$507,"&lt;"&amp;$AT327)
    + COUNTIFS($AT$8:$AT$507,$AT327,$AV$8:$AV$507,"&lt;"&amp;$AV327)
    + COUNTIFS($AT$8:$AT$507,$AT327,$AV$8:$AV$507,$AV327,$AX$8:$AX$507,"&lt;"&amp;$AX327)
    + COUNTIFS($AT$8:$AT$507,$AT327,$AV$8:$AV$507,$AV327,$AX$8:$AX$507,$AX327,$AY$8:$AY$507,"&lt;"&amp;$AY327)
    + 1,
  Constants!$B$14),
$AG327))</f>
        <v/>
      </c>
      <c r="BA327" s="66" t="str">
        <f aca="false">IF(ISBLANK(C327),"",IF($AG327=Constants!$B$7, IF(ISNUMBER(AT327),AT327-AZ327,Constants!$B$14),$AG327))</f>
        <v/>
      </c>
      <c r="BB327" s="70"/>
      <c r="BC327" s="84" t="str">
        <f aca="false">IF(ISBLANK($C327),"",TRIM(AK327&amp;" "&amp;AO327))</f>
        <v/>
      </c>
      <c r="BD327" s="72" t="str">
        <f aca="false">IF(ISBLANK($C327),"",IF($AG327&lt;&gt;Constants!$B$7,$AG327,AR327))</f>
        <v/>
      </c>
      <c r="BE327" s="72" t="str">
        <f aca="false">IF(ISBLANK($C327),"",IF($AG327&lt;&gt;Constants!$B$7,$AG327,AM327))</f>
        <v/>
      </c>
      <c r="BF327" s="72" t="str">
        <f aca="false">IF(ISBLANK($C327),"",IF($AG327&lt;&gt;Constants!$B$7,$AG327,AQ327))</f>
        <v/>
      </c>
      <c r="BG327" s="73" t="str">
        <f aca="false">IF(ISBLANK($C327),"",IF($AG327&lt;&gt;Constants!$B$7, $AG327 ,AS327))</f>
        <v/>
      </c>
      <c r="BH327" s="74" t="str">
        <f aca="false">IF(ISBLANK($C327),"",IF($AG327&lt;&gt;Constants!$B$7, $AG327 ,AH327))</f>
        <v/>
      </c>
      <c r="BI327" s="72" t="str">
        <f aca="false">IF(ISBLANK(C327),"",BA327)</f>
        <v/>
      </c>
      <c r="BJ327" s="72" t="str">
        <f aca="false">IF(ISBLANK(C327),"",AZ327)</f>
        <v/>
      </c>
      <c r="BK327" s="75" t="str">
        <f aca="false">IF(ISBLANK(C327),"",IFERROR(_xlfn.SWITCH(BJ327, Constants!$B$4, COUNTA($C$8:$C826)+2, Constants!$B$5, COUNTA($C$8:$C826)+1, Constants!$B$6, COUNTA($C$8:$C826)),BJ327))</f>
        <v/>
      </c>
      <c r="BL327" s="5"/>
      <c r="BM327" s="76" t="n">
        <f aca="false">IF(OR(ISNUMBER(BJ327),BJ327="DQ",BJ327="P",BJ327="NS"),
    1,
    0
)</f>
        <v>0</v>
      </c>
      <c r="BN327" s="76" t="n">
        <v>320</v>
      </c>
      <c r="BO327" s="76" t="str">
        <f aca="false">IF(ISBLANK($C327),"",IF(ISNUMBER(BK327),BK327+ROW($B327)/1000,""))</f>
        <v/>
      </c>
      <c r="BP327" s="76" t="str">
        <f aca="false">IF(ISNUMBER(BO327), RANK(BO327,BO$8:BO$507,1), "")</f>
        <v/>
      </c>
      <c r="BQ327" s="76" t="str">
        <f aca="false">IF(ISBLANK($C327),
    "",
    $B327
)</f>
        <v/>
      </c>
      <c r="BR327" s="76" t="str">
        <f aca="false">IF(ISBLANK($C327),
    "",
    $C327
)</f>
        <v/>
      </c>
      <c r="BS327" s="76" t="str">
        <f aca="false">IF(ISBLANK($C327),
    "",
    $D327
)</f>
        <v/>
      </c>
      <c r="BT327" s="77" t="str">
        <f aca="false">BH327</f>
        <v/>
      </c>
      <c r="BU327" s="78" t="str">
        <f aca="false">BG327</f>
        <v/>
      </c>
      <c r="BV327" s="76" t="str">
        <f aca="false">IF(ISBLANK($C327),
    "",
    BJ327
)</f>
        <v/>
      </c>
      <c r="BW327" s="79" t="str">
        <f aca="false">IF(BN327&gt;BM$7,
    "",
    VLOOKUP(BN327,BP$8:BV826,7,FALSE())
)</f>
        <v/>
      </c>
      <c r="BX327" s="80" t="str">
        <f aca="false">IF(BN327&gt;BM$7,
    "",
    VLOOKUP(BN327,BP$8:BV826,2,FALSE())
)</f>
        <v/>
      </c>
      <c r="BY327" s="80" t="str">
        <f aca="false">IF(BN327&gt;BM$7,
    "",
    VLOOKUP(BN327,BP$8:BV826,3,FALSE())
)</f>
        <v/>
      </c>
      <c r="BZ327" s="80" t="str">
        <f aca="false">IF(BN327&gt;BM$7,
    "",
    VLOOKUP(BN327,BP$8:BV826,4,FALSE())
)</f>
        <v/>
      </c>
      <c r="CA327" s="80" t="str">
        <f aca="false">IF(BN327&gt;BM$7,
    "",
    VLOOKUP(BN327,BP$8:BV826,5,FALSE())
)</f>
        <v/>
      </c>
      <c r="CB327" s="81" t="str">
        <f aca="false">IF(BN327&gt;BM$7,
    "",
    VLOOKUP(BN327,BP$8:BV826,6,FALSE())
)</f>
        <v/>
      </c>
      <c r="CC327" s="53"/>
    </row>
    <row r="328" customFormat="false" ht="15.75" hidden="false" customHeight="false" outlineLevel="0" collapsed="false">
      <c r="A328" s="5"/>
      <c r="B328" s="129"/>
      <c r="C328" s="55"/>
      <c r="D328" s="56"/>
      <c r="E328" s="123"/>
      <c r="F328" s="123"/>
      <c r="G328" s="58"/>
      <c r="H328" s="59"/>
      <c r="I328" s="59"/>
      <c r="J328" s="83"/>
      <c r="K328" s="83"/>
      <c r="L328" s="83"/>
      <c r="M328" s="61"/>
      <c r="N328" s="61"/>
      <c r="O328" s="61"/>
      <c r="P328" s="62"/>
      <c r="Q328" s="63"/>
      <c r="R328" s="83"/>
      <c r="S328" s="65"/>
      <c r="T328" s="66"/>
      <c r="U328" s="66" t="str">
        <f aca="false">IF(ISBLANK($C328),"",IF(G328=Constants!$B$2, TRUE(), IF(G328=Constants!$B$3, FALSE(), TRUE())))</f>
        <v/>
      </c>
      <c r="V328" s="66" t="str">
        <f aca="false">IF(ISBLANK($C328),"",IF(H328=Constants!$B$2, TRUE(), IF(H328=Constants!$B$3, FALSE(), TRUE())))</f>
        <v/>
      </c>
      <c r="W328" s="66" t="str">
        <f aca="false">IF(ISBLANK($C328),"",IF(I328=Constants!$B$2, TRUE(), IF(I328=Constants!$B$3, FALSE(), TRUE())))</f>
        <v/>
      </c>
      <c r="X328" s="66" t="str">
        <f aca="false">IF(ISBLANK($C328),"",IF(AND(ISNUMBER(J328),J328&gt;0),INT(J328),0))</f>
        <v/>
      </c>
      <c r="Y328" s="66" t="str">
        <f aca="false">IF(ISBLANK($C328),"",IF(K328=Constants!$B$2, TRUE(), IF(K328=Constants!$B$3, FALSE(), TRUE())))</f>
        <v/>
      </c>
      <c r="Z328" s="66" t="str">
        <f aca="false">IF(ISBLANK($C328),"",IF(AND(ISNUMBER(L328),L328&gt;0),INT(L328),0))</f>
        <v/>
      </c>
      <c r="AA328" s="68" t="str">
        <f aca="false">IF(ISBLANK($C328),"",IF(ISNUMBER(M328), M328, ""))</f>
        <v/>
      </c>
      <c r="AB328" s="68" t="str">
        <f aca="false">IF(ISBLANK($C328),"",IF(ISNUMBER(N328), N328, ""))</f>
        <v/>
      </c>
      <c r="AC328" s="68" t="str">
        <f aca="false">IF(ISBLANK($C328),"",IF(ISNUMBER(O328), O328, ""))</f>
        <v/>
      </c>
      <c r="AD328" s="69" t="str">
        <f aca="false">IF(ISBLANK($C328),"",IF(ISNUMBER(P328), P328, ""))</f>
        <v/>
      </c>
      <c r="AE328" s="69" t="str">
        <f aca="false">IF(ISBLANK($C328),"",IF(ISNUMBER(Q328), Q328, Constants!$B$13))</f>
        <v/>
      </c>
      <c r="AF328" s="66" t="str">
        <f aca="false">IF(ISBLANK($C328),"",IF(R328=Constants!$B$2, TRUE(), IF(R328=Constants!$B$3, FALSE(), FALSE())))</f>
        <v/>
      </c>
      <c r="AG328" s="66" t="str">
        <f aca="false">IF(ISBLANK(C328), "", IF(AF328, Constants!$B$4,IF(COUNTA(G328:P328)=0, Constants!$B$5, Constants!$B$7)))</f>
        <v/>
      </c>
      <c r="AH328" s="66" t="str">
        <f aca="false">IF(ISBLANK($C328), "",IF($AG328=Constants!$B$7,1,$AG328))</f>
        <v/>
      </c>
      <c r="AI328" s="66" t="str">
        <f aca="false">IF($AG328=Constants!$B$7,POWER(Constants!$B$11,X328)*POWER(Constants!$B$12,Z328),"")</f>
        <v/>
      </c>
      <c r="AJ328" s="66" t="str">
        <f aca="false">IF(AND($AG328=Constants!$B$7, U328, V328) ,IF(OR($AA328="",$AC328=""),"",MAX(0, $AC328-$AA328)),"")</f>
        <v/>
      </c>
      <c r="AK328" s="66" t="str">
        <f aca="false">IF(AND($AG328=Constants!$B$7, U328, V328),IF(OR($AA328="",$AC328=""),$AK$6,""),"")</f>
        <v/>
      </c>
      <c r="AL328" s="66" t="str">
        <f aca="false">IF($AG328=Constants!$B$7,IF(AND(U328,V328,W328,Y328),IF($AJ328="",0,IF($AJ$6=0,Constants!$B$9,Constants!$B$9*AJ328/$AJ$6)), 0),"")</f>
        <v/>
      </c>
      <c r="AM328" s="66" t="str">
        <f aca="false">IF(AL328&lt;&gt;"", AL328*AI328,"")</f>
        <v/>
      </c>
      <c r="AN328" s="66" t="str">
        <f aca="false">IF(AND($AG328=Constants!$B$7, U328, V328) ,IF($AB328="", "", IF(OR($AC328="",$AC328=0),"",MAX(0,1-ABS($AC328-$AB328)/$AC328))),"")</f>
        <v/>
      </c>
      <c r="AO328" s="66" t="str">
        <f aca="false">IF(AND($AG328=Constants!$B$7, U328, V328),IF(AND($AA328&lt;&gt;"",$AB328&lt;&gt;"",$AC328=0),$AO$6,""),"")</f>
        <v/>
      </c>
      <c r="AP328" s="66" t="str">
        <f aca="false">IF($AG328=Constants!$B$7 ,IF(AND(U328,V328,W328,Y328,ISNUMBER(AB328)),IF($AN328="",0,IF($AN$6=0,Constants!$B$10,Constants!$B$10*AN328/$AN$6)), 0),"")</f>
        <v/>
      </c>
      <c r="AQ328" s="66" t="str">
        <f aca="false">IF(AP328&lt;&gt;"", AP328*AI328,"")</f>
        <v/>
      </c>
      <c r="AR328" s="66" t="str">
        <f aca="false">IF($AG328=Constants!$B$7,IF($AD328="",0,IF($AR$6=0,Constants!$B$8,Constants!$B$8*AD328/$AR$6)),"")</f>
        <v/>
      </c>
      <c r="AS328" s="66" t="str">
        <f aca="false">IF($AG328&lt;&gt;Constants!$B$7,$AG328,IF(AK328&amp;AO328&lt;&gt;"",Constants!$B$14,AM328+AQ328+AR328))</f>
        <v/>
      </c>
      <c r="AT328" s="66" t="str">
        <f aca="false">IF(ISBLANK($C328),"",IF($AG328=Constants!$B$7,IF(ISNUMBER(AS328),RANK(AS328,$AS$8:$AS$507),Constants!$B$14),$AG328))</f>
        <v/>
      </c>
      <c r="AU328" s="66" t="str">
        <f aca="false">IF(ISBLANK($C328), "",AM328)</f>
        <v/>
      </c>
      <c r="AV328" s="66" t="str">
        <f aca="false">IF(ISBLANK($C328),"",IF($AG328=Constants!$B$7,RANK(AU328,AU$8:AU$507),$AG328))</f>
        <v/>
      </c>
      <c r="AW328" s="66" t="str">
        <f aca="false">IF(ISBLANK($C328), "",AR328)</f>
        <v/>
      </c>
      <c r="AX328" s="66" t="str">
        <f aca="false">IF(ISBLANK($C328),"",IF($AG328=Constants!$B$7,RANK(AW328,AW$8:AW$507),$AG328))</f>
        <v/>
      </c>
      <c r="AY328" s="66" t="str">
        <f aca="false">IF(ISBLANK($C328), "",AE328)</f>
        <v/>
      </c>
      <c r="AZ328" s="66" t="str">
        <f aca="false">IF(ISBLANK($C328),"",
IF($AG328=Constants!$B$7,
  IF(ISNUMBER(AT328),
    COUNTIFS($AT$8:$AT$507,"&lt;"&amp;$AT328)
    + COUNTIFS($AT$8:$AT$507,$AT328,$AV$8:$AV$507,"&lt;"&amp;$AV328)
    + COUNTIFS($AT$8:$AT$507,$AT328,$AV$8:$AV$507,$AV328,$AX$8:$AX$507,"&lt;"&amp;$AX328)
    + COUNTIFS($AT$8:$AT$507,$AT328,$AV$8:$AV$507,$AV328,$AX$8:$AX$507,$AX328,$AY$8:$AY$507,"&lt;"&amp;$AY328)
    + 1,
  Constants!$B$14),
$AG328))</f>
        <v/>
      </c>
      <c r="BA328" s="66" t="str">
        <f aca="false">IF(ISBLANK(C328),"",IF($AG328=Constants!$B$7, IF(ISNUMBER(AT328),AT328-AZ328,Constants!$B$14),$AG328))</f>
        <v/>
      </c>
      <c r="BB328" s="70"/>
      <c r="BC328" s="84" t="str">
        <f aca="false">IF(ISBLANK($C328),"",TRIM(AK328&amp;" "&amp;AO328))</f>
        <v/>
      </c>
      <c r="BD328" s="72" t="str">
        <f aca="false">IF(ISBLANK($C328),"",IF($AG328&lt;&gt;Constants!$B$7,$AG328,AR328))</f>
        <v/>
      </c>
      <c r="BE328" s="72" t="str">
        <f aca="false">IF(ISBLANK($C328),"",IF($AG328&lt;&gt;Constants!$B$7,$AG328,AM328))</f>
        <v/>
      </c>
      <c r="BF328" s="72" t="str">
        <f aca="false">IF(ISBLANK($C328),"",IF($AG328&lt;&gt;Constants!$B$7,$AG328,AQ328))</f>
        <v/>
      </c>
      <c r="BG328" s="73" t="str">
        <f aca="false">IF(ISBLANK($C328),"",IF($AG328&lt;&gt;Constants!$B$7, $AG328 ,AS328))</f>
        <v/>
      </c>
      <c r="BH328" s="74" t="str">
        <f aca="false">IF(ISBLANK($C328),"",IF($AG328&lt;&gt;Constants!$B$7, $AG328 ,AH328))</f>
        <v/>
      </c>
      <c r="BI328" s="72" t="str">
        <f aca="false">IF(ISBLANK(C328),"",BA328)</f>
        <v/>
      </c>
      <c r="BJ328" s="72" t="str">
        <f aca="false">IF(ISBLANK(C328),"",AZ328)</f>
        <v/>
      </c>
      <c r="BK328" s="75" t="str">
        <f aca="false">IF(ISBLANK(C328),"",IFERROR(_xlfn.SWITCH(BJ328, Constants!$B$4, COUNTA($C$8:$C827)+2, Constants!$B$5, COUNTA($C$8:$C827)+1, Constants!$B$6, COUNTA($C$8:$C827)),BJ328))</f>
        <v/>
      </c>
      <c r="BL328" s="5"/>
      <c r="BM328" s="76" t="n">
        <f aca="false">IF(OR(ISNUMBER(BJ328),BJ328="DQ",BJ328="P",BJ328="NS"),
    1,
    0
)</f>
        <v>0</v>
      </c>
      <c r="BN328" s="76" t="n">
        <v>321</v>
      </c>
      <c r="BO328" s="76" t="str">
        <f aca="false">IF(ISBLANK($C328),"",IF(ISNUMBER(BK328),BK328+ROW($B328)/1000,""))</f>
        <v/>
      </c>
      <c r="BP328" s="76" t="str">
        <f aca="false">IF(ISNUMBER(BO328), RANK(BO328,BO$8:BO$507,1), "")</f>
        <v/>
      </c>
      <c r="BQ328" s="76" t="str">
        <f aca="false">IF(ISBLANK($C328),
    "",
    $B328
)</f>
        <v/>
      </c>
      <c r="BR328" s="76" t="str">
        <f aca="false">IF(ISBLANK($C328),
    "",
    $C328
)</f>
        <v/>
      </c>
      <c r="BS328" s="76" t="str">
        <f aca="false">IF(ISBLANK($C328),
    "",
    $D328
)</f>
        <v/>
      </c>
      <c r="BT328" s="77" t="str">
        <f aca="false">BH328</f>
        <v/>
      </c>
      <c r="BU328" s="78" t="str">
        <f aca="false">BG328</f>
        <v/>
      </c>
      <c r="BV328" s="76" t="str">
        <f aca="false">IF(ISBLANK($C328),
    "",
    BJ328
)</f>
        <v/>
      </c>
      <c r="BW328" s="79" t="str">
        <f aca="false">IF(BN328&gt;BM$7,
    "",
    VLOOKUP(BN328,BP$8:BV827,7,FALSE())
)</f>
        <v/>
      </c>
      <c r="BX328" s="80" t="str">
        <f aca="false">IF(BN328&gt;BM$7,
    "",
    VLOOKUP(BN328,BP$8:BV827,2,FALSE())
)</f>
        <v/>
      </c>
      <c r="BY328" s="80" t="str">
        <f aca="false">IF(BN328&gt;BM$7,
    "",
    VLOOKUP(BN328,BP$8:BV827,3,FALSE())
)</f>
        <v/>
      </c>
      <c r="BZ328" s="80" t="str">
        <f aca="false">IF(BN328&gt;BM$7,
    "",
    VLOOKUP(BN328,BP$8:BV827,4,FALSE())
)</f>
        <v/>
      </c>
      <c r="CA328" s="80" t="str">
        <f aca="false">IF(BN328&gt;BM$7,
    "",
    VLOOKUP(BN328,BP$8:BV827,5,FALSE())
)</f>
        <v/>
      </c>
      <c r="CB328" s="81" t="str">
        <f aca="false">IF(BN328&gt;BM$7,
    "",
    VLOOKUP(BN328,BP$8:BV827,6,FALSE())
)</f>
        <v/>
      </c>
      <c r="CC328" s="53"/>
    </row>
    <row r="329" customFormat="false" ht="15.75" hidden="false" customHeight="false" outlineLevel="0" collapsed="false">
      <c r="A329" s="5"/>
      <c r="B329" s="125"/>
      <c r="C329" s="126"/>
      <c r="D329" s="115"/>
      <c r="E329" s="119"/>
      <c r="F329" s="119"/>
      <c r="G329" s="91"/>
      <c r="H329" s="92"/>
      <c r="I329" s="92"/>
      <c r="J329" s="128"/>
      <c r="K329" s="128"/>
      <c r="L329" s="128"/>
      <c r="M329" s="94"/>
      <c r="N329" s="94"/>
      <c r="O329" s="94"/>
      <c r="P329" s="95"/>
      <c r="Q329" s="96"/>
      <c r="R329" s="128"/>
      <c r="S329" s="98"/>
      <c r="T329" s="99"/>
      <c r="U329" s="99" t="str">
        <f aca="false">IF(ISBLANK($C329),"",IF(G329=Constants!$B$2, TRUE(), IF(G329=Constants!$B$3, FALSE(), TRUE())))</f>
        <v/>
      </c>
      <c r="V329" s="99" t="str">
        <f aca="false">IF(ISBLANK($C329),"",IF(H329=Constants!$B$2, TRUE(), IF(H329=Constants!$B$3, FALSE(), TRUE())))</f>
        <v/>
      </c>
      <c r="W329" s="99" t="str">
        <f aca="false">IF(ISBLANK($C329),"",IF(I329=Constants!$B$2, TRUE(), IF(I329=Constants!$B$3, FALSE(), TRUE())))</f>
        <v/>
      </c>
      <c r="X329" s="99" t="str">
        <f aca="false">IF(ISBLANK($C329),"",IF(AND(ISNUMBER(J329),J329&gt;0),INT(J329),0))</f>
        <v/>
      </c>
      <c r="Y329" s="99" t="str">
        <f aca="false">IF(ISBLANK($C329),"",IF(K329=Constants!$B$2, TRUE(), IF(K329=Constants!$B$3, FALSE(), TRUE())))</f>
        <v/>
      </c>
      <c r="Z329" s="100" t="str">
        <f aca="false">IF(ISBLANK($C329),"",IF(AND(ISNUMBER(L329),L329&gt;0),INT(L329),0))</f>
        <v/>
      </c>
      <c r="AA329" s="101" t="str">
        <f aca="false">IF(ISBLANK($C329),"",IF(ISNUMBER(M329), M329, ""))</f>
        <v/>
      </c>
      <c r="AB329" s="101" t="str">
        <f aca="false">IF(ISBLANK($C329),"",IF(ISNUMBER(N329), N329, ""))</f>
        <v/>
      </c>
      <c r="AC329" s="101" t="str">
        <f aca="false">IF(ISBLANK($C329),"",IF(ISNUMBER(O329), O329, ""))</f>
        <v/>
      </c>
      <c r="AD329" s="102" t="str">
        <f aca="false">IF(ISBLANK($C329),"",IF(ISNUMBER(P329), P329, ""))</f>
        <v/>
      </c>
      <c r="AE329" s="102" t="str">
        <f aca="false">IF(ISBLANK($C329),"",IF(ISNUMBER(Q329), Q329, Constants!$B$13))</f>
        <v/>
      </c>
      <c r="AF329" s="99" t="str">
        <f aca="false">IF(ISBLANK($C329),"",IF(R329=Constants!$B$2, TRUE(), IF(R329=Constants!$B$3, FALSE(), FALSE())))</f>
        <v/>
      </c>
      <c r="AG329" s="99" t="str">
        <f aca="false">IF(ISBLANK(C329), "", IF(AF329, Constants!$B$4,IF(COUNTA(G329:P329)=0, Constants!$B$5, Constants!$B$7)))</f>
        <v/>
      </c>
      <c r="AH329" s="99" t="str">
        <f aca="false">IF(ISBLANK($C329), "",IF($AG329=Constants!$B$7,1,$AG329))</f>
        <v/>
      </c>
      <c r="AI329" s="99" t="str">
        <f aca="false">IF($AG329=Constants!$B$7,POWER(Constants!$B$11,X329)*POWER(Constants!$B$12,Z329),"")</f>
        <v/>
      </c>
      <c r="AJ329" s="99" t="str">
        <f aca="false">IF(AND($AG329=Constants!$B$7, U329, V329) ,IF(OR($AA329="",$AC329=""),"",MAX(0, $AC329-$AA329)),"")</f>
        <v/>
      </c>
      <c r="AK329" s="99" t="str">
        <f aca="false">IF(AND($AG329=Constants!$B$7, U329, V329),IF(OR($AA329="",$AC329=""),$AK$6,""),"")</f>
        <v/>
      </c>
      <c r="AL329" s="99" t="str">
        <f aca="false">IF($AG329=Constants!$B$7,IF(AND(U329,V329,W329,Y329),IF($AJ329="",0,IF($AJ$6=0,Constants!$B$9,Constants!$B$9*AJ329/$AJ$6)), 0),"")</f>
        <v/>
      </c>
      <c r="AM329" s="99" t="str">
        <f aca="false">IF(AL329&lt;&gt;"", AL329*AI329,"")</f>
        <v/>
      </c>
      <c r="AN329" s="99" t="str">
        <f aca="false">IF(AND($AG329=Constants!$B$7, U329, V329) ,IF($AB329="", "", IF(OR($AC329="",$AC329=0),"",MAX(0,1-ABS($AC329-$AB329)/$AC329))),"")</f>
        <v/>
      </c>
      <c r="AO329" s="99" t="str">
        <f aca="false">IF(AND($AG329=Constants!$B$7, U329, V329),IF(AND($AA329&lt;&gt;"",$AB329&lt;&gt;"",$AC329=0),$AO$6,""),"")</f>
        <v/>
      </c>
      <c r="AP329" s="99" t="str">
        <f aca="false">IF($AG329=Constants!$B$7 ,IF(AND(U329,V329,W329,Y329,ISNUMBER(AB329)),IF($AN329="",0,IF($AN$6=0,Constants!$B$10,Constants!$B$10*AN329/$AN$6)), 0),"")</f>
        <v/>
      </c>
      <c r="AQ329" s="99" t="str">
        <f aca="false">IF(AP329&lt;&gt;"", AP329*AI329,"")</f>
        <v/>
      </c>
      <c r="AR329" s="99" t="str">
        <f aca="false">IF($AG329=Constants!$B$7,IF($AD329="",0,IF($AR$6=0,Constants!$B$8,Constants!$B$8*AD329/$AR$6)),"")</f>
        <v/>
      </c>
      <c r="AS329" s="99" t="str">
        <f aca="false">IF($AG329&lt;&gt;Constants!$B$7,$AG329,IF(AK329&amp;AO329&lt;&gt;"",Constants!$B$14,AM329+AQ329+AR329))</f>
        <v/>
      </c>
      <c r="AT329" s="99" t="str">
        <f aca="false">IF(ISBLANK($C329),"",IF($AG329=Constants!$B$7,IF(ISNUMBER(AS329),RANK(AS329,$AS$8:$AS$507),Constants!$B$14),$AG329))</f>
        <v/>
      </c>
      <c r="AU329" s="99" t="str">
        <f aca="false">IF(ISBLANK($C329), "",AM329)</f>
        <v/>
      </c>
      <c r="AV329" s="99" t="str">
        <f aca="false">IF(ISBLANK($C329),"",IF($AG329=Constants!$B$7,RANK(AU329,AU$8:AU$507),$AG329))</f>
        <v/>
      </c>
      <c r="AW329" s="99" t="str">
        <f aca="false">IF(ISBLANK($C329), "",AR329)</f>
        <v/>
      </c>
      <c r="AX329" s="99" t="str">
        <f aca="false">IF(ISBLANK($C329),"",IF($AG329=Constants!$B$7,RANK(AW329,AW$8:AW$507),$AG329))</f>
        <v/>
      </c>
      <c r="AY329" s="99" t="str">
        <f aca="false">IF(ISBLANK($C329), "",AE329)</f>
        <v/>
      </c>
      <c r="AZ329" s="99" t="str">
        <f aca="false">IF(ISBLANK($C329),"",
IF($AG329=Constants!$B$7,
  IF(ISNUMBER(AT329),
    COUNTIFS($AT$8:$AT$507,"&lt;"&amp;$AT329)
    + COUNTIFS($AT$8:$AT$507,$AT329,$AV$8:$AV$507,"&lt;"&amp;$AV329)
    + COUNTIFS($AT$8:$AT$507,$AT329,$AV$8:$AV$507,$AV329,$AX$8:$AX$507,"&lt;"&amp;$AX329)
    + COUNTIFS($AT$8:$AT$507,$AT329,$AV$8:$AV$507,$AV329,$AX$8:$AX$507,$AX329,$AY$8:$AY$507,"&lt;"&amp;$AY329)
    + 1,
  Constants!$B$14),
$AG329))</f>
        <v/>
      </c>
      <c r="BA329" s="99" t="str">
        <f aca="false">IF(ISBLANK(C329),"",IF($AG329=Constants!$B$7, IF(ISNUMBER(AT329),AT329-AZ329,Constants!$B$14),$AG329))</f>
        <v/>
      </c>
      <c r="BB329" s="103"/>
      <c r="BC329" s="104" t="str">
        <f aca="false">IF(ISBLANK($C329),"",TRIM(AK329&amp;" "&amp;AO329))</f>
        <v/>
      </c>
      <c r="BD329" s="105" t="str">
        <f aca="false">IF(ISBLANK($C329),"",IF($AG329&lt;&gt;Constants!$B$7,$AG329,AR329))</f>
        <v/>
      </c>
      <c r="BE329" s="105" t="str">
        <f aca="false">IF(ISBLANK($C329),"",IF($AG329&lt;&gt;Constants!$B$7,$AG329,AM329))</f>
        <v/>
      </c>
      <c r="BF329" s="105" t="str">
        <f aca="false">IF(ISBLANK($C329),"",IF($AG329&lt;&gt;Constants!$B$7,$AG329,AQ329))</f>
        <v/>
      </c>
      <c r="BG329" s="106" t="str">
        <f aca="false">IF(ISBLANK($C329),"",IF($AG329&lt;&gt;Constants!$B$7, $AG329 ,AS329))</f>
        <v/>
      </c>
      <c r="BH329" s="107" t="str">
        <f aca="false">IF(ISBLANK($C329),"",IF($AG329&lt;&gt;Constants!$B$7, $AG329 ,AH329))</f>
        <v/>
      </c>
      <c r="BI329" s="105" t="str">
        <f aca="false">IF(ISBLANK(C329),"",BA329)</f>
        <v/>
      </c>
      <c r="BJ329" s="105" t="str">
        <f aca="false">IF(ISBLANK(C329),"",AZ329)</f>
        <v/>
      </c>
      <c r="BK329" s="108" t="str">
        <f aca="false">IF(ISBLANK(C329),"",IFERROR(_xlfn.SWITCH(BJ329, Constants!$B$4, COUNTA($C$8:$C828)+2, Constants!$B$5, COUNTA($C$8:$C828)+1, Constants!$B$6, COUNTA($C$8:$C828)),BJ329))</f>
        <v/>
      </c>
      <c r="BL329" s="5"/>
      <c r="BM329" s="109" t="n">
        <f aca="false">IF(OR(ISNUMBER(BJ329),BJ329="DQ",BJ329="P",BJ329="NS"),
    1,
    0
)</f>
        <v>0</v>
      </c>
      <c r="BN329" s="109" t="n">
        <v>322</v>
      </c>
      <c r="BO329" s="109" t="str">
        <f aca="false">IF(ISBLANK($C329),"",IF(ISNUMBER(BK329),BK329+ROW($B329)/1000,""))</f>
        <v/>
      </c>
      <c r="BP329" s="109" t="str">
        <f aca="false">IF(ISNUMBER(BO329), RANK(BO329,BO$8:BO$507,1), "")</f>
        <v/>
      </c>
      <c r="BQ329" s="109" t="str">
        <f aca="false">IF(ISBLANK($C329),
    "",
    $B329
)</f>
        <v/>
      </c>
      <c r="BR329" s="109" t="str">
        <f aca="false">IF(ISBLANK($C329),
    "",
    $C329
)</f>
        <v/>
      </c>
      <c r="BS329" s="109" t="str">
        <f aca="false">IF(ISBLANK($C329),
    "",
    $D329
)</f>
        <v/>
      </c>
      <c r="BT329" s="110" t="str">
        <f aca="false">BH329</f>
        <v/>
      </c>
      <c r="BU329" s="111" t="str">
        <f aca="false">BG329</f>
        <v/>
      </c>
      <c r="BV329" s="109" t="str">
        <f aca="false">IF(ISBLANK($C329),
    "",
    BJ329
)</f>
        <v/>
      </c>
      <c r="BW329" s="112" t="str">
        <f aca="false">IF(BN329&gt;BM$7,
    "",
    VLOOKUP(BN329,BP$8:BV828,7,FALSE())
)</f>
        <v/>
      </c>
      <c r="BX329" s="113" t="str">
        <f aca="false">IF(BN329&gt;BM$7,
    "",
    VLOOKUP(BN329,BP$8:BV828,2,FALSE())
)</f>
        <v/>
      </c>
      <c r="BY329" s="113" t="str">
        <f aca="false">IF(BN329&gt;BM$7,
    "",
    VLOOKUP(BN329,BP$8:BV828,3,FALSE())
)</f>
        <v/>
      </c>
      <c r="BZ329" s="113" t="str">
        <f aca="false">IF(BN329&gt;BM$7,
    "",
    VLOOKUP(BN329,BP$8:BV828,4,FALSE())
)</f>
        <v/>
      </c>
      <c r="CA329" s="113" t="str">
        <f aca="false">IF(BN329&gt;BM$7,
    "",
    VLOOKUP(BN329,BP$8:BV828,5,FALSE())
)</f>
        <v/>
      </c>
      <c r="CB329" s="114" t="str">
        <f aca="false">IF(BN329&gt;BM$7,
    "",
    VLOOKUP(BN329,BP$8:BV828,6,FALSE())
)</f>
        <v/>
      </c>
      <c r="CC329" s="53"/>
    </row>
    <row r="330" customFormat="false" ht="15.75" hidden="false" customHeight="false" outlineLevel="0" collapsed="false">
      <c r="A330" s="5"/>
      <c r="B330" s="125"/>
      <c r="C330" s="126"/>
      <c r="D330" s="115"/>
      <c r="E330" s="119"/>
      <c r="F330" s="119"/>
      <c r="G330" s="91"/>
      <c r="H330" s="92"/>
      <c r="I330" s="92"/>
      <c r="J330" s="128"/>
      <c r="K330" s="128"/>
      <c r="L330" s="128"/>
      <c r="M330" s="94"/>
      <c r="N330" s="94"/>
      <c r="O330" s="94"/>
      <c r="P330" s="95"/>
      <c r="Q330" s="96"/>
      <c r="R330" s="128"/>
      <c r="S330" s="98"/>
      <c r="T330" s="99"/>
      <c r="U330" s="99" t="str">
        <f aca="false">IF(ISBLANK($C330),"",IF(G330=Constants!$B$2, TRUE(), IF(G330=Constants!$B$3, FALSE(), TRUE())))</f>
        <v/>
      </c>
      <c r="V330" s="99" t="str">
        <f aca="false">IF(ISBLANK($C330),"",IF(H330=Constants!$B$2, TRUE(), IF(H330=Constants!$B$3, FALSE(), TRUE())))</f>
        <v/>
      </c>
      <c r="W330" s="99" t="str">
        <f aca="false">IF(ISBLANK($C330),"",IF(I330=Constants!$B$2, TRUE(), IF(I330=Constants!$B$3, FALSE(), TRUE())))</f>
        <v/>
      </c>
      <c r="X330" s="99" t="str">
        <f aca="false">IF(ISBLANK($C330),"",IF(AND(ISNUMBER(J330),J330&gt;0),INT(J330),0))</f>
        <v/>
      </c>
      <c r="Y330" s="99" t="str">
        <f aca="false">IF(ISBLANK($C330),"",IF(K330=Constants!$B$2, TRUE(), IF(K330=Constants!$B$3, FALSE(), TRUE())))</f>
        <v/>
      </c>
      <c r="Z330" s="100" t="str">
        <f aca="false">IF(ISBLANK($C330),"",IF(AND(ISNUMBER(L330),L330&gt;0),INT(L330),0))</f>
        <v/>
      </c>
      <c r="AA330" s="101" t="str">
        <f aca="false">IF(ISBLANK($C330),"",IF(ISNUMBER(M330), M330, ""))</f>
        <v/>
      </c>
      <c r="AB330" s="101" t="str">
        <f aca="false">IF(ISBLANK($C330),"",IF(ISNUMBER(N330), N330, ""))</f>
        <v/>
      </c>
      <c r="AC330" s="101" t="str">
        <f aca="false">IF(ISBLANK($C330),"",IF(ISNUMBER(O330), O330, ""))</f>
        <v/>
      </c>
      <c r="AD330" s="102" t="str">
        <f aca="false">IF(ISBLANK($C330),"",IF(ISNUMBER(P330), P330, ""))</f>
        <v/>
      </c>
      <c r="AE330" s="102" t="str">
        <f aca="false">IF(ISBLANK($C330),"",IF(ISNUMBER(Q330), Q330, Constants!$B$13))</f>
        <v/>
      </c>
      <c r="AF330" s="99" t="str">
        <f aca="false">IF(ISBLANK($C330),"",IF(R330=Constants!$B$2, TRUE(), IF(R330=Constants!$B$3, FALSE(), FALSE())))</f>
        <v/>
      </c>
      <c r="AG330" s="99" t="str">
        <f aca="false">IF(ISBLANK(C330), "", IF(AF330, Constants!$B$4,IF(COUNTA(G330:P330)=0, Constants!$B$5, Constants!$B$7)))</f>
        <v/>
      </c>
      <c r="AH330" s="99" t="str">
        <f aca="false">IF(ISBLANK($C330), "",IF($AG330=Constants!$B$7,1,$AG330))</f>
        <v/>
      </c>
      <c r="AI330" s="99" t="str">
        <f aca="false">IF($AG330=Constants!$B$7,POWER(Constants!$B$11,X330)*POWER(Constants!$B$12,Z330),"")</f>
        <v/>
      </c>
      <c r="AJ330" s="99" t="str">
        <f aca="false">IF(AND($AG330=Constants!$B$7, U330, V330) ,IF(OR($AA330="",$AC330=""),"",MAX(0, $AC330-$AA330)),"")</f>
        <v/>
      </c>
      <c r="AK330" s="99" t="str">
        <f aca="false">IF(AND($AG330=Constants!$B$7, U330, V330),IF(OR($AA330="",$AC330=""),$AK$6,""),"")</f>
        <v/>
      </c>
      <c r="AL330" s="99" t="str">
        <f aca="false">IF($AG330=Constants!$B$7,IF(AND(U330,V330,W330,Y330),IF($AJ330="",0,IF($AJ$6=0,Constants!$B$9,Constants!$B$9*AJ330/$AJ$6)), 0),"")</f>
        <v/>
      </c>
      <c r="AM330" s="99" t="str">
        <f aca="false">IF(AL330&lt;&gt;"", AL330*AI330,"")</f>
        <v/>
      </c>
      <c r="AN330" s="99" t="str">
        <f aca="false">IF(AND($AG330=Constants!$B$7, U330, V330) ,IF($AB330="", "", IF(OR($AC330="",$AC330=0),"",MAX(0,1-ABS($AC330-$AB330)/$AC330))),"")</f>
        <v/>
      </c>
      <c r="AO330" s="99" t="str">
        <f aca="false">IF(AND($AG330=Constants!$B$7, U330, V330),IF(AND($AA330&lt;&gt;"",$AB330&lt;&gt;"",$AC330=0),$AO$6,""),"")</f>
        <v/>
      </c>
      <c r="AP330" s="99" t="str">
        <f aca="false">IF($AG330=Constants!$B$7 ,IF(AND(U330,V330,W330,Y330,ISNUMBER(AB330)),IF($AN330="",0,IF($AN$6=0,Constants!$B$10,Constants!$B$10*AN330/$AN$6)), 0),"")</f>
        <v/>
      </c>
      <c r="AQ330" s="99" t="str">
        <f aca="false">IF(AP330&lt;&gt;"", AP330*AI330,"")</f>
        <v/>
      </c>
      <c r="AR330" s="99" t="str">
        <f aca="false">IF($AG330=Constants!$B$7,IF($AD330="",0,IF($AR$6=0,Constants!$B$8,Constants!$B$8*AD330/$AR$6)),"")</f>
        <v/>
      </c>
      <c r="AS330" s="99" t="str">
        <f aca="false">IF($AG330&lt;&gt;Constants!$B$7,$AG330,IF(AK330&amp;AO330&lt;&gt;"",Constants!$B$14,AM330+AQ330+AR330))</f>
        <v/>
      </c>
      <c r="AT330" s="99" t="str">
        <f aca="false">IF(ISBLANK($C330),"",IF($AG330=Constants!$B$7,IF(ISNUMBER(AS330),RANK(AS330,$AS$8:$AS$507),Constants!$B$14),$AG330))</f>
        <v/>
      </c>
      <c r="AU330" s="99" t="str">
        <f aca="false">IF(ISBLANK($C330), "",AM330)</f>
        <v/>
      </c>
      <c r="AV330" s="99" t="str">
        <f aca="false">IF(ISBLANK($C330),"",IF($AG330=Constants!$B$7,RANK(AU330,AU$8:AU$507),$AG330))</f>
        <v/>
      </c>
      <c r="AW330" s="99" t="str">
        <f aca="false">IF(ISBLANK($C330), "",AR330)</f>
        <v/>
      </c>
      <c r="AX330" s="99" t="str">
        <f aca="false">IF(ISBLANK($C330),"",IF($AG330=Constants!$B$7,RANK(AW330,AW$8:AW$507),$AG330))</f>
        <v/>
      </c>
      <c r="AY330" s="99" t="str">
        <f aca="false">IF(ISBLANK($C330), "",AE330)</f>
        <v/>
      </c>
      <c r="AZ330" s="99" t="str">
        <f aca="false">IF(ISBLANK($C330),"",
IF($AG330=Constants!$B$7,
  IF(ISNUMBER(AT330),
    COUNTIFS($AT$8:$AT$507,"&lt;"&amp;$AT330)
    + COUNTIFS($AT$8:$AT$507,$AT330,$AV$8:$AV$507,"&lt;"&amp;$AV330)
    + COUNTIFS($AT$8:$AT$507,$AT330,$AV$8:$AV$507,$AV330,$AX$8:$AX$507,"&lt;"&amp;$AX330)
    + COUNTIFS($AT$8:$AT$507,$AT330,$AV$8:$AV$507,$AV330,$AX$8:$AX$507,$AX330,$AY$8:$AY$507,"&lt;"&amp;$AY330)
    + 1,
  Constants!$B$14),
$AG330))</f>
        <v/>
      </c>
      <c r="BA330" s="99" t="str">
        <f aca="false">IF(ISBLANK(C330),"",IF($AG330=Constants!$B$7, IF(ISNUMBER(AT330),AT330-AZ330,Constants!$B$14),$AG330))</f>
        <v/>
      </c>
      <c r="BB330" s="103"/>
      <c r="BC330" s="104" t="str">
        <f aca="false">IF(ISBLANK($C330),"",TRIM(AK330&amp;" "&amp;AO330))</f>
        <v/>
      </c>
      <c r="BD330" s="105" t="str">
        <f aca="false">IF(ISBLANK($C330),"",IF($AG330&lt;&gt;Constants!$B$7,$AG330,AR330))</f>
        <v/>
      </c>
      <c r="BE330" s="105" t="str">
        <f aca="false">IF(ISBLANK($C330),"",IF($AG330&lt;&gt;Constants!$B$7,$AG330,AM330))</f>
        <v/>
      </c>
      <c r="BF330" s="105" t="str">
        <f aca="false">IF(ISBLANK($C330),"",IF($AG330&lt;&gt;Constants!$B$7,$AG330,AQ330))</f>
        <v/>
      </c>
      <c r="BG330" s="106" t="str">
        <f aca="false">IF(ISBLANK($C330),"",IF($AG330&lt;&gt;Constants!$B$7, $AG330 ,AS330))</f>
        <v/>
      </c>
      <c r="BH330" s="107" t="str">
        <f aca="false">IF(ISBLANK($C330),"",IF($AG330&lt;&gt;Constants!$B$7, $AG330 ,AH330))</f>
        <v/>
      </c>
      <c r="BI330" s="105" t="str">
        <f aca="false">IF(ISBLANK(C330),"",BA330)</f>
        <v/>
      </c>
      <c r="BJ330" s="105" t="str">
        <f aca="false">IF(ISBLANK(C330),"",AZ330)</f>
        <v/>
      </c>
      <c r="BK330" s="108" t="str">
        <f aca="false">IF(ISBLANK(C330),"",IFERROR(_xlfn.SWITCH(BJ330, Constants!$B$4, COUNTA($C$8:$C829)+2, Constants!$B$5, COUNTA($C$8:$C829)+1, Constants!$B$6, COUNTA($C$8:$C829)),BJ330))</f>
        <v/>
      </c>
      <c r="BL330" s="5"/>
      <c r="BM330" s="109" t="n">
        <f aca="false">IF(OR(ISNUMBER(BJ330),BJ330="DQ",BJ330="P",BJ330="NS"),
    1,
    0
)</f>
        <v>0</v>
      </c>
      <c r="BN330" s="109" t="n">
        <v>323</v>
      </c>
      <c r="BO330" s="109" t="str">
        <f aca="false">IF(ISBLANK($C330),"",IF(ISNUMBER(BK330),BK330+ROW($B330)/1000,""))</f>
        <v/>
      </c>
      <c r="BP330" s="109" t="str">
        <f aca="false">IF(ISNUMBER(BO330), RANK(BO330,BO$8:BO$507,1), "")</f>
        <v/>
      </c>
      <c r="BQ330" s="109" t="str">
        <f aca="false">IF(ISBLANK($C330),
    "",
    $B330
)</f>
        <v/>
      </c>
      <c r="BR330" s="109" t="str">
        <f aca="false">IF(ISBLANK($C330),
    "",
    $C330
)</f>
        <v/>
      </c>
      <c r="BS330" s="109" t="str">
        <f aca="false">IF(ISBLANK($C330),
    "",
    $D330
)</f>
        <v/>
      </c>
      <c r="BT330" s="110" t="str">
        <f aca="false">BH330</f>
        <v/>
      </c>
      <c r="BU330" s="111" t="str">
        <f aca="false">BG330</f>
        <v/>
      </c>
      <c r="BV330" s="109" t="str">
        <f aca="false">IF(ISBLANK($C330),
    "",
    BJ330
)</f>
        <v/>
      </c>
      <c r="BW330" s="112" t="str">
        <f aca="false">IF(BN330&gt;BM$7,
    "",
    VLOOKUP(BN330,BP$8:BV829,7,FALSE())
)</f>
        <v/>
      </c>
      <c r="BX330" s="113" t="str">
        <f aca="false">IF(BN330&gt;BM$7,
    "",
    VLOOKUP(BN330,BP$8:BV829,2,FALSE())
)</f>
        <v/>
      </c>
      <c r="BY330" s="113" t="str">
        <f aca="false">IF(BN330&gt;BM$7,
    "",
    VLOOKUP(BN330,BP$8:BV829,3,FALSE())
)</f>
        <v/>
      </c>
      <c r="BZ330" s="113" t="str">
        <f aca="false">IF(BN330&gt;BM$7,
    "",
    VLOOKUP(BN330,BP$8:BV829,4,FALSE())
)</f>
        <v/>
      </c>
      <c r="CA330" s="113" t="str">
        <f aca="false">IF(BN330&gt;BM$7,
    "",
    VLOOKUP(BN330,BP$8:BV829,5,FALSE())
)</f>
        <v/>
      </c>
      <c r="CB330" s="114" t="str">
        <f aca="false">IF(BN330&gt;BM$7,
    "",
    VLOOKUP(BN330,BP$8:BV829,6,FALSE())
)</f>
        <v/>
      </c>
      <c r="CC330" s="53"/>
    </row>
    <row r="331" customFormat="false" ht="15.75" hidden="false" customHeight="false" outlineLevel="0" collapsed="false">
      <c r="A331" s="5"/>
      <c r="B331" s="125"/>
      <c r="C331" s="126"/>
      <c r="D331" s="115"/>
      <c r="E331" s="119"/>
      <c r="F331" s="119"/>
      <c r="G331" s="91"/>
      <c r="H331" s="92"/>
      <c r="I331" s="92"/>
      <c r="J331" s="128"/>
      <c r="K331" s="128"/>
      <c r="L331" s="128"/>
      <c r="M331" s="94"/>
      <c r="N331" s="94"/>
      <c r="O331" s="94"/>
      <c r="P331" s="95"/>
      <c r="Q331" s="96"/>
      <c r="R331" s="128"/>
      <c r="S331" s="98"/>
      <c r="T331" s="99"/>
      <c r="U331" s="99" t="str">
        <f aca="false">IF(ISBLANK($C331),"",IF(G331=Constants!$B$2, TRUE(), IF(G331=Constants!$B$3, FALSE(), TRUE())))</f>
        <v/>
      </c>
      <c r="V331" s="99" t="str">
        <f aca="false">IF(ISBLANK($C331),"",IF(H331=Constants!$B$2, TRUE(), IF(H331=Constants!$B$3, FALSE(), TRUE())))</f>
        <v/>
      </c>
      <c r="W331" s="99" t="str">
        <f aca="false">IF(ISBLANK($C331),"",IF(I331=Constants!$B$2, TRUE(), IF(I331=Constants!$B$3, FALSE(), TRUE())))</f>
        <v/>
      </c>
      <c r="X331" s="99" t="str">
        <f aca="false">IF(ISBLANK($C331),"",IF(AND(ISNUMBER(J331),J331&gt;0),INT(J331),0))</f>
        <v/>
      </c>
      <c r="Y331" s="99" t="str">
        <f aca="false">IF(ISBLANK($C331),"",IF(K331=Constants!$B$2, TRUE(), IF(K331=Constants!$B$3, FALSE(), TRUE())))</f>
        <v/>
      </c>
      <c r="Z331" s="100" t="str">
        <f aca="false">IF(ISBLANK($C331),"",IF(AND(ISNUMBER(L331),L331&gt;0),INT(L331),0))</f>
        <v/>
      </c>
      <c r="AA331" s="101" t="str">
        <f aca="false">IF(ISBLANK($C331),"",IF(ISNUMBER(M331), M331, ""))</f>
        <v/>
      </c>
      <c r="AB331" s="101" t="str">
        <f aca="false">IF(ISBLANK($C331),"",IF(ISNUMBER(N331), N331, ""))</f>
        <v/>
      </c>
      <c r="AC331" s="101" t="str">
        <f aca="false">IF(ISBLANK($C331),"",IF(ISNUMBER(O331), O331, ""))</f>
        <v/>
      </c>
      <c r="AD331" s="102" t="str">
        <f aca="false">IF(ISBLANK($C331),"",IF(ISNUMBER(P331), P331, ""))</f>
        <v/>
      </c>
      <c r="AE331" s="102" t="str">
        <f aca="false">IF(ISBLANK($C331),"",IF(ISNUMBER(Q331), Q331, Constants!$B$13))</f>
        <v/>
      </c>
      <c r="AF331" s="99" t="str">
        <f aca="false">IF(ISBLANK($C331),"",IF(R331=Constants!$B$2, TRUE(), IF(R331=Constants!$B$3, FALSE(), FALSE())))</f>
        <v/>
      </c>
      <c r="AG331" s="99" t="str">
        <f aca="false">IF(ISBLANK(C331), "", IF(AF331, Constants!$B$4,IF(COUNTA(G331:P331)=0, Constants!$B$5, Constants!$B$7)))</f>
        <v/>
      </c>
      <c r="AH331" s="99" t="str">
        <f aca="false">IF(ISBLANK($C331), "",IF($AG331=Constants!$B$7,1,$AG331))</f>
        <v/>
      </c>
      <c r="AI331" s="99" t="str">
        <f aca="false">IF($AG331=Constants!$B$7,POWER(Constants!$B$11,X331)*POWER(Constants!$B$12,Z331),"")</f>
        <v/>
      </c>
      <c r="AJ331" s="99" t="str">
        <f aca="false">IF(AND($AG331=Constants!$B$7, U331, V331) ,IF(OR($AA331="",$AC331=""),"",MAX(0, $AC331-$AA331)),"")</f>
        <v/>
      </c>
      <c r="AK331" s="99" t="str">
        <f aca="false">IF(AND($AG331=Constants!$B$7, U331, V331),IF(OR($AA331="",$AC331=""),$AK$6,""),"")</f>
        <v/>
      </c>
      <c r="AL331" s="99" t="str">
        <f aca="false">IF($AG331=Constants!$B$7,IF(AND(U331,V331,W331,Y331),IF($AJ331="",0,IF($AJ$6=0,Constants!$B$9,Constants!$B$9*AJ331/$AJ$6)), 0),"")</f>
        <v/>
      </c>
      <c r="AM331" s="99" t="str">
        <f aca="false">IF(AL331&lt;&gt;"", AL331*AI331,"")</f>
        <v/>
      </c>
      <c r="AN331" s="99" t="str">
        <f aca="false">IF(AND($AG331=Constants!$B$7, U331, V331) ,IF($AB331="", "", IF(OR($AC331="",$AC331=0),"",MAX(0,1-ABS($AC331-$AB331)/$AC331))),"")</f>
        <v/>
      </c>
      <c r="AO331" s="99" t="str">
        <f aca="false">IF(AND($AG331=Constants!$B$7, U331, V331),IF(AND($AA331&lt;&gt;"",$AB331&lt;&gt;"",$AC331=0),$AO$6,""),"")</f>
        <v/>
      </c>
      <c r="AP331" s="99" t="str">
        <f aca="false">IF($AG331=Constants!$B$7 ,IF(AND(U331,V331,W331,Y331,ISNUMBER(AB331)),IF($AN331="",0,IF($AN$6=0,Constants!$B$10,Constants!$B$10*AN331/$AN$6)), 0),"")</f>
        <v/>
      </c>
      <c r="AQ331" s="99" t="str">
        <f aca="false">IF(AP331&lt;&gt;"", AP331*AI331,"")</f>
        <v/>
      </c>
      <c r="AR331" s="99" t="str">
        <f aca="false">IF($AG331=Constants!$B$7,IF($AD331="",0,IF($AR$6=0,Constants!$B$8,Constants!$B$8*AD331/$AR$6)),"")</f>
        <v/>
      </c>
      <c r="AS331" s="99" t="str">
        <f aca="false">IF($AG331&lt;&gt;Constants!$B$7,$AG331,IF(AK331&amp;AO331&lt;&gt;"",Constants!$B$14,AM331+AQ331+AR331))</f>
        <v/>
      </c>
      <c r="AT331" s="99" t="str">
        <f aca="false">IF(ISBLANK($C331),"",IF($AG331=Constants!$B$7,IF(ISNUMBER(AS331),RANK(AS331,$AS$8:$AS$507),Constants!$B$14),$AG331))</f>
        <v/>
      </c>
      <c r="AU331" s="99" t="str">
        <f aca="false">IF(ISBLANK($C331), "",AM331)</f>
        <v/>
      </c>
      <c r="AV331" s="99" t="str">
        <f aca="false">IF(ISBLANK($C331),"",IF($AG331=Constants!$B$7,RANK(AU331,AU$8:AU$507),$AG331))</f>
        <v/>
      </c>
      <c r="AW331" s="99" t="str">
        <f aca="false">IF(ISBLANK($C331), "",AR331)</f>
        <v/>
      </c>
      <c r="AX331" s="99" t="str">
        <f aca="false">IF(ISBLANK($C331),"",IF($AG331=Constants!$B$7,RANK(AW331,AW$8:AW$507),$AG331))</f>
        <v/>
      </c>
      <c r="AY331" s="99" t="str">
        <f aca="false">IF(ISBLANK($C331), "",AE331)</f>
        <v/>
      </c>
      <c r="AZ331" s="99" t="str">
        <f aca="false">IF(ISBLANK($C331),"",
IF($AG331=Constants!$B$7,
  IF(ISNUMBER(AT331),
    COUNTIFS($AT$8:$AT$507,"&lt;"&amp;$AT331)
    + COUNTIFS($AT$8:$AT$507,$AT331,$AV$8:$AV$507,"&lt;"&amp;$AV331)
    + COUNTIFS($AT$8:$AT$507,$AT331,$AV$8:$AV$507,$AV331,$AX$8:$AX$507,"&lt;"&amp;$AX331)
    + COUNTIFS($AT$8:$AT$507,$AT331,$AV$8:$AV$507,$AV331,$AX$8:$AX$507,$AX331,$AY$8:$AY$507,"&lt;"&amp;$AY331)
    + 1,
  Constants!$B$14),
$AG331))</f>
        <v/>
      </c>
      <c r="BA331" s="99" t="str">
        <f aca="false">IF(ISBLANK(C331),"",IF($AG331=Constants!$B$7, IF(ISNUMBER(AT331),AT331-AZ331,Constants!$B$14),$AG331))</f>
        <v/>
      </c>
      <c r="BB331" s="103"/>
      <c r="BC331" s="104" t="str">
        <f aca="false">IF(ISBLANK($C331),"",TRIM(AK331&amp;" "&amp;AO331))</f>
        <v/>
      </c>
      <c r="BD331" s="105" t="str">
        <f aca="false">IF(ISBLANK($C331),"",IF($AG331&lt;&gt;Constants!$B$7,$AG331,AR331))</f>
        <v/>
      </c>
      <c r="BE331" s="105" t="str">
        <f aca="false">IF(ISBLANK($C331),"",IF($AG331&lt;&gt;Constants!$B$7,$AG331,AM331))</f>
        <v/>
      </c>
      <c r="BF331" s="105" t="str">
        <f aca="false">IF(ISBLANK($C331),"",IF($AG331&lt;&gt;Constants!$B$7,$AG331,AQ331))</f>
        <v/>
      </c>
      <c r="BG331" s="106" t="str">
        <f aca="false">IF(ISBLANK($C331),"",IF($AG331&lt;&gt;Constants!$B$7, $AG331 ,AS331))</f>
        <v/>
      </c>
      <c r="BH331" s="107" t="str">
        <f aca="false">IF(ISBLANK($C331),"",IF($AG331&lt;&gt;Constants!$B$7, $AG331 ,AH331))</f>
        <v/>
      </c>
      <c r="BI331" s="105" t="str">
        <f aca="false">IF(ISBLANK(C331),"",BA331)</f>
        <v/>
      </c>
      <c r="BJ331" s="105" t="str">
        <f aca="false">IF(ISBLANK(C331),"",AZ331)</f>
        <v/>
      </c>
      <c r="BK331" s="108" t="str">
        <f aca="false">IF(ISBLANK(C331),"",IFERROR(_xlfn.SWITCH(BJ331, Constants!$B$4, COUNTA($C$8:$C830)+2, Constants!$B$5, COUNTA($C$8:$C830)+1, Constants!$B$6, COUNTA($C$8:$C830)),BJ331))</f>
        <v/>
      </c>
      <c r="BL331" s="5"/>
      <c r="BM331" s="109" t="n">
        <f aca="false">IF(OR(ISNUMBER(BJ331),BJ331="DQ",BJ331="P",BJ331="NS"),
    1,
    0
)</f>
        <v>0</v>
      </c>
      <c r="BN331" s="109" t="n">
        <v>324</v>
      </c>
      <c r="BO331" s="109" t="str">
        <f aca="false">IF(ISBLANK($C331),"",IF(ISNUMBER(BK331),BK331+ROW($B331)/1000,""))</f>
        <v/>
      </c>
      <c r="BP331" s="109" t="str">
        <f aca="false">IF(ISNUMBER(BO331), RANK(BO331,BO$8:BO$507,1), "")</f>
        <v/>
      </c>
      <c r="BQ331" s="109" t="str">
        <f aca="false">IF(ISBLANK($C331),
    "",
    $B331
)</f>
        <v/>
      </c>
      <c r="BR331" s="109" t="str">
        <f aca="false">IF(ISBLANK($C331),
    "",
    $C331
)</f>
        <v/>
      </c>
      <c r="BS331" s="109" t="str">
        <f aca="false">IF(ISBLANK($C331),
    "",
    $D331
)</f>
        <v/>
      </c>
      <c r="BT331" s="110" t="str">
        <f aca="false">BH331</f>
        <v/>
      </c>
      <c r="BU331" s="111" t="str">
        <f aca="false">BG331</f>
        <v/>
      </c>
      <c r="BV331" s="109" t="str">
        <f aca="false">IF(ISBLANK($C331),
    "",
    BJ331
)</f>
        <v/>
      </c>
      <c r="BW331" s="112" t="str">
        <f aca="false">IF(BN331&gt;BM$7,
    "",
    VLOOKUP(BN331,BP$8:BV830,7,FALSE())
)</f>
        <v/>
      </c>
      <c r="BX331" s="113" t="str">
        <f aca="false">IF(BN331&gt;BM$7,
    "",
    VLOOKUP(BN331,BP$8:BV830,2,FALSE())
)</f>
        <v/>
      </c>
      <c r="BY331" s="113" t="str">
        <f aca="false">IF(BN331&gt;BM$7,
    "",
    VLOOKUP(BN331,BP$8:BV830,3,FALSE())
)</f>
        <v/>
      </c>
      <c r="BZ331" s="113" t="str">
        <f aca="false">IF(BN331&gt;BM$7,
    "",
    VLOOKUP(BN331,BP$8:BV830,4,FALSE())
)</f>
        <v/>
      </c>
      <c r="CA331" s="113" t="str">
        <f aca="false">IF(BN331&gt;BM$7,
    "",
    VLOOKUP(BN331,BP$8:BV830,5,FALSE())
)</f>
        <v/>
      </c>
      <c r="CB331" s="114" t="str">
        <f aca="false">IF(BN331&gt;BM$7,
    "",
    VLOOKUP(BN331,BP$8:BV830,6,FALSE())
)</f>
        <v/>
      </c>
      <c r="CC331" s="53"/>
    </row>
    <row r="332" customFormat="false" ht="15.75" hidden="false" customHeight="false" outlineLevel="0" collapsed="false">
      <c r="A332" s="5"/>
      <c r="B332" s="129"/>
      <c r="C332" s="55"/>
      <c r="D332" s="56"/>
      <c r="E332" s="123"/>
      <c r="F332" s="123"/>
      <c r="G332" s="58"/>
      <c r="H332" s="59"/>
      <c r="I332" s="59"/>
      <c r="J332" s="83"/>
      <c r="K332" s="83"/>
      <c r="L332" s="83"/>
      <c r="M332" s="61"/>
      <c r="N332" s="61"/>
      <c r="O332" s="61"/>
      <c r="P332" s="62"/>
      <c r="Q332" s="63"/>
      <c r="R332" s="83"/>
      <c r="S332" s="65"/>
      <c r="T332" s="66"/>
      <c r="U332" s="66" t="str">
        <f aca="false">IF(ISBLANK($C332),"",IF(G332=Constants!$B$2, TRUE(), IF(G332=Constants!$B$3, FALSE(), TRUE())))</f>
        <v/>
      </c>
      <c r="V332" s="66" t="str">
        <f aca="false">IF(ISBLANK($C332),"",IF(H332=Constants!$B$2, TRUE(), IF(H332=Constants!$B$3, FALSE(), TRUE())))</f>
        <v/>
      </c>
      <c r="W332" s="66" t="str">
        <f aca="false">IF(ISBLANK($C332),"",IF(I332=Constants!$B$2, TRUE(), IF(I332=Constants!$B$3, FALSE(), TRUE())))</f>
        <v/>
      </c>
      <c r="X332" s="66" t="str">
        <f aca="false">IF(ISBLANK($C332),"",IF(AND(ISNUMBER(J332),J332&gt;0),INT(J332),0))</f>
        <v/>
      </c>
      <c r="Y332" s="66" t="str">
        <f aca="false">IF(ISBLANK($C332),"",IF(K332=Constants!$B$2, TRUE(), IF(K332=Constants!$B$3, FALSE(), TRUE())))</f>
        <v/>
      </c>
      <c r="Z332" s="66" t="str">
        <f aca="false">IF(ISBLANK($C332),"",IF(AND(ISNUMBER(L332),L332&gt;0),INT(L332),0))</f>
        <v/>
      </c>
      <c r="AA332" s="68" t="str">
        <f aca="false">IF(ISBLANK($C332),"",IF(ISNUMBER(M332), M332, ""))</f>
        <v/>
      </c>
      <c r="AB332" s="68" t="str">
        <f aca="false">IF(ISBLANK($C332),"",IF(ISNUMBER(N332), N332, ""))</f>
        <v/>
      </c>
      <c r="AC332" s="68" t="str">
        <f aca="false">IF(ISBLANK($C332),"",IF(ISNUMBER(O332), O332, ""))</f>
        <v/>
      </c>
      <c r="AD332" s="69" t="str">
        <f aca="false">IF(ISBLANK($C332),"",IF(ISNUMBER(P332), P332, ""))</f>
        <v/>
      </c>
      <c r="AE332" s="69" t="str">
        <f aca="false">IF(ISBLANK($C332),"",IF(ISNUMBER(Q332), Q332, Constants!$B$13))</f>
        <v/>
      </c>
      <c r="AF332" s="66" t="str">
        <f aca="false">IF(ISBLANK($C332),"",IF(R332=Constants!$B$2, TRUE(), IF(R332=Constants!$B$3, FALSE(), FALSE())))</f>
        <v/>
      </c>
      <c r="AG332" s="66" t="str">
        <f aca="false">IF(ISBLANK(C332), "", IF(AF332, Constants!$B$4,IF(COUNTA(G332:P332)=0, Constants!$B$5, Constants!$B$7)))</f>
        <v/>
      </c>
      <c r="AH332" s="66" t="str">
        <f aca="false">IF(ISBLANK($C332), "",IF($AG332=Constants!$B$7,1,$AG332))</f>
        <v/>
      </c>
      <c r="AI332" s="66" t="str">
        <f aca="false">IF($AG332=Constants!$B$7,POWER(Constants!$B$11,X332)*POWER(Constants!$B$12,Z332),"")</f>
        <v/>
      </c>
      <c r="AJ332" s="66" t="str">
        <f aca="false">IF(AND($AG332=Constants!$B$7, U332, V332) ,IF(OR($AA332="",$AC332=""),"",MAX(0, $AC332-$AA332)),"")</f>
        <v/>
      </c>
      <c r="AK332" s="66" t="str">
        <f aca="false">IF(AND($AG332=Constants!$B$7, U332, V332),IF(OR($AA332="",$AC332=""),$AK$6,""),"")</f>
        <v/>
      </c>
      <c r="AL332" s="66" t="str">
        <f aca="false">IF($AG332=Constants!$B$7,IF(AND(U332,V332,W332,Y332),IF($AJ332="",0,IF($AJ$6=0,Constants!$B$9,Constants!$B$9*AJ332/$AJ$6)), 0),"")</f>
        <v/>
      </c>
      <c r="AM332" s="66" t="str">
        <f aca="false">IF(AL332&lt;&gt;"", AL332*AI332,"")</f>
        <v/>
      </c>
      <c r="AN332" s="66" t="str">
        <f aca="false">IF(AND($AG332=Constants!$B$7, U332, V332) ,IF($AB332="", "", IF(OR($AC332="",$AC332=0),"",MAX(0,1-ABS($AC332-$AB332)/$AC332))),"")</f>
        <v/>
      </c>
      <c r="AO332" s="66" t="str">
        <f aca="false">IF(AND($AG332=Constants!$B$7, U332, V332),IF(AND($AA332&lt;&gt;"",$AB332&lt;&gt;"",$AC332=0),$AO$6,""),"")</f>
        <v/>
      </c>
      <c r="AP332" s="66" t="str">
        <f aca="false">IF($AG332=Constants!$B$7 ,IF(AND(U332,V332,W332,Y332,ISNUMBER(AB332)),IF($AN332="",0,IF($AN$6=0,Constants!$B$10,Constants!$B$10*AN332/$AN$6)), 0),"")</f>
        <v/>
      </c>
      <c r="AQ332" s="66" t="str">
        <f aca="false">IF(AP332&lt;&gt;"", AP332*AI332,"")</f>
        <v/>
      </c>
      <c r="AR332" s="66" t="str">
        <f aca="false">IF($AG332=Constants!$B$7,IF($AD332="",0,IF($AR$6=0,Constants!$B$8,Constants!$B$8*AD332/$AR$6)),"")</f>
        <v/>
      </c>
      <c r="AS332" s="66" t="str">
        <f aca="false">IF($AG332&lt;&gt;Constants!$B$7,$AG332,IF(AK332&amp;AO332&lt;&gt;"",Constants!$B$14,AM332+AQ332+AR332))</f>
        <v/>
      </c>
      <c r="AT332" s="66" t="str">
        <f aca="false">IF(ISBLANK($C332),"",IF($AG332=Constants!$B$7,IF(ISNUMBER(AS332),RANK(AS332,$AS$8:$AS$507),Constants!$B$14),$AG332))</f>
        <v/>
      </c>
      <c r="AU332" s="66" t="str">
        <f aca="false">IF(ISBLANK($C332), "",AM332)</f>
        <v/>
      </c>
      <c r="AV332" s="66" t="str">
        <f aca="false">IF(ISBLANK($C332),"",IF($AG332=Constants!$B$7,RANK(AU332,AU$8:AU$507),$AG332))</f>
        <v/>
      </c>
      <c r="AW332" s="66" t="str">
        <f aca="false">IF(ISBLANK($C332), "",AR332)</f>
        <v/>
      </c>
      <c r="AX332" s="66" t="str">
        <f aca="false">IF(ISBLANK($C332),"",IF($AG332=Constants!$B$7,RANK(AW332,AW$8:AW$507),$AG332))</f>
        <v/>
      </c>
      <c r="AY332" s="66" t="str">
        <f aca="false">IF(ISBLANK($C332), "",AE332)</f>
        <v/>
      </c>
      <c r="AZ332" s="66" t="str">
        <f aca="false">IF(ISBLANK($C332),"",
IF($AG332=Constants!$B$7,
  IF(ISNUMBER(AT332),
    COUNTIFS($AT$8:$AT$507,"&lt;"&amp;$AT332)
    + COUNTIFS($AT$8:$AT$507,$AT332,$AV$8:$AV$507,"&lt;"&amp;$AV332)
    + COUNTIFS($AT$8:$AT$507,$AT332,$AV$8:$AV$507,$AV332,$AX$8:$AX$507,"&lt;"&amp;$AX332)
    + COUNTIFS($AT$8:$AT$507,$AT332,$AV$8:$AV$507,$AV332,$AX$8:$AX$507,$AX332,$AY$8:$AY$507,"&lt;"&amp;$AY332)
    + 1,
  Constants!$B$14),
$AG332))</f>
        <v/>
      </c>
      <c r="BA332" s="66" t="str">
        <f aca="false">IF(ISBLANK(C332),"",IF($AG332=Constants!$B$7, IF(ISNUMBER(AT332),AT332-AZ332,Constants!$B$14),$AG332))</f>
        <v/>
      </c>
      <c r="BB332" s="70"/>
      <c r="BC332" s="84" t="str">
        <f aca="false">IF(ISBLANK($C332),"",TRIM(AK332&amp;" "&amp;AO332))</f>
        <v/>
      </c>
      <c r="BD332" s="72" t="str">
        <f aca="false">IF(ISBLANK($C332),"",IF($AG332&lt;&gt;Constants!$B$7,$AG332,AR332))</f>
        <v/>
      </c>
      <c r="BE332" s="72" t="str">
        <f aca="false">IF(ISBLANK($C332),"",IF($AG332&lt;&gt;Constants!$B$7,$AG332,AM332))</f>
        <v/>
      </c>
      <c r="BF332" s="72" t="str">
        <f aca="false">IF(ISBLANK($C332),"",IF($AG332&lt;&gt;Constants!$B$7,$AG332,AQ332))</f>
        <v/>
      </c>
      <c r="BG332" s="73" t="str">
        <f aca="false">IF(ISBLANK($C332),"",IF($AG332&lt;&gt;Constants!$B$7, $AG332 ,AS332))</f>
        <v/>
      </c>
      <c r="BH332" s="74" t="str">
        <f aca="false">IF(ISBLANK($C332),"",IF($AG332&lt;&gt;Constants!$B$7, $AG332 ,AH332))</f>
        <v/>
      </c>
      <c r="BI332" s="72" t="str">
        <f aca="false">IF(ISBLANK(C332),"",BA332)</f>
        <v/>
      </c>
      <c r="BJ332" s="72" t="str">
        <f aca="false">IF(ISBLANK(C332),"",AZ332)</f>
        <v/>
      </c>
      <c r="BK332" s="75" t="str">
        <f aca="false">IF(ISBLANK(C332),"",IFERROR(_xlfn.SWITCH(BJ332, Constants!$B$4, COUNTA($C$8:$C831)+2, Constants!$B$5, COUNTA($C$8:$C831)+1, Constants!$B$6, COUNTA($C$8:$C831)),BJ332))</f>
        <v/>
      </c>
      <c r="BL332" s="5"/>
      <c r="BM332" s="76" t="n">
        <f aca="false">IF(OR(ISNUMBER(BJ332),BJ332="DQ",BJ332="P",BJ332="NS"),
    1,
    0
)</f>
        <v>0</v>
      </c>
      <c r="BN332" s="76" t="n">
        <v>325</v>
      </c>
      <c r="BO332" s="76" t="str">
        <f aca="false">IF(ISBLANK($C332),"",IF(ISNUMBER(BK332),BK332+ROW($B332)/1000,""))</f>
        <v/>
      </c>
      <c r="BP332" s="76" t="str">
        <f aca="false">IF(ISNUMBER(BO332), RANK(BO332,BO$8:BO$507,1), "")</f>
        <v/>
      </c>
      <c r="BQ332" s="76" t="str">
        <f aca="false">IF(ISBLANK($C332),
    "",
    $B332
)</f>
        <v/>
      </c>
      <c r="BR332" s="76" t="str">
        <f aca="false">IF(ISBLANK($C332),
    "",
    $C332
)</f>
        <v/>
      </c>
      <c r="BS332" s="76" t="str">
        <f aca="false">IF(ISBLANK($C332),
    "",
    $D332
)</f>
        <v/>
      </c>
      <c r="BT332" s="77" t="str">
        <f aca="false">BH332</f>
        <v/>
      </c>
      <c r="BU332" s="78" t="str">
        <f aca="false">BG332</f>
        <v/>
      </c>
      <c r="BV332" s="76" t="str">
        <f aca="false">IF(ISBLANK($C332),
    "",
    BJ332
)</f>
        <v/>
      </c>
      <c r="BW332" s="79" t="str">
        <f aca="false">IF(BN332&gt;BM$7,
    "",
    VLOOKUP(BN332,BP$8:BV831,7,FALSE())
)</f>
        <v/>
      </c>
      <c r="BX332" s="80" t="str">
        <f aca="false">IF(BN332&gt;BM$7,
    "",
    VLOOKUP(BN332,BP$8:BV831,2,FALSE())
)</f>
        <v/>
      </c>
      <c r="BY332" s="80" t="str">
        <f aca="false">IF(BN332&gt;BM$7,
    "",
    VLOOKUP(BN332,BP$8:BV831,3,FALSE())
)</f>
        <v/>
      </c>
      <c r="BZ332" s="80" t="str">
        <f aca="false">IF(BN332&gt;BM$7,
    "",
    VLOOKUP(BN332,BP$8:BV831,4,FALSE())
)</f>
        <v/>
      </c>
      <c r="CA332" s="80" t="str">
        <f aca="false">IF(BN332&gt;BM$7,
    "",
    VLOOKUP(BN332,BP$8:BV831,5,FALSE())
)</f>
        <v/>
      </c>
      <c r="CB332" s="81" t="str">
        <f aca="false">IF(BN332&gt;BM$7,
    "",
    VLOOKUP(BN332,BP$8:BV831,6,FALSE())
)</f>
        <v/>
      </c>
      <c r="CC332" s="53"/>
    </row>
    <row r="333" customFormat="false" ht="15.75" hidden="false" customHeight="false" outlineLevel="0" collapsed="false">
      <c r="A333" s="5"/>
      <c r="B333" s="129"/>
      <c r="C333" s="55"/>
      <c r="D333" s="56"/>
      <c r="E333" s="123"/>
      <c r="F333" s="123"/>
      <c r="G333" s="58"/>
      <c r="H333" s="59"/>
      <c r="I333" s="59"/>
      <c r="J333" s="83"/>
      <c r="K333" s="83"/>
      <c r="L333" s="83"/>
      <c r="M333" s="61"/>
      <c r="N333" s="61"/>
      <c r="O333" s="61"/>
      <c r="P333" s="62"/>
      <c r="Q333" s="63"/>
      <c r="R333" s="83"/>
      <c r="S333" s="65"/>
      <c r="T333" s="66"/>
      <c r="U333" s="66" t="str">
        <f aca="false">IF(ISBLANK($C333),"",IF(G333=Constants!$B$2, TRUE(), IF(G333=Constants!$B$3, FALSE(), TRUE())))</f>
        <v/>
      </c>
      <c r="V333" s="66" t="str">
        <f aca="false">IF(ISBLANK($C333),"",IF(H333=Constants!$B$2, TRUE(), IF(H333=Constants!$B$3, FALSE(), TRUE())))</f>
        <v/>
      </c>
      <c r="W333" s="66" t="str">
        <f aca="false">IF(ISBLANK($C333),"",IF(I333=Constants!$B$2, TRUE(), IF(I333=Constants!$B$3, FALSE(), TRUE())))</f>
        <v/>
      </c>
      <c r="X333" s="66" t="str">
        <f aca="false">IF(ISBLANK($C333),"",IF(AND(ISNUMBER(J333),J333&gt;0),INT(J333),0))</f>
        <v/>
      </c>
      <c r="Y333" s="66" t="str">
        <f aca="false">IF(ISBLANK($C333),"",IF(K333=Constants!$B$2, TRUE(), IF(K333=Constants!$B$3, FALSE(), TRUE())))</f>
        <v/>
      </c>
      <c r="Z333" s="66" t="str">
        <f aca="false">IF(ISBLANK($C333),"",IF(AND(ISNUMBER(L333),L333&gt;0),INT(L333),0))</f>
        <v/>
      </c>
      <c r="AA333" s="68" t="str">
        <f aca="false">IF(ISBLANK($C333),"",IF(ISNUMBER(M333), M333, ""))</f>
        <v/>
      </c>
      <c r="AB333" s="68" t="str">
        <f aca="false">IF(ISBLANK($C333),"",IF(ISNUMBER(N333), N333, ""))</f>
        <v/>
      </c>
      <c r="AC333" s="68" t="str">
        <f aca="false">IF(ISBLANK($C333),"",IF(ISNUMBER(O333), O333, ""))</f>
        <v/>
      </c>
      <c r="AD333" s="69" t="str">
        <f aca="false">IF(ISBLANK($C333),"",IF(ISNUMBER(P333), P333, ""))</f>
        <v/>
      </c>
      <c r="AE333" s="69" t="str">
        <f aca="false">IF(ISBLANK($C333),"",IF(ISNUMBER(Q333), Q333, Constants!$B$13))</f>
        <v/>
      </c>
      <c r="AF333" s="66" t="str">
        <f aca="false">IF(ISBLANK($C333),"",IF(R333=Constants!$B$2, TRUE(), IF(R333=Constants!$B$3, FALSE(), FALSE())))</f>
        <v/>
      </c>
      <c r="AG333" s="66" t="str">
        <f aca="false">IF(ISBLANK(C333), "", IF(AF333, Constants!$B$4,IF(COUNTA(G333:P333)=0, Constants!$B$5, Constants!$B$7)))</f>
        <v/>
      </c>
      <c r="AH333" s="66" t="str">
        <f aca="false">IF(ISBLANK($C333), "",IF($AG333=Constants!$B$7,1,$AG333))</f>
        <v/>
      </c>
      <c r="AI333" s="66" t="str">
        <f aca="false">IF($AG333=Constants!$B$7,POWER(Constants!$B$11,X333)*POWER(Constants!$B$12,Z333),"")</f>
        <v/>
      </c>
      <c r="AJ333" s="66" t="str">
        <f aca="false">IF(AND($AG333=Constants!$B$7, U333, V333) ,IF(OR($AA333="",$AC333=""),"",MAX(0, $AC333-$AA333)),"")</f>
        <v/>
      </c>
      <c r="AK333" s="66" t="str">
        <f aca="false">IF(AND($AG333=Constants!$B$7, U333, V333),IF(OR($AA333="",$AC333=""),$AK$6,""),"")</f>
        <v/>
      </c>
      <c r="AL333" s="66" t="str">
        <f aca="false">IF($AG333=Constants!$B$7,IF(AND(U333,V333,W333,Y333),IF($AJ333="",0,IF($AJ$6=0,Constants!$B$9,Constants!$B$9*AJ333/$AJ$6)), 0),"")</f>
        <v/>
      </c>
      <c r="AM333" s="66" t="str">
        <f aca="false">IF(AL333&lt;&gt;"", AL333*AI333,"")</f>
        <v/>
      </c>
      <c r="AN333" s="66" t="str">
        <f aca="false">IF(AND($AG333=Constants!$B$7, U333, V333) ,IF($AB333="", "", IF(OR($AC333="",$AC333=0),"",MAX(0,1-ABS($AC333-$AB333)/$AC333))),"")</f>
        <v/>
      </c>
      <c r="AO333" s="66" t="str">
        <f aca="false">IF(AND($AG333=Constants!$B$7, U333, V333),IF(AND($AA333&lt;&gt;"",$AB333&lt;&gt;"",$AC333=0),$AO$6,""),"")</f>
        <v/>
      </c>
      <c r="AP333" s="66" t="str">
        <f aca="false">IF($AG333=Constants!$B$7 ,IF(AND(U333,V333,W333,Y333,ISNUMBER(AB333)),IF($AN333="",0,IF($AN$6=0,Constants!$B$10,Constants!$B$10*AN333/$AN$6)), 0),"")</f>
        <v/>
      </c>
      <c r="AQ333" s="66" t="str">
        <f aca="false">IF(AP333&lt;&gt;"", AP333*AI333,"")</f>
        <v/>
      </c>
      <c r="AR333" s="66" t="str">
        <f aca="false">IF($AG333=Constants!$B$7,IF($AD333="",0,IF($AR$6=0,Constants!$B$8,Constants!$B$8*AD333/$AR$6)),"")</f>
        <v/>
      </c>
      <c r="AS333" s="66" t="str">
        <f aca="false">IF($AG333&lt;&gt;Constants!$B$7,$AG333,IF(AK333&amp;AO333&lt;&gt;"",Constants!$B$14,AM333+AQ333+AR333))</f>
        <v/>
      </c>
      <c r="AT333" s="66" t="str">
        <f aca="false">IF(ISBLANK($C333),"",IF($AG333=Constants!$B$7,IF(ISNUMBER(AS333),RANK(AS333,$AS$8:$AS$507),Constants!$B$14),$AG333))</f>
        <v/>
      </c>
      <c r="AU333" s="66" t="str">
        <f aca="false">IF(ISBLANK($C333), "",AM333)</f>
        <v/>
      </c>
      <c r="AV333" s="66" t="str">
        <f aca="false">IF(ISBLANK($C333),"",IF($AG333=Constants!$B$7,RANK(AU333,AU$8:AU$507),$AG333))</f>
        <v/>
      </c>
      <c r="AW333" s="66" t="str">
        <f aca="false">IF(ISBLANK($C333), "",AR333)</f>
        <v/>
      </c>
      <c r="AX333" s="66" t="str">
        <f aca="false">IF(ISBLANK($C333),"",IF($AG333=Constants!$B$7,RANK(AW333,AW$8:AW$507),$AG333))</f>
        <v/>
      </c>
      <c r="AY333" s="66" t="str">
        <f aca="false">IF(ISBLANK($C333), "",AE333)</f>
        <v/>
      </c>
      <c r="AZ333" s="66" t="str">
        <f aca="false">IF(ISBLANK($C333),"",
IF($AG333=Constants!$B$7,
  IF(ISNUMBER(AT333),
    COUNTIFS($AT$8:$AT$507,"&lt;"&amp;$AT333)
    + COUNTIFS($AT$8:$AT$507,$AT333,$AV$8:$AV$507,"&lt;"&amp;$AV333)
    + COUNTIFS($AT$8:$AT$507,$AT333,$AV$8:$AV$507,$AV333,$AX$8:$AX$507,"&lt;"&amp;$AX333)
    + COUNTIFS($AT$8:$AT$507,$AT333,$AV$8:$AV$507,$AV333,$AX$8:$AX$507,$AX333,$AY$8:$AY$507,"&lt;"&amp;$AY333)
    + 1,
  Constants!$B$14),
$AG333))</f>
        <v/>
      </c>
      <c r="BA333" s="66" t="str">
        <f aca="false">IF(ISBLANK(C333),"",IF($AG333=Constants!$B$7, IF(ISNUMBER(AT333),AT333-AZ333,Constants!$B$14),$AG333))</f>
        <v/>
      </c>
      <c r="BB333" s="70"/>
      <c r="BC333" s="84" t="str">
        <f aca="false">IF(ISBLANK($C333),"",TRIM(AK333&amp;" "&amp;AO333))</f>
        <v/>
      </c>
      <c r="BD333" s="72" t="str">
        <f aca="false">IF(ISBLANK($C333),"",IF($AG333&lt;&gt;Constants!$B$7,$AG333,AR333))</f>
        <v/>
      </c>
      <c r="BE333" s="72" t="str">
        <f aca="false">IF(ISBLANK($C333),"",IF($AG333&lt;&gt;Constants!$B$7,$AG333,AM333))</f>
        <v/>
      </c>
      <c r="BF333" s="72" t="str">
        <f aca="false">IF(ISBLANK($C333),"",IF($AG333&lt;&gt;Constants!$B$7,$AG333,AQ333))</f>
        <v/>
      </c>
      <c r="BG333" s="73" t="str">
        <f aca="false">IF(ISBLANK($C333),"",IF($AG333&lt;&gt;Constants!$B$7, $AG333 ,AS333))</f>
        <v/>
      </c>
      <c r="BH333" s="74" t="str">
        <f aca="false">IF(ISBLANK($C333),"",IF($AG333&lt;&gt;Constants!$B$7, $AG333 ,AH333))</f>
        <v/>
      </c>
      <c r="BI333" s="72" t="str">
        <f aca="false">IF(ISBLANK(C333),"",BA333)</f>
        <v/>
      </c>
      <c r="BJ333" s="72" t="str">
        <f aca="false">IF(ISBLANK(C333),"",AZ333)</f>
        <v/>
      </c>
      <c r="BK333" s="75" t="str">
        <f aca="false">IF(ISBLANK(C333),"",IFERROR(_xlfn.SWITCH(BJ333, Constants!$B$4, COUNTA($C$8:$C832)+2, Constants!$B$5, COUNTA($C$8:$C832)+1, Constants!$B$6, COUNTA($C$8:$C832)),BJ333))</f>
        <v/>
      </c>
      <c r="BL333" s="5"/>
      <c r="BM333" s="76" t="n">
        <f aca="false">IF(OR(ISNUMBER(BJ333),BJ333="DQ",BJ333="P",BJ333="NS"),
    1,
    0
)</f>
        <v>0</v>
      </c>
      <c r="BN333" s="76" t="n">
        <v>326</v>
      </c>
      <c r="BO333" s="76" t="str">
        <f aca="false">IF(ISBLANK($C333),"",IF(ISNUMBER(BK333),BK333+ROW($B333)/1000,""))</f>
        <v/>
      </c>
      <c r="BP333" s="76" t="str">
        <f aca="false">IF(ISNUMBER(BO333), RANK(BO333,BO$8:BO$507,1), "")</f>
        <v/>
      </c>
      <c r="BQ333" s="76" t="str">
        <f aca="false">IF(ISBLANK($C333),
    "",
    $B333
)</f>
        <v/>
      </c>
      <c r="BR333" s="76" t="str">
        <f aca="false">IF(ISBLANK($C333),
    "",
    $C333
)</f>
        <v/>
      </c>
      <c r="BS333" s="76" t="str">
        <f aca="false">IF(ISBLANK($C333),
    "",
    $D333
)</f>
        <v/>
      </c>
      <c r="BT333" s="77" t="str">
        <f aca="false">BH333</f>
        <v/>
      </c>
      <c r="BU333" s="78" t="str">
        <f aca="false">BG333</f>
        <v/>
      </c>
      <c r="BV333" s="76" t="str">
        <f aca="false">IF(ISBLANK($C333),
    "",
    BJ333
)</f>
        <v/>
      </c>
      <c r="BW333" s="79" t="str">
        <f aca="false">IF(BN333&gt;BM$7,
    "",
    VLOOKUP(BN333,BP$8:BV832,7,FALSE())
)</f>
        <v/>
      </c>
      <c r="BX333" s="80" t="str">
        <f aca="false">IF(BN333&gt;BM$7,
    "",
    VLOOKUP(BN333,BP$8:BV832,2,FALSE())
)</f>
        <v/>
      </c>
      <c r="BY333" s="80" t="str">
        <f aca="false">IF(BN333&gt;BM$7,
    "",
    VLOOKUP(BN333,BP$8:BV832,3,FALSE())
)</f>
        <v/>
      </c>
      <c r="BZ333" s="80" t="str">
        <f aca="false">IF(BN333&gt;BM$7,
    "",
    VLOOKUP(BN333,BP$8:BV832,4,FALSE())
)</f>
        <v/>
      </c>
      <c r="CA333" s="80" t="str">
        <f aca="false">IF(BN333&gt;BM$7,
    "",
    VLOOKUP(BN333,BP$8:BV832,5,FALSE())
)</f>
        <v/>
      </c>
      <c r="CB333" s="81" t="str">
        <f aca="false">IF(BN333&gt;BM$7,
    "",
    VLOOKUP(BN333,BP$8:BV832,6,FALSE())
)</f>
        <v/>
      </c>
      <c r="CC333" s="53"/>
    </row>
    <row r="334" customFormat="false" ht="15.75" hidden="false" customHeight="false" outlineLevel="0" collapsed="false">
      <c r="A334" s="5"/>
      <c r="B334" s="129"/>
      <c r="C334" s="55"/>
      <c r="D334" s="56"/>
      <c r="E334" s="123"/>
      <c r="F334" s="123"/>
      <c r="G334" s="58"/>
      <c r="H334" s="59"/>
      <c r="I334" s="59"/>
      <c r="J334" s="83"/>
      <c r="K334" s="83"/>
      <c r="L334" s="83"/>
      <c r="M334" s="61"/>
      <c r="N334" s="61"/>
      <c r="O334" s="61"/>
      <c r="P334" s="62"/>
      <c r="Q334" s="63"/>
      <c r="R334" s="83"/>
      <c r="S334" s="65"/>
      <c r="T334" s="66"/>
      <c r="U334" s="66" t="str">
        <f aca="false">IF(ISBLANK($C334),"",IF(G334=Constants!$B$2, TRUE(), IF(G334=Constants!$B$3, FALSE(), TRUE())))</f>
        <v/>
      </c>
      <c r="V334" s="66" t="str">
        <f aca="false">IF(ISBLANK($C334),"",IF(H334=Constants!$B$2, TRUE(), IF(H334=Constants!$B$3, FALSE(), TRUE())))</f>
        <v/>
      </c>
      <c r="W334" s="66" t="str">
        <f aca="false">IF(ISBLANK($C334),"",IF(I334=Constants!$B$2, TRUE(), IF(I334=Constants!$B$3, FALSE(), TRUE())))</f>
        <v/>
      </c>
      <c r="X334" s="66" t="str">
        <f aca="false">IF(ISBLANK($C334),"",IF(AND(ISNUMBER(J334),J334&gt;0),INT(J334),0))</f>
        <v/>
      </c>
      <c r="Y334" s="66" t="str">
        <f aca="false">IF(ISBLANK($C334),"",IF(K334=Constants!$B$2, TRUE(), IF(K334=Constants!$B$3, FALSE(), TRUE())))</f>
        <v/>
      </c>
      <c r="Z334" s="66" t="str">
        <f aca="false">IF(ISBLANK($C334),"",IF(AND(ISNUMBER(L334),L334&gt;0),INT(L334),0))</f>
        <v/>
      </c>
      <c r="AA334" s="68" t="str">
        <f aca="false">IF(ISBLANK($C334),"",IF(ISNUMBER(M334), M334, ""))</f>
        <v/>
      </c>
      <c r="AB334" s="68" t="str">
        <f aca="false">IF(ISBLANK($C334),"",IF(ISNUMBER(N334), N334, ""))</f>
        <v/>
      </c>
      <c r="AC334" s="68" t="str">
        <f aca="false">IF(ISBLANK($C334),"",IF(ISNUMBER(O334), O334, ""))</f>
        <v/>
      </c>
      <c r="AD334" s="69" t="str">
        <f aca="false">IF(ISBLANK($C334),"",IF(ISNUMBER(P334), P334, ""))</f>
        <v/>
      </c>
      <c r="AE334" s="69" t="str">
        <f aca="false">IF(ISBLANK($C334),"",IF(ISNUMBER(Q334), Q334, Constants!$B$13))</f>
        <v/>
      </c>
      <c r="AF334" s="66" t="str">
        <f aca="false">IF(ISBLANK($C334),"",IF(R334=Constants!$B$2, TRUE(), IF(R334=Constants!$B$3, FALSE(), FALSE())))</f>
        <v/>
      </c>
      <c r="AG334" s="66" t="str">
        <f aca="false">IF(ISBLANK(C334), "", IF(AF334, Constants!$B$4,IF(COUNTA(G334:P334)=0, Constants!$B$5, Constants!$B$7)))</f>
        <v/>
      </c>
      <c r="AH334" s="66" t="str">
        <f aca="false">IF(ISBLANK($C334), "",IF($AG334=Constants!$B$7,1,$AG334))</f>
        <v/>
      </c>
      <c r="AI334" s="66" t="str">
        <f aca="false">IF($AG334=Constants!$B$7,POWER(Constants!$B$11,X334)*POWER(Constants!$B$12,Z334),"")</f>
        <v/>
      </c>
      <c r="AJ334" s="66" t="str">
        <f aca="false">IF(AND($AG334=Constants!$B$7, U334, V334) ,IF(OR($AA334="",$AC334=""),"",MAX(0, $AC334-$AA334)),"")</f>
        <v/>
      </c>
      <c r="AK334" s="66" t="str">
        <f aca="false">IF(AND($AG334=Constants!$B$7, U334, V334),IF(OR($AA334="",$AC334=""),$AK$6,""),"")</f>
        <v/>
      </c>
      <c r="AL334" s="66" t="str">
        <f aca="false">IF($AG334=Constants!$B$7,IF(AND(U334,V334,W334,Y334),IF($AJ334="",0,IF($AJ$6=0,Constants!$B$9,Constants!$B$9*AJ334/$AJ$6)), 0),"")</f>
        <v/>
      </c>
      <c r="AM334" s="66" t="str">
        <f aca="false">IF(AL334&lt;&gt;"", AL334*AI334,"")</f>
        <v/>
      </c>
      <c r="AN334" s="66" t="str">
        <f aca="false">IF(AND($AG334=Constants!$B$7, U334, V334) ,IF($AB334="", "", IF(OR($AC334="",$AC334=0),"",MAX(0,1-ABS($AC334-$AB334)/$AC334))),"")</f>
        <v/>
      </c>
      <c r="AO334" s="66" t="str">
        <f aca="false">IF(AND($AG334=Constants!$B$7, U334, V334),IF(AND($AA334&lt;&gt;"",$AB334&lt;&gt;"",$AC334=0),$AO$6,""),"")</f>
        <v/>
      </c>
      <c r="AP334" s="66" t="str">
        <f aca="false">IF($AG334=Constants!$B$7 ,IF(AND(U334,V334,W334,Y334,ISNUMBER(AB334)),IF($AN334="",0,IF($AN$6=0,Constants!$B$10,Constants!$B$10*AN334/$AN$6)), 0),"")</f>
        <v/>
      </c>
      <c r="AQ334" s="66" t="str">
        <f aca="false">IF(AP334&lt;&gt;"", AP334*AI334,"")</f>
        <v/>
      </c>
      <c r="AR334" s="66" t="str">
        <f aca="false">IF($AG334=Constants!$B$7,IF($AD334="",0,IF($AR$6=0,Constants!$B$8,Constants!$B$8*AD334/$AR$6)),"")</f>
        <v/>
      </c>
      <c r="AS334" s="66" t="str">
        <f aca="false">IF($AG334&lt;&gt;Constants!$B$7,$AG334,IF(AK334&amp;AO334&lt;&gt;"",Constants!$B$14,AM334+AQ334+AR334))</f>
        <v/>
      </c>
      <c r="AT334" s="66" t="str">
        <f aca="false">IF(ISBLANK($C334),"",IF($AG334=Constants!$B$7,IF(ISNUMBER(AS334),RANK(AS334,$AS$8:$AS$507),Constants!$B$14),$AG334))</f>
        <v/>
      </c>
      <c r="AU334" s="66" t="str">
        <f aca="false">IF(ISBLANK($C334), "",AM334)</f>
        <v/>
      </c>
      <c r="AV334" s="66" t="str">
        <f aca="false">IF(ISBLANK($C334),"",IF($AG334=Constants!$B$7,RANK(AU334,AU$8:AU$507),$AG334))</f>
        <v/>
      </c>
      <c r="AW334" s="66" t="str">
        <f aca="false">IF(ISBLANK($C334), "",AR334)</f>
        <v/>
      </c>
      <c r="AX334" s="66" t="str">
        <f aca="false">IF(ISBLANK($C334),"",IF($AG334=Constants!$B$7,RANK(AW334,AW$8:AW$507),$AG334))</f>
        <v/>
      </c>
      <c r="AY334" s="66" t="str">
        <f aca="false">IF(ISBLANK($C334), "",AE334)</f>
        <v/>
      </c>
      <c r="AZ334" s="66" t="str">
        <f aca="false">IF(ISBLANK($C334),"",
IF($AG334=Constants!$B$7,
  IF(ISNUMBER(AT334),
    COUNTIFS($AT$8:$AT$507,"&lt;"&amp;$AT334)
    + COUNTIFS($AT$8:$AT$507,$AT334,$AV$8:$AV$507,"&lt;"&amp;$AV334)
    + COUNTIFS($AT$8:$AT$507,$AT334,$AV$8:$AV$507,$AV334,$AX$8:$AX$507,"&lt;"&amp;$AX334)
    + COUNTIFS($AT$8:$AT$507,$AT334,$AV$8:$AV$507,$AV334,$AX$8:$AX$507,$AX334,$AY$8:$AY$507,"&lt;"&amp;$AY334)
    + 1,
  Constants!$B$14),
$AG334))</f>
        <v/>
      </c>
      <c r="BA334" s="66" t="str">
        <f aca="false">IF(ISBLANK(C334),"",IF($AG334=Constants!$B$7, IF(ISNUMBER(AT334),AT334-AZ334,Constants!$B$14),$AG334))</f>
        <v/>
      </c>
      <c r="BB334" s="70"/>
      <c r="BC334" s="84" t="str">
        <f aca="false">IF(ISBLANK($C334),"",TRIM(AK334&amp;" "&amp;AO334))</f>
        <v/>
      </c>
      <c r="BD334" s="72" t="str">
        <f aca="false">IF(ISBLANK($C334),"",IF($AG334&lt;&gt;Constants!$B$7,$AG334,AR334))</f>
        <v/>
      </c>
      <c r="BE334" s="72" t="str">
        <f aca="false">IF(ISBLANK($C334),"",IF($AG334&lt;&gt;Constants!$B$7,$AG334,AM334))</f>
        <v/>
      </c>
      <c r="BF334" s="72" t="str">
        <f aca="false">IF(ISBLANK($C334),"",IF($AG334&lt;&gt;Constants!$B$7,$AG334,AQ334))</f>
        <v/>
      </c>
      <c r="BG334" s="73" t="str">
        <f aca="false">IF(ISBLANK($C334),"",IF($AG334&lt;&gt;Constants!$B$7, $AG334 ,AS334))</f>
        <v/>
      </c>
      <c r="BH334" s="74" t="str">
        <f aca="false">IF(ISBLANK($C334),"",IF($AG334&lt;&gt;Constants!$B$7, $AG334 ,AH334))</f>
        <v/>
      </c>
      <c r="BI334" s="72" t="str">
        <f aca="false">IF(ISBLANK(C334),"",BA334)</f>
        <v/>
      </c>
      <c r="BJ334" s="72" t="str">
        <f aca="false">IF(ISBLANK(C334),"",AZ334)</f>
        <v/>
      </c>
      <c r="BK334" s="75" t="str">
        <f aca="false">IF(ISBLANK(C334),"",IFERROR(_xlfn.SWITCH(BJ334, Constants!$B$4, COUNTA($C$8:$C833)+2, Constants!$B$5, COUNTA($C$8:$C833)+1, Constants!$B$6, COUNTA($C$8:$C833)),BJ334))</f>
        <v/>
      </c>
      <c r="BL334" s="5"/>
      <c r="BM334" s="76" t="n">
        <f aca="false">IF(OR(ISNUMBER(BJ334),BJ334="DQ",BJ334="P",BJ334="NS"),
    1,
    0
)</f>
        <v>0</v>
      </c>
      <c r="BN334" s="76" t="n">
        <v>327</v>
      </c>
      <c r="BO334" s="76" t="str">
        <f aca="false">IF(ISBLANK($C334),"",IF(ISNUMBER(BK334),BK334+ROW($B334)/1000,""))</f>
        <v/>
      </c>
      <c r="BP334" s="76" t="str">
        <f aca="false">IF(ISNUMBER(BO334), RANK(BO334,BO$8:BO$507,1), "")</f>
        <v/>
      </c>
      <c r="BQ334" s="76" t="str">
        <f aca="false">IF(ISBLANK($C334),
    "",
    $B334
)</f>
        <v/>
      </c>
      <c r="BR334" s="76" t="str">
        <f aca="false">IF(ISBLANK($C334),
    "",
    $C334
)</f>
        <v/>
      </c>
      <c r="BS334" s="76" t="str">
        <f aca="false">IF(ISBLANK($C334),
    "",
    $D334
)</f>
        <v/>
      </c>
      <c r="BT334" s="77" t="str">
        <f aca="false">BH334</f>
        <v/>
      </c>
      <c r="BU334" s="78" t="str">
        <f aca="false">BG334</f>
        <v/>
      </c>
      <c r="BV334" s="76" t="str">
        <f aca="false">IF(ISBLANK($C334),
    "",
    BJ334
)</f>
        <v/>
      </c>
      <c r="BW334" s="79" t="str">
        <f aca="false">IF(BN334&gt;BM$7,
    "",
    VLOOKUP(BN334,BP$8:BV833,7,FALSE())
)</f>
        <v/>
      </c>
      <c r="BX334" s="80" t="str">
        <f aca="false">IF(BN334&gt;BM$7,
    "",
    VLOOKUP(BN334,BP$8:BV833,2,FALSE())
)</f>
        <v/>
      </c>
      <c r="BY334" s="80" t="str">
        <f aca="false">IF(BN334&gt;BM$7,
    "",
    VLOOKUP(BN334,BP$8:BV833,3,FALSE())
)</f>
        <v/>
      </c>
      <c r="BZ334" s="80" t="str">
        <f aca="false">IF(BN334&gt;BM$7,
    "",
    VLOOKUP(BN334,BP$8:BV833,4,FALSE())
)</f>
        <v/>
      </c>
      <c r="CA334" s="80" t="str">
        <f aca="false">IF(BN334&gt;BM$7,
    "",
    VLOOKUP(BN334,BP$8:BV833,5,FALSE())
)</f>
        <v/>
      </c>
      <c r="CB334" s="81" t="str">
        <f aca="false">IF(BN334&gt;BM$7,
    "",
    VLOOKUP(BN334,BP$8:BV833,6,FALSE())
)</f>
        <v/>
      </c>
      <c r="CC334" s="53"/>
    </row>
    <row r="335" customFormat="false" ht="15.75" hidden="false" customHeight="false" outlineLevel="0" collapsed="false">
      <c r="A335" s="5"/>
      <c r="B335" s="125"/>
      <c r="C335" s="126"/>
      <c r="D335" s="115"/>
      <c r="E335" s="119"/>
      <c r="F335" s="119"/>
      <c r="G335" s="91"/>
      <c r="H335" s="92"/>
      <c r="I335" s="92"/>
      <c r="J335" s="128"/>
      <c r="K335" s="128"/>
      <c r="L335" s="128"/>
      <c r="M335" s="94"/>
      <c r="N335" s="94"/>
      <c r="O335" s="94"/>
      <c r="P335" s="95"/>
      <c r="Q335" s="96"/>
      <c r="R335" s="128"/>
      <c r="S335" s="98"/>
      <c r="T335" s="99"/>
      <c r="U335" s="99" t="str">
        <f aca="false">IF(ISBLANK($C335),"",IF(G335=Constants!$B$2, TRUE(), IF(G335=Constants!$B$3, FALSE(), TRUE())))</f>
        <v/>
      </c>
      <c r="V335" s="99" t="str">
        <f aca="false">IF(ISBLANK($C335),"",IF(H335=Constants!$B$2, TRUE(), IF(H335=Constants!$B$3, FALSE(), TRUE())))</f>
        <v/>
      </c>
      <c r="W335" s="99" t="str">
        <f aca="false">IF(ISBLANK($C335),"",IF(I335=Constants!$B$2, TRUE(), IF(I335=Constants!$B$3, FALSE(), TRUE())))</f>
        <v/>
      </c>
      <c r="X335" s="99" t="str">
        <f aca="false">IF(ISBLANK($C335),"",IF(AND(ISNUMBER(J335),J335&gt;0),INT(J335),0))</f>
        <v/>
      </c>
      <c r="Y335" s="99" t="str">
        <f aca="false">IF(ISBLANK($C335),"",IF(K335=Constants!$B$2, TRUE(), IF(K335=Constants!$B$3, FALSE(), TRUE())))</f>
        <v/>
      </c>
      <c r="Z335" s="100" t="str">
        <f aca="false">IF(ISBLANK($C335),"",IF(AND(ISNUMBER(L335),L335&gt;0),INT(L335),0))</f>
        <v/>
      </c>
      <c r="AA335" s="101" t="str">
        <f aca="false">IF(ISBLANK($C335),"",IF(ISNUMBER(M335), M335, ""))</f>
        <v/>
      </c>
      <c r="AB335" s="101" t="str">
        <f aca="false">IF(ISBLANK($C335),"",IF(ISNUMBER(N335), N335, ""))</f>
        <v/>
      </c>
      <c r="AC335" s="101" t="str">
        <f aca="false">IF(ISBLANK($C335),"",IF(ISNUMBER(O335), O335, ""))</f>
        <v/>
      </c>
      <c r="AD335" s="102" t="str">
        <f aca="false">IF(ISBLANK($C335),"",IF(ISNUMBER(P335), P335, ""))</f>
        <v/>
      </c>
      <c r="AE335" s="102" t="str">
        <f aca="false">IF(ISBLANK($C335),"",IF(ISNUMBER(Q335), Q335, Constants!$B$13))</f>
        <v/>
      </c>
      <c r="AF335" s="99" t="str">
        <f aca="false">IF(ISBLANK($C335),"",IF(R335=Constants!$B$2, TRUE(), IF(R335=Constants!$B$3, FALSE(), FALSE())))</f>
        <v/>
      </c>
      <c r="AG335" s="99" t="str">
        <f aca="false">IF(ISBLANK(C335), "", IF(AF335, Constants!$B$4,IF(COUNTA(G335:P335)=0, Constants!$B$5, Constants!$B$7)))</f>
        <v/>
      </c>
      <c r="AH335" s="99" t="str">
        <f aca="false">IF(ISBLANK($C335), "",IF($AG335=Constants!$B$7,1,$AG335))</f>
        <v/>
      </c>
      <c r="AI335" s="99" t="str">
        <f aca="false">IF($AG335=Constants!$B$7,POWER(Constants!$B$11,X335)*POWER(Constants!$B$12,Z335),"")</f>
        <v/>
      </c>
      <c r="AJ335" s="99" t="str">
        <f aca="false">IF(AND($AG335=Constants!$B$7, U335, V335) ,IF(OR($AA335="",$AC335=""),"",MAX(0, $AC335-$AA335)),"")</f>
        <v/>
      </c>
      <c r="AK335" s="99" t="str">
        <f aca="false">IF(AND($AG335=Constants!$B$7, U335, V335),IF(OR($AA335="",$AC335=""),$AK$6,""),"")</f>
        <v/>
      </c>
      <c r="AL335" s="99" t="str">
        <f aca="false">IF($AG335=Constants!$B$7,IF(AND(U335,V335,W335,Y335),IF($AJ335="",0,IF($AJ$6=0,Constants!$B$9,Constants!$B$9*AJ335/$AJ$6)), 0),"")</f>
        <v/>
      </c>
      <c r="AM335" s="99" t="str">
        <f aca="false">IF(AL335&lt;&gt;"", AL335*AI335,"")</f>
        <v/>
      </c>
      <c r="AN335" s="99" t="str">
        <f aca="false">IF(AND($AG335=Constants!$B$7, U335, V335) ,IF($AB335="", "", IF(OR($AC335="",$AC335=0),"",MAX(0,1-ABS($AC335-$AB335)/$AC335))),"")</f>
        <v/>
      </c>
      <c r="AO335" s="99" t="str">
        <f aca="false">IF(AND($AG335=Constants!$B$7, U335, V335),IF(AND($AA335&lt;&gt;"",$AB335&lt;&gt;"",$AC335=0),$AO$6,""),"")</f>
        <v/>
      </c>
      <c r="AP335" s="99" t="str">
        <f aca="false">IF($AG335=Constants!$B$7 ,IF(AND(U335,V335,W335,Y335,ISNUMBER(AB335)),IF($AN335="",0,IF($AN$6=0,Constants!$B$10,Constants!$B$10*AN335/$AN$6)), 0),"")</f>
        <v/>
      </c>
      <c r="AQ335" s="99" t="str">
        <f aca="false">IF(AP335&lt;&gt;"", AP335*AI335,"")</f>
        <v/>
      </c>
      <c r="AR335" s="99" t="str">
        <f aca="false">IF($AG335=Constants!$B$7,IF($AD335="",0,IF($AR$6=0,Constants!$B$8,Constants!$B$8*AD335/$AR$6)),"")</f>
        <v/>
      </c>
      <c r="AS335" s="99" t="str">
        <f aca="false">IF($AG335&lt;&gt;Constants!$B$7,$AG335,IF(AK335&amp;AO335&lt;&gt;"",Constants!$B$14,AM335+AQ335+AR335))</f>
        <v/>
      </c>
      <c r="AT335" s="99" t="str">
        <f aca="false">IF(ISBLANK($C335),"",IF($AG335=Constants!$B$7,IF(ISNUMBER(AS335),RANK(AS335,$AS$8:$AS$507),Constants!$B$14),$AG335))</f>
        <v/>
      </c>
      <c r="AU335" s="99" t="str">
        <f aca="false">IF(ISBLANK($C335), "",AM335)</f>
        <v/>
      </c>
      <c r="AV335" s="99" t="str">
        <f aca="false">IF(ISBLANK($C335),"",IF($AG335=Constants!$B$7,RANK(AU335,AU$8:AU$507),$AG335))</f>
        <v/>
      </c>
      <c r="AW335" s="99" t="str">
        <f aca="false">IF(ISBLANK($C335), "",AR335)</f>
        <v/>
      </c>
      <c r="AX335" s="99" t="str">
        <f aca="false">IF(ISBLANK($C335),"",IF($AG335=Constants!$B$7,RANK(AW335,AW$8:AW$507),$AG335))</f>
        <v/>
      </c>
      <c r="AY335" s="99" t="str">
        <f aca="false">IF(ISBLANK($C335), "",AE335)</f>
        <v/>
      </c>
      <c r="AZ335" s="99" t="str">
        <f aca="false">IF(ISBLANK($C335),"",
IF($AG335=Constants!$B$7,
  IF(ISNUMBER(AT335),
    COUNTIFS($AT$8:$AT$507,"&lt;"&amp;$AT335)
    + COUNTIFS($AT$8:$AT$507,$AT335,$AV$8:$AV$507,"&lt;"&amp;$AV335)
    + COUNTIFS($AT$8:$AT$507,$AT335,$AV$8:$AV$507,$AV335,$AX$8:$AX$507,"&lt;"&amp;$AX335)
    + COUNTIFS($AT$8:$AT$507,$AT335,$AV$8:$AV$507,$AV335,$AX$8:$AX$507,$AX335,$AY$8:$AY$507,"&lt;"&amp;$AY335)
    + 1,
  Constants!$B$14),
$AG335))</f>
        <v/>
      </c>
      <c r="BA335" s="99" t="str">
        <f aca="false">IF(ISBLANK(C335),"",IF($AG335=Constants!$B$7, IF(ISNUMBER(AT335),AT335-AZ335,Constants!$B$14),$AG335))</f>
        <v/>
      </c>
      <c r="BB335" s="103"/>
      <c r="BC335" s="104" t="str">
        <f aca="false">IF(ISBLANK($C335),"",TRIM(AK335&amp;" "&amp;AO335))</f>
        <v/>
      </c>
      <c r="BD335" s="105" t="str">
        <f aca="false">IF(ISBLANK($C335),"",IF($AG335&lt;&gt;Constants!$B$7,$AG335,AR335))</f>
        <v/>
      </c>
      <c r="BE335" s="105" t="str">
        <f aca="false">IF(ISBLANK($C335),"",IF($AG335&lt;&gt;Constants!$B$7,$AG335,AM335))</f>
        <v/>
      </c>
      <c r="BF335" s="105" t="str">
        <f aca="false">IF(ISBLANK($C335),"",IF($AG335&lt;&gt;Constants!$B$7,$AG335,AQ335))</f>
        <v/>
      </c>
      <c r="BG335" s="106" t="str">
        <f aca="false">IF(ISBLANK($C335),"",IF($AG335&lt;&gt;Constants!$B$7, $AG335 ,AS335))</f>
        <v/>
      </c>
      <c r="BH335" s="107" t="str">
        <f aca="false">IF(ISBLANK($C335),"",IF($AG335&lt;&gt;Constants!$B$7, $AG335 ,AH335))</f>
        <v/>
      </c>
      <c r="BI335" s="105" t="str">
        <f aca="false">IF(ISBLANK(C335),"",BA335)</f>
        <v/>
      </c>
      <c r="BJ335" s="105" t="str">
        <f aca="false">IF(ISBLANK(C335),"",AZ335)</f>
        <v/>
      </c>
      <c r="BK335" s="108" t="str">
        <f aca="false">IF(ISBLANK(C335),"",IFERROR(_xlfn.SWITCH(BJ335, Constants!$B$4, COUNTA($C$8:$C834)+2, Constants!$B$5, COUNTA($C$8:$C834)+1, Constants!$B$6, COUNTA($C$8:$C834)),BJ335))</f>
        <v/>
      </c>
      <c r="BL335" s="5"/>
      <c r="BM335" s="109" t="n">
        <f aca="false">IF(OR(ISNUMBER(BJ335),BJ335="DQ",BJ335="P",BJ335="NS"),
    1,
    0
)</f>
        <v>0</v>
      </c>
      <c r="BN335" s="109" t="n">
        <v>328</v>
      </c>
      <c r="BO335" s="109" t="str">
        <f aca="false">IF(ISBLANK($C335),"",IF(ISNUMBER(BK335),BK335+ROW($B335)/1000,""))</f>
        <v/>
      </c>
      <c r="BP335" s="109" t="str">
        <f aca="false">IF(ISNUMBER(BO335), RANK(BO335,BO$8:BO$507,1), "")</f>
        <v/>
      </c>
      <c r="BQ335" s="109" t="str">
        <f aca="false">IF(ISBLANK($C335),
    "",
    $B335
)</f>
        <v/>
      </c>
      <c r="BR335" s="109" t="str">
        <f aca="false">IF(ISBLANK($C335),
    "",
    $C335
)</f>
        <v/>
      </c>
      <c r="BS335" s="109" t="str">
        <f aca="false">IF(ISBLANK($C335),
    "",
    $D335
)</f>
        <v/>
      </c>
      <c r="BT335" s="110" t="str">
        <f aca="false">BH335</f>
        <v/>
      </c>
      <c r="BU335" s="111" t="str">
        <f aca="false">BG335</f>
        <v/>
      </c>
      <c r="BV335" s="109" t="str">
        <f aca="false">IF(ISBLANK($C335),
    "",
    BJ335
)</f>
        <v/>
      </c>
      <c r="BW335" s="112" t="str">
        <f aca="false">IF(BN335&gt;BM$7,
    "",
    VLOOKUP(BN335,BP$8:BV834,7,FALSE())
)</f>
        <v/>
      </c>
      <c r="BX335" s="113" t="str">
        <f aca="false">IF(BN335&gt;BM$7,
    "",
    VLOOKUP(BN335,BP$8:BV834,2,FALSE())
)</f>
        <v/>
      </c>
      <c r="BY335" s="113" t="str">
        <f aca="false">IF(BN335&gt;BM$7,
    "",
    VLOOKUP(BN335,BP$8:BV834,3,FALSE())
)</f>
        <v/>
      </c>
      <c r="BZ335" s="113" t="str">
        <f aca="false">IF(BN335&gt;BM$7,
    "",
    VLOOKUP(BN335,BP$8:BV834,4,FALSE())
)</f>
        <v/>
      </c>
      <c r="CA335" s="113" t="str">
        <f aca="false">IF(BN335&gt;BM$7,
    "",
    VLOOKUP(BN335,BP$8:BV834,5,FALSE())
)</f>
        <v/>
      </c>
      <c r="CB335" s="114" t="str">
        <f aca="false">IF(BN335&gt;BM$7,
    "",
    VLOOKUP(BN335,BP$8:BV834,6,FALSE())
)</f>
        <v/>
      </c>
      <c r="CC335" s="53"/>
    </row>
    <row r="336" customFormat="false" ht="15.75" hidden="false" customHeight="false" outlineLevel="0" collapsed="false">
      <c r="A336" s="5"/>
      <c r="B336" s="125"/>
      <c r="C336" s="126"/>
      <c r="D336" s="115"/>
      <c r="E336" s="119"/>
      <c r="F336" s="119"/>
      <c r="G336" s="91"/>
      <c r="H336" s="92"/>
      <c r="I336" s="92"/>
      <c r="J336" s="128"/>
      <c r="K336" s="128"/>
      <c r="L336" s="128"/>
      <c r="M336" s="94"/>
      <c r="N336" s="94"/>
      <c r="O336" s="94"/>
      <c r="P336" s="95"/>
      <c r="Q336" s="96"/>
      <c r="R336" s="128"/>
      <c r="S336" s="98"/>
      <c r="T336" s="99"/>
      <c r="U336" s="99" t="str">
        <f aca="false">IF(ISBLANK($C336),"",IF(G336=Constants!$B$2, TRUE(), IF(G336=Constants!$B$3, FALSE(), TRUE())))</f>
        <v/>
      </c>
      <c r="V336" s="99" t="str">
        <f aca="false">IF(ISBLANK($C336),"",IF(H336=Constants!$B$2, TRUE(), IF(H336=Constants!$B$3, FALSE(), TRUE())))</f>
        <v/>
      </c>
      <c r="W336" s="99" t="str">
        <f aca="false">IF(ISBLANK($C336),"",IF(I336=Constants!$B$2, TRUE(), IF(I336=Constants!$B$3, FALSE(), TRUE())))</f>
        <v/>
      </c>
      <c r="X336" s="99" t="str">
        <f aca="false">IF(ISBLANK($C336),"",IF(AND(ISNUMBER(J336),J336&gt;0),INT(J336),0))</f>
        <v/>
      </c>
      <c r="Y336" s="99" t="str">
        <f aca="false">IF(ISBLANK($C336),"",IF(K336=Constants!$B$2, TRUE(), IF(K336=Constants!$B$3, FALSE(), TRUE())))</f>
        <v/>
      </c>
      <c r="Z336" s="100" t="str">
        <f aca="false">IF(ISBLANK($C336),"",IF(AND(ISNUMBER(L336),L336&gt;0),INT(L336),0))</f>
        <v/>
      </c>
      <c r="AA336" s="101" t="str">
        <f aca="false">IF(ISBLANK($C336),"",IF(ISNUMBER(M336), M336, ""))</f>
        <v/>
      </c>
      <c r="AB336" s="101" t="str">
        <f aca="false">IF(ISBLANK($C336),"",IF(ISNUMBER(N336), N336, ""))</f>
        <v/>
      </c>
      <c r="AC336" s="101" t="str">
        <f aca="false">IF(ISBLANK($C336),"",IF(ISNUMBER(O336), O336, ""))</f>
        <v/>
      </c>
      <c r="AD336" s="102" t="str">
        <f aca="false">IF(ISBLANK($C336),"",IF(ISNUMBER(P336), P336, ""))</f>
        <v/>
      </c>
      <c r="AE336" s="102" t="str">
        <f aca="false">IF(ISBLANK($C336),"",IF(ISNUMBER(Q336), Q336, Constants!$B$13))</f>
        <v/>
      </c>
      <c r="AF336" s="99" t="str">
        <f aca="false">IF(ISBLANK($C336),"",IF(R336=Constants!$B$2, TRUE(), IF(R336=Constants!$B$3, FALSE(), FALSE())))</f>
        <v/>
      </c>
      <c r="AG336" s="99" t="str">
        <f aca="false">IF(ISBLANK(C336), "", IF(AF336, Constants!$B$4,IF(COUNTA(G336:P336)=0, Constants!$B$5, Constants!$B$7)))</f>
        <v/>
      </c>
      <c r="AH336" s="99" t="str">
        <f aca="false">IF(ISBLANK($C336), "",IF($AG336=Constants!$B$7,1,$AG336))</f>
        <v/>
      </c>
      <c r="AI336" s="99" t="str">
        <f aca="false">IF($AG336=Constants!$B$7,POWER(Constants!$B$11,X336)*POWER(Constants!$B$12,Z336),"")</f>
        <v/>
      </c>
      <c r="AJ336" s="99" t="str">
        <f aca="false">IF(AND($AG336=Constants!$B$7, U336, V336) ,IF(OR($AA336="",$AC336=""),"",MAX(0, $AC336-$AA336)),"")</f>
        <v/>
      </c>
      <c r="AK336" s="99" t="str">
        <f aca="false">IF(AND($AG336=Constants!$B$7, U336, V336),IF(OR($AA336="",$AC336=""),$AK$6,""),"")</f>
        <v/>
      </c>
      <c r="AL336" s="99" t="str">
        <f aca="false">IF($AG336=Constants!$B$7,IF(AND(U336,V336,W336,Y336),IF($AJ336="",0,IF($AJ$6=0,Constants!$B$9,Constants!$B$9*AJ336/$AJ$6)), 0),"")</f>
        <v/>
      </c>
      <c r="AM336" s="99" t="str">
        <f aca="false">IF(AL336&lt;&gt;"", AL336*AI336,"")</f>
        <v/>
      </c>
      <c r="AN336" s="99" t="str">
        <f aca="false">IF(AND($AG336=Constants!$B$7, U336, V336) ,IF($AB336="", "", IF(OR($AC336="",$AC336=0),"",MAX(0,1-ABS($AC336-$AB336)/$AC336))),"")</f>
        <v/>
      </c>
      <c r="AO336" s="99" t="str">
        <f aca="false">IF(AND($AG336=Constants!$B$7, U336, V336),IF(AND($AA336&lt;&gt;"",$AB336&lt;&gt;"",$AC336=0),$AO$6,""),"")</f>
        <v/>
      </c>
      <c r="AP336" s="99" t="str">
        <f aca="false">IF($AG336=Constants!$B$7 ,IF(AND(U336,V336,W336,Y336,ISNUMBER(AB336)),IF($AN336="",0,IF($AN$6=0,Constants!$B$10,Constants!$B$10*AN336/$AN$6)), 0),"")</f>
        <v/>
      </c>
      <c r="AQ336" s="99" t="str">
        <f aca="false">IF(AP336&lt;&gt;"", AP336*AI336,"")</f>
        <v/>
      </c>
      <c r="AR336" s="99" t="str">
        <f aca="false">IF($AG336=Constants!$B$7,IF($AD336="",0,IF($AR$6=0,Constants!$B$8,Constants!$B$8*AD336/$AR$6)),"")</f>
        <v/>
      </c>
      <c r="AS336" s="99" t="str">
        <f aca="false">IF($AG336&lt;&gt;Constants!$B$7,$AG336,IF(AK336&amp;AO336&lt;&gt;"",Constants!$B$14,AM336+AQ336+AR336))</f>
        <v/>
      </c>
      <c r="AT336" s="99" t="str">
        <f aca="false">IF(ISBLANK($C336),"",IF($AG336=Constants!$B$7,IF(ISNUMBER(AS336),RANK(AS336,$AS$8:$AS$507),Constants!$B$14),$AG336))</f>
        <v/>
      </c>
      <c r="AU336" s="99" t="str">
        <f aca="false">IF(ISBLANK($C336), "",AM336)</f>
        <v/>
      </c>
      <c r="AV336" s="99" t="str">
        <f aca="false">IF(ISBLANK($C336),"",IF($AG336=Constants!$B$7,RANK(AU336,AU$8:AU$507),$AG336))</f>
        <v/>
      </c>
      <c r="AW336" s="99" t="str">
        <f aca="false">IF(ISBLANK($C336), "",AR336)</f>
        <v/>
      </c>
      <c r="AX336" s="99" t="str">
        <f aca="false">IF(ISBLANK($C336),"",IF($AG336=Constants!$B$7,RANK(AW336,AW$8:AW$507),$AG336))</f>
        <v/>
      </c>
      <c r="AY336" s="99" t="str">
        <f aca="false">IF(ISBLANK($C336), "",AE336)</f>
        <v/>
      </c>
      <c r="AZ336" s="99" t="str">
        <f aca="false">IF(ISBLANK($C336),"",
IF($AG336=Constants!$B$7,
  IF(ISNUMBER(AT336),
    COUNTIFS($AT$8:$AT$507,"&lt;"&amp;$AT336)
    + COUNTIFS($AT$8:$AT$507,$AT336,$AV$8:$AV$507,"&lt;"&amp;$AV336)
    + COUNTIFS($AT$8:$AT$507,$AT336,$AV$8:$AV$507,$AV336,$AX$8:$AX$507,"&lt;"&amp;$AX336)
    + COUNTIFS($AT$8:$AT$507,$AT336,$AV$8:$AV$507,$AV336,$AX$8:$AX$507,$AX336,$AY$8:$AY$507,"&lt;"&amp;$AY336)
    + 1,
  Constants!$B$14),
$AG336))</f>
        <v/>
      </c>
      <c r="BA336" s="99" t="str">
        <f aca="false">IF(ISBLANK(C336),"",IF($AG336=Constants!$B$7, IF(ISNUMBER(AT336),AT336-AZ336,Constants!$B$14),$AG336))</f>
        <v/>
      </c>
      <c r="BB336" s="103"/>
      <c r="BC336" s="104" t="str">
        <f aca="false">IF(ISBLANK($C336),"",TRIM(AK336&amp;" "&amp;AO336))</f>
        <v/>
      </c>
      <c r="BD336" s="105" t="str">
        <f aca="false">IF(ISBLANK($C336),"",IF($AG336&lt;&gt;Constants!$B$7,$AG336,AR336))</f>
        <v/>
      </c>
      <c r="BE336" s="105" t="str">
        <f aca="false">IF(ISBLANK($C336),"",IF($AG336&lt;&gt;Constants!$B$7,$AG336,AM336))</f>
        <v/>
      </c>
      <c r="BF336" s="105" t="str">
        <f aca="false">IF(ISBLANK($C336),"",IF($AG336&lt;&gt;Constants!$B$7,$AG336,AQ336))</f>
        <v/>
      </c>
      <c r="BG336" s="106" t="str">
        <f aca="false">IF(ISBLANK($C336),"",IF($AG336&lt;&gt;Constants!$B$7, $AG336 ,AS336))</f>
        <v/>
      </c>
      <c r="BH336" s="107" t="str">
        <f aca="false">IF(ISBLANK($C336),"",IF($AG336&lt;&gt;Constants!$B$7, $AG336 ,AH336))</f>
        <v/>
      </c>
      <c r="BI336" s="105" t="str">
        <f aca="false">IF(ISBLANK(C336),"",BA336)</f>
        <v/>
      </c>
      <c r="BJ336" s="105" t="str">
        <f aca="false">IF(ISBLANK(C336),"",AZ336)</f>
        <v/>
      </c>
      <c r="BK336" s="108" t="str">
        <f aca="false">IF(ISBLANK(C336),"",IFERROR(_xlfn.SWITCH(BJ336, Constants!$B$4, COUNTA($C$8:$C835)+2, Constants!$B$5, COUNTA($C$8:$C835)+1, Constants!$B$6, COUNTA($C$8:$C835)),BJ336))</f>
        <v/>
      </c>
      <c r="BL336" s="5"/>
      <c r="BM336" s="109" t="n">
        <f aca="false">IF(OR(ISNUMBER(BJ336),BJ336="DQ",BJ336="P",BJ336="NS"),
    1,
    0
)</f>
        <v>0</v>
      </c>
      <c r="BN336" s="109" t="n">
        <v>329</v>
      </c>
      <c r="BO336" s="109" t="str">
        <f aca="false">IF(ISBLANK($C336),"",IF(ISNUMBER(BK336),BK336+ROW($B336)/1000,""))</f>
        <v/>
      </c>
      <c r="BP336" s="109" t="str">
        <f aca="false">IF(ISNUMBER(BO336), RANK(BO336,BO$8:BO$507,1), "")</f>
        <v/>
      </c>
      <c r="BQ336" s="109" t="str">
        <f aca="false">IF(ISBLANK($C336),
    "",
    $B336
)</f>
        <v/>
      </c>
      <c r="BR336" s="109" t="str">
        <f aca="false">IF(ISBLANK($C336),
    "",
    $C336
)</f>
        <v/>
      </c>
      <c r="BS336" s="109" t="str">
        <f aca="false">IF(ISBLANK($C336),
    "",
    $D336
)</f>
        <v/>
      </c>
      <c r="BT336" s="110" t="str">
        <f aca="false">BH336</f>
        <v/>
      </c>
      <c r="BU336" s="111" t="str">
        <f aca="false">BG336</f>
        <v/>
      </c>
      <c r="BV336" s="109" t="str">
        <f aca="false">IF(ISBLANK($C336),
    "",
    BJ336
)</f>
        <v/>
      </c>
      <c r="BW336" s="112" t="str">
        <f aca="false">IF(BN336&gt;BM$7,
    "",
    VLOOKUP(BN336,BP$8:BV835,7,FALSE())
)</f>
        <v/>
      </c>
      <c r="BX336" s="113" t="str">
        <f aca="false">IF(BN336&gt;BM$7,
    "",
    VLOOKUP(BN336,BP$8:BV835,2,FALSE())
)</f>
        <v/>
      </c>
      <c r="BY336" s="113" t="str">
        <f aca="false">IF(BN336&gt;BM$7,
    "",
    VLOOKUP(BN336,BP$8:BV835,3,FALSE())
)</f>
        <v/>
      </c>
      <c r="BZ336" s="113" t="str">
        <f aca="false">IF(BN336&gt;BM$7,
    "",
    VLOOKUP(BN336,BP$8:BV835,4,FALSE())
)</f>
        <v/>
      </c>
      <c r="CA336" s="113" t="str">
        <f aca="false">IF(BN336&gt;BM$7,
    "",
    VLOOKUP(BN336,BP$8:BV835,5,FALSE())
)</f>
        <v/>
      </c>
      <c r="CB336" s="114" t="str">
        <f aca="false">IF(BN336&gt;BM$7,
    "",
    VLOOKUP(BN336,BP$8:BV835,6,FALSE())
)</f>
        <v/>
      </c>
      <c r="CC336" s="53"/>
    </row>
    <row r="337" customFormat="false" ht="15.75" hidden="false" customHeight="false" outlineLevel="0" collapsed="false">
      <c r="A337" s="5"/>
      <c r="B337" s="125"/>
      <c r="C337" s="126"/>
      <c r="D337" s="115"/>
      <c r="E337" s="119"/>
      <c r="F337" s="119"/>
      <c r="G337" s="91"/>
      <c r="H337" s="92"/>
      <c r="I337" s="92"/>
      <c r="J337" s="128"/>
      <c r="K337" s="128"/>
      <c r="L337" s="128"/>
      <c r="M337" s="94"/>
      <c r="N337" s="94"/>
      <c r="O337" s="94"/>
      <c r="P337" s="95"/>
      <c r="Q337" s="96"/>
      <c r="R337" s="128"/>
      <c r="S337" s="98"/>
      <c r="T337" s="99"/>
      <c r="U337" s="99" t="str">
        <f aca="false">IF(ISBLANK($C337),"",IF(G337=Constants!$B$2, TRUE(), IF(G337=Constants!$B$3, FALSE(), TRUE())))</f>
        <v/>
      </c>
      <c r="V337" s="99" t="str">
        <f aca="false">IF(ISBLANK($C337),"",IF(H337=Constants!$B$2, TRUE(), IF(H337=Constants!$B$3, FALSE(), TRUE())))</f>
        <v/>
      </c>
      <c r="W337" s="99" t="str">
        <f aca="false">IF(ISBLANK($C337),"",IF(I337=Constants!$B$2, TRUE(), IF(I337=Constants!$B$3, FALSE(), TRUE())))</f>
        <v/>
      </c>
      <c r="X337" s="99" t="str">
        <f aca="false">IF(ISBLANK($C337),"",IF(AND(ISNUMBER(J337),J337&gt;0),INT(J337),0))</f>
        <v/>
      </c>
      <c r="Y337" s="99" t="str">
        <f aca="false">IF(ISBLANK($C337),"",IF(K337=Constants!$B$2, TRUE(), IF(K337=Constants!$B$3, FALSE(), TRUE())))</f>
        <v/>
      </c>
      <c r="Z337" s="100" t="str">
        <f aca="false">IF(ISBLANK($C337),"",IF(AND(ISNUMBER(L337),L337&gt;0),INT(L337),0))</f>
        <v/>
      </c>
      <c r="AA337" s="101" t="str">
        <f aca="false">IF(ISBLANK($C337),"",IF(ISNUMBER(M337), M337, ""))</f>
        <v/>
      </c>
      <c r="AB337" s="101" t="str">
        <f aca="false">IF(ISBLANK($C337),"",IF(ISNUMBER(N337), N337, ""))</f>
        <v/>
      </c>
      <c r="AC337" s="101" t="str">
        <f aca="false">IF(ISBLANK($C337),"",IF(ISNUMBER(O337), O337, ""))</f>
        <v/>
      </c>
      <c r="AD337" s="102" t="str">
        <f aca="false">IF(ISBLANK($C337),"",IF(ISNUMBER(P337), P337, ""))</f>
        <v/>
      </c>
      <c r="AE337" s="102" t="str">
        <f aca="false">IF(ISBLANK($C337),"",IF(ISNUMBER(Q337), Q337, Constants!$B$13))</f>
        <v/>
      </c>
      <c r="AF337" s="99" t="str">
        <f aca="false">IF(ISBLANK($C337),"",IF(R337=Constants!$B$2, TRUE(), IF(R337=Constants!$B$3, FALSE(), FALSE())))</f>
        <v/>
      </c>
      <c r="AG337" s="99" t="str">
        <f aca="false">IF(ISBLANK(C337), "", IF(AF337, Constants!$B$4,IF(COUNTA(G337:P337)=0, Constants!$B$5, Constants!$B$7)))</f>
        <v/>
      </c>
      <c r="AH337" s="99" t="str">
        <f aca="false">IF(ISBLANK($C337), "",IF($AG337=Constants!$B$7,1,$AG337))</f>
        <v/>
      </c>
      <c r="AI337" s="99" t="str">
        <f aca="false">IF($AG337=Constants!$B$7,POWER(Constants!$B$11,X337)*POWER(Constants!$B$12,Z337),"")</f>
        <v/>
      </c>
      <c r="AJ337" s="99" t="str">
        <f aca="false">IF(AND($AG337=Constants!$B$7, U337, V337) ,IF(OR($AA337="",$AC337=""),"",MAX(0, $AC337-$AA337)),"")</f>
        <v/>
      </c>
      <c r="AK337" s="99" t="str">
        <f aca="false">IF(AND($AG337=Constants!$B$7, U337, V337),IF(OR($AA337="",$AC337=""),$AK$6,""),"")</f>
        <v/>
      </c>
      <c r="AL337" s="99" t="str">
        <f aca="false">IF($AG337=Constants!$B$7,IF(AND(U337,V337,W337,Y337),IF($AJ337="",0,IF($AJ$6=0,Constants!$B$9,Constants!$B$9*AJ337/$AJ$6)), 0),"")</f>
        <v/>
      </c>
      <c r="AM337" s="99" t="str">
        <f aca="false">IF(AL337&lt;&gt;"", AL337*AI337,"")</f>
        <v/>
      </c>
      <c r="AN337" s="99" t="str">
        <f aca="false">IF(AND($AG337=Constants!$B$7, U337, V337) ,IF($AB337="", "", IF(OR($AC337="",$AC337=0),"",MAX(0,1-ABS($AC337-$AB337)/$AC337))),"")</f>
        <v/>
      </c>
      <c r="AO337" s="99" t="str">
        <f aca="false">IF(AND($AG337=Constants!$B$7, U337, V337),IF(AND($AA337&lt;&gt;"",$AB337&lt;&gt;"",$AC337=0),$AO$6,""),"")</f>
        <v/>
      </c>
      <c r="AP337" s="99" t="str">
        <f aca="false">IF($AG337=Constants!$B$7 ,IF(AND(U337,V337,W337,Y337,ISNUMBER(AB337)),IF($AN337="",0,IF($AN$6=0,Constants!$B$10,Constants!$B$10*AN337/$AN$6)), 0),"")</f>
        <v/>
      </c>
      <c r="AQ337" s="99" t="str">
        <f aca="false">IF(AP337&lt;&gt;"", AP337*AI337,"")</f>
        <v/>
      </c>
      <c r="AR337" s="99" t="str">
        <f aca="false">IF($AG337=Constants!$B$7,IF($AD337="",0,IF($AR$6=0,Constants!$B$8,Constants!$B$8*AD337/$AR$6)),"")</f>
        <v/>
      </c>
      <c r="AS337" s="99" t="str">
        <f aca="false">IF($AG337&lt;&gt;Constants!$B$7,$AG337,IF(AK337&amp;AO337&lt;&gt;"",Constants!$B$14,AM337+AQ337+AR337))</f>
        <v/>
      </c>
      <c r="AT337" s="99" t="str">
        <f aca="false">IF(ISBLANK($C337),"",IF($AG337=Constants!$B$7,IF(ISNUMBER(AS337),RANK(AS337,$AS$8:$AS$507),Constants!$B$14),$AG337))</f>
        <v/>
      </c>
      <c r="AU337" s="99" t="str">
        <f aca="false">IF(ISBLANK($C337), "",AM337)</f>
        <v/>
      </c>
      <c r="AV337" s="99" t="str">
        <f aca="false">IF(ISBLANK($C337),"",IF($AG337=Constants!$B$7,RANK(AU337,AU$8:AU$507),$AG337))</f>
        <v/>
      </c>
      <c r="AW337" s="99" t="str">
        <f aca="false">IF(ISBLANK($C337), "",AR337)</f>
        <v/>
      </c>
      <c r="AX337" s="99" t="str">
        <f aca="false">IF(ISBLANK($C337),"",IF($AG337=Constants!$B$7,RANK(AW337,AW$8:AW$507),$AG337))</f>
        <v/>
      </c>
      <c r="AY337" s="99" t="str">
        <f aca="false">IF(ISBLANK($C337), "",AE337)</f>
        <v/>
      </c>
      <c r="AZ337" s="99" t="str">
        <f aca="false">IF(ISBLANK($C337),"",
IF($AG337=Constants!$B$7,
  IF(ISNUMBER(AT337),
    COUNTIFS($AT$8:$AT$507,"&lt;"&amp;$AT337)
    + COUNTIFS($AT$8:$AT$507,$AT337,$AV$8:$AV$507,"&lt;"&amp;$AV337)
    + COUNTIFS($AT$8:$AT$507,$AT337,$AV$8:$AV$507,$AV337,$AX$8:$AX$507,"&lt;"&amp;$AX337)
    + COUNTIFS($AT$8:$AT$507,$AT337,$AV$8:$AV$507,$AV337,$AX$8:$AX$507,$AX337,$AY$8:$AY$507,"&lt;"&amp;$AY337)
    + 1,
  Constants!$B$14),
$AG337))</f>
        <v/>
      </c>
      <c r="BA337" s="99" t="str">
        <f aca="false">IF(ISBLANK(C337),"",IF($AG337=Constants!$B$7, IF(ISNUMBER(AT337),AT337-AZ337,Constants!$B$14),$AG337))</f>
        <v/>
      </c>
      <c r="BB337" s="103"/>
      <c r="BC337" s="104" t="str">
        <f aca="false">IF(ISBLANK($C337),"",TRIM(AK337&amp;" "&amp;AO337))</f>
        <v/>
      </c>
      <c r="BD337" s="105" t="str">
        <f aca="false">IF(ISBLANK($C337),"",IF($AG337&lt;&gt;Constants!$B$7,$AG337,AR337))</f>
        <v/>
      </c>
      <c r="BE337" s="105" t="str">
        <f aca="false">IF(ISBLANK($C337),"",IF($AG337&lt;&gt;Constants!$B$7,$AG337,AM337))</f>
        <v/>
      </c>
      <c r="BF337" s="105" t="str">
        <f aca="false">IF(ISBLANK($C337),"",IF($AG337&lt;&gt;Constants!$B$7,$AG337,AQ337))</f>
        <v/>
      </c>
      <c r="BG337" s="106" t="str">
        <f aca="false">IF(ISBLANK($C337),"",IF($AG337&lt;&gt;Constants!$B$7, $AG337 ,AS337))</f>
        <v/>
      </c>
      <c r="BH337" s="107" t="str">
        <f aca="false">IF(ISBLANK($C337),"",IF($AG337&lt;&gt;Constants!$B$7, $AG337 ,AH337))</f>
        <v/>
      </c>
      <c r="BI337" s="105" t="str">
        <f aca="false">IF(ISBLANK(C337),"",BA337)</f>
        <v/>
      </c>
      <c r="BJ337" s="105" t="str">
        <f aca="false">IF(ISBLANK(C337),"",AZ337)</f>
        <v/>
      </c>
      <c r="BK337" s="108" t="str">
        <f aca="false">IF(ISBLANK(C337),"",IFERROR(_xlfn.SWITCH(BJ337, Constants!$B$4, COUNTA($C$8:$C836)+2, Constants!$B$5, COUNTA($C$8:$C836)+1, Constants!$B$6, COUNTA($C$8:$C836)),BJ337))</f>
        <v/>
      </c>
      <c r="BL337" s="5"/>
      <c r="BM337" s="109" t="n">
        <f aca="false">IF(OR(ISNUMBER(BJ337),BJ337="DQ",BJ337="P",BJ337="NS"),
    1,
    0
)</f>
        <v>0</v>
      </c>
      <c r="BN337" s="109" t="n">
        <v>330</v>
      </c>
      <c r="BO337" s="109" t="str">
        <f aca="false">IF(ISBLANK($C337),"",IF(ISNUMBER(BK337),BK337+ROW($B337)/1000,""))</f>
        <v/>
      </c>
      <c r="BP337" s="109" t="str">
        <f aca="false">IF(ISNUMBER(BO337), RANK(BO337,BO$8:BO$507,1), "")</f>
        <v/>
      </c>
      <c r="BQ337" s="109" t="str">
        <f aca="false">IF(ISBLANK($C337),
    "",
    $B337
)</f>
        <v/>
      </c>
      <c r="BR337" s="109" t="str">
        <f aca="false">IF(ISBLANK($C337),
    "",
    $C337
)</f>
        <v/>
      </c>
      <c r="BS337" s="109" t="str">
        <f aca="false">IF(ISBLANK($C337),
    "",
    $D337
)</f>
        <v/>
      </c>
      <c r="BT337" s="110" t="str">
        <f aca="false">BH337</f>
        <v/>
      </c>
      <c r="BU337" s="111" t="str">
        <f aca="false">BG337</f>
        <v/>
      </c>
      <c r="BV337" s="109" t="str">
        <f aca="false">IF(ISBLANK($C337),
    "",
    BJ337
)</f>
        <v/>
      </c>
      <c r="BW337" s="112" t="str">
        <f aca="false">IF(BN337&gt;BM$7,
    "",
    VLOOKUP(BN337,BP$8:BV836,7,FALSE())
)</f>
        <v/>
      </c>
      <c r="BX337" s="113" t="str">
        <f aca="false">IF(BN337&gt;BM$7,
    "",
    VLOOKUP(BN337,BP$8:BV836,2,FALSE())
)</f>
        <v/>
      </c>
      <c r="BY337" s="113" t="str">
        <f aca="false">IF(BN337&gt;BM$7,
    "",
    VLOOKUP(BN337,BP$8:BV836,3,FALSE())
)</f>
        <v/>
      </c>
      <c r="BZ337" s="113" t="str">
        <f aca="false">IF(BN337&gt;BM$7,
    "",
    VLOOKUP(BN337,BP$8:BV836,4,FALSE())
)</f>
        <v/>
      </c>
      <c r="CA337" s="113" t="str">
        <f aca="false">IF(BN337&gt;BM$7,
    "",
    VLOOKUP(BN337,BP$8:BV836,5,FALSE())
)</f>
        <v/>
      </c>
      <c r="CB337" s="114" t="str">
        <f aca="false">IF(BN337&gt;BM$7,
    "",
    VLOOKUP(BN337,BP$8:BV836,6,FALSE())
)</f>
        <v/>
      </c>
      <c r="CC337" s="53"/>
    </row>
    <row r="338" customFormat="false" ht="15.75" hidden="false" customHeight="false" outlineLevel="0" collapsed="false">
      <c r="A338" s="5"/>
      <c r="B338" s="129"/>
      <c r="C338" s="55"/>
      <c r="D338" s="56"/>
      <c r="E338" s="123"/>
      <c r="F338" s="123"/>
      <c r="G338" s="58"/>
      <c r="H338" s="59"/>
      <c r="I338" s="59"/>
      <c r="J338" s="83"/>
      <c r="K338" s="83"/>
      <c r="L338" s="83"/>
      <c r="M338" s="61"/>
      <c r="N338" s="61"/>
      <c r="O338" s="61"/>
      <c r="P338" s="62"/>
      <c r="Q338" s="63"/>
      <c r="R338" s="83"/>
      <c r="S338" s="65"/>
      <c r="T338" s="66"/>
      <c r="U338" s="66" t="str">
        <f aca="false">IF(ISBLANK($C338),"",IF(G338=Constants!$B$2, TRUE(), IF(G338=Constants!$B$3, FALSE(), TRUE())))</f>
        <v/>
      </c>
      <c r="V338" s="66" t="str">
        <f aca="false">IF(ISBLANK($C338),"",IF(H338=Constants!$B$2, TRUE(), IF(H338=Constants!$B$3, FALSE(), TRUE())))</f>
        <v/>
      </c>
      <c r="W338" s="66" t="str">
        <f aca="false">IF(ISBLANK($C338),"",IF(I338=Constants!$B$2, TRUE(), IF(I338=Constants!$B$3, FALSE(), TRUE())))</f>
        <v/>
      </c>
      <c r="X338" s="66" t="str">
        <f aca="false">IF(ISBLANK($C338),"",IF(AND(ISNUMBER(J338),J338&gt;0),INT(J338),0))</f>
        <v/>
      </c>
      <c r="Y338" s="66" t="str">
        <f aca="false">IF(ISBLANK($C338),"",IF(K338=Constants!$B$2, TRUE(), IF(K338=Constants!$B$3, FALSE(), TRUE())))</f>
        <v/>
      </c>
      <c r="Z338" s="66" t="str">
        <f aca="false">IF(ISBLANK($C338),"",IF(AND(ISNUMBER(L338),L338&gt;0),INT(L338),0))</f>
        <v/>
      </c>
      <c r="AA338" s="68" t="str">
        <f aca="false">IF(ISBLANK($C338),"",IF(ISNUMBER(M338), M338, ""))</f>
        <v/>
      </c>
      <c r="AB338" s="68" t="str">
        <f aca="false">IF(ISBLANK($C338),"",IF(ISNUMBER(N338), N338, ""))</f>
        <v/>
      </c>
      <c r="AC338" s="68" t="str">
        <f aca="false">IF(ISBLANK($C338),"",IF(ISNUMBER(O338), O338, ""))</f>
        <v/>
      </c>
      <c r="AD338" s="69" t="str">
        <f aca="false">IF(ISBLANK($C338),"",IF(ISNUMBER(P338), P338, ""))</f>
        <v/>
      </c>
      <c r="AE338" s="69" t="str">
        <f aca="false">IF(ISBLANK($C338),"",IF(ISNUMBER(Q338), Q338, Constants!$B$13))</f>
        <v/>
      </c>
      <c r="AF338" s="66" t="str">
        <f aca="false">IF(ISBLANK($C338),"",IF(R338=Constants!$B$2, TRUE(), IF(R338=Constants!$B$3, FALSE(), FALSE())))</f>
        <v/>
      </c>
      <c r="AG338" s="66" t="str">
        <f aca="false">IF(ISBLANK(C338), "", IF(AF338, Constants!$B$4,IF(COUNTA(G338:P338)=0, Constants!$B$5, Constants!$B$7)))</f>
        <v/>
      </c>
      <c r="AH338" s="66" t="str">
        <f aca="false">IF(ISBLANK($C338), "",IF($AG338=Constants!$B$7,1,$AG338))</f>
        <v/>
      </c>
      <c r="AI338" s="66" t="str">
        <f aca="false">IF($AG338=Constants!$B$7,POWER(Constants!$B$11,X338)*POWER(Constants!$B$12,Z338),"")</f>
        <v/>
      </c>
      <c r="AJ338" s="66" t="str">
        <f aca="false">IF(AND($AG338=Constants!$B$7, U338, V338) ,IF(OR($AA338="",$AC338=""),"",MAX(0, $AC338-$AA338)),"")</f>
        <v/>
      </c>
      <c r="AK338" s="66" t="str">
        <f aca="false">IF(AND($AG338=Constants!$B$7, U338, V338),IF(OR($AA338="",$AC338=""),$AK$6,""),"")</f>
        <v/>
      </c>
      <c r="AL338" s="66" t="str">
        <f aca="false">IF($AG338=Constants!$B$7,IF(AND(U338,V338,W338,Y338),IF($AJ338="",0,IF($AJ$6=0,Constants!$B$9,Constants!$B$9*AJ338/$AJ$6)), 0),"")</f>
        <v/>
      </c>
      <c r="AM338" s="66" t="str">
        <f aca="false">IF(AL338&lt;&gt;"", AL338*AI338,"")</f>
        <v/>
      </c>
      <c r="AN338" s="66" t="str">
        <f aca="false">IF(AND($AG338=Constants!$B$7, U338, V338) ,IF($AB338="", "", IF(OR($AC338="",$AC338=0),"",MAX(0,1-ABS($AC338-$AB338)/$AC338))),"")</f>
        <v/>
      </c>
      <c r="AO338" s="66" t="str">
        <f aca="false">IF(AND($AG338=Constants!$B$7, U338, V338),IF(AND($AA338&lt;&gt;"",$AB338&lt;&gt;"",$AC338=0),$AO$6,""),"")</f>
        <v/>
      </c>
      <c r="AP338" s="66" t="str">
        <f aca="false">IF($AG338=Constants!$B$7 ,IF(AND(U338,V338,W338,Y338,ISNUMBER(AB338)),IF($AN338="",0,IF($AN$6=0,Constants!$B$10,Constants!$B$10*AN338/$AN$6)), 0),"")</f>
        <v/>
      </c>
      <c r="AQ338" s="66" t="str">
        <f aca="false">IF(AP338&lt;&gt;"", AP338*AI338,"")</f>
        <v/>
      </c>
      <c r="AR338" s="66" t="str">
        <f aca="false">IF($AG338=Constants!$B$7,IF($AD338="",0,IF($AR$6=0,Constants!$B$8,Constants!$B$8*AD338/$AR$6)),"")</f>
        <v/>
      </c>
      <c r="AS338" s="66" t="str">
        <f aca="false">IF($AG338&lt;&gt;Constants!$B$7,$AG338,IF(AK338&amp;AO338&lt;&gt;"",Constants!$B$14,AM338+AQ338+AR338))</f>
        <v/>
      </c>
      <c r="AT338" s="66" t="str">
        <f aca="false">IF(ISBLANK($C338),"",IF($AG338=Constants!$B$7,IF(ISNUMBER(AS338),RANK(AS338,$AS$8:$AS$507),Constants!$B$14),$AG338))</f>
        <v/>
      </c>
      <c r="AU338" s="66" t="str">
        <f aca="false">IF(ISBLANK($C338), "",AM338)</f>
        <v/>
      </c>
      <c r="AV338" s="66" t="str">
        <f aca="false">IF(ISBLANK($C338),"",IF($AG338=Constants!$B$7,RANK(AU338,AU$8:AU$507),$AG338))</f>
        <v/>
      </c>
      <c r="AW338" s="66" t="str">
        <f aca="false">IF(ISBLANK($C338), "",AR338)</f>
        <v/>
      </c>
      <c r="AX338" s="66" t="str">
        <f aca="false">IF(ISBLANK($C338),"",IF($AG338=Constants!$B$7,RANK(AW338,AW$8:AW$507),$AG338))</f>
        <v/>
      </c>
      <c r="AY338" s="66" t="str">
        <f aca="false">IF(ISBLANK($C338), "",AE338)</f>
        <v/>
      </c>
      <c r="AZ338" s="66" t="str">
        <f aca="false">IF(ISBLANK($C338),"",
IF($AG338=Constants!$B$7,
  IF(ISNUMBER(AT338),
    COUNTIFS($AT$8:$AT$507,"&lt;"&amp;$AT338)
    + COUNTIFS($AT$8:$AT$507,$AT338,$AV$8:$AV$507,"&lt;"&amp;$AV338)
    + COUNTIFS($AT$8:$AT$507,$AT338,$AV$8:$AV$507,$AV338,$AX$8:$AX$507,"&lt;"&amp;$AX338)
    + COUNTIFS($AT$8:$AT$507,$AT338,$AV$8:$AV$507,$AV338,$AX$8:$AX$507,$AX338,$AY$8:$AY$507,"&lt;"&amp;$AY338)
    + 1,
  Constants!$B$14),
$AG338))</f>
        <v/>
      </c>
      <c r="BA338" s="66" t="str">
        <f aca="false">IF(ISBLANK(C338),"",IF($AG338=Constants!$B$7, IF(ISNUMBER(AT338),AT338-AZ338,Constants!$B$14),$AG338))</f>
        <v/>
      </c>
      <c r="BB338" s="70"/>
      <c r="BC338" s="84" t="str">
        <f aca="false">IF(ISBLANK($C338),"",TRIM(AK338&amp;" "&amp;AO338))</f>
        <v/>
      </c>
      <c r="BD338" s="72" t="str">
        <f aca="false">IF(ISBLANK($C338),"",IF($AG338&lt;&gt;Constants!$B$7,$AG338,AR338))</f>
        <v/>
      </c>
      <c r="BE338" s="72" t="str">
        <f aca="false">IF(ISBLANK($C338),"",IF($AG338&lt;&gt;Constants!$B$7,$AG338,AM338))</f>
        <v/>
      </c>
      <c r="BF338" s="72" t="str">
        <f aca="false">IF(ISBLANK($C338),"",IF($AG338&lt;&gt;Constants!$B$7,$AG338,AQ338))</f>
        <v/>
      </c>
      <c r="BG338" s="73" t="str">
        <f aca="false">IF(ISBLANK($C338),"",IF($AG338&lt;&gt;Constants!$B$7, $AG338 ,AS338))</f>
        <v/>
      </c>
      <c r="BH338" s="74" t="str">
        <f aca="false">IF(ISBLANK($C338),"",IF($AG338&lt;&gt;Constants!$B$7, $AG338 ,AH338))</f>
        <v/>
      </c>
      <c r="BI338" s="72" t="str">
        <f aca="false">IF(ISBLANK(C338),"",BA338)</f>
        <v/>
      </c>
      <c r="BJ338" s="72" t="str">
        <f aca="false">IF(ISBLANK(C338),"",AZ338)</f>
        <v/>
      </c>
      <c r="BK338" s="75" t="str">
        <f aca="false">IF(ISBLANK(C338),"",IFERROR(_xlfn.SWITCH(BJ338, Constants!$B$4, COUNTA($C$8:$C837)+2, Constants!$B$5, COUNTA($C$8:$C837)+1, Constants!$B$6, COUNTA($C$8:$C837)),BJ338))</f>
        <v/>
      </c>
      <c r="BL338" s="5"/>
      <c r="BM338" s="76" t="n">
        <f aca="false">IF(OR(ISNUMBER(BJ338),BJ338="DQ",BJ338="P",BJ338="NS"),
    1,
    0
)</f>
        <v>0</v>
      </c>
      <c r="BN338" s="76" t="n">
        <v>331</v>
      </c>
      <c r="BO338" s="76" t="str">
        <f aca="false">IF(ISBLANK($C338),"",IF(ISNUMBER(BK338),BK338+ROW($B338)/1000,""))</f>
        <v/>
      </c>
      <c r="BP338" s="76" t="str">
        <f aca="false">IF(ISNUMBER(BO338), RANK(BO338,BO$8:BO$507,1), "")</f>
        <v/>
      </c>
      <c r="BQ338" s="76" t="str">
        <f aca="false">IF(ISBLANK($C338),
    "",
    $B338
)</f>
        <v/>
      </c>
      <c r="BR338" s="76" t="str">
        <f aca="false">IF(ISBLANK($C338),
    "",
    $C338
)</f>
        <v/>
      </c>
      <c r="BS338" s="76" t="str">
        <f aca="false">IF(ISBLANK($C338),
    "",
    $D338
)</f>
        <v/>
      </c>
      <c r="BT338" s="77" t="str">
        <f aca="false">BH338</f>
        <v/>
      </c>
      <c r="BU338" s="78" t="str">
        <f aca="false">BG338</f>
        <v/>
      </c>
      <c r="BV338" s="76" t="str">
        <f aca="false">IF(ISBLANK($C338),
    "",
    BJ338
)</f>
        <v/>
      </c>
      <c r="BW338" s="79" t="str">
        <f aca="false">IF(BN338&gt;BM$7,
    "",
    VLOOKUP(BN338,BP$8:BV837,7,FALSE())
)</f>
        <v/>
      </c>
      <c r="BX338" s="80" t="str">
        <f aca="false">IF(BN338&gt;BM$7,
    "",
    VLOOKUP(BN338,BP$8:BV837,2,FALSE())
)</f>
        <v/>
      </c>
      <c r="BY338" s="80" t="str">
        <f aca="false">IF(BN338&gt;BM$7,
    "",
    VLOOKUP(BN338,BP$8:BV837,3,FALSE())
)</f>
        <v/>
      </c>
      <c r="BZ338" s="80" t="str">
        <f aca="false">IF(BN338&gt;BM$7,
    "",
    VLOOKUP(BN338,BP$8:BV837,4,FALSE())
)</f>
        <v/>
      </c>
      <c r="CA338" s="80" t="str">
        <f aca="false">IF(BN338&gt;BM$7,
    "",
    VLOOKUP(BN338,BP$8:BV837,5,FALSE())
)</f>
        <v/>
      </c>
      <c r="CB338" s="81" t="str">
        <f aca="false">IF(BN338&gt;BM$7,
    "",
    VLOOKUP(BN338,BP$8:BV837,6,FALSE())
)</f>
        <v/>
      </c>
      <c r="CC338" s="53"/>
    </row>
    <row r="339" customFormat="false" ht="15.75" hidden="false" customHeight="false" outlineLevel="0" collapsed="false">
      <c r="A339" s="5"/>
      <c r="B339" s="129"/>
      <c r="C339" s="55"/>
      <c r="D339" s="56"/>
      <c r="E339" s="123"/>
      <c r="F339" s="123"/>
      <c r="G339" s="58"/>
      <c r="H339" s="59"/>
      <c r="I339" s="59"/>
      <c r="J339" s="83"/>
      <c r="K339" s="83"/>
      <c r="L339" s="83"/>
      <c r="M339" s="61"/>
      <c r="N339" s="61"/>
      <c r="O339" s="61"/>
      <c r="P339" s="62"/>
      <c r="Q339" s="63"/>
      <c r="R339" s="83"/>
      <c r="S339" s="65"/>
      <c r="T339" s="66"/>
      <c r="U339" s="66" t="str">
        <f aca="false">IF(ISBLANK($C339),"",IF(G339=Constants!$B$2, TRUE(), IF(G339=Constants!$B$3, FALSE(), TRUE())))</f>
        <v/>
      </c>
      <c r="V339" s="66" t="str">
        <f aca="false">IF(ISBLANK($C339),"",IF(H339=Constants!$B$2, TRUE(), IF(H339=Constants!$B$3, FALSE(), TRUE())))</f>
        <v/>
      </c>
      <c r="W339" s="66" t="str">
        <f aca="false">IF(ISBLANK($C339),"",IF(I339=Constants!$B$2, TRUE(), IF(I339=Constants!$B$3, FALSE(), TRUE())))</f>
        <v/>
      </c>
      <c r="X339" s="66" t="str">
        <f aca="false">IF(ISBLANK($C339),"",IF(AND(ISNUMBER(J339),J339&gt;0),INT(J339),0))</f>
        <v/>
      </c>
      <c r="Y339" s="66" t="str">
        <f aca="false">IF(ISBLANK($C339),"",IF(K339=Constants!$B$2, TRUE(), IF(K339=Constants!$B$3, FALSE(), TRUE())))</f>
        <v/>
      </c>
      <c r="Z339" s="66" t="str">
        <f aca="false">IF(ISBLANK($C339),"",IF(AND(ISNUMBER(L339),L339&gt;0),INT(L339),0))</f>
        <v/>
      </c>
      <c r="AA339" s="68" t="str">
        <f aca="false">IF(ISBLANK($C339),"",IF(ISNUMBER(M339), M339, ""))</f>
        <v/>
      </c>
      <c r="AB339" s="68" t="str">
        <f aca="false">IF(ISBLANK($C339),"",IF(ISNUMBER(N339), N339, ""))</f>
        <v/>
      </c>
      <c r="AC339" s="68" t="str">
        <f aca="false">IF(ISBLANK($C339),"",IF(ISNUMBER(O339), O339, ""))</f>
        <v/>
      </c>
      <c r="AD339" s="69" t="str">
        <f aca="false">IF(ISBLANK($C339),"",IF(ISNUMBER(P339), P339, ""))</f>
        <v/>
      </c>
      <c r="AE339" s="69" t="str">
        <f aca="false">IF(ISBLANK($C339),"",IF(ISNUMBER(Q339), Q339, Constants!$B$13))</f>
        <v/>
      </c>
      <c r="AF339" s="66" t="str">
        <f aca="false">IF(ISBLANK($C339),"",IF(R339=Constants!$B$2, TRUE(), IF(R339=Constants!$B$3, FALSE(), FALSE())))</f>
        <v/>
      </c>
      <c r="AG339" s="66" t="str">
        <f aca="false">IF(ISBLANK(C339), "", IF(AF339, Constants!$B$4,IF(COUNTA(G339:P339)=0, Constants!$B$5, Constants!$B$7)))</f>
        <v/>
      </c>
      <c r="AH339" s="66" t="str">
        <f aca="false">IF(ISBLANK($C339), "",IF($AG339=Constants!$B$7,1,$AG339))</f>
        <v/>
      </c>
      <c r="AI339" s="66" t="str">
        <f aca="false">IF($AG339=Constants!$B$7,POWER(Constants!$B$11,X339)*POWER(Constants!$B$12,Z339),"")</f>
        <v/>
      </c>
      <c r="AJ339" s="66" t="str">
        <f aca="false">IF(AND($AG339=Constants!$B$7, U339, V339) ,IF(OR($AA339="",$AC339=""),"",MAX(0, $AC339-$AA339)),"")</f>
        <v/>
      </c>
      <c r="AK339" s="66" t="str">
        <f aca="false">IF(AND($AG339=Constants!$B$7, U339, V339),IF(OR($AA339="",$AC339=""),$AK$6,""),"")</f>
        <v/>
      </c>
      <c r="AL339" s="66" t="str">
        <f aca="false">IF($AG339=Constants!$B$7,IF(AND(U339,V339,W339,Y339),IF($AJ339="",0,IF($AJ$6=0,Constants!$B$9,Constants!$B$9*AJ339/$AJ$6)), 0),"")</f>
        <v/>
      </c>
      <c r="AM339" s="66" t="str">
        <f aca="false">IF(AL339&lt;&gt;"", AL339*AI339,"")</f>
        <v/>
      </c>
      <c r="AN339" s="66" t="str">
        <f aca="false">IF(AND($AG339=Constants!$B$7, U339, V339) ,IF($AB339="", "", IF(OR($AC339="",$AC339=0),"",MAX(0,1-ABS($AC339-$AB339)/$AC339))),"")</f>
        <v/>
      </c>
      <c r="AO339" s="66" t="str">
        <f aca="false">IF(AND($AG339=Constants!$B$7, U339, V339),IF(AND($AA339&lt;&gt;"",$AB339&lt;&gt;"",$AC339=0),$AO$6,""),"")</f>
        <v/>
      </c>
      <c r="AP339" s="66" t="str">
        <f aca="false">IF($AG339=Constants!$B$7 ,IF(AND(U339,V339,W339,Y339,ISNUMBER(AB339)),IF($AN339="",0,IF($AN$6=0,Constants!$B$10,Constants!$B$10*AN339/$AN$6)), 0),"")</f>
        <v/>
      </c>
      <c r="AQ339" s="66" t="str">
        <f aca="false">IF(AP339&lt;&gt;"", AP339*AI339,"")</f>
        <v/>
      </c>
      <c r="AR339" s="66" t="str">
        <f aca="false">IF($AG339=Constants!$B$7,IF($AD339="",0,IF($AR$6=0,Constants!$B$8,Constants!$B$8*AD339/$AR$6)),"")</f>
        <v/>
      </c>
      <c r="AS339" s="66" t="str">
        <f aca="false">IF($AG339&lt;&gt;Constants!$B$7,$AG339,IF(AK339&amp;AO339&lt;&gt;"",Constants!$B$14,AM339+AQ339+AR339))</f>
        <v/>
      </c>
      <c r="AT339" s="66" t="str">
        <f aca="false">IF(ISBLANK($C339),"",IF($AG339=Constants!$B$7,IF(ISNUMBER(AS339),RANK(AS339,$AS$8:$AS$507),Constants!$B$14),$AG339))</f>
        <v/>
      </c>
      <c r="AU339" s="66" t="str">
        <f aca="false">IF(ISBLANK($C339), "",AM339)</f>
        <v/>
      </c>
      <c r="AV339" s="66" t="str">
        <f aca="false">IF(ISBLANK($C339),"",IF($AG339=Constants!$B$7,RANK(AU339,AU$8:AU$507),$AG339))</f>
        <v/>
      </c>
      <c r="AW339" s="66" t="str">
        <f aca="false">IF(ISBLANK($C339), "",AR339)</f>
        <v/>
      </c>
      <c r="AX339" s="66" t="str">
        <f aca="false">IF(ISBLANK($C339),"",IF($AG339=Constants!$B$7,RANK(AW339,AW$8:AW$507),$AG339))</f>
        <v/>
      </c>
      <c r="AY339" s="66" t="str">
        <f aca="false">IF(ISBLANK($C339), "",AE339)</f>
        <v/>
      </c>
      <c r="AZ339" s="66" t="str">
        <f aca="false">IF(ISBLANK($C339),"",
IF($AG339=Constants!$B$7,
  IF(ISNUMBER(AT339),
    COUNTIFS($AT$8:$AT$507,"&lt;"&amp;$AT339)
    + COUNTIFS($AT$8:$AT$507,$AT339,$AV$8:$AV$507,"&lt;"&amp;$AV339)
    + COUNTIFS($AT$8:$AT$507,$AT339,$AV$8:$AV$507,$AV339,$AX$8:$AX$507,"&lt;"&amp;$AX339)
    + COUNTIFS($AT$8:$AT$507,$AT339,$AV$8:$AV$507,$AV339,$AX$8:$AX$507,$AX339,$AY$8:$AY$507,"&lt;"&amp;$AY339)
    + 1,
  Constants!$B$14),
$AG339))</f>
        <v/>
      </c>
      <c r="BA339" s="66" t="str">
        <f aca="false">IF(ISBLANK(C339),"",IF($AG339=Constants!$B$7, IF(ISNUMBER(AT339),AT339-AZ339,Constants!$B$14),$AG339))</f>
        <v/>
      </c>
      <c r="BB339" s="70"/>
      <c r="BC339" s="84" t="str">
        <f aca="false">IF(ISBLANK($C339),"",TRIM(AK339&amp;" "&amp;AO339))</f>
        <v/>
      </c>
      <c r="BD339" s="72" t="str">
        <f aca="false">IF(ISBLANK($C339),"",IF($AG339&lt;&gt;Constants!$B$7,$AG339,AR339))</f>
        <v/>
      </c>
      <c r="BE339" s="72" t="str">
        <f aca="false">IF(ISBLANK($C339),"",IF($AG339&lt;&gt;Constants!$B$7,$AG339,AM339))</f>
        <v/>
      </c>
      <c r="BF339" s="72" t="str">
        <f aca="false">IF(ISBLANK($C339),"",IF($AG339&lt;&gt;Constants!$B$7,$AG339,AQ339))</f>
        <v/>
      </c>
      <c r="BG339" s="73" t="str">
        <f aca="false">IF(ISBLANK($C339),"",IF($AG339&lt;&gt;Constants!$B$7, $AG339 ,AS339))</f>
        <v/>
      </c>
      <c r="BH339" s="74" t="str">
        <f aca="false">IF(ISBLANK($C339),"",IF($AG339&lt;&gt;Constants!$B$7, $AG339 ,AH339))</f>
        <v/>
      </c>
      <c r="BI339" s="72" t="str">
        <f aca="false">IF(ISBLANK(C339),"",BA339)</f>
        <v/>
      </c>
      <c r="BJ339" s="72" t="str">
        <f aca="false">IF(ISBLANK(C339),"",AZ339)</f>
        <v/>
      </c>
      <c r="BK339" s="75" t="str">
        <f aca="false">IF(ISBLANK(C339),"",IFERROR(_xlfn.SWITCH(BJ339, Constants!$B$4, COUNTA($C$8:$C838)+2, Constants!$B$5, COUNTA($C$8:$C838)+1, Constants!$B$6, COUNTA($C$8:$C838)),BJ339))</f>
        <v/>
      </c>
      <c r="BL339" s="5"/>
      <c r="BM339" s="76" t="n">
        <f aca="false">IF(OR(ISNUMBER(BJ339),BJ339="DQ",BJ339="P",BJ339="NS"),
    1,
    0
)</f>
        <v>0</v>
      </c>
      <c r="BN339" s="76" t="n">
        <v>332</v>
      </c>
      <c r="BO339" s="76" t="str">
        <f aca="false">IF(ISBLANK($C339),"",IF(ISNUMBER(BK339),BK339+ROW($B339)/1000,""))</f>
        <v/>
      </c>
      <c r="BP339" s="76" t="str">
        <f aca="false">IF(ISNUMBER(BO339), RANK(BO339,BO$8:BO$507,1), "")</f>
        <v/>
      </c>
      <c r="BQ339" s="76" t="str">
        <f aca="false">IF(ISBLANK($C339),
    "",
    $B339
)</f>
        <v/>
      </c>
      <c r="BR339" s="76" t="str">
        <f aca="false">IF(ISBLANK($C339),
    "",
    $C339
)</f>
        <v/>
      </c>
      <c r="BS339" s="76" t="str">
        <f aca="false">IF(ISBLANK($C339),
    "",
    $D339
)</f>
        <v/>
      </c>
      <c r="BT339" s="77" t="str">
        <f aca="false">BH339</f>
        <v/>
      </c>
      <c r="BU339" s="78" t="str">
        <f aca="false">BG339</f>
        <v/>
      </c>
      <c r="BV339" s="76" t="str">
        <f aca="false">IF(ISBLANK($C339),
    "",
    BJ339
)</f>
        <v/>
      </c>
      <c r="BW339" s="79" t="str">
        <f aca="false">IF(BN339&gt;BM$7,
    "",
    VLOOKUP(BN339,BP$8:BV838,7,FALSE())
)</f>
        <v/>
      </c>
      <c r="BX339" s="80" t="str">
        <f aca="false">IF(BN339&gt;BM$7,
    "",
    VLOOKUP(BN339,BP$8:BV838,2,FALSE())
)</f>
        <v/>
      </c>
      <c r="BY339" s="80" t="str">
        <f aca="false">IF(BN339&gt;BM$7,
    "",
    VLOOKUP(BN339,BP$8:BV838,3,FALSE())
)</f>
        <v/>
      </c>
      <c r="BZ339" s="80" t="str">
        <f aca="false">IF(BN339&gt;BM$7,
    "",
    VLOOKUP(BN339,BP$8:BV838,4,FALSE())
)</f>
        <v/>
      </c>
      <c r="CA339" s="80" t="str">
        <f aca="false">IF(BN339&gt;BM$7,
    "",
    VLOOKUP(BN339,BP$8:BV838,5,FALSE())
)</f>
        <v/>
      </c>
      <c r="CB339" s="81" t="str">
        <f aca="false">IF(BN339&gt;BM$7,
    "",
    VLOOKUP(BN339,BP$8:BV838,6,FALSE())
)</f>
        <v/>
      </c>
      <c r="CC339" s="53"/>
    </row>
    <row r="340" customFormat="false" ht="15.75" hidden="false" customHeight="false" outlineLevel="0" collapsed="false">
      <c r="A340" s="5"/>
      <c r="B340" s="129"/>
      <c r="C340" s="55"/>
      <c r="D340" s="56"/>
      <c r="E340" s="123"/>
      <c r="F340" s="123"/>
      <c r="G340" s="58"/>
      <c r="H340" s="59"/>
      <c r="I340" s="59"/>
      <c r="J340" s="83"/>
      <c r="K340" s="83"/>
      <c r="L340" s="83"/>
      <c r="M340" s="61"/>
      <c r="N340" s="61"/>
      <c r="O340" s="61"/>
      <c r="P340" s="62"/>
      <c r="Q340" s="63"/>
      <c r="R340" s="83"/>
      <c r="S340" s="65"/>
      <c r="T340" s="66"/>
      <c r="U340" s="66" t="str">
        <f aca="false">IF(ISBLANK($C340),"",IF(G340=Constants!$B$2, TRUE(), IF(G340=Constants!$B$3, FALSE(), TRUE())))</f>
        <v/>
      </c>
      <c r="V340" s="66" t="str">
        <f aca="false">IF(ISBLANK($C340),"",IF(H340=Constants!$B$2, TRUE(), IF(H340=Constants!$B$3, FALSE(), TRUE())))</f>
        <v/>
      </c>
      <c r="W340" s="66" t="str">
        <f aca="false">IF(ISBLANK($C340),"",IF(I340=Constants!$B$2, TRUE(), IF(I340=Constants!$B$3, FALSE(), TRUE())))</f>
        <v/>
      </c>
      <c r="X340" s="66" t="str">
        <f aca="false">IF(ISBLANK($C340),"",IF(AND(ISNUMBER(J340),J340&gt;0),INT(J340),0))</f>
        <v/>
      </c>
      <c r="Y340" s="66" t="str">
        <f aca="false">IF(ISBLANK($C340),"",IF(K340=Constants!$B$2, TRUE(), IF(K340=Constants!$B$3, FALSE(), TRUE())))</f>
        <v/>
      </c>
      <c r="Z340" s="66" t="str">
        <f aca="false">IF(ISBLANK($C340),"",IF(AND(ISNUMBER(L340),L340&gt;0),INT(L340),0))</f>
        <v/>
      </c>
      <c r="AA340" s="68" t="str">
        <f aca="false">IF(ISBLANK($C340),"",IF(ISNUMBER(M340), M340, ""))</f>
        <v/>
      </c>
      <c r="AB340" s="68" t="str">
        <f aca="false">IF(ISBLANK($C340),"",IF(ISNUMBER(N340), N340, ""))</f>
        <v/>
      </c>
      <c r="AC340" s="68" t="str">
        <f aca="false">IF(ISBLANK($C340),"",IF(ISNUMBER(O340), O340, ""))</f>
        <v/>
      </c>
      <c r="AD340" s="69" t="str">
        <f aca="false">IF(ISBLANK($C340),"",IF(ISNUMBER(P340), P340, ""))</f>
        <v/>
      </c>
      <c r="AE340" s="69" t="str">
        <f aca="false">IF(ISBLANK($C340),"",IF(ISNUMBER(Q340), Q340, Constants!$B$13))</f>
        <v/>
      </c>
      <c r="AF340" s="66" t="str">
        <f aca="false">IF(ISBLANK($C340),"",IF(R340=Constants!$B$2, TRUE(), IF(R340=Constants!$B$3, FALSE(), FALSE())))</f>
        <v/>
      </c>
      <c r="AG340" s="66" t="str">
        <f aca="false">IF(ISBLANK(C340), "", IF(AF340, Constants!$B$4,IF(COUNTA(G340:P340)=0, Constants!$B$5, Constants!$B$7)))</f>
        <v/>
      </c>
      <c r="AH340" s="66" t="str">
        <f aca="false">IF(ISBLANK($C340), "",IF($AG340=Constants!$B$7,1,$AG340))</f>
        <v/>
      </c>
      <c r="AI340" s="66" t="str">
        <f aca="false">IF($AG340=Constants!$B$7,POWER(Constants!$B$11,X340)*POWER(Constants!$B$12,Z340),"")</f>
        <v/>
      </c>
      <c r="AJ340" s="66" t="str">
        <f aca="false">IF(AND($AG340=Constants!$B$7, U340, V340) ,IF(OR($AA340="",$AC340=""),"",MAX(0, $AC340-$AA340)),"")</f>
        <v/>
      </c>
      <c r="AK340" s="66" t="str">
        <f aca="false">IF(AND($AG340=Constants!$B$7, U340, V340),IF(OR($AA340="",$AC340=""),$AK$6,""),"")</f>
        <v/>
      </c>
      <c r="AL340" s="66" t="str">
        <f aca="false">IF($AG340=Constants!$B$7,IF(AND(U340,V340,W340,Y340),IF($AJ340="",0,IF($AJ$6=0,Constants!$B$9,Constants!$B$9*AJ340/$AJ$6)), 0),"")</f>
        <v/>
      </c>
      <c r="AM340" s="66" t="str">
        <f aca="false">IF(AL340&lt;&gt;"", AL340*AI340,"")</f>
        <v/>
      </c>
      <c r="AN340" s="66" t="str">
        <f aca="false">IF(AND($AG340=Constants!$B$7, U340, V340) ,IF($AB340="", "", IF(OR($AC340="",$AC340=0),"",MAX(0,1-ABS($AC340-$AB340)/$AC340))),"")</f>
        <v/>
      </c>
      <c r="AO340" s="66" t="str">
        <f aca="false">IF(AND($AG340=Constants!$B$7, U340, V340),IF(AND($AA340&lt;&gt;"",$AB340&lt;&gt;"",$AC340=0),$AO$6,""),"")</f>
        <v/>
      </c>
      <c r="AP340" s="66" t="str">
        <f aca="false">IF($AG340=Constants!$B$7 ,IF(AND(U340,V340,W340,Y340,ISNUMBER(AB340)),IF($AN340="",0,IF($AN$6=0,Constants!$B$10,Constants!$B$10*AN340/$AN$6)), 0),"")</f>
        <v/>
      </c>
      <c r="AQ340" s="66" t="str">
        <f aca="false">IF(AP340&lt;&gt;"", AP340*AI340,"")</f>
        <v/>
      </c>
      <c r="AR340" s="66" t="str">
        <f aca="false">IF($AG340=Constants!$B$7,IF($AD340="",0,IF($AR$6=0,Constants!$B$8,Constants!$B$8*AD340/$AR$6)),"")</f>
        <v/>
      </c>
      <c r="AS340" s="66" t="str">
        <f aca="false">IF($AG340&lt;&gt;Constants!$B$7,$AG340,IF(AK340&amp;AO340&lt;&gt;"",Constants!$B$14,AM340+AQ340+AR340))</f>
        <v/>
      </c>
      <c r="AT340" s="66" t="str">
        <f aca="false">IF(ISBLANK($C340),"",IF($AG340=Constants!$B$7,IF(ISNUMBER(AS340),RANK(AS340,$AS$8:$AS$507),Constants!$B$14),$AG340))</f>
        <v/>
      </c>
      <c r="AU340" s="66" t="str">
        <f aca="false">IF(ISBLANK($C340), "",AM340)</f>
        <v/>
      </c>
      <c r="AV340" s="66" t="str">
        <f aca="false">IF(ISBLANK($C340),"",IF($AG340=Constants!$B$7,RANK(AU340,AU$8:AU$507),$AG340))</f>
        <v/>
      </c>
      <c r="AW340" s="66" t="str">
        <f aca="false">IF(ISBLANK($C340), "",AR340)</f>
        <v/>
      </c>
      <c r="AX340" s="66" t="str">
        <f aca="false">IF(ISBLANK($C340),"",IF($AG340=Constants!$B$7,RANK(AW340,AW$8:AW$507),$AG340))</f>
        <v/>
      </c>
      <c r="AY340" s="66" t="str">
        <f aca="false">IF(ISBLANK($C340), "",AE340)</f>
        <v/>
      </c>
      <c r="AZ340" s="66" t="str">
        <f aca="false">IF(ISBLANK($C340),"",
IF($AG340=Constants!$B$7,
  IF(ISNUMBER(AT340),
    COUNTIFS($AT$8:$AT$507,"&lt;"&amp;$AT340)
    + COUNTIFS($AT$8:$AT$507,$AT340,$AV$8:$AV$507,"&lt;"&amp;$AV340)
    + COUNTIFS($AT$8:$AT$507,$AT340,$AV$8:$AV$507,$AV340,$AX$8:$AX$507,"&lt;"&amp;$AX340)
    + COUNTIFS($AT$8:$AT$507,$AT340,$AV$8:$AV$507,$AV340,$AX$8:$AX$507,$AX340,$AY$8:$AY$507,"&lt;"&amp;$AY340)
    + 1,
  Constants!$B$14),
$AG340))</f>
        <v/>
      </c>
      <c r="BA340" s="66" t="str">
        <f aca="false">IF(ISBLANK(C340),"",IF($AG340=Constants!$B$7, IF(ISNUMBER(AT340),AT340-AZ340,Constants!$B$14),$AG340))</f>
        <v/>
      </c>
      <c r="BB340" s="70"/>
      <c r="BC340" s="84" t="str">
        <f aca="false">IF(ISBLANK($C340),"",TRIM(AK340&amp;" "&amp;AO340))</f>
        <v/>
      </c>
      <c r="BD340" s="72" t="str">
        <f aca="false">IF(ISBLANK($C340),"",IF($AG340&lt;&gt;Constants!$B$7,$AG340,AR340))</f>
        <v/>
      </c>
      <c r="BE340" s="72" t="str">
        <f aca="false">IF(ISBLANK($C340),"",IF($AG340&lt;&gt;Constants!$B$7,$AG340,AM340))</f>
        <v/>
      </c>
      <c r="BF340" s="72" t="str">
        <f aca="false">IF(ISBLANK($C340),"",IF($AG340&lt;&gt;Constants!$B$7,$AG340,AQ340))</f>
        <v/>
      </c>
      <c r="BG340" s="73" t="str">
        <f aca="false">IF(ISBLANK($C340),"",IF($AG340&lt;&gt;Constants!$B$7, $AG340 ,AS340))</f>
        <v/>
      </c>
      <c r="BH340" s="74" t="str">
        <f aca="false">IF(ISBLANK($C340),"",IF($AG340&lt;&gt;Constants!$B$7, $AG340 ,AH340))</f>
        <v/>
      </c>
      <c r="BI340" s="72" t="str">
        <f aca="false">IF(ISBLANK(C340),"",BA340)</f>
        <v/>
      </c>
      <c r="BJ340" s="72" t="str">
        <f aca="false">IF(ISBLANK(C340),"",AZ340)</f>
        <v/>
      </c>
      <c r="BK340" s="75" t="str">
        <f aca="false">IF(ISBLANK(C340),"",IFERROR(_xlfn.SWITCH(BJ340, Constants!$B$4, COUNTA($C$8:$C839)+2, Constants!$B$5, COUNTA($C$8:$C839)+1, Constants!$B$6, COUNTA($C$8:$C839)),BJ340))</f>
        <v/>
      </c>
      <c r="BL340" s="5"/>
      <c r="BM340" s="76" t="n">
        <f aca="false">IF(OR(ISNUMBER(BJ340),BJ340="DQ",BJ340="P",BJ340="NS"),
    1,
    0
)</f>
        <v>0</v>
      </c>
      <c r="BN340" s="76" t="n">
        <v>333</v>
      </c>
      <c r="BO340" s="76" t="str">
        <f aca="false">IF(ISBLANK($C340),"",IF(ISNUMBER(BK340),BK340+ROW($B340)/1000,""))</f>
        <v/>
      </c>
      <c r="BP340" s="76" t="str">
        <f aca="false">IF(ISNUMBER(BO340), RANK(BO340,BO$8:BO$507,1), "")</f>
        <v/>
      </c>
      <c r="BQ340" s="76" t="str">
        <f aca="false">IF(ISBLANK($C340),
    "",
    $B340
)</f>
        <v/>
      </c>
      <c r="BR340" s="76" t="str">
        <f aca="false">IF(ISBLANK($C340),
    "",
    $C340
)</f>
        <v/>
      </c>
      <c r="BS340" s="76" t="str">
        <f aca="false">IF(ISBLANK($C340),
    "",
    $D340
)</f>
        <v/>
      </c>
      <c r="BT340" s="77" t="str">
        <f aca="false">BH340</f>
        <v/>
      </c>
      <c r="BU340" s="78" t="str">
        <f aca="false">BG340</f>
        <v/>
      </c>
      <c r="BV340" s="76" t="str">
        <f aca="false">IF(ISBLANK($C340),
    "",
    BJ340
)</f>
        <v/>
      </c>
      <c r="BW340" s="79" t="str">
        <f aca="false">IF(BN340&gt;BM$7,
    "",
    VLOOKUP(BN340,BP$8:BV839,7,FALSE())
)</f>
        <v/>
      </c>
      <c r="BX340" s="80" t="str">
        <f aca="false">IF(BN340&gt;BM$7,
    "",
    VLOOKUP(BN340,BP$8:BV839,2,FALSE())
)</f>
        <v/>
      </c>
      <c r="BY340" s="80" t="str">
        <f aca="false">IF(BN340&gt;BM$7,
    "",
    VLOOKUP(BN340,BP$8:BV839,3,FALSE())
)</f>
        <v/>
      </c>
      <c r="BZ340" s="80" t="str">
        <f aca="false">IF(BN340&gt;BM$7,
    "",
    VLOOKUP(BN340,BP$8:BV839,4,FALSE())
)</f>
        <v/>
      </c>
      <c r="CA340" s="80" t="str">
        <f aca="false">IF(BN340&gt;BM$7,
    "",
    VLOOKUP(BN340,BP$8:BV839,5,FALSE())
)</f>
        <v/>
      </c>
      <c r="CB340" s="81" t="str">
        <f aca="false">IF(BN340&gt;BM$7,
    "",
    VLOOKUP(BN340,BP$8:BV839,6,FALSE())
)</f>
        <v/>
      </c>
      <c r="CC340" s="53"/>
    </row>
    <row r="341" customFormat="false" ht="15.75" hidden="false" customHeight="false" outlineLevel="0" collapsed="false">
      <c r="A341" s="5"/>
      <c r="B341" s="125"/>
      <c r="C341" s="126"/>
      <c r="D341" s="115"/>
      <c r="E341" s="119"/>
      <c r="F341" s="119"/>
      <c r="G341" s="91"/>
      <c r="H341" s="92"/>
      <c r="I341" s="92"/>
      <c r="J341" s="128"/>
      <c r="K341" s="128"/>
      <c r="L341" s="128"/>
      <c r="M341" s="94"/>
      <c r="N341" s="94"/>
      <c r="O341" s="94"/>
      <c r="P341" s="95"/>
      <c r="Q341" s="96"/>
      <c r="R341" s="128"/>
      <c r="S341" s="98"/>
      <c r="T341" s="99"/>
      <c r="U341" s="99" t="str">
        <f aca="false">IF(ISBLANK($C341),"",IF(G341=Constants!$B$2, TRUE(), IF(G341=Constants!$B$3, FALSE(), TRUE())))</f>
        <v/>
      </c>
      <c r="V341" s="99" t="str">
        <f aca="false">IF(ISBLANK($C341),"",IF(H341=Constants!$B$2, TRUE(), IF(H341=Constants!$B$3, FALSE(), TRUE())))</f>
        <v/>
      </c>
      <c r="W341" s="99" t="str">
        <f aca="false">IF(ISBLANK($C341),"",IF(I341=Constants!$B$2, TRUE(), IF(I341=Constants!$B$3, FALSE(), TRUE())))</f>
        <v/>
      </c>
      <c r="X341" s="99" t="str">
        <f aca="false">IF(ISBLANK($C341),"",IF(AND(ISNUMBER(J341),J341&gt;0),INT(J341),0))</f>
        <v/>
      </c>
      <c r="Y341" s="99" t="str">
        <f aca="false">IF(ISBLANK($C341),"",IF(K341=Constants!$B$2, TRUE(), IF(K341=Constants!$B$3, FALSE(), TRUE())))</f>
        <v/>
      </c>
      <c r="Z341" s="100" t="str">
        <f aca="false">IF(ISBLANK($C341),"",IF(AND(ISNUMBER(L341),L341&gt;0),INT(L341),0))</f>
        <v/>
      </c>
      <c r="AA341" s="101" t="str">
        <f aca="false">IF(ISBLANK($C341),"",IF(ISNUMBER(M341), M341, ""))</f>
        <v/>
      </c>
      <c r="AB341" s="101" t="str">
        <f aca="false">IF(ISBLANK($C341),"",IF(ISNUMBER(N341), N341, ""))</f>
        <v/>
      </c>
      <c r="AC341" s="101" t="str">
        <f aca="false">IF(ISBLANK($C341),"",IF(ISNUMBER(O341), O341, ""))</f>
        <v/>
      </c>
      <c r="AD341" s="102" t="str">
        <f aca="false">IF(ISBLANK($C341),"",IF(ISNUMBER(P341), P341, ""))</f>
        <v/>
      </c>
      <c r="AE341" s="102" t="str">
        <f aca="false">IF(ISBLANK($C341),"",IF(ISNUMBER(Q341), Q341, Constants!$B$13))</f>
        <v/>
      </c>
      <c r="AF341" s="99" t="str">
        <f aca="false">IF(ISBLANK($C341),"",IF(R341=Constants!$B$2, TRUE(), IF(R341=Constants!$B$3, FALSE(), FALSE())))</f>
        <v/>
      </c>
      <c r="AG341" s="99" t="str">
        <f aca="false">IF(ISBLANK(C341), "", IF(AF341, Constants!$B$4,IF(COUNTA(G341:P341)=0, Constants!$B$5, Constants!$B$7)))</f>
        <v/>
      </c>
      <c r="AH341" s="99" t="str">
        <f aca="false">IF(ISBLANK($C341), "",IF($AG341=Constants!$B$7,1,$AG341))</f>
        <v/>
      </c>
      <c r="AI341" s="99" t="str">
        <f aca="false">IF($AG341=Constants!$B$7,POWER(Constants!$B$11,X341)*POWER(Constants!$B$12,Z341),"")</f>
        <v/>
      </c>
      <c r="AJ341" s="99" t="str">
        <f aca="false">IF(AND($AG341=Constants!$B$7, U341, V341) ,IF(OR($AA341="",$AC341=""),"",MAX(0, $AC341-$AA341)),"")</f>
        <v/>
      </c>
      <c r="AK341" s="99" t="str">
        <f aca="false">IF(AND($AG341=Constants!$B$7, U341, V341),IF(OR($AA341="",$AC341=""),$AK$6,""),"")</f>
        <v/>
      </c>
      <c r="AL341" s="99" t="str">
        <f aca="false">IF($AG341=Constants!$B$7,IF(AND(U341,V341,W341,Y341),IF($AJ341="",0,IF($AJ$6=0,Constants!$B$9,Constants!$B$9*AJ341/$AJ$6)), 0),"")</f>
        <v/>
      </c>
      <c r="AM341" s="99" t="str">
        <f aca="false">IF(AL341&lt;&gt;"", AL341*AI341,"")</f>
        <v/>
      </c>
      <c r="AN341" s="99" t="str">
        <f aca="false">IF(AND($AG341=Constants!$B$7, U341, V341) ,IF($AB341="", "", IF(OR($AC341="",$AC341=0),"",MAX(0,1-ABS($AC341-$AB341)/$AC341))),"")</f>
        <v/>
      </c>
      <c r="AO341" s="99" t="str">
        <f aca="false">IF(AND($AG341=Constants!$B$7, U341, V341),IF(AND($AA341&lt;&gt;"",$AB341&lt;&gt;"",$AC341=0),$AO$6,""),"")</f>
        <v/>
      </c>
      <c r="AP341" s="99" t="str">
        <f aca="false">IF($AG341=Constants!$B$7 ,IF(AND(U341,V341,W341,Y341,ISNUMBER(AB341)),IF($AN341="",0,IF($AN$6=0,Constants!$B$10,Constants!$B$10*AN341/$AN$6)), 0),"")</f>
        <v/>
      </c>
      <c r="AQ341" s="99" t="str">
        <f aca="false">IF(AP341&lt;&gt;"", AP341*AI341,"")</f>
        <v/>
      </c>
      <c r="AR341" s="99" t="str">
        <f aca="false">IF($AG341=Constants!$B$7,IF($AD341="",0,IF($AR$6=0,Constants!$B$8,Constants!$B$8*AD341/$AR$6)),"")</f>
        <v/>
      </c>
      <c r="AS341" s="99" t="str">
        <f aca="false">IF($AG341&lt;&gt;Constants!$B$7,$AG341,IF(AK341&amp;AO341&lt;&gt;"",Constants!$B$14,AM341+AQ341+AR341))</f>
        <v/>
      </c>
      <c r="AT341" s="99" t="str">
        <f aca="false">IF(ISBLANK($C341),"",IF($AG341=Constants!$B$7,IF(ISNUMBER(AS341),RANK(AS341,$AS$8:$AS$507),Constants!$B$14),$AG341))</f>
        <v/>
      </c>
      <c r="AU341" s="99" t="str">
        <f aca="false">IF(ISBLANK($C341), "",AM341)</f>
        <v/>
      </c>
      <c r="AV341" s="99" t="str">
        <f aca="false">IF(ISBLANK($C341),"",IF($AG341=Constants!$B$7,RANK(AU341,AU$8:AU$507),$AG341))</f>
        <v/>
      </c>
      <c r="AW341" s="99" t="str">
        <f aca="false">IF(ISBLANK($C341), "",AR341)</f>
        <v/>
      </c>
      <c r="AX341" s="99" t="str">
        <f aca="false">IF(ISBLANK($C341),"",IF($AG341=Constants!$B$7,RANK(AW341,AW$8:AW$507),$AG341))</f>
        <v/>
      </c>
      <c r="AY341" s="99" t="str">
        <f aca="false">IF(ISBLANK($C341), "",AE341)</f>
        <v/>
      </c>
      <c r="AZ341" s="99" t="str">
        <f aca="false">IF(ISBLANK($C341),"",
IF($AG341=Constants!$B$7,
  IF(ISNUMBER(AT341),
    COUNTIFS($AT$8:$AT$507,"&lt;"&amp;$AT341)
    + COUNTIFS($AT$8:$AT$507,$AT341,$AV$8:$AV$507,"&lt;"&amp;$AV341)
    + COUNTIFS($AT$8:$AT$507,$AT341,$AV$8:$AV$507,$AV341,$AX$8:$AX$507,"&lt;"&amp;$AX341)
    + COUNTIFS($AT$8:$AT$507,$AT341,$AV$8:$AV$507,$AV341,$AX$8:$AX$507,$AX341,$AY$8:$AY$507,"&lt;"&amp;$AY341)
    + 1,
  Constants!$B$14),
$AG341))</f>
        <v/>
      </c>
      <c r="BA341" s="99" t="str">
        <f aca="false">IF(ISBLANK(C341),"",IF($AG341=Constants!$B$7, IF(ISNUMBER(AT341),AT341-AZ341,Constants!$B$14),$AG341))</f>
        <v/>
      </c>
      <c r="BB341" s="103"/>
      <c r="BC341" s="104" t="str">
        <f aca="false">IF(ISBLANK($C341),"",TRIM(AK341&amp;" "&amp;AO341))</f>
        <v/>
      </c>
      <c r="BD341" s="105" t="str">
        <f aca="false">IF(ISBLANK($C341),"",IF($AG341&lt;&gt;Constants!$B$7,$AG341,AR341))</f>
        <v/>
      </c>
      <c r="BE341" s="105" t="str">
        <f aca="false">IF(ISBLANK($C341),"",IF($AG341&lt;&gt;Constants!$B$7,$AG341,AM341))</f>
        <v/>
      </c>
      <c r="BF341" s="105" t="str">
        <f aca="false">IF(ISBLANK($C341),"",IF($AG341&lt;&gt;Constants!$B$7,$AG341,AQ341))</f>
        <v/>
      </c>
      <c r="BG341" s="106" t="str">
        <f aca="false">IF(ISBLANK($C341),"",IF($AG341&lt;&gt;Constants!$B$7, $AG341 ,AS341))</f>
        <v/>
      </c>
      <c r="BH341" s="107" t="str">
        <f aca="false">IF(ISBLANK($C341),"",IF($AG341&lt;&gt;Constants!$B$7, $AG341 ,AH341))</f>
        <v/>
      </c>
      <c r="BI341" s="105" t="str">
        <f aca="false">IF(ISBLANK(C341),"",BA341)</f>
        <v/>
      </c>
      <c r="BJ341" s="105" t="str">
        <f aca="false">IF(ISBLANK(C341),"",AZ341)</f>
        <v/>
      </c>
      <c r="BK341" s="108" t="str">
        <f aca="false">IF(ISBLANK(C341),"",IFERROR(_xlfn.SWITCH(BJ341, Constants!$B$4, COUNTA($C$8:$C840)+2, Constants!$B$5, COUNTA($C$8:$C840)+1, Constants!$B$6, COUNTA($C$8:$C840)),BJ341))</f>
        <v/>
      </c>
      <c r="BL341" s="5"/>
      <c r="BM341" s="109" t="n">
        <f aca="false">IF(OR(ISNUMBER(BJ341),BJ341="DQ",BJ341="P",BJ341="NS"),
    1,
    0
)</f>
        <v>0</v>
      </c>
      <c r="BN341" s="109" t="n">
        <v>334</v>
      </c>
      <c r="BO341" s="109" t="str">
        <f aca="false">IF(ISBLANK($C341),"",IF(ISNUMBER(BK341),BK341+ROW($B341)/1000,""))</f>
        <v/>
      </c>
      <c r="BP341" s="109" t="str">
        <f aca="false">IF(ISNUMBER(BO341), RANK(BO341,BO$8:BO$507,1), "")</f>
        <v/>
      </c>
      <c r="BQ341" s="109" t="str">
        <f aca="false">IF(ISBLANK($C341),
    "",
    $B341
)</f>
        <v/>
      </c>
      <c r="BR341" s="109" t="str">
        <f aca="false">IF(ISBLANK($C341),
    "",
    $C341
)</f>
        <v/>
      </c>
      <c r="BS341" s="109" t="str">
        <f aca="false">IF(ISBLANK($C341),
    "",
    $D341
)</f>
        <v/>
      </c>
      <c r="BT341" s="110" t="str">
        <f aca="false">BH341</f>
        <v/>
      </c>
      <c r="BU341" s="111" t="str">
        <f aca="false">BG341</f>
        <v/>
      </c>
      <c r="BV341" s="109" t="str">
        <f aca="false">IF(ISBLANK($C341),
    "",
    BJ341
)</f>
        <v/>
      </c>
      <c r="BW341" s="112" t="str">
        <f aca="false">IF(BN341&gt;BM$7,
    "",
    VLOOKUP(BN341,BP$8:BV840,7,FALSE())
)</f>
        <v/>
      </c>
      <c r="BX341" s="113" t="str">
        <f aca="false">IF(BN341&gt;BM$7,
    "",
    VLOOKUP(BN341,BP$8:BV840,2,FALSE())
)</f>
        <v/>
      </c>
      <c r="BY341" s="113" t="str">
        <f aca="false">IF(BN341&gt;BM$7,
    "",
    VLOOKUP(BN341,BP$8:BV840,3,FALSE())
)</f>
        <v/>
      </c>
      <c r="BZ341" s="113" t="str">
        <f aca="false">IF(BN341&gt;BM$7,
    "",
    VLOOKUP(BN341,BP$8:BV840,4,FALSE())
)</f>
        <v/>
      </c>
      <c r="CA341" s="113" t="str">
        <f aca="false">IF(BN341&gt;BM$7,
    "",
    VLOOKUP(BN341,BP$8:BV840,5,FALSE())
)</f>
        <v/>
      </c>
      <c r="CB341" s="114" t="str">
        <f aca="false">IF(BN341&gt;BM$7,
    "",
    VLOOKUP(BN341,BP$8:BV840,6,FALSE())
)</f>
        <v/>
      </c>
      <c r="CC341" s="53"/>
    </row>
    <row r="342" customFormat="false" ht="15.75" hidden="false" customHeight="false" outlineLevel="0" collapsed="false">
      <c r="A342" s="5"/>
      <c r="B342" s="125"/>
      <c r="C342" s="126"/>
      <c r="D342" s="115"/>
      <c r="E342" s="119"/>
      <c r="F342" s="119"/>
      <c r="G342" s="91"/>
      <c r="H342" s="92"/>
      <c r="I342" s="92"/>
      <c r="J342" s="128"/>
      <c r="K342" s="128"/>
      <c r="L342" s="128"/>
      <c r="M342" s="94"/>
      <c r="N342" s="94"/>
      <c r="O342" s="94"/>
      <c r="P342" s="95"/>
      <c r="Q342" s="96"/>
      <c r="R342" s="128"/>
      <c r="S342" s="98"/>
      <c r="T342" s="99"/>
      <c r="U342" s="99" t="str">
        <f aca="false">IF(ISBLANK($C342),"",IF(G342=Constants!$B$2, TRUE(), IF(G342=Constants!$B$3, FALSE(), TRUE())))</f>
        <v/>
      </c>
      <c r="V342" s="99" t="str">
        <f aca="false">IF(ISBLANK($C342),"",IF(H342=Constants!$B$2, TRUE(), IF(H342=Constants!$B$3, FALSE(), TRUE())))</f>
        <v/>
      </c>
      <c r="W342" s="99" t="str">
        <f aca="false">IF(ISBLANK($C342),"",IF(I342=Constants!$B$2, TRUE(), IF(I342=Constants!$B$3, FALSE(), TRUE())))</f>
        <v/>
      </c>
      <c r="X342" s="99" t="str">
        <f aca="false">IF(ISBLANK($C342),"",IF(AND(ISNUMBER(J342),J342&gt;0),INT(J342),0))</f>
        <v/>
      </c>
      <c r="Y342" s="99" t="str">
        <f aca="false">IF(ISBLANK($C342),"",IF(K342=Constants!$B$2, TRUE(), IF(K342=Constants!$B$3, FALSE(), TRUE())))</f>
        <v/>
      </c>
      <c r="Z342" s="100" t="str">
        <f aca="false">IF(ISBLANK($C342),"",IF(AND(ISNUMBER(L342),L342&gt;0),INT(L342),0))</f>
        <v/>
      </c>
      <c r="AA342" s="101" t="str">
        <f aca="false">IF(ISBLANK($C342),"",IF(ISNUMBER(M342), M342, ""))</f>
        <v/>
      </c>
      <c r="AB342" s="101" t="str">
        <f aca="false">IF(ISBLANK($C342),"",IF(ISNUMBER(N342), N342, ""))</f>
        <v/>
      </c>
      <c r="AC342" s="101" t="str">
        <f aca="false">IF(ISBLANK($C342),"",IF(ISNUMBER(O342), O342, ""))</f>
        <v/>
      </c>
      <c r="AD342" s="102" t="str">
        <f aca="false">IF(ISBLANK($C342),"",IF(ISNUMBER(P342), P342, ""))</f>
        <v/>
      </c>
      <c r="AE342" s="102" t="str">
        <f aca="false">IF(ISBLANK($C342),"",IF(ISNUMBER(Q342), Q342, Constants!$B$13))</f>
        <v/>
      </c>
      <c r="AF342" s="99" t="str">
        <f aca="false">IF(ISBLANK($C342),"",IF(R342=Constants!$B$2, TRUE(), IF(R342=Constants!$B$3, FALSE(), FALSE())))</f>
        <v/>
      </c>
      <c r="AG342" s="99" t="str">
        <f aca="false">IF(ISBLANK(C342), "", IF(AF342, Constants!$B$4,IF(COUNTA(G342:P342)=0, Constants!$B$5, Constants!$B$7)))</f>
        <v/>
      </c>
      <c r="AH342" s="99" t="str">
        <f aca="false">IF(ISBLANK($C342), "",IF($AG342=Constants!$B$7,1,$AG342))</f>
        <v/>
      </c>
      <c r="AI342" s="99" t="str">
        <f aca="false">IF($AG342=Constants!$B$7,POWER(Constants!$B$11,X342)*POWER(Constants!$B$12,Z342),"")</f>
        <v/>
      </c>
      <c r="AJ342" s="99" t="str">
        <f aca="false">IF(AND($AG342=Constants!$B$7, U342, V342) ,IF(OR($AA342="",$AC342=""),"",MAX(0, $AC342-$AA342)),"")</f>
        <v/>
      </c>
      <c r="AK342" s="99" t="str">
        <f aca="false">IF(AND($AG342=Constants!$B$7, U342, V342),IF(OR($AA342="",$AC342=""),$AK$6,""),"")</f>
        <v/>
      </c>
      <c r="AL342" s="99" t="str">
        <f aca="false">IF($AG342=Constants!$B$7,IF(AND(U342,V342,W342,Y342),IF($AJ342="",0,IF($AJ$6=0,Constants!$B$9,Constants!$B$9*AJ342/$AJ$6)), 0),"")</f>
        <v/>
      </c>
      <c r="AM342" s="99" t="str">
        <f aca="false">IF(AL342&lt;&gt;"", AL342*AI342,"")</f>
        <v/>
      </c>
      <c r="AN342" s="99" t="str">
        <f aca="false">IF(AND($AG342=Constants!$B$7, U342, V342) ,IF($AB342="", "", IF(OR($AC342="",$AC342=0),"",MAX(0,1-ABS($AC342-$AB342)/$AC342))),"")</f>
        <v/>
      </c>
      <c r="AO342" s="99" t="str">
        <f aca="false">IF(AND($AG342=Constants!$B$7, U342, V342),IF(AND($AA342&lt;&gt;"",$AB342&lt;&gt;"",$AC342=0),$AO$6,""),"")</f>
        <v/>
      </c>
      <c r="AP342" s="99" t="str">
        <f aca="false">IF($AG342=Constants!$B$7 ,IF(AND(U342,V342,W342,Y342,ISNUMBER(AB342)),IF($AN342="",0,IF($AN$6=0,Constants!$B$10,Constants!$B$10*AN342/$AN$6)), 0),"")</f>
        <v/>
      </c>
      <c r="AQ342" s="99" t="str">
        <f aca="false">IF(AP342&lt;&gt;"", AP342*AI342,"")</f>
        <v/>
      </c>
      <c r="AR342" s="99" t="str">
        <f aca="false">IF($AG342=Constants!$B$7,IF($AD342="",0,IF($AR$6=0,Constants!$B$8,Constants!$B$8*AD342/$AR$6)),"")</f>
        <v/>
      </c>
      <c r="AS342" s="99" t="str">
        <f aca="false">IF($AG342&lt;&gt;Constants!$B$7,$AG342,IF(AK342&amp;AO342&lt;&gt;"",Constants!$B$14,AM342+AQ342+AR342))</f>
        <v/>
      </c>
      <c r="AT342" s="99" t="str">
        <f aca="false">IF(ISBLANK($C342),"",IF($AG342=Constants!$B$7,IF(ISNUMBER(AS342),RANK(AS342,$AS$8:$AS$507),Constants!$B$14),$AG342))</f>
        <v/>
      </c>
      <c r="AU342" s="99" t="str">
        <f aca="false">IF(ISBLANK($C342), "",AM342)</f>
        <v/>
      </c>
      <c r="AV342" s="99" t="str">
        <f aca="false">IF(ISBLANK($C342),"",IF($AG342=Constants!$B$7,RANK(AU342,AU$8:AU$507),$AG342))</f>
        <v/>
      </c>
      <c r="AW342" s="99" t="str">
        <f aca="false">IF(ISBLANK($C342), "",AR342)</f>
        <v/>
      </c>
      <c r="AX342" s="99" t="str">
        <f aca="false">IF(ISBLANK($C342),"",IF($AG342=Constants!$B$7,RANK(AW342,AW$8:AW$507),$AG342))</f>
        <v/>
      </c>
      <c r="AY342" s="99" t="str">
        <f aca="false">IF(ISBLANK($C342), "",AE342)</f>
        <v/>
      </c>
      <c r="AZ342" s="99" t="str">
        <f aca="false">IF(ISBLANK($C342),"",
IF($AG342=Constants!$B$7,
  IF(ISNUMBER(AT342),
    COUNTIFS($AT$8:$AT$507,"&lt;"&amp;$AT342)
    + COUNTIFS($AT$8:$AT$507,$AT342,$AV$8:$AV$507,"&lt;"&amp;$AV342)
    + COUNTIFS($AT$8:$AT$507,$AT342,$AV$8:$AV$507,$AV342,$AX$8:$AX$507,"&lt;"&amp;$AX342)
    + COUNTIFS($AT$8:$AT$507,$AT342,$AV$8:$AV$507,$AV342,$AX$8:$AX$507,$AX342,$AY$8:$AY$507,"&lt;"&amp;$AY342)
    + 1,
  Constants!$B$14),
$AG342))</f>
        <v/>
      </c>
      <c r="BA342" s="99" t="str">
        <f aca="false">IF(ISBLANK(C342),"",IF($AG342=Constants!$B$7, IF(ISNUMBER(AT342),AT342-AZ342,Constants!$B$14),$AG342))</f>
        <v/>
      </c>
      <c r="BB342" s="103"/>
      <c r="BC342" s="104" t="str">
        <f aca="false">IF(ISBLANK($C342),"",TRIM(AK342&amp;" "&amp;AO342))</f>
        <v/>
      </c>
      <c r="BD342" s="105" t="str">
        <f aca="false">IF(ISBLANK($C342),"",IF($AG342&lt;&gt;Constants!$B$7,$AG342,AR342))</f>
        <v/>
      </c>
      <c r="BE342" s="105" t="str">
        <f aca="false">IF(ISBLANK($C342),"",IF($AG342&lt;&gt;Constants!$B$7,$AG342,AM342))</f>
        <v/>
      </c>
      <c r="BF342" s="105" t="str">
        <f aca="false">IF(ISBLANK($C342),"",IF($AG342&lt;&gt;Constants!$B$7,$AG342,AQ342))</f>
        <v/>
      </c>
      <c r="BG342" s="106" t="str">
        <f aca="false">IF(ISBLANK($C342),"",IF($AG342&lt;&gt;Constants!$B$7, $AG342 ,AS342))</f>
        <v/>
      </c>
      <c r="BH342" s="107" t="str">
        <f aca="false">IF(ISBLANK($C342),"",IF($AG342&lt;&gt;Constants!$B$7, $AG342 ,AH342))</f>
        <v/>
      </c>
      <c r="BI342" s="105" t="str">
        <f aca="false">IF(ISBLANK(C342),"",BA342)</f>
        <v/>
      </c>
      <c r="BJ342" s="105" t="str">
        <f aca="false">IF(ISBLANK(C342),"",AZ342)</f>
        <v/>
      </c>
      <c r="BK342" s="108" t="str">
        <f aca="false">IF(ISBLANK(C342),"",IFERROR(_xlfn.SWITCH(BJ342, Constants!$B$4, COUNTA($C$8:$C841)+2, Constants!$B$5, COUNTA($C$8:$C841)+1, Constants!$B$6, COUNTA($C$8:$C841)),BJ342))</f>
        <v/>
      </c>
      <c r="BL342" s="5"/>
      <c r="BM342" s="109" t="n">
        <f aca="false">IF(OR(ISNUMBER(BJ342),BJ342="DQ",BJ342="P",BJ342="NS"),
    1,
    0
)</f>
        <v>0</v>
      </c>
      <c r="BN342" s="109" t="n">
        <v>335</v>
      </c>
      <c r="BO342" s="109" t="str">
        <f aca="false">IF(ISBLANK($C342),"",IF(ISNUMBER(BK342),BK342+ROW($B342)/1000,""))</f>
        <v/>
      </c>
      <c r="BP342" s="109" t="str">
        <f aca="false">IF(ISNUMBER(BO342), RANK(BO342,BO$8:BO$507,1), "")</f>
        <v/>
      </c>
      <c r="BQ342" s="109" t="str">
        <f aca="false">IF(ISBLANK($C342),
    "",
    $B342
)</f>
        <v/>
      </c>
      <c r="BR342" s="109" t="str">
        <f aca="false">IF(ISBLANK($C342),
    "",
    $C342
)</f>
        <v/>
      </c>
      <c r="BS342" s="109" t="str">
        <f aca="false">IF(ISBLANK($C342),
    "",
    $D342
)</f>
        <v/>
      </c>
      <c r="BT342" s="110" t="str">
        <f aca="false">BH342</f>
        <v/>
      </c>
      <c r="BU342" s="111" t="str">
        <f aca="false">BG342</f>
        <v/>
      </c>
      <c r="BV342" s="109" t="str">
        <f aca="false">IF(ISBLANK($C342),
    "",
    BJ342
)</f>
        <v/>
      </c>
      <c r="BW342" s="112" t="str">
        <f aca="false">IF(BN342&gt;BM$7,
    "",
    VLOOKUP(BN342,BP$8:BV841,7,FALSE())
)</f>
        <v/>
      </c>
      <c r="BX342" s="113" t="str">
        <f aca="false">IF(BN342&gt;BM$7,
    "",
    VLOOKUP(BN342,BP$8:BV841,2,FALSE())
)</f>
        <v/>
      </c>
      <c r="BY342" s="113" t="str">
        <f aca="false">IF(BN342&gt;BM$7,
    "",
    VLOOKUP(BN342,BP$8:BV841,3,FALSE())
)</f>
        <v/>
      </c>
      <c r="BZ342" s="113" t="str">
        <f aca="false">IF(BN342&gt;BM$7,
    "",
    VLOOKUP(BN342,BP$8:BV841,4,FALSE())
)</f>
        <v/>
      </c>
      <c r="CA342" s="113" t="str">
        <f aca="false">IF(BN342&gt;BM$7,
    "",
    VLOOKUP(BN342,BP$8:BV841,5,FALSE())
)</f>
        <v/>
      </c>
      <c r="CB342" s="114" t="str">
        <f aca="false">IF(BN342&gt;BM$7,
    "",
    VLOOKUP(BN342,BP$8:BV841,6,FALSE())
)</f>
        <v/>
      </c>
      <c r="CC342" s="53"/>
    </row>
    <row r="343" customFormat="false" ht="15.75" hidden="false" customHeight="false" outlineLevel="0" collapsed="false">
      <c r="A343" s="5"/>
      <c r="B343" s="125"/>
      <c r="C343" s="126"/>
      <c r="D343" s="115"/>
      <c r="E343" s="119"/>
      <c r="F343" s="119"/>
      <c r="G343" s="91"/>
      <c r="H343" s="92"/>
      <c r="I343" s="92"/>
      <c r="J343" s="128"/>
      <c r="K343" s="128"/>
      <c r="L343" s="128"/>
      <c r="M343" s="94"/>
      <c r="N343" s="94"/>
      <c r="O343" s="94"/>
      <c r="P343" s="95"/>
      <c r="Q343" s="96"/>
      <c r="R343" s="128"/>
      <c r="S343" s="98"/>
      <c r="T343" s="99"/>
      <c r="U343" s="99" t="str">
        <f aca="false">IF(ISBLANK($C343),"",IF(G343=Constants!$B$2, TRUE(), IF(G343=Constants!$B$3, FALSE(), TRUE())))</f>
        <v/>
      </c>
      <c r="V343" s="99" t="str">
        <f aca="false">IF(ISBLANK($C343),"",IF(H343=Constants!$B$2, TRUE(), IF(H343=Constants!$B$3, FALSE(), TRUE())))</f>
        <v/>
      </c>
      <c r="W343" s="99" t="str">
        <f aca="false">IF(ISBLANK($C343),"",IF(I343=Constants!$B$2, TRUE(), IF(I343=Constants!$B$3, FALSE(), TRUE())))</f>
        <v/>
      </c>
      <c r="X343" s="99" t="str">
        <f aca="false">IF(ISBLANK($C343),"",IF(AND(ISNUMBER(J343),J343&gt;0),INT(J343),0))</f>
        <v/>
      </c>
      <c r="Y343" s="99" t="str">
        <f aca="false">IF(ISBLANK($C343),"",IF(K343=Constants!$B$2, TRUE(), IF(K343=Constants!$B$3, FALSE(), TRUE())))</f>
        <v/>
      </c>
      <c r="Z343" s="100" t="str">
        <f aca="false">IF(ISBLANK($C343),"",IF(AND(ISNUMBER(L343),L343&gt;0),INT(L343),0))</f>
        <v/>
      </c>
      <c r="AA343" s="101" t="str">
        <f aca="false">IF(ISBLANK($C343),"",IF(ISNUMBER(M343), M343, ""))</f>
        <v/>
      </c>
      <c r="AB343" s="101" t="str">
        <f aca="false">IF(ISBLANK($C343),"",IF(ISNUMBER(N343), N343, ""))</f>
        <v/>
      </c>
      <c r="AC343" s="101" t="str">
        <f aca="false">IF(ISBLANK($C343),"",IF(ISNUMBER(O343), O343, ""))</f>
        <v/>
      </c>
      <c r="AD343" s="102" t="str">
        <f aca="false">IF(ISBLANK($C343),"",IF(ISNUMBER(P343), P343, ""))</f>
        <v/>
      </c>
      <c r="AE343" s="102" t="str">
        <f aca="false">IF(ISBLANK($C343),"",IF(ISNUMBER(Q343), Q343, Constants!$B$13))</f>
        <v/>
      </c>
      <c r="AF343" s="99" t="str">
        <f aca="false">IF(ISBLANK($C343),"",IF(R343=Constants!$B$2, TRUE(), IF(R343=Constants!$B$3, FALSE(), FALSE())))</f>
        <v/>
      </c>
      <c r="AG343" s="99" t="str">
        <f aca="false">IF(ISBLANK(C343), "", IF(AF343, Constants!$B$4,IF(COUNTA(G343:P343)=0, Constants!$B$5, Constants!$B$7)))</f>
        <v/>
      </c>
      <c r="AH343" s="99" t="str">
        <f aca="false">IF(ISBLANK($C343), "",IF($AG343=Constants!$B$7,1,$AG343))</f>
        <v/>
      </c>
      <c r="AI343" s="99" t="str">
        <f aca="false">IF($AG343=Constants!$B$7,POWER(Constants!$B$11,X343)*POWER(Constants!$B$12,Z343),"")</f>
        <v/>
      </c>
      <c r="AJ343" s="99" t="str">
        <f aca="false">IF(AND($AG343=Constants!$B$7, U343, V343) ,IF(OR($AA343="",$AC343=""),"",MAX(0, $AC343-$AA343)),"")</f>
        <v/>
      </c>
      <c r="AK343" s="99" t="str">
        <f aca="false">IF(AND($AG343=Constants!$B$7, U343, V343),IF(OR($AA343="",$AC343=""),$AK$6,""),"")</f>
        <v/>
      </c>
      <c r="AL343" s="99" t="str">
        <f aca="false">IF($AG343=Constants!$B$7,IF(AND(U343,V343,W343,Y343),IF($AJ343="",0,IF($AJ$6=0,Constants!$B$9,Constants!$B$9*AJ343/$AJ$6)), 0),"")</f>
        <v/>
      </c>
      <c r="AM343" s="99" t="str">
        <f aca="false">IF(AL343&lt;&gt;"", AL343*AI343,"")</f>
        <v/>
      </c>
      <c r="AN343" s="99" t="str">
        <f aca="false">IF(AND($AG343=Constants!$B$7, U343, V343) ,IF($AB343="", "", IF(OR($AC343="",$AC343=0),"",MAX(0,1-ABS($AC343-$AB343)/$AC343))),"")</f>
        <v/>
      </c>
      <c r="AO343" s="99" t="str">
        <f aca="false">IF(AND($AG343=Constants!$B$7, U343, V343),IF(AND($AA343&lt;&gt;"",$AB343&lt;&gt;"",$AC343=0),$AO$6,""),"")</f>
        <v/>
      </c>
      <c r="AP343" s="99" t="str">
        <f aca="false">IF($AG343=Constants!$B$7 ,IF(AND(U343,V343,W343,Y343,ISNUMBER(AB343)),IF($AN343="",0,IF($AN$6=0,Constants!$B$10,Constants!$B$10*AN343/$AN$6)), 0),"")</f>
        <v/>
      </c>
      <c r="AQ343" s="99" t="str">
        <f aca="false">IF(AP343&lt;&gt;"", AP343*AI343,"")</f>
        <v/>
      </c>
      <c r="AR343" s="99" t="str">
        <f aca="false">IF($AG343=Constants!$B$7,IF($AD343="",0,IF($AR$6=0,Constants!$B$8,Constants!$B$8*AD343/$AR$6)),"")</f>
        <v/>
      </c>
      <c r="AS343" s="99" t="str">
        <f aca="false">IF($AG343&lt;&gt;Constants!$B$7,$AG343,IF(AK343&amp;AO343&lt;&gt;"",Constants!$B$14,AM343+AQ343+AR343))</f>
        <v/>
      </c>
      <c r="AT343" s="99" t="str">
        <f aca="false">IF(ISBLANK($C343),"",IF($AG343=Constants!$B$7,IF(ISNUMBER(AS343),RANK(AS343,$AS$8:$AS$507),Constants!$B$14),$AG343))</f>
        <v/>
      </c>
      <c r="AU343" s="99" t="str">
        <f aca="false">IF(ISBLANK($C343), "",AM343)</f>
        <v/>
      </c>
      <c r="AV343" s="99" t="str">
        <f aca="false">IF(ISBLANK($C343),"",IF($AG343=Constants!$B$7,RANK(AU343,AU$8:AU$507),$AG343))</f>
        <v/>
      </c>
      <c r="AW343" s="99" t="str">
        <f aca="false">IF(ISBLANK($C343), "",AR343)</f>
        <v/>
      </c>
      <c r="AX343" s="99" t="str">
        <f aca="false">IF(ISBLANK($C343),"",IF($AG343=Constants!$B$7,RANK(AW343,AW$8:AW$507),$AG343))</f>
        <v/>
      </c>
      <c r="AY343" s="99" t="str">
        <f aca="false">IF(ISBLANK($C343), "",AE343)</f>
        <v/>
      </c>
      <c r="AZ343" s="99" t="str">
        <f aca="false">IF(ISBLANK($C343),"",
IF($AG343=Constants!$B$7,
  IF(ISNUMBER(AT343),
    COUNTIFS($AT$8:$AT$507,"&lt;"&amp;$AT343)
    + COUNTIFS($AT$8:$AT$507,$AT343,$AV$8:$AV$507,"&lt;"&amp;$AV343)
    + COUNTIFS($AT$8:$AT$507,$AT343,$AV$8:$AV$507,$AV343,$AX$8:$AX$507,"&lt;"&amp;$AX343)
    + COUNTIFS($AT$8:$AT$507,$AT343,$AV$8:$AV$507,$AV343,$AX$8:$AX$507,$AX343,$AY$8:$AY$507,"&lt;"&amp;$AY343)
    + 1,
  Constants!$B$14),
$AG343))</f>
        <v/>
      </c>
      <c r="BA343" s="99" t="str">
        <f aca="false">IF(ISBLANK(C343),"",IF($AG343=Constants!$B$7, IF(ISNUMBER(AT343),AT343-AZ343,Constants!$B$14),$AG343))</f>
        <v/>
      </c>
      <c r="BB343" s="103"/>
      <c r="BC343" s="104" t="str">
        <f aca="false">IF(ISBLANK($C343),"",TRIM(AK343&amp;" "&amp;AO343))</f>
        <v/>
      </c>
      <c r="BD343" s="105" t="str">
        <f aca="false">IF(ISBLANK($C343),"",IF($AG343&lt;&gt;Constants!$B$7,$AG343,AR343))</f>
        <v/>
      </c>
      <c r="BE343" s="105" t="str">
        <f aca="false">IF(ISBLANK($C343),"",IF($AG343&lt;&gt;Constants!$B$7,$AG343,AM343))</f>
        <v/>
      </c>
      <c r="BF343" s="105" t="str">
        <f aca="false">IF(ISBLANK($C343),"",IF($AG343&lt;&gt;Constants!$B$7,$AG343,AQ343))</f>
        <v/>
      </c>
      <c r="BG343" s="106" t="str">
        <f aca="false">IF(ISBLANK($C343),"",IF($AG343&lt;&gt;Constants!$B$7, $AG343 ,AS343))</f>
        <v/>
      </c>
      <c r="BH343" s="107" t="str">
        <f aca="false">IF(ISBLANK($C343),"",IF($AG343&lt;&gt;Constants!$B$7, $AG343 ,AH343))</f>
        <v/>
      </c>
      <c r="BI343" s="105" t="str">
        <f aca="false">IF(ISBLANK(C343),"",BA343)</f>
        <v/>
      </c>
      <c r="BJ343" s="105" t="str">
        <f aca="false">IF(ISBLANK(C343),"",AZ343)</f>
        <v/>
      </c>
      <c r="BK343" s="108" t="str">
        <f aca="false">IF(ISBLANK(C343),"",IFERROR(_xlfn.SWITCH(BJ343, Constants!$B$4, COUNTA($C$8:$C842)+2, Constants!$B$5, COUNTA($C$8:$C842)+1, Constants!$B$6, COUNTA($C$8:$C842)),BJ343))</f>
        <v/>
      </c>
      <c r="BL343" s="5"/>
      <c r="BM343" s="109" t="n">
        <f aca="false">IF(OR(ISNUMBER(BJ343),BJ343="DQ",BJ343="P",BJ343="NS"),
    1,
    0
)</f>
        <v>0</v>
      </c>
      <c r="BN343" s="109" t="n">
        <v>336</v>
      </c>
      <c r="BO343" s="109" t="str">
        <f aca="false">IF(ISBLANK($C343),"",IF(ISNUMBER(BK343),BK343+ROW($B343)/1000,""))</f>
        <v/>
      </c>
      <c r="BP343" s="109" t="str">
        <f aca="false">IF(ISNUMBER(BO343), RANK(BO343,BO$8:BO$507,1), "")</f>
        <v/>
      </c>
      <c r="BQ343" s="109" t="str">
        <f aca="false">IF(ISBLANK($C343),
    "",
    $B343
)</f>
        <v/>
      </c>
      <c r="BR343" s="109" t="str">
        <f aca="false">IF(ISBLANK($C343),
    "",
    $C343
)</f>
        <v/>
      </c>
      <c r="BS343" s="109" t="str">
        <f aca="false">IF(ISBLANK($C343),
    "",
    $D343
)</f>
        <v/>
      </c>
      <c r="BT343" s="110" t="str">
        <f aca="false">BH343</f>
        <v/>
      </c>
      <c r="BU343" s="111" t="str">
        <f aca="false">BG343</f>
        <v/>
      </c>
      <c r="BV343" s="109" t="str">
        <f aca="false">IF(ISBLANK($C343),
    "",
    BJ343
)</f>
        <v/>
      </c>
      <c r="BW343" s="112" t="str">
        <f aca="false">IF(BN343&gt;BM$7,
    "",
    VLOOKUP(BN343,BP$8:BV842,7,FALSE())
)</f>
        <v/>
      </c>
      <c r="BX343" s="113" t="str">
        <f aca="false">IF(BN343&gt;BM$7,
    "",
    VLOOKUP(BN343,BP$8:BV842,2,FALSE())
)</f>
        <v/>
      </c>
      <c r="BY343" s="113" t="str">
        <f aca="false">IF(BN343&gt;BM$7,
    "",
    VLOOKUP(BN343,BP$8:BV842,3,FALSE())
)</f>
        <v/>
      </c>
      <c r="BZ343" s="113" t="str">
        <f aca="false">IF(BN343&gt;BM$7,
    "",
    VLOOKUP(BN343,BP$8:BV842,4,FALSE())
)</f>
        <v/>
      </c>
      <c r="CA343" s="113" t="str">
        <f aca="false">IF(BN343&gt;BM$7,
    "",
    VLOOKUP(BN343,BP$8:BV842,5,FALSE())
)</f>
        <v/>
      </c>
      <c r="CB343" s="114" t="str">
        <f aca="false">IF(BN343&gt;BM$7,
    "",
    VLOOKUP(BN343,BP$8:BV842,6,FALSE())
)</f>
        <v/>
      </c>
      <c r="CC343" s="53"/>
    </row>
    <row r="344" customFormat="false" ht="15.75" hidden="false" customHeight="false" outlineLevel="0" collapsed="false">
      <c r="A344" s="5"/>
      <c r="B344" s="129"/>
      <c r="C344" s="55"/>
      <c r="D344" s="56"/>
      <c r="E344" s="123"/>
      <c r="F344" s="123"/>
      <c r="G344" s="58"/>
      <c r="H344" s="59"/>
      <c r="I344" s="59"/>
      <c r="J344" s="83"/>
      <c r="K344" s="83"/>
      <c r="L344" s="83"/>
      <c r="M344" s="61"/>
      <c r="N344" s="61"/>
      <c r="O344" s="61"/>
      <c r="P344" s="62"/>
      <c r="Q344" s="63"/>
      <c r="R344" s="83"/>
      <c r="S344" s="65"/>
      <c r="T344" s="66"/>
      <c r="U344" s="66" t="str">
        <f aca="false">IF(ISBLANK($C344),"",IF(G344=Constants!$B$2, TRUE(), IF(G344=Constants!$B$3, FALSE(), TRUE())))</f>
        <v/>
      </c>
      <c r="V344" s="66" t="str">
        <f aca="false">IF(ISBLANK($C344),"",IF(H344=Constants!$B$2, TRUE(), IF(H344=Constants!$B$3, FALSE(), TRUE())))</f>
        <v/>
      </c>
      <c r="W344" s="66" t="str">
        <f aca="false">IF(ISBLANK($C344),"",IF(I344=Constants!$B$2, TRUE(), IF(I344=Constants!$B$3, FALSE(), TRUE())))</f>
        <v/>
      </c>
      <c r="X344" s="66" t="str">
        <f aca="false">IF(ISBLANK($C344),"",IF(AND(ISNUMBER(J344),J344&gt;0),INT(J344),0))</f>
        <v/>
      </c>
      <c r="Y344" s="66" t="str">
        <f aca="false">IF(ISBLANK($C344),"",IF(K344=Constants!$B$2, TRUE(), IF(K344=Constants!$B$3, FALSE(), TRUE())))</f>
        <v/>
      </c>
      <c r="Z344" s="66" t="str">
        <f aca="false">IF(ISBLANK($C344),"",IF(AND(ISNUMBER(L344),L344&gt;0),INT(L344),0))</f>
        <v/>
      </c>
      <c r="AA344" s="68" t="str">
        <f aca="false">IF(ISBLANK($C344),"",IF(ISNUMBER(M344), M344, ""))</f>
        <v/>
      </c>
      <c r="AB344" s="68" t="str">
        <f aca="false">IF(ISBLANK($C344),"",IF(ISNUMBER(N344), N344, ""))</f>
        <v/>
      </c>
      <c r="AC344" s="68" t="str">
        <f aca="false">IF(ISBLANK($C344),"",IF(ISNUMBER(O344), O344, ""))</f>
        <v/>
      </c>
      <c r="AD344" s="69" t="str">
        <f aca="false">IF(ISBLANK($C344),"",IF(ISNUMBER(P344), P344, ""))</f>
        <v/>
      </c>
      <c r="AE344" s="69" t="str">
        <f aca="false">IF(ISBLANK($C344),"",IF(ISNUMBER(Q344), Q344, Constants!$B$13))</f>
        <v/>
      </c>
      <c r="AF344" s="66" t="str">
        <f aca="false">IF(ISBLANK($C344),"",IF(R344=Constants!$B$2, TRUE(), IF(R344=Constants!$B$3, FALSE(), FALSE())))</f>
        <v/>
      </c>
      <c r="AG344" s="66" t="str">
        <f aca="false">IF(ISBLANK(C344), "", IF(AF344, Constants!$B$4,IF(COUNTA(G344:P344)=0, Constants!$B$5, Constants!$B$7)))</f>
        <v/>
      </c>
      <c r="AH344" s="66" t="str">
        <f aca="false">IF(ISBLANK($C344), "",IF($AG344=Constants!$B$7,1,$AG344))</f>
        <v/>
      </c>
      <c r="AI344" s="66" t="str">
        <f aca="false">IF($AG344=Constants!$B$7,POWER(Constants!$B$11,X344)*POWER(Constants!$B$12,Z344),"")</f>
        <v/>
      </c>
      <c r="AJ344" s="66" t="str">
        <f aca="false">IF(AND($AG344=Constants!$B$7, U344, V344) ,IF(OR($AA344="",$AC344=""),"",MAX(0, $AC344-$AA344)),"")</f>
        <v/>
      </c>
      <c r="AK344" s="66" t="str">
        <f aca="false">IF(AND($AG344=Constants!$B$7, U344, V344),IF(OR($AA344="",$AC344=""),$AK$6,""),"")</f>
        <v/>
      </c>
      <c r="AL344" s="66" t="str">
        <f aca="false">IF($AG344=Constants!$B$7,IF(AND(U344,V344,W344,Y344),IF($AJ344="",0,IF($AJ$6=0,Constants!$B$9,Constants!$B$9*AJ344/$AJ$6)), 0),"")</f>
        <v/>
      </c>
      <c r="AM344" s="66" t="str">
        <f aca="false">IF(AL344&lt;&gt;"", AL344*AI344,"")</f>
        <v/>
      </c>
      <c r="AN344" s="66" t="str">
        <f aca="false">IF(AND($AG344=Constants!$B$7, U344, V344) ,IF($AB344="", "", IF(OR($AC344="",$AC344=0),"",MAX(0,1-ABS($AC344-$AB344)/$AC344))),"")</f>
        <v/>
      </c>
      <c r="AO344" s="66" t="str">
        <f aca="false">IF(AND($AG344=Constants!$B$7, U344, V344),IF(AND($AA344&lt;&gt;"",$AB344&lt;&gt;"",$AC344=0),$AO$6,""),"")</f>
        <v/>
      </c>
      <c r="AP344" s="66" t="str">
        <f aca="false">IF($AG344=Constants!$B$7 ,IF(AND(U344,V344,W344,Y344,ISNUMBER(AB344)),IF($AN344="",0,IF($AN$6=0,Constants!$B$10,Constants!$B$10*AN344/$AN$6)), 0),"")</f>
        <v/>
      </c>
      <c r="AQ344" s="66" t="str">
        <f aca="false">IF(AP344&lt;&gt;"", AP344*AI344,"")</f>
        <v/>
      </c>
      <c r="AR344" s="66" t="str">
        <f aca="false">IF($AG344=Constants!$B$7,IF($AD344="",0,IF($AR$6=0,Constants!$B$8,Constants!$B$8*AD344/$AR$6)),"")</f>
        <v/>
      </c>
      <c r="AS344" s="66" t="str">
        <f aca="false">IF($AG344&lt;&gt;Constants!$B$7,$AG344,IF(AK344&amp;AO344&lt;&gt;"",Constants!$B$14,AM344+AQ344+AR344))</f>
        <v/>
      </c>
      <c r="AT344" s="66" t="str">
        <f aca="false">IF(ISBLANK($C344),"",IF($AG344=Constants!$B$7,IF(ISNUMBER(AS344),RANK(AS344,$AS$8:$AS$507),Constants!$B$14),$AG344))</f>
        <v/>
      </c>
      <c r="AU344" s="66" t="str">
        <f aca="false">IF(ISBLANK($C344), "",AM344)</f>
        <v/>
      </c>
      <c r="AV344" s="66" t="str">
        <f aca="false">IF(ISBLANK($C344),"",IF($AG344=Constants!$B$7,RANK(AU344,AU$8:AU$507),$AG344))</f>
        <v/>
      </c>
      <c r="AW344" s="66" t="str">
        <f aca="false">IF(ISBLANK($C344), "",AR344)</f>
        <v/>
      </c>
      <c r="AX344" s="66" t="str">
        <f aca="false">IF(ISBLANK($C344),"",IF($AG344=Constants!$B$7,RANK(AW344,AW$8:AW$507),$AG344))</f>
        <v/>
      </c>
      <c r="AY344" s="66" t="str">
        <f aca="false">IF(ISBLANK($C344), "",AE344)</f>
        <v/>
      </c>
      <c r="AZ344" s="66" t="str">
        <f aca="false">IF(ISBLANK($C344),"",
IF($AG344=Constants!$B$7,
  IF(ISNUMBER(AT344),
    COUNTIFS($AT$8:$AT$507,"&lt;"&amp;$AT344)
    + COUNTIFS($AT$8:$AT$507,$AT344,$AV$8:$AV$507,"&lt;"&amp;$AV344)
    + COUNTIFS($AT$8:$AT$507,$AT344,$AV$8:$AV$507,$AV344,$AX$8:$AX$507,"&lt;"&amp;$AX344)
    + COUNTIFS($AT$8:$AT$507,$AT344,$AV$8:$AV$507,$AV344,$AX$8:$AX$507,$AX344,$AY$8:$AY$507,"&lt;"&amp;$AY344)
    + 1,
  Constants!$B$14),
$AG344))</f>
        <v/>
      </c>
      <c r="BA344" s="66" t="str">
        <f aca="false">IF(ISBLANK(C344),"",IF($AG344=Constants!$B$7, IF(ISNUMBER(AT344),AT344-AZ344,Constants!$B$14),$AG344))</f>
        <v/>
      </c>
      <c r="BB344" s="70"/>
      <c r="BC344" s="84" t="str">
        <f aca="false">IF(ISBLANK($C344),"",TRIM(AK344&amp;" "&amp;AO344))</f>
        <v/>
      </c>
      <c r="BD344" s="72" t="str">
        <f aca="false">IF(ISBLANK($C344),"",IF($AG344&lt;&gt;Constants!$B$7,$AG344,AR344))</f>
        <v/>
      </c>
      <c r="BE344" s="72" t="str">
        <f aca="false">IF(ISBLANK($C344),"",IF($AG344&lt;&gt;Constants!$B$7,$AG344,AM344))</f>
        <v/>
      </c>
      <c r="BF344" s="72" t="str">
        <f aca="false">IF(ISBLANK($C344),"",IF($AG344&lt;&gt;Constants!$B$7,$AG344,AQ344))</f>
        <v/>
      </c>
      <c r="BG344" s="73" t="str">
        <f aca="false">IF(ISBLANK($C344),"",IF($AG344&lt;&gt;Constants!$B$7, $AG344 ,AS344))</f>
        <v/>
      </c>
      <c r="BH344" s="74" t="str">
        <f aca="false">IF(ISBLANK($C344),"",IF($AG344&lt;&gt;Constants!$B$7, $AG344 ,AH344))</f>
        <v/>
      </c>
      <c r="BI344" s="72" t="str">
        <f aca="false">IF(ISBLANK(C344),"",BA344)</f>
        <v/>
      </c>
      <c r="BJ344" s="72" t="str">
        <f aca="false">IF(ISBLANK(C344),"",AZ344)</f>
        <v/>
      </c>
      <c r="BK344" s="75" t="str">
        <f aca="false">IF(ISBLANK(C344),"",IFERROR(_xlfn.SWITCH(BJ344, Constants!$B$4, COUNTA($C$8:$C843)+2, Constants!$B$5, COUNTA($C$8:$C843)+1, Constants!$B$6, COUNTA($C$8:$C843)),BJ344))</f>
        <v/>
      </c>
      <c r="BL344" s="5"/>
      <c r="BM344" s="76" t="n">
        <f aca="false">IF(OR(ISNUMBER(BJ344),BJ344="DQ",BJ344="P",BJ344="NS"),
    1,
    0
)</f>
        <v>0</v>
      </c>
      <c r="BN344" s="76" t="n">
        <v>337</v>
      </c>
      <c r="BO344" s="76" t="str">
        <f aca="false">IF(ISBLANK($C344),"",IF(ISNUMBER(BK344),BK344+ROW($B344)/1000,""))</f>
        <v/>
      </c>
      <c r="BP344" s="76" t="str">
        <f aca="false">IF(ISNUMBER(BO344), RANK(BO344,BO$8:BO$507,1), "")</f>
        <v/>
      </c>
      <c r="BQ344" s="76" t="str">
        <f aca="false">IF(ISBLANK($C344),
    "",
    $B344
)</f>
        <v/>
      </c>
      <c r="BR344" s="76" t="str">
        <f aca="false">IF(ISBLANK($C344),
    "",
    $C344
)</f>
        <v/>
      </c>
      <c r="BS344" s="76" t="str">
        <f aca="false">IF(ISBLANK($C344),
    "",
    $D344
)</f>
        <v/>
      </c>
      <c r="BT344" s="77" t="str">
        <f aca="false">BH344</f>
        <v/>
      </c>
      <c r="BU344" s="78" t="str">
        <f aca="false">BG344</f>
        <v/>
      </c>
      <c r="BV344" s="76" t="str">
        <f aca="false">IF(ISBLANK($C344),
    "",
    BJ344
)</f>
        <v/>
      </c>
      <c r="BW344" s="79" t="str">
        <f aca="false">IF(BN344&gt;BM$7,
    "",
    VLOOKUP(BN344,BP$8:BV843,7,FALSE())
)</f>
        <v/>
      </c>
      <c r="BX344" s="80" t="str">
        <f aca="false">IF(BN344&gt;BM$7,
    "",
    VLOOKUP(BN344,BP$8:BV843,2,FALSE())
)</f>
        <v/>
      </c>
      <c r="BY344" s="80" t="str">
        <f aca="false">IF(BN344&gt;BM$7,
    "",
    VLOOKUP(BN344,BP$8:BV843,3,FALSE())
)</f>
        <v/>
      </c>
      <c r="BZ344" s="80" t="str">
        <f aca="false">IF(BN344&gt;BM$7,
    "",
    VLOOKUP(BN344,BP$8:BV843,4,FALSE())
)</f>
        <v/>
      </c>
      <c r="CA344" s="80" t="str">
        <f aca="false">IF(BN344&gt;BM$7,
    "",
    VLOOKUP(BN344,BP$8:BV843,5,FALSE())
)</f>
        <v/>
      </c>
      <c r="CB344" s="81" t="str">
        <f aca="false">IF(BN344&gt;BM$7,
    "",
    VLOOKUP(BN344,BP$8:BV843,6,FALSE())
)</f>
        <v/>
      </c>
      <c r="CC344" s="53"/>
    </row>
    <row r="345" customFormat="false" ht="15.75" hidden="false" customHeight="false" outlineLevel="0" collapsed="false">
      <c r="A345" s="5"/>
      <c r="B345" s="129"/>
      <c r="C345" s="55"/>
      <c r="D345" s="56"/>
      <c r="E345" s="123"/>
      <c r="F345" s="123"/>
      <c r="G345" s="58"/>
      <c r="H345" s="59"/>
      <c r="I345" s="59"/>
      <c r="J345" s="83"/>
      <c r="K345" s="83"/>
      <c r="L345" s="83"/>
      <c r="M345" s="61"/>
      <c r="N345" s="61"/>
      <c r="O345" s="61"/>
      <c r="P345" s="62"/>
      <c r="Q345" s="63"/>
      <c r="R345" s="83"/>
      <c r="S345" s="65"/>
      <c r="T345" s="66"/>
      <c r="U345" s="66" t="str">
        <f aca="false">IF(ISBLANK($C345),"",IF(G345=Constants!$B$2, TRUE(), IF(G345=Constants!$B$3, FALSE(), TRUE())))</f>
        <v/>
      </c>
      <c r="V345" s="66" t="str">
        <f aca="false">IF(ISBLANK($C345),"",IF(H345=Constants!$B$2, TRUE(), IF(H345=Constants!$B$3, FALSE(), TRUE())))</f>
        <v/>
      </c>
      <c r="W345" s="66" t="str">
        <f aca="false">IF(ISBLANK($C345),"",IF(I345=Constants!$B$2, TRUE(), IF(I345=Constants!$B$3, FALSE(), TRUE())))</f>
        <v/>
      </c>
      <c r="X345" s="66" t="str">
        <f aca="false">IF(ISBLANK($C345),"",IF(AND(ISNUMBER(J345),J345&gt;0),INT(J345),0))</f>
        <v/>
      </c>
      <c r="Y345" s="66" t="str">
        <f aca="false">IF(ISBLANK($C345),"",IF(K345=Constants!$B$2, TRUE(), IF(K345=Constants!$B$3, FALSE(), TRUE())))</f>
        <v/>
      </c>
      <c r="Z345" s="66" t="str">
        <f aca="false">IF(ISBLANK($C345),"",IF(AND(ISNUMBER(L345),L345&gt;0),INT(L345),0))</f>
        <v/>
      </c>
      <c r="AA345" s="68" t="str">
        <f aca="false">IF(ISBLANK($C345),"",IF(ISNUMBER(M345), M345, ""))</f>
        <v/>
      </c>
      <c r="AB345" s="68" t="str">
        <f aca="false">IF(ISBLANK($C345),"",IF(ISNUMBER(N345), N345, ""))</f>
        <v/>
      </c>
      <c r="AC345" s="68" t="str">
        <f aca="false">IF(ISBLANK($C345),"",IF(ISNUMBER(O345), O345, ""))</f>
        <v/>
      </c>
      <c r="AD345" s="69" t="str">
        <f aca="false">IF(ISBLANK($C345),"",IF(ISNUMBER(P345), P345, ""))</f>
        <v/>
      </c>
      <c r="AE345" s="69" t="str">
        <f aca="false">IF(ISBLANK($C345),"",IF(ISNUMBER(Q345), Q345, Constants!$B$13))</f>
        <v/>
      </c>
      <c r="AF345" s="66" t="str">
        <f aca="false">IF(ISBLANK($C345),"",IF(R345=Constants!$B$2, TRUE(), IF(R345=Constants!$B$3, FALSE(), FALSE())))</f>
        <v/>
      </c>
      <c r="AG345" s="66" t="str">
        <f aca="false">IF(ISBLANK(C345), "", IF(AF345, Constants!$B$4,IF(COUNTA(G345:P345)=0, Constants!$B$5, Constants!$B$7)))</f>
        <v/>
      </c>
      <c r="AH345" s="66" t="str">
        <f aca="false">IF(ISBLANK($C345), "",IF($AG345=Constants!$B$7,1,$AG345))</f>
        <v/>
      </c>
      <c r="AI345" s="66" t="str">
        <f aca="false">IF($AG345=Constants!$B$7,POWER(Constants!$B$11,X345)*POWER(Constants!$B$12,Z345),"")</f>
        <v/>
      </c>
      <c r="AJ345" s="66" t="str">
        <f aca="false">IF(AND($AG345=Constants!$B$7, U345, V345) ,IF(OR($AA345="",$AC345=""),"",MAX(0, $AC345-$AA345)),"")</f>
        <v/>
      </c>
      <c r="AK345" s="66" t="str">
        <f aca="false">IF(AND($AG345=Constants!$B$7, U345, V345),IF(OR($AA345="",$AC345=""),$AK$6,""),"")</f>
        <v/>
      </c>
      <c r="AL345" s="66" t="str">
        <f aca="false">IF($AG345=Constants!$B$7,IF(AND(U345,V345,W345,Y345),IF($AJ345="",0,IF($AJ$6=0,Constants!$B$9,Constants!$B$9*AJ345/$AJ$6)), 0),"")</f>
        <v/>
      </c>
      <c r="AM345" s="66" t="str">
        <f aca="false">IF(AL345&lt;&gt;"", AL345*AI345,"")</f>
        <v/>
      </c>
      <c r="AN345" s="66" t="str">
        <f aca="false">IF(AND($AG345=Constants!$B$7, U345, V345) ,IF($AB345="", "", IF(OR($AC345="",$AC345=0),"",MAX(0,1-ABS($AC345-$AB345)/$AC345))),"")</f>
        <v/>
      </c>
      <c r="AO345" s="66" t="str">
        <f aca="false">IF(AND($AG345=Constants!$B$7, U345, V345),IF(AND($AA345&lt;&gt;"",$AB345&lt;&gt;"",$AC345=0),$AO$6,""),"")</f>
        <v/>
      </c>
      <c r="AP345" s="66" t="str">
        <f aca="false">IF($AG345=Constants!$B$7 ,IF(AND(U345,V345,W345,Y345,ISNUMBER(AB345)),IF($AN345="",0,IF($AN$6=0,Constants!$B$10,Constants!$B$10*AN345/$AN$6)), 0),"")</f>
        <v/>
      </c>
      <c r="AQ345" s="66" t="str">
        <f aca="false">IF(AP345&lt;&gt;"", AP345*AI345,"")</f>
        <v/>
      </c>
      <c r="AR345" s="66" t="str">
        <f aca="false">IF($AG345=Constants!$B$7,IF($AD345="",0,IF($AR$6=0,Constants!$B$8,Constants!$B$8*AD345/$AR$6)),"")</f>
        <v/>
      </c>
      <c r="AS345" s="66" t="str">
        <f aca="false">IF($AG345&lt;&gt;Constants!$B$7,$AG345,IF(AK345&amp;AO345&lt;&gt;"",Constants!$B$14,AM345+AQ345+AR345))</f>
        <v/>
      </c>
      <c r="AT345" s="66" t="str">
        <f aca="false">IF(ISBLANK($C345),"",IF($AG345=Constants!$B$7,IF(ISNUMBER(AS345),RANK(AS345,$AS$8:$AS$507),Constants!$B$14),$AG345))</f>
        <v/>
      </c>
      <c r="AU345" s="66" t="str">
        <f aca="false">IF(ISBLANK($C345), "",AM345)</f>
        <v/>
      </c>
      <c r="AV345" s="66" t="str">
        <f aca="false">IF(ISBLANK($C345),"",IF($AG345=Constants!$B$7,RANK(AU345,AU$8:AU$507),$AG345))</f>
        <v/>
      </c>
      <c r="AW345" s="66" t="str">
        <f aca="false">IF(ISBLANK($C345), "",AR345)</f>
        <v/>
      </c>
      <c r="AX345" s="66" t="str">
        <f aca="false">IF(ISBLANK($C345),"",IF($AG345=Constants!$B$7,RANK(AW345,AW$8:AW$507),$AG345))</f>
        <v/>
      </c>
      <c r="AY345" s="66" t="str">
        <f aca="false">IF(ISBLANK($C345), "",AE345)</f>
        <v/>
      </c>
      <c r="AZ345" s="66" t="str">
        <f aca="false">IF(ISBLANK($C345),"",
IF($AG345=Constants!$B$7,
  IF(ISNUMBER(AT345),
    COUNTIFS($AT$8:$AT$507,"&lt;"&amp;$AT345)
    + COUNTIFS($AT$8:$AT$507,$AT345,$AV$8:$AV$507,"&lt;"&amp;$AV345)
    + COUNTIFS($AT$8:$AT$507,$AT345,$AV$8:$AV$507,$AV345,$AX$8:$AX$507,"&lt;"&amp;$AX345)
    + COUNTIFS($AT$8:$AT$507,$AT345,$AV$8:$AV$507,$AV345,$AX$8:$AX$507,$AX345,$AY$8:$AY$507,"&lt;"&amp;$AY345)
    + 1,
  Constants!$B$14),
$AG345))</f>
        <v/>
      </c>
      <c r="BA345" s="66" t="str">
        <f aca="false">IF(ISBLANK(C345),"",IF($AG345=Constants!$B$7, IF(ISNUMBER(AT345),AT345-AZ345,Constants!$B$14),$AG345))</f>
        <v/>
      </c>
      <c r="BB345" s="70"/>
      <c r="BC345" s="84" t="str">
        <f aca="false">IF(ISBLANK($C345),"",TRIM(AK345&amp;" "&amp;AO345))</f>
        <v/>
      </c>
      <c r="BD345" s="72" t="str">
        <f aca="false">IF(ISBLANK($C345),"",IF($AG345&lt;&gt;Constants!$B$7,$AG345,AR345))</f>
        <v/>
      </c>
      <c r="BE345" s="72" t="str">
        <f aca="false">IF(ISBLANK($C345),"",IF($AG345&lt;&gt;Constants!$B$7,$AG345,AM345))</f>
        <v/>
      </c>
      <c r="BF345" s="72" t="str">
        <f aca="false">IF(ISBLANK($C345),"",IF($AG345&lt;&gt;Constants!$B$7,$AG345,AQ345))</f>
        <v/>
      </c>
      <c r="BG345" s="73" t="str">
        <f aca="false">IF(ISBLANK($C345),"",IF($AG345&lt;&gt;Constants!$B$7, $AG345 ,AS345))</f>
        <v/>
      </c>
      <c r="BH345" s="74" t="str">
        <f aca="false">IF(ISBLANK($C345),"",IF($AG345&lt;&gt;Constants!$B$7, $AG345 ,AH345))</f>
        <v/>
      </c>
      <c r="BI345" s="72" t="str">
        <f aca="false">IF(ISBLANK(C345),"",BA345)</f>
        <v/>
      </c>
      <c r="BJ345" s="72" t="str">
        <f aca="false">IF(ISBLANK(C345),"",AZ345)</f>
        <v/>
      </c>
      <c r="BK345" s="75" t="str">
        <f aca="false">IF(ISBLANK(C345),"",IFERROR(_xlfn.SWITCH(BJ345, Constants!$B$4, COUNTA($C$8:$C844)+2, Constants!$B$5, COUNTA($C$8:$C844)+1, Constants!$B$6, COUNTA($C$8:$C844)),BJ345))</f>
        <v/>
      </c>
      <c r="BL345" s="5"/>
      <c r="BM345" s="76" t="n">
        <f aca="false">IF(OR(ISNUMBER(BJ345),BJ345="DQ",BJ345="P",BJ345="NS"),
    1,
    0
)</f>
        <v>0</v>
      </c>
      <c r="BN345" s="76" t="n">
        <v>338</v>
      </c>
      <c r="BO345" s="76" t="str">
        <f aca="false">IF(ISBLANK($C345),"",IF(ISNUMBER(BK345),BK345+ROW($B345)/1000,""))</f>
        <v/>
      </c>
      <c r="BP345" s="76" t="str">
        <f aca="false">IF(ISNUMBER(BO345), RANK(BO345,BO$8:BO$507,1), "")</f>
        <v/>
      </c>
      <c r="BQ345" s="76" t="str">
        <f aca="false">IF(ISBLANK($C345),
    "",
    $B345
)</f>
        <v/>
      </c>
      <c r="BR345" s="76" t="str">
        <f aca="false">IF(ISBLANK($C345),
    "",
    $C345
)</f>
        <v/>
      </c>
      <c r="BS345" s="76" t="str">
        <f aca="false">IF(ISBLANK($C345),
    "",
    $D345
)</f>
        <v/>
      </c>
      <c r="BT345" s="77" t="str">
        <f aca="false">BH345</f>
        <v/>
      </c>
      <c r="BU345" s="78" t="str">
        <f aca="false">BG345</f>
        <v/>
      </c>
      <c r="BV345" s="76" t="str">
        <f aca="false">IF(ISBLANK($C345),
    "",
    BJ345
)</f>
        <v/>
      </c>
      <c r="BW345" s="79" t="str">
        <f aca="false">IF(BN345&gt;BM$7,
    "",
    VLOOKUP(BN345,BP$8:BV844,7,FALSE())
)</f>
        <v/>
      </c>
      <c r="BX345" s="80" t="str">
        <f aca="false">IF(BN345&gt;BM$7,
    "",
    VLOOKUP(BN345,BP$8:BV844,2,FALSE())
)</f>
        <v/>
      </c>
      <c r="BY345" s="80" t="str">
        <f aca="false">IF(BN345&gt;BM$7,
    "",
    VLOOKUP(BN345,BP$8:BV844,3,FALSE())
)</f>
        <v/>
      </c>
      <c r="BZ345" s="80" t="str">
        <f aca="false">IF(BN345&gt;BM$7,
    "",
    VLOOKUP(BN345,BP$8:BV844,4,FALSE())
)</f>
        <v/>
      </c>
      <c r="CA345" s="80" t="str">
        <f aca="false">IF(BN345&gt;BM$7,
    "",
    VLOOKUP(BN345,BP$8:BV844,5,FALSE())
)</f>
        <v/>
      </c>
      <c r="CB345" s="81" t="str">
        <f aca="false">IF(BN345&gt;BM$7,
    "",
    VLOOKUP(BN345,BP$8:BV844,6,FALSE())
)</f>
        <v/>
      </c>
      <c r="CC345" s="53"/>
    </row>
    <row r="346" customFormat="false" ht="15.75" hidden="false" customHeight="false" outlineLevel="0" collapsed="false">
      <c r="A346" s="5"/>
      <c r="B346" s="129"/>
      <c r="C346" s="55"/>
      <c r="D346" s="56"/>
      <c r="E346" s="123"/>
      <c r="F346" s="123"/>
      <c r="G346" s="58"/>
      <c r="H346" s="59"/>
      <c r="I346" s="59"/>
      <c r="J346" s="83"/>
      <c r="K346" s="83"/>
      <c r="L346" s="83"/>
      <c r="M346" s="61"/>
      <c r="N346" s="61"/>
      <c r="O346" s="61"/>
      <c r="P346" s="62"/>
      <c r="Q346" s="63"/>
      <c r="R346" s="83"/>
      <c r="S346" s="65"/>
      <c r="T346" s="66"/>
      <c r="U346" s="66" t="str">
        <f aca="false">IF(ISBLANK($C346),"",IF(G346=Constants!$B$2, TRUE(), IF(G346=Constants!$B$3, FALSE(), TRUE())))</f>
        <v/>
      </c>
      <c r="V346" s="66" t="str">
        <f aca="false">IF(ISBLANK($C346),"",IF(H346=Constants!$B$2, TRUE(), IF(H346=Constants!$B$3, FALSE(), TRUE())))</f>
        <v/>
      </c>
      <c r="W346" s="66" t="str">
        <f aca="false">IF(ISBLANK($C346),"",IF(I346=Constants!$B$2, TRUE(), IF(I346=Constants!$B$3, FALSE(), TRUE())))</f>
        <v/>
      </c>
      <c r="X346" s="66" t="str">
        <f aca="false">IF(ISBLANK($C346),"",IF(AND(ISNUMBER(J346),J346&gt;0),INT(J346),0))</f>
        <v/>
      </c>
      <c r="Y346" s="66" t="str">
        <f aca="false">IF(ISBLANK($C346),"",IF(K346=Constants!$B$2, TRUE(), IF(K346=Constants!$B$3, FALSE(), TRUE())))</f>
        <v/>
      </c>
      <c r="Z346" s="66" t="str">
        <f aca="false">IF(ISBLANK($C346),"",IF(AND(ISNUMBER(L346),L346&gt;0),INT(L346),0))</f>
        <v/>
      </c>
      <c r="AA346" s="68" t="str">
        <f aca="false">IF(ISBLANK($C346),"",IF(ISNUMBER(M346), M346, ""))</f>
        <v/>
      </c>
      <c r="AB346" s="68" t="str">
        <f aca="false">IF(ISBLANK($C346),"",IF(ISNUMBER(N346), N346, ""))</f>
        <v/>
      </c>
      <c r="AC346" s="68" t="str">
        <f aca="false">IF(ISBLANK($C346),"",IF(ISNUMBER(O346), O346, ""))</f>
        <v/>
      </c>
      <c r="AD346" s="69" t="str">
        <f aca="false">IF(ISBLANK($C346),"",IF(ISNUMBER(P346), P346, ""))</f>
        <v/>
      </c>
      <c r="AE346" s="69" t="str">
        <f aca="false">IF(ISBLANK($C346),"",IF(ISNUMBER(Q346), Q346, Constants!$B$13))</f>
        <v/>
      </c>
      <c r="AF346" s="66" t="str">
        <f aca="false">IF(ISBLANK($C346),"",IF(R346=Constants!$B$2, TRUE(), IF(R346=Constants!$B$3, FALSE(), FALSE())))</f>
        <v/>
      </c>
      <c r="AG346" s="66" t="str">
        <f aca="false">IF(ISBLANK(C346), "", IF(AF346, Constants!$B$4,IF(COUNTA(G346:P346)=0, Constants!$B$5, Constants!$B$7)))</f>
        <v/>
      </c>
      <c r="AH346" s="66" t="str">
        <f aca="false">IF(ISBLANK($C346), "",IF($AG346=Constants!$B$7,1,$AG346))</f>
        <v/>
      </c>
      <c r="AI346" s="66" t="str">
        <f aca="false">IF($AG346=Constants!$B$7,POWER(Constants!$B$11,X346)*POWER(Constants!$B$12,Z346),"")</f>
        <v/>
      </c>
      <c r="AJ346" s="66" t="str">
        <f aca="false">IF(AND($AG346=Constants!$B$7, U346, V346) ,IF(OR($AA346="",$AC346=""),"",MAX(0, $AC346-$AA346)),"")</f>
        <v/>
      </c>
      <c r="AK346" s="66" t="str">
        <f aca="false">IF(AND($AG346=Constants!$B$7, U346, V346),IF(OR($AA346="",$AC346=""),$AK$6,""),"")</f>
        <v/>
      </c>
      <c r="AL346" s="66" t="str">
        <f aca="false">IF($AG346=Constants!$B$7,IF(AND(U346,V346,W346,Y346),IF($AJ346="",0,IF($AJ$6=0,Constants!$B$9,Constants!$B$9*AJ346/$AJ$6)), 0),"")</f>
        <v/>
      </c>
      <c r="AM346" s="66" t="str">
        <f aca="false">IF(AL346&lt;&gt;"", AL346*AI346,"")</f>
        <v/>
      </c>
      <c r="AN346" s="66" t="str">
        <f aca="false">IF(AND($AG346=Constants!$B$7, U346, V346) ,IF($AB346="", "", IF(OR($AC346="",$AC346=0),"",MAX(0,1-ABS($AC346-$AB346)/$AC346))),"")</f>
        <v/>
      </c>
      <c r="AO346" s="66" t="str">
        <f aca="false">IF(AND($AG346=Constants!$B$7, U346, V346),IF(AND($AA346&lt;&gt;"",$AB346&lt;&gt;"",$AC346=0),$AO$6,""),"")</f>
        <v/>
      </c>
      <c r="AP346" s="66" t="str">
        <f aca="false">IF($AG346=Constants!$B$7 ,IF(AND(U346,V346,W346,Y346,ISNUMBER(AB346)),IF($AN346="",0,IF($AN$6=0,Constants!$B$10,Constants!$B$10*AN346/$AN$6)), 0),"")</f>
        <v/>
      </c>
      <c r="AQ346" s="66" t="str">
        <f aca="false">IF(AP346&lt;&gt;"", AP346*AI346,"")</f>
        <v/>
      </c>
      <c r="AR346" s="66" t="str">
        <f aca="false">IF($AG346=Constants!$B$7,IF($AD346="",0,IF($AR$6=0,Constants!$B$8,Constants!$B$8*AD346/$AR$6)),"")</f>
        <v/>
      </c>
      <c r="AS346" s="66" t="str">
        <f aca="false">IF($AG346&lt;&gt;Constants!$B$7,$AG346,IF(AK346&amp;AO346&lt;&gt;"",Constants!$B$14,AM346+AQ346+AR346))</f>
        <v/>
      </c>
      <c r="AT346" s="66" t="str">
        <f aca="false">IF(ISBLANK($C346),"",IF($AG346=Constants!$B$7,IF(ISNUMBER(AS346),RANK(AS346,$AS$8:$AS$507),Constants!$B$14),$AG346))</f>
        <v/>
      </c>
      <c r="AU346" s="66" t="str">
        <f aca="false">IF(ISBLANK($C346), "",AM346)</f>
        <v/>
      </c>
      <c r="AV346" s="66" t="str">
        <f aca="false">IF(ISBLANK($C346),"",IF($AG346=Constants!$B$7,RANK(AU346,AU$8:AU$507),$AG346))</f>
        <v/>
      </c>
      <c r="AW346" s="66" t="str">
        <f aca="false">IF(ISBLANK($C346), "",AR346)</f>
        <v/>
      </c>
      <c r="AX346" s="66" t="str">
        <f aca="false">IF(ISBLANK($C346),"",IF($AG346=Constants!$B$7,RANK(AW346,AW$8:AW$507),$AG346))</f>
        <v/>
      </c>
      <c r="AY346" s="66" t="str">
        <f aca="false">IF(ISBLANK($C346), "",AE346)</f>
        <v/>
      </c>
      <c r="AZ346" s="66" t="str">
        <f aca="false">IF(ISBLANK($C346),"",
IF($AG346=Constants!$B$7,
  IF(ISNUMBER(AT346),
    COUNTIFS($AT$8:$AT$507,"&lt;"&amp;$AT346)
    + COUNTIFS($AT$8:$AT$507,$AT346,$AV$8:$AV$507,"&lt;"&amp;$AV346)
    + COUNTIFS($AT$8:$AT$507,$AT346,$AV$8:$AV$507,$AV346,$AX$8:$AX$507,"&lt;"&amp;$AX346)
    + COUNTIFS($AT$8:$AT$507,$AT346,$AV$8:$AV$507,$AV346,$AX$8:$AX$507,$AX346,$AY$8:$AY$507,"&lt;"&amp;$AY346)
    + 1,
  Constants!$B$14),
$AG346))</f>
        <v/>
      </c>
      <c r="BA346" s="66" t="str">
        <f aca="false">IF(ISBLANK(C346),"",IF($AG346=Constants!$B$7, IF(ISNUMBER(AT346),AT346-AZ346,Constants!$B$14),$AG346))</f>
        <v/>
      </c>
      <c r="BB346" s="70"/>
      <c r="BC346" s="84" t="str">
        <f aca="false">IF(ISBLANK($C346),"",TRIM(AK346&amp;" "&amp;AO346))</f>
        <v/>
      </c>
      <c r="BD346" s="72" t="str">
        <f aca="false">IF(ISBLANK($C346),"",IF($AG346&lt;&gt;Constants!$B$7,$AG346,AR346))</f>
        <v/>
      </c>
      <c r="BE346" s="72" t="str">
        <f aca="false">IF(ISBLANK($C346),"",IF($AG346&lt;&gt;Constants!$B$7,$AG346,AM346))</f>
        <v/>
      </c>
      <c r="BF346" s="72" t="str">
        <f aca="false">IF(ISBLANK($C346),"",IF($AG346&lt;&gt;Constants!$B$7,$AG346,AQ346))</f>
        <v/>
      </c>
      <c r="BG346" s="73" t="str">
        <f aca="false">IF(ISBLANK($C346),"",IF($AG346&lt;&gt;Constants!$B$7, $AG346 ,AS346))</f>
        <v/>
      </c>
      <c r="BH346" s="74" t="str">
        <f aca="false">IF(ISBLANK($C346),"",IF($AG346&lt;&gt;Constants!$B$7, $AG346 ,AH346))</f>
        <v/>
      </c>
      <c r="BI346" s="72" t="str">
        <f aca="false">IF(ISBLANK(C346),"",BA346)</f>
        <v/>
      </c>
      <c r="BJ346" s="72" t="str">
        <f aca="false">IF(ISBLANK(C346),"",AZ346)</f>
        <v/>
      </c>
      <c r="BK346" s="75" t="str">
        <f aca="false">IF(ISBLANK(C346),"",IFERROR(_xlfn.SWITCH(BJ346, Constants!$B$4, COUNTA($C$8:$C845)+2, Constants!$B$5, COUNTA($C$8:$C845)+1, Constants!$B$6, COUNTA($C$8:$C845)),BJ346))</f>
        <v/>
      </c>
      <c r="BL346" s="5"/>
      <c r="BM346" s="76" t="n">
        <f aca="false">IF(OR(ISNUMBER(BJ346),BJ346="DQ",BJ346="P",BJ346="NS"),
    1,
    0
)</f>
        <v>0</v>
      </c>
      <c r="BN346" s="76" t="n">
        <v>339</v>
      </c>
      <c r="BO346" s="76" t="str">
        <f aca="false">IF(ISBLANK($C346),"",IF(ISNUMBER(BK346),BK346+ROW($B346)/1000,""))</f>
        <v/>
      </c>
      <c r="BP346" s="76" t="str">
        <f aca="false">IF(ISNUMBER(BO346), RANK(BO346,BO$8:BO$507,1), "")</f>
        <v/>
      </c>
      <c r="BQ346" s="76" t="str">
        <f aca="false">IF(ISBLANK($C346),
    "",
    $B346
)</f>
        <v/>
      </c>
      <c r="BR346" s="76" t="str">
        <f aca="false">IF(ISBLANK($C346),
    "",
    $C346
)</f>
        <v/>
      </c>
      <c r="BS346" s="76" t="str">
        <f aca="false">IF(ISBLANK($C346),
    "",
    $D346
)</f>
        <v/>
      </c>
      <c r="BT346" s="77" t="str">
        <f aca="false">BH346</f>
        <v/>
      </c>
      <c r="BU346" s="78" t="str">
        <f aca="false">BG346</f>
        <v/>
      </c>
      <c r="BV346" s="76" t="str">
        <f aca="false">IF(ISBLANK($C346),
    "",
    BJ346
)</f>
        <v/>
      </c>
      <c r="BW346" s="79" t="str">
        <f aca="false">IF(BN346&gt;BM$7,
    "",
    VLOOKUP(BN346,BP$8:BV845,7,FALSE())
)</f>
        <v/>
      </c>
      <c r="BX346" s="80" t="str">
        <f aca="false">IF(BN346&gt;BM$7,
    "",
    VLOOKUP(BN346,BP$8:BV845,2,FALSE())
)</f>
        <v/>
      </c>
      <c r="BY346" s="80" t="str">
        <f aca="false">IF(BN346&gt;BM$7,
    "",
    VLOOKUP(BN346,BP$8:BV845,3,FALSE())
)</f>
        <v/>
      </c>
      <c r="BZ346" s="80" t="str">
        <f aca="false">IF(BN346&gt;BM$7,
    "",
    VLOOKUP(BN346,BP$8:BV845,4,FALSE())
)</f>
        <v/>
      </c>
      <c r="CA346" s="80" t="str">
        <f aca="false">IF(BN346&gt;BM$7,
    "",
    VLOOKUP(BN346,BP$8:BV845,5,FALSE())
)</f>
        <v/>
      </c>
      <c r="CB346" s="81" t="str">
        <f aca="false">IF(BN346&gt;BM$7,
    "",
    VLOOKUP(BN346,BP$8:BV845,6,FALSE())
)</f>
        <v/>
      </c>
      <c r="CC346" s="53"/>
    </row>
    <row r="347" customFormat="false" ht="15.75" hidden="false" customHeight="false" outlineLevel="0" collapsed="false">
      <c r="A347" s="5"/>
      <c r="B347" s="125"/>
      <c r="C347" s="126"/>
      <c r="D347" s="115"/>
      <c r="E347" s="119"/>
      <c r="F347" s="119"/>
      <c r="G347" s="91"/>
      <c r="H347" s="92"/>
      <c r="I347" s="92"/>
      <c r="J347" s="128"/>
      <c r="K347" s="128"/>
      <c r="L347" s="128"/>
      <c r="M347" s="94"/>
      <c r="N347" s="94"/>
      <c r="O347" s="94"/>
      <c r="P347" s="95"/>
      <c r="Q347" s="96"/>
      <c r="R347" s="128"/>
      <c r="S347" s="98"/>
      <c r="T347" s="99"/>
      <c r="U347" s="99" t="str">
        <f aca="false">IF(ISBLANK($C347),"",IF(G347=Constants!$B$2, TRUE(), IF(G347=Constants!$B$3, FALSE(), TRUE())))</f>
        <v/>
      </c>
      <c r="V347" s="99" t="str">
        <f aca="false">IF(ISBLANK($C347),"",IF(H347=Constants!$B$2, TRUE(), IF(H347=Constants!$B$3, FALSE(), TRUE())))</f>
        <v/>
      </c>
      <c r="W347" s="99" t="str">
        <f aca="false">IF(ISBLANK($C347),"",IF(I347=Constants!$B$2, TRUE(), IF(I347=Constants!$B$3, FALSE(), TRUE())))</f>
        <v/>
      </c>
      <c r="X347" s="99" t="str">
        <f aca="false">IF(ISBLANK($C347),"",IF(AND(ISNUMBER(J347),J347&gt;0),INT(J347),0))</f>
        <v/>
      </c>
      <c r="Y347" s="99" t="str">
        <f aca="false">IF(ISBLANK($C347),"",IF(K347=Constants!$B$2, TRUE(), IF(K347=Constants!$B$3, FALSE(), TRUE())))</f>
        <v/>
      </c>
      <c r="Z347" s="100" t="str">
        <f aca="false">IF(ISBLANK($C347),"",IF(AND(ISNUMBER(L347),L347&gt;0),INT(L347),0))</f>
        <v/>
      </c>
      <c r="AA347" s="101" t="str">
        <f aca="false">IF(ISBLANK($C347),"",IF(ISNUMBER(M347), M347, ""))</f>
        <v/>
      </c>
      <c r="AB347" s="101" t="str">
        <f aca="false">IF(ISBLANK($C347),"",IF(ISNUMBER(N347), N347, ""))</f>
        <v/>
      </c>
      <c r="AC347" s="101" t="str">
        <f aca="false">IF(ISBLANK($C347),"",IF(ISNUMBER(O347), O347, ""))</f>
        <v/>
      </c>
      <c r="AD347" s="102" t="str">
        <f aca="false">IF(ISBLANK($C347),"",IF(ISNUMBER(P347), P347, ""))</f>
        <v/>
      </c>
      <c r="AE347" s="102" t="str">
        <f aca="false">IF(ISBLANK($C347),"",IF(ISNUMBER(Q347), Q347, Constants!$B$13))</f>
        <v/>
      </c>
      <c r="AF347" s="99" t="str">
        <f aca="false">IF(ISBLANK($C347),"",IF(R347=Constants!$B$2, TRUE(), IF(R347=Constants!$B$3, FALSE(), FALSE())))</f>
        <v/>
      </c>
      <c r="AG347" s="99" t="str">
        <f aca="false">IF(ISBLANK(C347), "", IF(AF347, Constants!$B$4,IF(COUNTA(G347:P347)=0, Constants!$B$5, Constants!$B$7)))</f>
        <v/>
      </c>
      <c r="AH347" s="99" t="str">
        <f aca="false">IF(ISBLANK($C347), "",IF($AG347=Constants!$B$7,1,$AG347))</f>
        <v/>
      </c>
      <c r="AI347" s="99" t="str">
        <f aca="false">IF($AG347=Constants!$B$7,POWER(Constants!$B$11,X347)*POWER(Constants!$B$12,Z347),"")</f>
        <v/>
      </c>
      <c r="AJ347" s="99" t="str">
        <f aca="false">IF(AND($AG347=Constants!$B$7, U347, V347) ,IF(OR($AA347="",$AC347=""),"",MAX(0, $AC347-$AA347)),"")</f>
        <v/>
      </c>
      <c r="AK347" s="99" t="str">
        <f aca="false">IF(AND($AG347=Constants!$B$7, U347, V347),IF(OR($AA347="",$AC347=""),$AK$6,""),"")</f>
        <v/>
      </c>
      <c r="AL347" s="99" t="str">
        <f aca="false">IF($AG347=Constants!$B$7,IF(AND(U347,V347,W347,Y347),IF($AJ347="",0,IF($AJ$6=0,Constants!$B$9,Constants!$B$9*AJ347/$AJ$6)), 0),"")</f>
        <v/>
      </c>
      <c r="AM347" s="99" t="str">
        <f aca="false">IF(AL347&lt;&gt;"", AL347*AI347,"")</f>
        <v/>
      </c>
      <c r="AN347" s="99" t="str">
        <f aca="false">IF(AND($AG347=Constants!$B$7, U347, V347) ,IF($AB347="", "", IF(OR($AC347="",$AC347=0),"",MAX(0,1-ABS($AC347-$AB347)/$AC347))),"")</f>
        <v/>
      </c>
      <c r="AO347" s="99" t="str">
        <f aca="false">IF(AND($AG347=Constants!$B$7, U347, V347),IF(AND($AA347&lt;&gt;"",$AB347&lt;&gt;"",$AC347=0),$AO$6,""),"")</f>
        <v/>
      </c>
      <c r="AP347" s="99" t="str">
        <f aca="false">IF($AG347=Constants!$B$7 ,IF(AND(U347,V347,W347,Y347,ISNUMBER(AB347)),IF($AN347="",0,IF($AN$6=0,Constants!$B$10,Constants!$B$10*AN347/$AN$6)), 0),"")</f>
        <v/>
      </c>
      <c r="AQ347" s="99" t="str">
        <f aca="false">IF(AP347&lt;&gt;"", AP347*AI347,"")</f>
        <v/>
      </c>
      <c r="AR347" s="99" t="str">
        <f aca="false">IF($AG347=Constants!$B$7,IF($AD347="",0,IF($AR$6=0,Constants!$B$8,Constants!$B$8*AD347/$AR$6)),"")</f>
        <v/>
      </c>
      <c r="AS347" s="99" t="str">
        <f aca="false">IF($AG347&lt;&gt;Constants!$B$7,$AG347,IF(AK347&amp;AO347&lt;&gt;"",Constants!$B$14,AM347+AQ347+AR347))</f>
        <v/>
      </c>
      <c r="AT347" s="99" t="str">
        <f aca="false">IF(ISBLANK($C347),"",IF($AG347=Constants!$B$7,IF(ISNUMBER(AS347),RANK(AS347,$AS$8:$AS$507),Constants!$B$14),$AG347))</f>
        <v/>
      </c>
      <c r="AU347" s="99" t="str">
        <f aca="false">IF(ISBLANK($C347), "",AM347)</f>
        <v/>
      </c>
      <c r="AV347" s="99" t="str">
        <f aca="false">IF(ISBLANK($C347),"",IF($AG347=Constants!$B$7,RANK(AU347,AU$8:AU$507),$AG347))</f>
        <v/>
      </c>
      <c r="AW347" s="99" t="str">
        <f aca="false">IF(ISBLANK($C347), "",AR347)</f>
        <v/>
      </c>
      <c r="AX347" s="99" t="str">
        <f aca="false">IF(ISBLANK($C347),"",IF($AG347=Constants!$B$7,RANK(AW347,AW$8:AW$507),$AG347))</f>
        <v/>
      </c>
      <c r="AY347" s="99" t="str">
        <f aca="false">IF(ISBLANK($C347), "",AE347)</f>
        <v/>
      </c>
      <c r="AZ347" s="99" t="str">
        <f aca="false">IF(ISBLANK($C347),"",
IF($AG347=Constants!$B$7,
  IF(ISNUMBER(AT347),
    COUNTIFS($AT$8:$AT$507,"&lt;"&amp;$AT347)
    + COUNTIFS($AT$8:$AT$507,$AT347,$AV$8:$AV$507,"&lt;"&amp;$AV347)
    + COUNTIFS($AT$8:$AT$507,$AT347,$AV$8:$AV$507,$AV347,$AX$8:$AX$507,"&lt;"&amp;$AX347)
    + COUNTIFS($AT$8:$AT$507,$AT347,$AV$8:$AV$507,$AV347,$AX$8:$AX$507,$AX347,$AY$8:$AY$507,"&lt;"&amp;$AY347)
    + 1,
  Constants!$B$14),
$AG347))</f>
        <v/>
      </c>
      <c r="BA347" s="99" t="str">
        <f aca="false">IF(ISBLANK(C347),"",IF($AG347=Constants!$B$7, IF(ISNUMBER(AT347),AT347-AZ347,Constants!$B$14),$AG347))</f>
        <v/>
      </c>
      <c r="BB347" s="103"/>
      <c r="BC347" s="104" t="str">
        <f aca="false">IF(ISBLANK($C347),"",TRIM(AK347&amp;" "&amp;AO347))</f>
        <v/>
      </c>
      <c r="BD347" s="105" t="str">
        <f aca="false">IF(ISBLANK($C347),"",IF($AG347&lt;&gt;Constants!$B$7,$AG347,AR347))</f>
        <v/>
      </c>
      <c r="BE347" s="105" t="str">
        <f aca="false">IF(ISBLANK($C347),"",IF($AG347&lt;&gt;Constants!$B$7,$AG347,AM347))</f>
        <v/>
      </c>
      <c r="BF347" s="105" t="str">
        <f aca="false">IF(ISBLANK($C347),"",IF($AG347&lt;&gt;Constants!$B$7,$AG347,AQ347))</f>
        <v/>
      </c>
      <c r="BG347" s="106" t="str">
        <f aca="false">IF(ISBLANK($C347),"",IF($AG347&lt;&gt;Constants!$B$7, $AG347 ,AS347))</f>
        <v/>
      </c>
      <c r="BH347" s="107" t="str">
        <f aca="false">IF(ISBLANK($C347),"",IF($AG347&lt;&gt;Constants!$B$7, $AG347 ,AH347))</f>
        <v/>
      </c>
      <c r="BI347" s="105" t="str">
        <f aca="false">IF(ISBLANK(C347),"",BA347)</f>
        <v/>
      </c>
      <c r="BJ347" s="105" t="str">
        <f aca="false">IF(ISBLANK(C347),"",AZ347)</f>
        <v/>
      </c>
      <c r="BK347" s="108" t="str">
        <f aca="false">IF(ISBLANK(C347),"",IFERROR(_xlfn.SWITCH(BJ347, Constants!$B$4, COUNTA($C$8:$C846)+2, Constants!$B$5, COUNTA($C$8:$C846)+1, Constants!$B$6, COUNTA($C$8:$C846)),BJ347))</f>
        <v/>
      </c>
      <c r="BL347" s="5"/>
      <c r="BM347" s="109" t="n">
        <f aca="false">IF(OR(ISNUMBER(BJ347),BJ347="DQ",BJ347="P",BJ347="NS"),
    1,
    0
)</f>
        <v>0</v>
      </c>
      <c r="BN347" s="109" t="n">
        <v>340</v>
      </c>
      <c r="BO347" s="109" t="str">
        <f aca="false">IF(ISBLANK($C347),"",IF(ISNUMBER(BK347),BK347+ROW($B347)/1000,""))</f>
        <v/>
      </c>
      <c r="BP347" s="109" t="str">
        <f aca="false">IF(ISNUMBER(BO347), RANK(BO347,BO$8:BO$507,1), "")</f>
        <v/>
      </c>
      <c r="BQ347" s="109" t="str">
        <f aca="false">IF(ISBLANK($C347),
    "",
    $B347
)</f>
        <v/>
      </c>
      <c r="BR347" s="109" t="str">
        <f aca="false">IF(ISBLANK($C347),
    "",
    $C347
)</f>
        <v/>
      </c>
      <c r="BS347" s="109" t="str">
        <f aca="false">IF(ISBLANK($C347),
    "",
    $D347
)</f>
        <v/>
      </c>
      <c r="BT347" s="110" t="str">
        <f aca="false">BH347</f>
        <v/>
      </c>
      <c r="BU347" s="111" t="str">
        <f aca="false">BG347</f>
        <v/>
      </c>
      <c r="BV347" s="109" t="str">
        <f aca="false">IF(ISBLANK($C347),
    "",
    BJ347
)</f>
        <v/>
      </c>
      <c r="BW347" s="112" t="str">
        <f aca="false">IF(BN347&gt;BM$7,
    "",
    VLOOKUP(BN347,BP$8:BV846,7,FALSE())
)</f>
        <v/>
      </c>
      <c r="BX347" s="113" t="str">
        <f aca="false">IF(BN347&gt;BM$7,
    "",
    VLOOKUP(BN347,BP$8:BV846,2,FALSE())
)</f>
        <v/>
      </c>
      <c r="BY347" s="113" t="str">
        <f aca="false">IF(BN347&gt;BM$7,
    "",
    VLOOKUP(BN347,BP$8:BV846,3,FALSE())
)</f>
        <v/>
      </c>
      <c r="BZ347" s="113" t="str">
        <f aca="false">IF(BN347&gt;BM$7,
    "",
    VLOOKUP(BN347,BP$8:BV846,4,FALSE())
)</f>
        <v/>
      </c>
      <c r="CA347" s="113" t="str">
        <f aca="false">IF(BN347&gt;BM$7,
    "",
    VLOOKUP(BN347,BP$8:BV846,5,FALSE())
)</f>
        <v/>
      </c>
      <c r="CB347" s="114" t="str">
        <f aca="false">IF(BN347&gt;BM$7,
    "",
    VLOOKUP(BN347,BP$8:BV846,6,FALSE())
)</f>
        <v/>
      </c>
      <c r="CC347" s="53"/>
    </row>
    <row r="348" customFormat="false" ht="15.75" hidden="false" customHeight="false" outlineLevel="0" collapsed="false">
      <c r="A348" s="5"/>
      <c r="B348" s="125"/>
      <c r="C348" s="126"/>
      <c r="D348" s="115"/>
      <c r="E348" s="119"/>
      <c r="F348" s="119"/>
      <c r="G348" s="91"/>
      <c r="H348" s="92"/>
      <c r="I348" s="92"/>
      <c r="J348" s="128"/>
      <c r="K348" s="128"/>
      <c r="L348" s="128"/>
      <c r="M348" s="94"/>
      <c r="N348" s="94"/>
      <c r="O348" s="94"/>
      <c r="P348" s="95"/>
      <c r="Q348" s="96"/>
      <c r="R348" s="128"/>
      <c r="S348" s="98"/>
      <c r="T348" s="99"/>
      <c r="U348" s="99" t="str">
        <f aca="false">IF(ISBLANK($C348),"",IF(G348=Constants!$B$2, TRUE(), IF(G348=Constants!$B$3, FALSE(), TRUE())))</f>
        <v/>
      </c>
      <c r="V348" s="99" t="str">
        <f aca="false">IF(ISBLANK($C348),"",IF(H348=Constants!$B$2, TRUE(), IF(H348=Constants!$B$3, FALSE(), TRUE())))</f>
        <v/>
      </c>
      <c r="W348" s="99" t="str">
        <f aca="false">IF(ISBLANK($C348),"",IF(I348=Constants!$B$2, TRUE(), IF(I348=Constants!$B$3, FALSE(), TRUE())))</f>
        <v/>
      </c>
      <c r="X348" s="99" t="str">
        <f aca="false">IF(ISBLANK($C348),"",IF(AND(ISNUMBER(J348),J348&gt;0),INT(J348),0))</f>
        <v/>
      </c>
      <c r="Y348" s="99" t="str">
        <f aca="false">IF(ISBLANK($C348),"",IF(K348=Constants!$B$2, TRUE(), IF(K348=Constants!$B$3, FALSE(), TRUE())))</f>
        <v/>
      </c>
      <c r="Z348" s="100" t="str">
        <f aca="false">IF(ISBLANK($C348),"",IF(AND(ISNUMBER(L348),L348&gt;0),INT(L348),0))</f>
        <v/>
      </c>
      <c r="AA348" s="101" t="str">
        <f aca="false">IF(ISBLANK($C348),"",IF(ISNUMBER(M348), M348, ""))</f>
        <v/>
      </c>
      <c r="AB348" s="101" t="str">
        <f aca="false">IF(ISBLANK($C348),"",IF(ISNUMBER(N348), N348, ""))</f>
        <v/>
      </c>
      <c r="AC348" s="101" t="str">
        <f aca="false">IF(ISBLANK($C348),"",IF(ISNUMBER(O348), O348, ""))</f>
        <v/>
      </c>
      <c r="AD348" s="102" t="str">
        <f aca="false">IF(ISBLANK($C348),"",IF(ISNUMBER(P348), P348, ""))</f>
        <v/>
      </c>
      <c r="AE348" s="102" t="str">
        <f aca="false">IF(ISBLANK($C348),"",IF(ISNUMBER(Q348), Q348, Constants!$B$13))</f>
        <v/>
      </c>
      <c r="AF348" s="99" t="str">
        <f aca="false">IF(ISBLANK($C348),"",IF(R348=Constants!$B$2, TRUE(), IF(R348=Constants!$B$3, FALSE(), FALSE())))</f>
        <v/>
      </c>
      <c r="AG348" s="99" t="str">
        <f aca="false">IF(ISBLANK(C348), "", IF(AF348, Constants!$B$4,IF(COUNTA(G348:P348)=0, Constants!$B$5, Constants!$B$7)))</f>
        <v/>
      </c>
      <c r="AH348" s="99" t="str">
        <f aca="false">IF(ISBLANK($C348), "",IF($AG348=Constants!$B$7,1,$AG348))</f>
        <v/>
      </c>
      <c r="AI348" s="99" t="str">
        <f aca="false">IF($AG348=Constants!$B$7,POWER(Constants!$B$11,X348)*POWER(Constants!$B$12,Z348),"")</f>
        <v/>
      </c>
      <c r="AJ348" s="99" t="str">
        <f aca="false">IF(AND($AG348=Constants!$B$7, U348, V348) ,IF(OR($AA348="",$AC348=""),"",MAX(0, $AC348-$AA348)),"")</f>
        <v/>
      </c>
      <c r="AK348" s="99" t="str">
        <f aca="false">IF(AND($AG348=Constants!$B$7, U348, V348),IF(OR($AA348="",$AC348=""),$AK$6,""),"")</f>
        <v/>
      </c>
      <c r="AL348" s="99" t="str">
        <f aca="false">IF($AG348=Constants!$B$7,IF(AND(U348,V348,W348,Y348),IF($AJ348="",0,IF($AJ$6=0,Constants!$B$9,Constants!$B$9*AJ348/$AJ$6)), 0),"")</f>
        <v/>
      </c>
      <c r="AM348" s="99" t="str">
        <f aca="false">IF(AL348&lt;&gt;"", AL348*AI348,"")</f>
        <v/>
      </c>
      <c r="AN348" s="99" t="str">
        <f aca="false">IF(AND($AG348=Constants!$B$7, U348, V348) ,IF($AB348="", "", IF(OR($AC348="",$AC348=0),"",MAX(0,1-ABS($AC348-$AB348)/$AC348))),"")</f>
        <v/>
      </c>
      <c r="AO348" s="99" t="str">
        <f aca="false">IF(AND($AG348=Constants!$B$7, U348, V348),IF(AND($AA348&lt;&gt;"",$AB348&lt;&gt;"",$AC348=0),$AO$6,""),"")</f>
        <v/>
      </c>
      <c r="AP348" s="99" t="str">
        <f aca="false">IF($AG348=Constants!$B$7 ,IF(AND(U348,V348,W348,Y348,ISNUMBER(AB348)),IF($AN348="",0,IF($AN$6=0,Constants!$B$10,Constants!$B$10*AN348/$AN$6)), 0),"")</f>
        <v/>
      </c>
      <c r="AQ348" s="99" t="str">
        <f aca="false">IF(AP348&lt;&gt;"", AP348*AI348,"")</f>
        <v/>
      </c>
      <c r="AR348" s="99" t="str">
        <f aca="false">IF($AG348=Constants!$B$7,IF($AD348="",0,IF($AR$6=0,Constants!$B$8,Constants!$B$8*AD348/$AR$6)),"")</f>
        <v/>
      </c>
      <c r="AS348" s="99" t="str">
        <f aca="false">IF($AG348&lt;&gt;Constants!$B$7,$AG348,IF(AK348&amp;AO348&lt;&gt;"",Constants!$B$14,AM348+AQ348+AR348))</f>
        <v/>
      </c>
      <c r="AT348" s="99" t="str">
        <f aca="false">IF(ISBLANK($C348),"",IF($AG348=Constants!$B$7,IF(ISNUMBER(AS348),RANK(AS348,$AS$8:$AS$507),Constants!$B$14),$AG348))</f>
        <v/>
      </c>
      <c r="AU348" s="99" t="str">
        <f aca="false">IF(ISBLANK($C348), "",AM348)</f>
        <v/>
      </c>
      <c r="AV348" s="99" t="str">
        <f aca="false">IF(ISBLANK($C348),"",IF($AG348=Constants!$B$7,RANK(AU348,AU$8:AU$507),$AG348))</f>
        <v/>
      </c>
      <c r="AW348" s="99" t="str">
        <f aca="false">IF(ISBLANK($C348), "",AR348)</f>
        <v/>
      </c>
      <c r="AX348" s="99" t="str">
        <f aca="false">IF(ISBLANK($C348),"",IF($AG348=Constants!$B$7,RANK(AW348,AW$8:AW$507),$AG348))</f>
        <v/>
      </c>
      <c r="AY348" s="99" t="str">
        <f aca="false">IF(ISBLANK($C348), "",AE348)</f>
        <v/>
      </c>
      <c r="AZ348" s="99" t="str">
        <f aca="false">IF(ISBLANK($C348),"",
IF($AG348=Constants!$B$7,
  IF(ISNUMBER(AT348),
    COUNTIFS($AT$8:$AT$507,"&lt;"&amp;$AT348)
    + COUNTIFS($AT$8:$AT$507,$AT348,$AV$8:$AV$507,"&lt;"&amp;$AV348)
    + COUNTIFS($AT$8:$AT$507,$AT348,$AV$8:$AV$507,$AV348,$AX$8:$AX$507,"&lt;"&amp;$AX348)
    + COUNTIFS($AT$8:$AT$507,$AT348,$AV$8:$AV$507,$AV348,$AX$8:$AX$507,$AX348,$AY$8:$AY$507,"&lt;"&amp;$AY348)
    + 1,
  Constants!$B$14),
$AG348))</f>
        <v/>
      </c>
      <c r="BA348" s="99" t="str">
        <f aca="false">IF(ISBLANK(C348),"",IF($AG348=Constants!$B$7, IF(ISNUMBER(AT348),AT348-AZ348,Constants!$B$14),$AG348))</f>
        <v/>
      </c>
      <c r="BB348" s="103"/>
      <c r="BC348" s="104" t="str">
        <f aca="false">IF(ISBLANK($C348),"",TRIM(AK348&amp;" "&amp;AO348))</f>
        <v/>
      </c>
      <c r="BD348" s="105" t="str">
        <f aca="false">IF(ISBLANK($C348),"",IF($AG348&lt;&gt;Constants!$B$7,$AG348,AR348))</f>
        <v/>
      </c>
      <c r="BE348" s="105" t="str">
        <f aca="false">IF(ISBLANK($C348),"",IF($AG348&lt;&gt;Constants!$B$7,$AG348,AM348))</f>
        <v/>
      </c>
      <c r="BF348" s="105" t="str">
        <f aca="false">IF(ISBLANK($C348),"",IF($AG348&lt;&gt;Constants!$B$7,$AG348,AQ348))</f>
        <v/>
      </c>
      <c r="BG348" s="106" t="str">
        <f aca="false">IF(ISBLANK($C348),"",IF($AG348&lt;&gt;Constants!$B$7, $AG348 ,AS348))</f>
        <v/>
      </c>
      <c r="BH348" s="107" t="str">
        <f aca="false">IF(ISBLANK($C348),"",IF($AG348&lt;&gt;Constants!$B$7, $AG348 ,AH348))</f>
        <v/>
      </c>
      <c r="BI348" s="105" t="str">
        <f aca="false">IF(ISBLANK(C348),"",BA348)</f>
        <v/>
      </c>
      <c r="BJ348" s="105" t="str">
        <f aca="false">IF(ISBLANK(C348),"",AZ348)</f>
        <v/>
      </c>
      <c r="BK348" s="108" t="str">
        <f aca="false">IF(ISBLANK(C348),"",IFERROR(_xlfn.SWITCH(BJ348, Constants!$B$4, COUNTA($C$8:$C847)+2, Constants!$B$5, COUNTA($C$8:$C847)+1, Constants!$B$6, COUNTA($C$8:$C847)),BJ348))</f>
        <v/>
      </c>
      <c r="BL348" s="5"/>
      <c r="BM348" s="109" t="n">
        <f aca="false">IF(OR(ISNUMBER(BJ348),BJ348="DQ",BJ348="P",BJ348="NS"),
    1,
    0
)</f>
        <v>0</v>
      </c>
      <c r="BN348" s="109" t="n">
        <v>341</v>
      </c>
      <c r="BO348" s="109" t="str">
        <f aca="false">IF(ISBLANK($C348),"",IF(ISNUMBER(BK348),BK348+ROW($B348)/1000,""))</f>
        <v/>
      </c>
      <c r="BP348" s="109" t="str">
        <f aca="false">IF(ISNUMBER(BO348), RANK(BO348,BO$8:BO$507,1), "")</f>
        <v/>
      </c>
      <c r="BQ348" s="109" t="str">
        <f aca="false">IF(ISBLANK($C348),
    "",
    $B348
)</f>
        <v/>
      </c>
      <c r="BR348" s="109" t="str">
        <f aca="false">IF(ISBLANK($C348),
    "",
    $C348
)</f>
        <v/>
      </c>
      <c r="BS348" s="109" t="str">
        <f aca="false">IF(ISBLANK($C348),
    "",
    $D348
)</f>
        <v/>
      </c>
      <c r="BT348" s="110" t="str">
        <f aca="false">BH348</f>
        <v/>
      </c>
      <c r="BU348" s="111" t="str">
        <f aca="false">BG348</f>
        <v/>
      </c>
      <c r="BV348" s="109" t="str">
        <f aca="false">IF(ISBLANK($C348),
    "",
    BJ348
)</f>
        <v/>
      </c>
      <c r="BW348" s="112" t="str">
        <f aca="false">IF(BN348&gt;BM$7,
    "",
    VLOOKUP(BN348,BP$8:BV847,7,FALSE())
)</f>
        <v/>
      </c>
      <c r="BX348" s="113" t="str">
        <f aca="false">IF(BN348&gt;BM$7,
    "",
    VLOOKUP(BN348,BP$8:BV847,2,FALSE())
)</f>
        <v/>
      </c>
      <c r="BY348" s="113" t="str">
        <f aca="false">IF(BN348&gt;BM$7,
    "",
    VLOOKUP(BN348,BP$8:BV847,3,FALSE())
)</f>
        <v/>
      </c>
      <c r="BZ348" s="113" t="str">
        <f aca="false">IF(BN348&gt;BM$7,
    "",
    VLOOKUP(BN348,BP$8:BV847,4,FALSE())
)</f>
        <v/>
      </c>
      <c r="CA348" s="113" t="str">
        <f aca="false">IF(BN348&gt;BM$7,
    "",
    VLOOKUP(BN348,BP$8:BV847,5,FALSE())
)</f>
        <v/>
      </c>
      <c r="CB348" s="114" t="str">
        <f aca="false">IF(BN348&gt;BM$7,
    "",
    VLOOKUP(BN348,BP$8:BV847,6,FALSE())
)</f>
        <v/>
      </c>
      <c r="CC348" s="53"/>
    </row>
    <row r="349" customFormat="false" ht="15.75" hidden="false" customHeight="false" outlineLevel="0" collapsed="false">
      <c r="A349" s="5"/>
      <c r="B349" s="125"/>
      <c r="C349" s="126"/>
      <c r="D349" s="115"/>
      <c r="E349" s="119"/>
      <c r="F349" s="119"/>
      <c r="G349" s="91"/>
      <c r="H349" s="92"/>
      <c r="I349" s="92"/>
      <c r="J349" s="128"/>
      <c r="K349" s="128"/>
      <c r="L349" s="128"/>
      <c r="M349" s="94"/>
      <c r="N349" s="94"/>
      <c r="O349" s="94"/>
      <c r="P349" s="95"/>
      <c r="Q349" s="96"/>
      <c r="R349" s="128"/>
      <c r="S349" s="98"/>
      <c r="T349" s="99"/>
      <c r="U349" s="99" t="str">
        <f aca="false">IF(ISBLANK($C349),"",IF(G349=Constants!$B$2, TRUE(), IF(G349=Constants!$B$3, FALSE(), TRUE())))</f>
        <v/>
      </c>
      <c r="V349" s="99" t="str">
        <f aca="false">IF(ISBLANK($C349),"",IF(H349=Constants!$B$2, TRUE(), IF(H349=Constants!$B$3, FALSE(), TRUE())))</f>
        <v/>
      </c>
      <c r="W349" s="99" t="str">
        <f aca="false">IF(ISBLANK($C349),"",IF(I349=Constants!$B$2, TRUE(), IF(I349=Constants!$B$3, FALSE(), TRUE())))</f>
        <v/>
      </c>
      <c r="X349" s="99" t="str">
        <f aca="false">IF(ISBLANK($C349),"",IF(AND(ISNUMBER(J349),J349&gt;0),INT(J349),0))</f>
        <v/>
      </c>
      <c r="Y349" s="99" t="str">
        <f aca="false">IF(ISBLANK($C349),"",IF(K349=Constants!$B$2, TRUE(), IF(K349=Constants!$B$3, FALSE(), TRUE())))</f>
        <v/>
      </c>
      <c r="Z349" s="100" t="str">
        <f aca="false">IF(ISBLANK($C349),"",IF(AND(ISNUMBER(L349),L349&gt;0),INT(L349),0))</f>
        <v/>
      </c>
      <c r="AA349" s="101" t="str">
        <f aca="false">IF(ISBLANK($C349),"",IF(ISNUMBER(M349), M349, ""))</f>
        <v/>
      </c>
      <c r="AB349" s="101" t="str">
        <f aca="false">IF(ISBLANK($C349),"",IF(ISNUMBER(N349), N349, ""))</f>
        <v/>
      </c>
      <c r="AC349" s="101" t="str">
        <f aca="false">IF(ISBLANK($C349),"",IF(ISNUMBER(O349), O349, ""))</f>
        <v/>
      </c>
      <c r="AD349" s="102" t="str">
        <f aca="false">IF(ISBLANK($C349),"",IF(ISNUMBER(P349), P349, ""))</f>
        <v/>
      </c>
      <c r="AE349" s="102" t="str">
        <f aca="false">IF(ISBLANK($C349),"",IF(ISNUMBER(Q349), Q349, Constants!$B$13))</f>
        <v/>
      </c>
      <c r="AF349" s="99" t="str">
        <f aca="false">IF(ISBLANK($C349),"",IF(R349=Constants!$B$2, TRUE(), IF(R349=Constants!$B$3, FALSE(), FALSE())))</f>
        <v/>
      </c>
      <c r="AG349" s="99" t="str">
        <f aca="false">IF(ISBLANK(C349), "", IF(AF349, Constants!$B$4,IF(COUNTA(G349:P349)=0, Constants!$B$5, Constants!$B$7)))</f>
        <v/>
      </c>
      <c r="AH349" s="99" t="str">
        <f aca="false">IF(ISBLANK($C349), "",IF($AG349=Constants!$B$7,1,$AG349))</f>
        <v/>
      </c>
      <c r="AI349" s="99" t="str">
        <f aca="false">IF($AG349=Constants!$B$7,POWER(Constants!$B$11,X349)*POWER(Constants!$B$12,Z349),"")</f>
        <v/>
      </c>
      <c r="AJ349" s="99" t="str">
        <f aca="false">IF(AND($AG349=Constants!$B$7, U349, V349) ,IF(OR($AA349="",$AC349=""),"",MAX(0, $AC349-$AA349)),"")</f>
        <v/>
      </c>
      <c r="AK349" s="99" t="str">
        <f aca="false">IF(AND($AG349=Constants!$B$7, U349, V349),IF(OR($AA349="",$AC349=""),$AK$6,""),"")</f>
        <v/>
      </c>
      <c r="AL349" s="99" t="str">
        <f aca="false">IF($AG349=Constants!$B$7,IF(AND(U349,V349,W349,Y349),IF($AJ349="",0,IF($AJ$6=0,Constants!$B$9,Constants!$B$9*AJ349/$AJ$6)), 0),"")</f>
        <v/>
      </c>
      <c r="AM349" s="99" t="str">
        <f aca="false">IF(AL349&lt;&gt;"", AL349*AI349,"")</f>
        <v/>
      </c>
      <c r="AN349" s="99" t="str">
        <f aca="false">IF(AND($AG349=Constants!$B$7, U349, V349) ,IF($AB349="", "", IF(OR($AC349="",$AC349=0),"",MAX(0,1-ABS($AC349-$AB349)/$AC349))),"")</f>
        <v/>
      </c>
      <c r="AO349" s="99" t="str">
        <f aca="false">IF(AND($AG349=Constants!$B$7, U349, V349),IF(AND($AA349&lt;&gt;"",$AB349&lt;&gt;"",$AC349=0),$AO$6,""),"")</f>
        <v/>
      </c>
      <c r="AP349" s="99" t="str">
        <f aca="false">IF($AG349=Constants!$B$7 ,IF(AND(U349,V349,W349,Y349,ISNUMBER(AB349)),IF($AN349="",0,IF($AN$6=0,Constants!$B$10,Constants!$B$10*AN349/$AN$6)), 0),"")</f>
        <v/>
      </c>
      <c r="AQ349" s="99" t="str">
        <f aca="false">IF(AP349&lt;&gt;"", AP349*AI349,"")</f>
        <v/>
      </c>
      <c r="AR349" s="99" t="str">
        <f aca="false">IF($AG349=Constants!$B$7,IF($AD349="",0,IF($AR$6=0,Constants!$B$8,Constants!$B$8*AD349/$AR$6)),"")</f>
        <v/>
      </c>
      <c r="AS349" s="99" t="str">
        <f aca="false">IF($AG349&lt;&gt;Constants!$B$7,$AG349,IF(AK349&amp;AO349&lt;&gt;"",Constants!$B$14,AM349+AQ349+AR349))</f>
        <v/>
      </c>
      <c r="AT349" s="99" t="str">
        <f aca="false">IF(ISBLANK($C349),"",IF($AG349=Constants!$B$7,IF(ISNUMBER(AS349),RANK(AS349,$AS$8:$AS$507),Constants!$B$14),$AG349))</f>
        <v/>
      </c>
      <c r="AU349" s="99" t="str">
        <f aca="false">IF(ISBLANK($C349), "",AM349)</f>
        <v/>
      </c>
      <c r="AV349" s="99" t="str">
        <f aca="false">IF(ISBLANK($C349),"",IF($AG349=Constants!$B$7,RANK(AU349,AU$8:AU$507),$AG349))</f>
        <v/>
      </c>
      <c r="AW349" s="99" t="str">
        <f aca="false">IF(ISBLANK($C349), "",AR349)</f>
        <v/>
      </c>
      <c r="AX349" s="99" t="str">
        <f aca="false">IF(ISBLANK($C349),"",IF($AG349=Constants!$B$7,RANK(AW349,AW$8:AW$507),$AG349))</f>
        <v/>
      </c>
      <c r="AY349" s="99" t="str">
        <f aca="false">IF(ISBLANK($C349), "",AE349)</f>
        <v/>
      </c>
      <c r="AZ349" s="99" t="str">
        <f aca="false">IF(ISBLANK($C349),"",
IF($AG349=Constants!$B$7,
  IF(ISNUMBER(AT349),
    COUNTIFS($AT$8:$AT$507,"&lt;"&amp;$AT349)
    + COUNTIFS($AT$8:$AT$507,$AT349,$AV$8:$AV$507,"&lt;"&amp;$AV349)
    + COUNTIFS($AT$8:$AT$507,$AT349,$AV$8:$AV$507,$AV349,$AX$8:$AX$507,"&lt;"&amp;$AX349)
    + COUNTIFS($AT$8:$AT$507,$AT349,$AV$8:$AV$507,$AV349,$AX$8:$AX$507,$AX349,$AY$8:$AY$507,"&lt;"&amp;$AY349)
    + 1,
  Constants!$B$14),
$AG349))</f>
        <v/>
      </c>
      <c r="BA349" s="99" t="str">
        <f aca="false">IF(ISBLANK(C349),"",IF($AG349=Constants!$B$7, IF(ISNUMBER(AT349),AT349-AZ349,Constants!$B$14),$AG349))</f>
        <v/>
      </c>
      <c r="BB349" s="103"/>
      <c r="BC349" s="104" t="str">
        <f aca="false">IF(ISBLANK($C349),"",TRIM(AK349&amp;" "&amp;AO349))</f>
        <v/>
      </c>
      <c r="BD349" s="105" t="str">
        <f aca="false">IF(ISBLANK($C349),"",IF($AG349&lt;&gt;Constants!$B$7,$AG349,AR349))</f>
        <v/>
      </c>
      <c r="BE349" s="105" t="str">
        <f aca="false">IF(ISBLANK($C349),"",IF($AG349&lt;&gt;Constants!$B$7,$AG349,AM349))</f>
        <v/>
      </c>
      <c r="BF349" s="105" t="str">
        <f aca="false">IF(ISBLANK($C349),"",IF($AG349&lt;&gt;Constants!$B$7,$AG349,AQ349))</f>
        <v/>
      </c>
      <c r="BG349" s="106" t="str">
        <f aca="false">IF(ISBLANK($C349),"",IF($AG349&lt;&gt;Constants!$B$7, $AG349 ,AS349))</f>
        <v/>
      </c>
      <c r="BH349" s="107" t="str">
        <f aca="false">IF(ISBLANK($C349),"",IF($AG349&lt;&gt;Constants!$B$7, $AG349 ,AH349))</f>
        <v/>
      </c>
      <c r="BI349" s="105" t="str">
        <f aca="false">IF(ISBLANK(C349),"",BA349)</f>
        <v/>
      </c>
      <c r="BJ349" s="105" t="str">
        <f aca="false">IF(ISBLANK(C349),"",AZ349)</f>
        <v/>
      </c>
      <c r="BK349" s="108" t="str">
        <f aca="false">IF(ISBLANK(C349),"",IFERROR(_xlfn.SWITCH(BJ349, Constants!$B$4, COUNTA($C$8:$C848)+2, Constants!$B$5, COUNTA($C$8:$C848)+1, Constants!$B$6, COUNTA($C$8:$C848)),BJ349))</f>
        <v/>
      </c>
      <c r="BL349" s="5"/>
      <c r="BM349" s="109" t="n">
        <f aca="false">IF(OR(ISNUMBER(BJ349),BJ349="DQ",BJ349="P",BJ349="NS"),
    1,
    0
)</f>
        <v>0</v>
      </c>
      <c r="BN349" s="109" t="n">
        <v>342</v>
      </c>
      <c r="BO349" s="109" t="str">
        <f aca="false">IF(ISBLANK($C349),"",IF(ISNUMBER(BK349),BK349+ROW($B349)/1000,""))</f>
        <v/>
      </c>
      <c r="BP349" s="109" t="str">
        <f aca="false">IF(ISNUMBER(BO349), RANK(BO349,BO$8:BO$507,1), "")</f>
        <v/>
      </c>
      <c r="BQ349" s="109" t="str">
        <f aca="false">IF(ISBLANK($C349),
    "",
    $B349
)</f>
        <v/>
      </c>
      <c r="BR349" s="109" t="str">
        <f aca="false">IF(ISBLANK($C349),
    "",
    $C349
)</f>
        <v/>
      </c>
      <c r="BS349" s="109" t="str">
        <f aca="false">IF(ISBLANK($C349),
    "",
    $D349
)</f>
        <v/>
      </c>
      <c r="BT349" s="110" t="str">
        <f aca="false">BH349</f>
        <v/>
      </c>
      <c r="BU349" s="111" t="str">
        <f aca="false">BG349</f>
        <v/>
      </c>
      <c r="BV349" s="109" t="str">
        <f aca="false">IF(ISBLANK($C349),
    "",
    BJ349
)</f>
        <v/>
      </c>
      <c r="BW349" s="112" t="str">
        <f aca="false">IF(BN349&gt;BM$7,
    "",
    VLOOKUP(BN349,BP$8:BV848,7,FALSE())
)</f>
        <v/>
      </c>
      <c r="BX349" s="113" t="str">
        <f aca="false">IF(BN349&gt;BM$7,
    "",
    VLOOKUP(BN349,BP$8:BV848,2,FALSE())
)</f>
        <v/>
      </c>
      <c r="BY349" s="113" t="str">
        <f aca="false">IF(BN349&gt;BM$7,
    "",
    VLOOKUP(BN349,BP$8:BV848,3,FALSE())
)</f>
        <v/>
      </c>
      <c r="BZ349" s="113" t="str">
        <f aca="false">IF(BN349&gt;BM$7,
    "",
    VLOOKUP(BN349,BP$8:BV848,4,FALSE())
)</f>
        <v/>
      </c>
      <c r="CA349" s="113" t="str">
        <f aca="false">IF(BN349&gt;BM$7,
    "",
    VLOOKUP(BN349,BP$8:BV848,5,FALSE())
)</f>
        <v/>
      </c>
      <c r="CB349" s="114" t="str">
        <f aca="false">IF(BN349&gt;BM$7,
    "",
    VLOOKUP(BN349,BP$8:BV848,6,FALSE())
)</f>
        <v/>
      </c>
      <c r="CC349" s="53"/>
    </row>
    <row r="350" customFormat="false" ht="15.75" hidden="false" customHeight="false" outlineLevel="0" collapsed="false">
      <c r="A350" s="5"/>
      <c r="B350" s="129"/>
      <c r="C350" s="55"/>
      <c r="D350" s="56"/>
      <c r="E350" s="123"/>
      <c r="F350" s="123"/>
      <c r="G350" s="58"/>
      <c r="H350" s="59"/>
      <c r="I350" s="59"/>
      <c r="J350" s="83"/>
      <c r="K350" s="83"/>
      <c r="L350" s="83"/>
      <c r="M350" s="61"/>
      <c r="N350" s="61"/>
      <c r="O350" s="61"/>
      <c r="P350" s="62"/>
      <c r="Q350" s="63"/>
      <c r="R350" s="83"/>
      <c r="S350" s="65"/>
      <c r="T350" s="66"/>
      <c r="U350" s="66" t="str">
        <f aca="false">IF(ISBLANK($C350),"",IF(G350=Constants!$B$2, TRUE(), IF(G350=Constants!$B$3, FALSE(), TRUE())))</f>
        <v/>
      </c>
      <c r="V350" s="66" t="str">
        <f aca="false">IF(ISBLANK($C350),"",IF(H350=Constants!$B$2, TRUE(), IF(H350=Constants!$B$3, FALSE(), TRUE())))</f>
        <v/>
      </c>
      <c r="W350" s="66" t="str">
        <f aca="false">IF(ISBLANK($C350),"",IF(I350=Constants!$B$2, TRUE(), IF(I350=Constants!$B$3, FALSE(), TRUE())))</f>
        <v/>
      </c>
      <c r="X350" s="66" t="str">
        <f aca="false">IF(ISBLANK($C350),"",IF(AND(ISNUMBER(J350),J350&gt;0),INT(J350),0))</f>
        <v/>
      </c>
      <c r="Y350" s="66" t="str">
        <f aca="false">IF(ISBLANK($C350),"",IF(K350=Constants!$B$2, TRUE(), IF(K350=Constants!$B$3, FALSE(), TRUE())))</f>
        <v/>
      </c>
      <c r="Z350" s="66" t="str">
        <f aca="false">IF(ISBLANK($C350),"",IF(AND(ISNUMBER(L350),L350&gt;0),INT(L350),0))</f>
        <v/>
      </c>
      <c r="AA350" s="68" t="str">
        <f aca="false">IF(ISBLANK($C350),"",IF(ISNUMBER(M350), M350, ""))</f>
        <v/>
      </c>
      <c r="AB350" s="68" t="str">
        <f aca="false">IF(ISBLANK($C350),"",IF(ISNUMBER(N350), N350, ""))</f>
        <v/>
      </c>
      <c r="AC350" s="68" t="str">
        <f aca="false">IF(ISBLANK($C350),"",IF(ISNUMBER(O350), O350, ""))</f>
        <v/>
      </c>
      <c r="AD350" s="69" t="str">
        <f aca="false">IF(ISBLANK($C350),"",IF(ISNUMBER(P350), P350, ""))</f>
        <v/>
      </c>
      <c r="AE350" s="69" t="str">
        <f aca="false">IF(ISBLANK($C350),"",IF(ISNUMBER(Q350), Q350, Constants!$B$13))</f>
        <v/>
      </c>
      <c r="AF350" s="66" t="str">
        <f aca="false">IF(ISBLANK($C350),"",IF(R350=Constants!$B$2, TRUE(), IF(R350=Constants!$B$3, FALSE(), FALSE())))</f>
        <v/>
      </c>
      <c r="AG350" s="66" t="str">
        <f aca="false">IF(ISBLANK(C350), "", IF(AF350, Constants!$B$4,IF(COUNTA(G350:P350)=0, Constants!$B$5, Constants!$B$7)))</f>
        <v/>
      </c>
      <c r="AH350" s="66" t="str">
        <f aca="false">IF(ISBLANK($C350), "",IF($AG350=Constants!$B$7,1,$AG350))</f>
        <v/>
      </c>
      <c r="AI350" s="66" t="str">
        <f aca="false">IF($AG350=Constants!$B$7,POWER(Constants!$B$11,X350)*POWER(Constants!$B$12,Z350),"")</f>
        <v/>
      </c>
      <c r="AJ350" s="66" t="str">
        <f aca="false">IF(AND($AG350=Constants!$B$7, U350, V350) ,IF(OR($AA350="",$AC350=""),"",MAX(0, $AC350-$AA350)),"")</f>
        <v/>
      </c>
      <c r="AK350" s="66" t="str">
        <f aca="false">IF(AND($AG350=Constants!$B$7, U350, V350),IF(OR($AA350="",$AC350=""),$AK$6,""),"")</f>
        <v/>
      </c>
      <c r="AL350" s="66" t="str">
        <f aca="false">IF($AG350=Constants!$B$7,IF(AND(U350,V350,W350,Y350),IF($AJ350="",0,IF($AJ$6=0,Constants!$B$9,Constants!$B$9*AJ350/$AJ$6)), 0),"")</f>
        <v/>
      </c>
      <c r="AM350" s="66" t="str">
        <f aca="false">IF(AL350&lt;&gt;"", AL350*AI350,"")</f>
        <v/>
      </c>
      <c r="AN350" s="66" t="str">
        <f aca="false">IF(AND($AG350=Constants!$B$7, U350, V350) ,IF($AB350="", "", IF(OR($AC350="",$AC350=0),"",MAX(0,1-ABS($AC350-$AB350)/$AC350))),"")</f>
        <v/>
      </c>
      <c r="AO350" s="66" t="str">
        <f aca="false">IF(AND($AG350=Constants!$B$7, U350, V350),IF(AND($AA350&lt;&gt;"",$AB350&lt;&gt;"",$AC350=0),$AO$6,""),"")</f>
        <v/>
      </c>
      <c r="AP350" s="66" t="str">
        <f aca="false">IF($AG350=Constants!$B$7 ,IF(AND(U350,V350,W350,Y350,ISNUMBER(AB350)),IF($AN350="",0,IF($AN$6=0,Constants!$B$10,Constants!$B$10*AN350/$AN$6)), 0),"")</f>
        <v/>
      </c>
      <c r="AQ350" s="66" t="str">
        <f aca="false">IF(AP350&lt;&gt;"", AP350*AI350,"")</f>
        <v/>
      </c>
      <c r="AR350" s="66" t="str">
        <f aca="false">IF($AG350=Constants!$B$7,IF($AD350="",0,IF($AR$6=0,Constants!$B$8,Constants!$B$8*AD350/$AR$6)),"")</f>
        <v/>
      </c>
      <c r="AS350" s="66" t="str">
        <f aca="false">IF($AG350&lt;&gt;Constants!$B$7,$AG350,IF(AK350&amp;AO350&lt;&gt;"",Constants!$B$14,AM350+AQ350+AR350))</f>
        <v/>
      </c>
      <c r="AT350" s="66" t="str">
        <f aca="false">IF(ISBLANK($C350),"",IF($AG350=Constants!$B$7,IF(ISNUMBER(AS350),RANK(AS350,$AS$8:$AS$507),Constants!$B$14),$AG350))</f>
        <v/>
      </c>
      <c r="AU350" s="66" t="str">
        <f aca="false">IF(ISBLANK($C350), "",AM350)</f>
        <v/>
      </c>
      <c r="AV350" s="66" t="str">
        <f aca="false">IF(ISBLANK($C350),"",IF($AG350=Constants!$B$7,RANK(AU350,AU$8:AU$507),$AG350))</f>
        <v/>
      </c>
      <c r="AW350" s="66" t="str">
        <f aca="false">IF(ISBLANK($C350), "",AR350)</f>
        <v/>
      </c>
      <c r="AX350" s="66" t="str">
        <f aca="false">IF(ISBLANK($C350),"",IF($AG350=Constants!$B$7,RANK(AW350,AW$8:AW$507),$AG350))</f>
        <v/>
      </c>
      <c r="AY350" s="66" t="str">
        <f aca="false">IF(ISBLANK($C350), "",AE350)</f>
        <v/>
      </c>
      <c r="AZ350" s="66" t="str">
        <f aca="false">IF(ISBLANK($C350),"",
IF($AG350=Constants!$B$7,
  IF(ISNUMBER(AT350),
    COUNTIFS($AT$8:$AT$507,"&lt;"&amp;$AT350)
    + COUNTIFS($AT$8:$AT$507,$AT350,$AV$8:$AV$507,"&lt;"&amp;$AV350)
    + COUNTIFS($AT$8:$AT$507,$AT350,$AV$8:$AV$507,$AV350,$AX$8:$AX$507,"&lt;"&amp;$AX350)
    + COUNTIFS($AT$8:$AT$507,$AT350,$AV$8:$AV$507,$AV350,$AX$8:$AX$507,$AX350,$AY$8:$AY$507,"&lt;"&amp;$AY350)
    + 1,
  Constants!$B$14),
$AG350))</f>
        <v/>
      </c>
      <c r="BA350" s="66" t="str">
        <f aca="false">IF(ISBLANK(C350),"",IF($AG350=Constants!$B$7, IF(ISNUMBER(AT350),AT350-AZ350,Constants!$B$14),$AG350))</f>
        <v/>
      </c>
      <c r="BB350" s="70"/>
      <c r="BC350" s="84" t="str">
        <f aca="false">IF(ISBLANK($C350),"",TRIM(AK350&amp;" "&amp;AO350))</f>
        <v/>
      </c>
      <c r="BD350" s="72" t="str">
        <f aca="false">IF(ISBLANK($C350),"",IF($AG350&lt;&gt;Constants!$B$7,$AG350,AR350))</f>
        <v/>
      </c>
      <c r="BE350" s="72" t="str">
        <f aca="false">IF(ISBLANK($C350),"",IF($AG350&lt;&gt;Constants!$B$7,$AG350,AM350))</f>
        <v/>
      </c>
      <c r="BF350" s="72" t="str">
        <f aca="false">IF(ISBLANK($C350),"",IF($AG350&lt;&gt;Constants!$B$7,$AG350,AQ350))</f>
        <v/>
      </c>
      <c r="BG350" s="73" t="str">
        <f aca="false">IF(ISBLANK($C350),"",IF($AG350&lt;&gt;Constants!$B$7, $AG350 ,AS350))</f>
        <v/>
      </c>
      <c r="BH350" s="74" t="str">
        <f aca="false">IF(ISBLANK($C350),"",IF($AG350&lt;&gt;Constants!$B$7, $AG350 ,AH350))</f>
        <v/>
      </c>
      <c r="BI350" s="72" t="str">
        <f aca="false">IF(ISBLANK(C350),"",BA350)</f>
        <v/>
      </c>
      <c r="BJ350" s="72" t="str">
        <f aca="false">IF(ISBLANK(C350),"",AZ350)</f>
        <v/>
      </c>
      <c r="BK350" s="75" t="str">
        <f aca="false">IF(ISBLANK(C350),"",IFERROR(_xlfn.SWITCH(BJ350, Constants!$B$4, COUNTA($C$8:$C849)+2, Constants!$B$5, COUNTA($C$8:$C849)+1, Constants!$B$6, COUNTA($C$8:$C849)),BJ350))</f>
        <v/>
      </c>
      <c r="BL350" s="5"/>
      <c r="BM350" s="76" t="n">
        <f aca="false">IF(OR(ISNUMBER(BJ350),BJ350="DQ",BJ350="P",BJ350="NS"),
    1,
    0
)</f>
        <v>0</v>
      </c>
      <c r="BN350" s="76" t="n">
        <v>343</v>
      </c>
      <c r="BO350" s="76" t="str">
        <f aca="false">IF(ISBLANK($C350),"",IF(ISNUMBER(BK350),BK350+ROW($B350)/1000,""))</f>
        <v/>
      </c>
      <c r="BP350" s="76" t="str">
        <f aca="false">IF(ISNUMBER(BO350), RANK(BO350,BO$8:BO$507,1), "")</f>
        <v/>
      </c>
      <c r="BQ350" s="76" t="str">
        <f aca="false">IF(ISBLANK($C350),
    "",
    $B350
)</f>
        <v/>
      </c>
      <c r="BR350" s="76" t="str">
        <f aca="false">IF(ISBLANK($C350),
    "",
    $C350
)</f>
        <v/>
      </c>
      <c r="BS350" s="76" t="str">
        <f aca="false">IF(ISBLANK($C350),
    "",
    $D350
)</f>
        <v/>
      </c>
      <c r="BT350" s="77" t="str">
        <f aca="false">BH350</f>
        <v/>
      </c>
      <c r="BU350" s="78" t="str">
        <f aca="false">BG350</f>
        <v/>
      </c>
      <c r="BV350" s="76" t="str">
        <f aca="false">IF(ISBLANK($C350),
    "",
    BJ350
)</f>
        <v/>
      </c>
      <c r="BW350" s="79" t="str">
        <f aca="false">IF(BN350&gt;BM$7,
    "",
    VLOOKUP(BN350,BP$8:BV849,7,FALSE())
)</f>
        <v/>
      </c>
      <c r="BX350" s="80" t="str">
        <f aca="false">IF(BN350&gt;BM$7,
    "",
    VLOOKUP(BN350,BP$8:BV849,2,FALSE())
)</f>
        <v/>
      </c>
      <c r="BY350" s="80" t="str">
        <f aca="false">IF(BN350&gt;BM$7,
    "",
    VLOOKUP(BN350,BP$8:BV849,3,FALSE())
)</f>
        <v/>
      </c>
      <c r="BZ350" s="80" t="str">
        <f aca="false">IF(BN350&gt;BM$7,
    "",
    VLOOKUP(BN350,BP$8:BV849,4,FALSE())
)</f>
        <v/>
      </c>
      <c r="CA350" s="80" t="str">
        <f aca="false">IF(BN350&gt;BM$7,
    "",
    VLOOKUP(BN350,BP$8:BV849,5,FALSE())
)</f>
        <v/>
      </c>
      <c r="CB350" s="81" t="str">
        <f aca="false">IF(BN350&gt;BM$7,
    "",
    VLOOKUP(BN350,BP$8:BV849,6,FALSE())
)</f>
        <v/>
      </c>
      <c r="CC350" s="53"/>
    </row>
    <row r="351" customFormat="false" ht="15.75" hidden="false" customHeight="false" outlineLevel="0" collapsed="false">
      <c r="A351" s="5"/>
      <c r="B351" s="129"/>
      <c r="C351" s="55"/>
      <c r="D351" s="56"/>
      <c r="E351" s="123"/>
      <c r="F351" s="123"/>
      <c r="G351" s="58"/>
      <c r="H351" s="59"/>
      <c r="I351" s="59"/>
      <c r="J351" s="83"/>
      <c r="K351" s="83"/>
      <c r="L351" s="83"/>
      <c r="M351" s="61"/>
      <c r="N351" s="61"/>
      <c r="O351" s="61"/>
      <c r="P351" s="62"/>
      <c r="Q351" s="63"/>
      <c r="R351" s="83"/>
      <c r="S351" s="65"/>
      <c r="T351" s="66"/>
      <c r="U351" s="66" t="str">
        <f aca="false">IF(ISBLANK($C351),"",IF(G351=Constants!$B$2, TRUE(), IF(G351=Constants!$B$3, FALSE(), TRUE())))</f>
        <v/>
      </c>
      <c r="V351" s="66" t="str">
        <f aca="false">IF(ISBLANK($C351),"",IF(H351=Constants!$B$2, TRUE(), IF(H351=Constants!$B$3, FALSE(), TRUE())))</f>
        <v/>
      </c>
      <c r="W351" s="66" t="str">
        <f aca="false">IF(ISBLANK($C351),"",IF(I351=Constants!$B$2, TRUE(), IF(I351=Constants!$B$3, FALSE(), TRUE())))</f>
        <v/>
      </c>
      <c r="X351" s="66" t="str">
        <f aca="false">IF(ISBLANK($C351),"",IF(AND(ISNUMBER(J351),J351&gt;0),INT(J351),0))</f>
        <v/>
      </c>
      <c r="Y351" s="66" t="str">
        <f aca="false">IF(ISBLANK($C351),"",IF(K351=Constants!$B$2, TRUE(), IF(K351=Constants!$B$3, FALSE(), TRUE())))</f>
        <v/>
      </c>
      <c r="Z351" s="66" t="str">
        <f aca="false">IF(ISBLANK($C351),"",IF(AND(ISNUMBER(L351),L351&gt;0),INT(L351),0))</f>
        <v/>
      </c>
      <c r="AA351" s="68" t="str">
        <f aca="false">IF(ISBLANK($C351),"",IF(ISNUMBER(M351), M351, ""))</f>
        <v/>
      </c>
      <c r="AB351" s="68" t="str">
        <f aca="false">IF(ISBLANK($C351),"",IF(ISNUMBER(N351), N351, ""))</f>
        <v/>
      </c>
      <c r="AC351" s="68" t="str">
        <f aca="false">IF(ISBLANK($C351),"",IF(ISNUMBER(O351), O351, ""))</f>
        <v/>
      </c>
      <c r="AD351" s="69" t="str">
        <f aca="false">IF(ISBLANK($C351),"",IF(ISNUMBER(P351), P351, ""))</f>
        <v/>
      </c>
      <c r="AE351" s="69" t="str">
        <f aca="false">IF(ISBLANK($C351),"",IF(ISNUMBER(Q351), Q351, Constants!$B$13))</f>
        <v/>
      </c>
      <c r="AF351" s="66" t="str">
        <f aca="false">IF(ISBLANK($C351),"",IF(R351=Constants!$B$2, TRUE(), IF(R351=Constants!$B$3, FALSE(), FALSE())))</f>
        <v/>
      </c>
      <c r="AG351" s="66" t="str">
        <f aca="false">IF(ISBLANK(C351), "", IF(AF351, Constants!$B$4,IF(COUNTA(G351:P351)=0, Constants!$B$5, Constants!$B$7)))</f>
        <v/>
      </c>
      <c r="AH351" s="66" t="str">
        <f aca="false">IF(ISBLANK($C351), "",IF($AG351=Constants!$B$7,1,$AG351))</f>
        <v/>
      </c>
      <c r="AI351" s="66" t="str">
        <f aca="false">IF($AG351=Constants!$B$7,POWER(Constants!$B$11,X351)*POWER(Constants!$B$12,Z351),"")</f>
        <v/>
      </c>
      <c r="AJ351" s="66" t="str">
        <f aca="false">IF(AND($AG351=Constants!$B$7, U351, V351) ,IF(OR($AA351="",$AC351=""),"",MAX(0, $AC351-$AA351)),"")</f>
        <v/>
      </c>
      <c r="AK351" s="66" t="str">
        <f aca="false">IF(AND($AG351=Constants!$B$7, U351, V351),IF(OR($AA351="",$AC351=""),$AK$6,""),"")</f>
        <v/>
      </c>
      <c r="AL351" s="66" t="str">
        <f aca="false">IF($AG351=Constants!$B$7,IF(AND(U351,V351,W351,Y351),IF($AJ351="",0,IF($AJ$6=0,Constants!$B$9,Constants!$B$9*AJ351/$AJ$6)), 0),"")</f>
        <v/>
      </c>
      <c r="AM351" s="66" t="str">
        <f aca="false">IF(AL351&lt;&gt;"", AL351*AI351,"")</f>
        <v/>
      </c>
      <c r="AN351" s="66" t="str">
        <f aca="false">IF(AND($AG351=Constants!$B$7, U351, V351) ,IF($AB351="", "", IF(OR($AC351="",$AC351=0),"",MAX(0,1-ABS($AC351-$AB351)/$AC351))),"")</f>
        <v/>
      </c>
      <c r="AO351" s="66" t="str">
        <f aca="false">IF(AND($AG351=Constants!$B$7, U351, V351),IF(AND($AA351&lt;&gt;"",$AB351&lt;&gt;"",$AC351=0),$AO$6,""),"")</f>
        <v/>
      </c>
      <c r="AP351" s="66" t="str">
        <f aca="false">IF($AG351=Constants!$B$7 ,IF(AND(U351,V351,W351,Y351,ISNUMBER(AB351)),IF($AN351="",0,IF($AN$6=0,Constants!$B$10,Constants!$B$10*AN351/$AN$6)), 0),"")</f>
        <v/>
      </c>
      <c r="AQ351" s="66" t="str">
        <f aca="false">IF(AP351&lt;&gt;"", AP351*AI351,"")</f>
        <v/>
      </c>
      <c r="AR351" s="66" t="str">
        <f aca="false">IF($AG351=Constants!$B$7,IF($AD351="",0,IF($AR$6=0,Constants!$B$8,Constants!$B$8*AD351/$AR$6)),"")</f>
        <v/>
      </c>
      <c r="AS351" s="66" t="str">
        <f aca="false">IF($AG351&lt;&gt;Constants!$B$7,$AG351,IF(AK351&amp;AO351&lt;&gt;"",Constants!$B$14,AM351+AQ351+AR351))</f>
        <v/>
      </c>
      <c r="AT351" s="66" t="str">
        <f aca="false">IF(ISBLANK($C351),"",IF($AG351=Constants!$B$7,IF(ISNUMBER(AS351),RANK(AS351,$AS$8:$AS$507),Constants!$B$14),$AG351))</f>
        <v/>
      </c>
      <c r="AU351" s="66" t="str">
        <f aca="false">IF(ISBLANK($C351), "",AM351)</f>
        <v/>
      </c>
      <c r="AV351" s="66" t="str">
        <f aca="false">IF(ISBLANK($C351),"",IF($AG351=Constants!$B$7,RANK(AU351,AU$8:AU$507),$AG351))</f>
        <v/>
      </c>
      <c r="AW351" s="66" t="str">
        <f aca="false">IF(ISBLANK($C351), "",AR351)</f>
        <v/>
      </c>
      <c r="AX351" s="66" t="str">
        <f aca="false">IF(ISBLANK($C351),"",IF($AG351=Constants!$B$7,RANK(AW351,AW$8:AW$507),$AG351))</f>
        <v/>
      </c>
      <c r="AY351" s="66" t="str">
        <f aca="false">IF(ISBLANK($C351), "",AE351)</f>
        <v/>
      </c>
      <c r="AZ351" s="66" t="str">
        <f aca="false">IF(ISBLANK($C351),"",
IF($AG351=Constants!$B$7,
  IF(ISNUMBER(AT351),
    COUNTIFS($AT$8:$AT$507,"&lt;"&amp;$AT351)
    + COUNTIFS($AT$8:$AT$507,$AT351,$AV$8:$AV$507,"&lt;"&amp;$AV351)
    + COUNTIFS($AT$8:$AT$507,$AT351,$AV$8:$AV$507,$AV351,$AX$8:$AX$507,"&lt;"&amp;$AX351)
    + COUNTIFS($AT$8:$AT$507,$AT351,$AV$8:$AV$507,$AV351,$AX$8:$AX$507,$AX351,$AY$8:$AY$507,"&lt;"&amp;$AY351)
    + 1,
  Constants!$B$14),
$AG351))</f>
        <v/>
      </c>
      <c r="BA351" s="66" t="str">
        <f aca="false">IF(ISBLANK(C351),"",IF($AG351=Constants!$B$7, IF(ISNUMBER(AT351),AT351-AZ351,Constants!$B$14),$AG351))</f>
        <v/>
      </c>
      <c r="BB351" s="70"/>
      <c r="BC351" s="84" t="str">
        <f aca="false">IF(ISBLANK($C351),"",TRIM(AK351&amp;" "&amp;AO351))</f>
        <v/>
      </c>
      <c r="BD351" s="72" t="str">
        <f aca="false">IF(ISBLANK($C351),"",IF($AG351&lt;&gt;Constants!$B$7,$AG351,AR351))</f>
        <v/>
      </c>
      <c r="BE351" s="72" t="str">
        <f aca="false">IF(ISBLANK($C351),"",IF($AG351&lt;&gt;Constants!$B$7,$AG351,AM351))</f>
        <v/>
      </c>
      <c r="BF351" s="72" t="str">
        <f aca="false">IF(ISBLANK($C351),"",IF($AG351&lt;&gt;Constants!$B$7,$AG351,AQ351))</f>
        <v/>
      </c>
      <c r="BG351" s="73" t="str">
        <f aca="false">IF(ISBLANK($C351),"",IF($AG351&lt;&gt;Constants!$B$7, $AG351 ,AS351))</f>
        <v/>
      </c>
      <c r="BH351" s="74" t="str">
        <f aca="false">IF(ISBLANK($C351),"",IF($AG351&lt;&gt;Constants!$B$7, $AG351 ,AH351))</f>
        <v/>
      </c>
      <c r="BI351" s="72" t="str">
        <f aca="false">IF(ISBLANK(C351),"",BA351)</f>
        <v/>
      </c>
      <c r="BJ351" s="72" t="str">
        <f aca="false">IF(ISBLANK(C351),"",AZ351)</f>
        <v/>
      </c>
      <c r="BK351" s="75" t="str">
        <f aca="false">IF(ISBLANK(C351),"",IFERROR(_xlfn.SWITCH(BJ351, Constants!$B$4, COUNTA($C$8:$C850)+2, Constants!$B$5, COUNTA($C$8:$C850)+1, Constants!$B$6, COUNTA($C$8:$C850)),BJ351))</f>
        <v/>
      </c>
      <c r="BL351" s="5"/>
      <c r="BM351" s="76" t="n">
        <f aca="false">IF(OR(ISNUMBER(BJ351),BJ351="DQ",BJ351="P",BJ351="NS"),
    1,
    0
)</f>
        <v>0</v>
      </c>
      <c r="BN351" s="76" t="n">
        <v>344</v>
      </c>
      <c r="BO351" s="76" t="str">
        <f aca="false">IF(ISBLANK($C351),"",IF(ISNUMBER(BK351),BK351+ROW($B351)/1000,""))</f>
        <v/>
      </c>
      <c r="BP351" s="76" t="str">
        <f aca="false">IF(ISNUMBER(BO351), RANK(BO351,BO$8:BO$507,1), "")</f>
        <v/>
      </c>
      <c r="BQ351" s="76" t="str">
        <f aca="false">IF(ISBLANK($C351),
    "",
    $B351
)</f>
        <v/>
      </c>
      <c r="BR351" s="76" t="str">
        <f aca="false">IF(ISBLANK($C351),
    "",
    $C351
)</f>
        <v/>
      </c>
      <c r="BS351" s="76" t="str">
        <f aca="false">IF(ISBLANK($C351),
    "",
    $D351
)</f>
        <v/>
      </c>
      <c r="BT351" s="77" t="str">
        <f aca="false">BH351</f>
        <v/>
      </c>
      <c r="BU351" s="78" t="str">
        <f aca="false">BG351</f>
        <v/>
      </c>
      <c r="BV351" s="76" t="str">
        <f aca="false">IF(ISBLANK($C351),
    "",
    BJ351
)</f>
        <v/>
      </c>
      <c r="BW351" s="79" t="str">
        <f aca="false">IF(BN351&gt;BM$7,
    "",
    VLOOKUP(BN351,BP$8:BV850,7,FALSE())
)</f>
        <v/>
      </c>
      <c r="BX351" s="80" t="str">
        <f aca="false">IF(BN351&gt;BM$7,
    "",
    VLOOKUP(BN351,BP$8:BV850,2,FALSE())
)</f>
        <v/>
      </c>
      <c r="BY351" s="80" t="str">
        <f aca="false">IF(BN351&gt;BM$7,
    "",
    VLOOKUP(BN351,BP$8:BV850,3,FALSE())
)</f>
        <v/>
      </c>
      <c r="BZ351" s="80" t="str">
        <f aca="false">IF(BN351&gt;BM$7,
    "",
    VLOOKUP(BN351,BP$8:BV850,4,FALSE())
)</f>
        <v/>
      </c>
      <c r="CA351" s="80" t="str">
        <f aca="false">IF(BN351&gt;BM$7,
    "",
    VLOOKUP(BN351,BP$8:BV850,5,FALSE())
)</f>
        <v/>
      </c>
      <c r="CB351" s="81" t="str">
        <f aca="false">IF(BN351&gt;BM$7,
    "",
    VLOOKUP(BN351,BP$8:BV850,6,FALSE())
)</f>
        <v/>
      </c>
      <c r="CC351" s="53"/>
    </row>
    <row r="352" customFormat="false" ht="15.75" hidden="false" customHeight="false" outlineLevel="0" collapsed="false">
      <c r="A352" s="5"/>
      <c r="B352" s="129"/>
      <c r="C352" s="55"/>
      <c r="D352" s="56"/>
      <c r="E352" s="123"/>
      <c r="F352" s="123"/>
      <c r="G352" s="58"/>
      <c r="H352" s="59"/>
      <c r="I352" s="59"/>
      <c r="J352" s="83"/>
      <c r="K352" s="83"/>
      <c r="L352" s="83"/>
      <c r="M352" s="61"/>
      <c r="N352" s="61"/>
      <c r="O352" s="61"/>
      <c r="P352" s="62"/>
      <c r="Q352" s="63"/>
      <c r="R352" s="83"/>
      <c r="S352" s="65"/>
      <c r="T352" s="66"/>
      <c r="U352" s="66" t="str">
        <f aca="false">IF(ISBLANK($C352),"",IF(G352=Constants!$B$2, TRUE(), IF(G352=Constants!$B$3, FALSE(), TRUE())))</f>
        <v/>
      </c>
      <c r="V352" s="66" t="str">
        <f aca="false">IF(ISBLANK($C352),"",IF(H352=Constants!$B$2, TRUE(), IF(H352=Constants!$B$3, FALSE(), TRUE())))</f>
        <v/>
      </c>
      <c r="W352" s="66" t="str">
        <f aca="false">IF(ISBLANK($C352),"",IF(I352=Constants!$B$2, TRUE(), IF(I352=Constants!$B$3, FALSE(), TRUE())))</f>
        <v/>
      </c>
      <c r="X352" s="66" t="str">
        <f aca="false">IF(ISBLANK($C352),"",IF(AND(ISNUMBER(J352),J352&gt;0),INT(J352),0))</f>
        <v/>
      </c>
      <c r="Y352" s="66" t="str">
        <f aca="false">IF(ISBLANK($C352),"",IF(K352=Constants!$B$2, TRUE(), IF(K352=Constants!$B$3, FALSE(), TRUE())))</f>
        <v/>
      </c>
      <c r="Z352" s="66" t="str">
        <f aca="false">IF(ISBLANK($C352),"",IF(AND(ISNUMBER(L352),L352&gt;0),INT(L352),0))</f>
        <v/>
      </c>
      <c r="AA352" s="68" t="str">
        <f aca="false">IF(ISBLANK($C352),"",IF(ISNUMBER(M352), M352, ""))</f>
        <v/>
      </c>
      <c r="AB352" s="68" t="str">
        <f aca="false">IF(ISBLANK($C352),"",IF(ISNUMBER(N352), N352, ""))</f>
        <v/>
      </c>
      <c r="AC352" s="68" t="str">
        <f aca="false">IF(ISBLANK($C352),"",IF(ISNUMBER(O352), O352, ""))</f>
        <v/>
      </c>
      <c r="AD352" s="69" t="str">
        <f aca="false">IF(ISBLANK($C352),"",IF(ISNUMBER(P352), P352, ""))</f>
        <v/>
      </c>
      <c r="AE352" s="69" t="str">
        <f aca="false">IF(ISBLANK($C352),"",IF(ISNUMBER(Q352), Q352, Constants!$B$13))</f>
        <v/>
      </c>
      <c r="AF352" s="66" t="str">
        <f aca="false">IF(ISBLANK($C352),"",IF(R352=Constants!$B$2, TRUE(), IF(R352=Constants!$B$3, FALSE(), FALSE())))</f>
        <v/>
      </c>
      <c r="AG352" s="66" t="str">
        <f aca="false">IF(ISBLANK(C352), "", IF(AF352, Constants!$B$4,IF(COUNTA(G352:P352)=0, Constants!$B$5, Constants!$B$7)))</f>
        <v/>
      </c>
      <c r="AH352" s="66" t="str">
        <f aca="false">IF(ISBLANK($C352), "",IF($AG352=Constants!$B$7,1,$AG352))</f>
        <v/>
      </c>
      <c r="AI352" s="66" t="str">
        <f aca="false">IF($AG352=Constants!$B$7,POWER(Constants!$B$11,X352)*POWER(Constants!$B$12,Z352),"")</f>
        <v/>
      </c>
      <c r="AJ352" s="66" t="str">
        <f aca="false">IF(AND($AG352=Constants!$B$7, U352, V352) ,IF(OR($AA352="",$AC352=""),"",MAX(0, $AC352-$AA352)),"")</f>
        <v/>
      </c>
      <c r="AK352" s="66" t="str">
        <f aca="false">IF(AND($AG352=Constants!$B$7, U352, V352),IF(OR($AA352="",$AC352=""),$AK$6,""),"")</f>
        <v/>
      </c>
      <c r="AL352" s="66" t="str">
        <f aca="false">IF($AG352=Constants!$B$7,IF(AND(U352,V352,W352,Y352),IF($AJ352="",0,IF($AJ$6=0,Constants!$B$9,Constants!$B$9*AJ352/$AJ$6)), 0),"")</f>
        <v/>
      </c>
      <c r="AM352" s="66" t="str">
        <f aca="false">IF(AL352&lt;&gt;"", AL352*AI352,"")</f>
        <v/>
      </c>
      <c r="AN352" s="66" t="str">
        <f aca="false">IF(AND($AG352=Constants!$B$7, U352, V352) ,IF($AB352="", "", IF(OR($AC352="",$AC352=0),"",MAX(0,1-ABS($AC352-$AB352)/$AC352))),"")</f>
        <v/>
      </c>
      <c r="AO352" s="66" t="str">
        <f aca="false">IF(AND($AG352=Constants!$B$7, U352, V352),IF(AND($AA352&lt;&gt;"",$AB352&lt;&gt;"",$AC352=0),$AO$6,""),"")</f>
        <v/>
      </c>
      <c r="AP352" s="66" t="str">
        <f aca="false">IF($AG352=Constants!$B$7 ,IF(AND(U352,V352,W352,Y352,ISNUMBER(AB352)),IF($AN352="",0,IF($AN$6=0,Constants!$B$10,Constants!$B$10*AN352/$AN$6)), 0),"")</f>
        <v/>
      </c>
      <c r="AQ352" s="66" t="str">
        <f aca="false">IF(AP352&lt;&gt;"", AP352*AI352,"")</f>
        <v/>
      </c>
      <c r="AR352" s="66" t="str">
        <f aca="false">IF($AG352=Constants!$B$7,IF($AD352="",0,IF($AR$6=0,Constants!$B$8,Constants!$B$8*AD352/$AR$6)),"")</f>
        <v/>
      </c>
      <c r="AS352" s="66" t="str">
        <f aca="false">IF($AG352&lt;&gt;Constants!$B$7,$AG352,IF(AK352&amp;AO352&lt;&gt;"",Constants!$B$14,AM352+AQ352+AR352))</f>
        <v/>
      </c>
      <c r="AT352" s="66" t="str">
        <f aca="false">IF(ISBLANK($C352),"",IF($AG352=Constants!$B$7,IF(ISNUMBER(AS352),RANK(AS352,$AS$8:$AS$507),Constants!$B$14),$AG352))</f>
        <v/>
      </c>
      <c r="AU352" s="66" t="str">
        <f aca="false">IF(ISBLANK($C352), "",AM352)</f>
        <v/>
      </c>
      <c r="AV352" s="66" t="str">
        <f aca="false">IF(ISBLANK($C352),"",IF($AG352=Constants!$B$7,RANK(AU352,AU$8:AU$507),$AG352))</f>
        <v/>
      </c>
      <c r="AW352" s="66" t="str">
        <f aca="false">IF(ISBLANK($C352), "",AR352)</f>
        <v/>
      </c>
      <c r="AX352" s="66" t="str">
        <f aca="false">IF(ISBLANK($C352),"",IF($AG352=Constants!$B$7,RANK(AW352,AW$8:AW$507),$AG352))</f>
        <v/>
      </c>
      <c r="AY352" s="66" t="str">
        <f aca="false">IF(ISBLANK($C352), "",AE352)</f>
        <v/>
      </c>
      <c r="AZ352" s="66" t="str">
        <f aca="false">IF(ISBLANK($C352),"",
IF($AG352=Constants!$B$7,
  IF(ISNUMBER(AT352),
    COUNTIFS($AT$8:$AT$507,"&lt;"&amp;$AT352)
    + COUNTIFS($AT$8:$AT$507,$AT352,$AV$8:$AV$507,"&lt;"&amp;$AV352)
    + COUNTIFS($AT$8:$AT$507,$AT352,$AV$8:$AV$507,$AV352,$AX$8:$AX$507,"&lt;"&amp;$AX352)
    + COUNTIFS($AT$8:$AT$507,$AT352,$AV$8:$AV$507,$AV352,$AX$8:$AX$507,$AX352,$AY$8:$AY$507,"&lt;"&amp;$AY352)
    + 1,
  Constants!$B$14),
$AG352))</f>
        <v/>
      </c>
      <c r="BA352" s="66" t="str">
        <f aca="false">IF(ISBLANK(C352),"",IF($AG352=Constants!$B$7, IF(ISNUMBER(AT352),AT352-AZ352,Constants!$B$14),$AG352))</f>
        <v/>
      </c>
      <c r="BB352" s="70"/>
      <c r="BC352" s="84" t="str">
        <f aca="false">IF(ISBLANK($C352),"",TRIM(AK352&amp;" "&amp;AO352))</f>
        <v/>
      </c>
      <c r="BD352" s="72" t="str">
        <f aca="false">IF(ISBLANK($C352),"",IF($AG352&lt;&gt;Constants!$B$7,$AG352,AR352))</f>
        <v/>
      </c>
      <c r="BE352" s="72" t="str">
        <f aca="false">IF(ISBLANK($C352),"",IF($AG352&lt;&gt;Constants!$B$7,$AG352,AM352))</f>
        <v/>
      </c>
      <c r="BF352" s="72" t="str">
        <f aca="false">IF(ISBLANK($C352),"",IF($AG352&lt;&gt;Constants!$B$7,$AG352,AQ352))</f>
        <v/>
      </c>
      <c r="BG352" s="73" t="str">
        <f aca="false">IF(ISBLANK($C352),"",IF($AG352&lt;&gt;Constants!$B$7, $AG352 ,AS352))</f>
        <v/>
      </c>
      <c r="BH352" s="74" t="str">
        <f aca="false">IF(ISBLANK($C352),"",IF($AG352&lt;&gt;Constants!$B$7, $AG352 ,AH352))</f>
        <v/>
      </c>
      <c r="BI352" s="72" t="str">
        <f aca="false">IF(ISBLANK(C352),"",BA352)</f>
        <v/>
      </c>
      <c r="BJ352" s="72" t="str">
        <f aca="false">IF(ISBLANK(C352),"",AZ352)</f>
        <v/>
      </c>
      <c r="BK352" s="75" t="str">
        <f aca="false">IF(ISBLANK(C352),"",IFERROR(_xlfn.SWITCH(BJ352, Constants!$B$4, COUNTA($C$8:$C851)+2, Constants!$B$5, COUNTA($C$8:$C851)+1, Constants!$B$6, COUNTA($C$8:$C851)),BJ352))</f>
        <v/>
      </c>
      <c r="BL352" s="5"/>
      <c r="BM352" s="76" t="n">
        <f aca="false">IF(OR(ISNUMBER(BJ352),BJ352="DQ",BJ352="P",BJ352="NS"),
    1,
    0
)</f>
        <v>0</v>
      </c>
      <c r="BN352" s="76" t="n">
        <v>345</v>
      </c>
      <c r="BO352" s="76" t="str">
        <f aca="false">IF(ISBLANK($C352),"",IF(ISNUMBER(BK352),BK352+ROW($B352)/1000,""))</f>
        <v/>
      </c>
      <c r="BP352" s="76" t="str">
        <f aca="false">IF(ISNUMBER(BO352), RANK(BO352,BO$8:BO$507,1), "")</f>
        <v/>
      </c>
      <c r="BQ352" s="76" t="str">
        <f aca="false">IF(ISBLANK($C352),
    "",
    $B352
)</f>
        <v/>
      </c>
      <c r="BR352" s="76" t="str">
        <f aca="false">IF(ISBLANK($C352),
    "",
    $C352
)</f>
        <v/>
      </c>
      <c r="BS352" s="76" t="str">
        <f aca="false">IF(ISBLANK($C352),
    "",
    $D352
)</f>
        <v/>
      </c>
      <c r="BT352" s="77" t="str">
        <f aca="false">BH352</f>
        <v/>
      </c>
      <c r="BU352" s="78" t="str">
        <f aca="false">BG352</f>
        <v/>
      </c>
      <c r="BV352" s="76" t="str">
        <f aca="false">IF(ISBLANK($C352),
    "",
    BJ352
)</f>
        <v/>
      </c>
      <c r="BW352" s="79" t="str">
        <f aca="false">IF(BN352&gt;BM$7,
    "",
    VLOOKUP(BN352,BP$8:BV851,7,FALSE())
)</f>
        <v/>
      </c>
      <c r="BX352" s="80" t="str">
        <f aca="false">IF(BN352&gt;BM$7,
    "",
    VLOOKUP(BN352,BP$8:BV851,2,FALSE())
)</f>
        <v/>
      </c>
      <c r="BY352" s="80" t="str">
        <f aca="false">IF(BN352&gt;BM$7,
    "",
    VLOOKUP(BN352,BP$8:BV851,3,FALSE())
)</f>
        <v/>
      </c>
      <c r="BZ352" s="80" t="str">
        <f aca="false">IF(BN352&gt;BM$7,
    "",
    VLOOKUP(BN352,BP$8:BV851,4,FALSE())
)</f>
        <v/>
      </c>
      <c r="CA352" s="80" t="str">
        <f aca="false">IF(BN352&gt;BM$7,
    "",
    VLOOKUP(BN352,BP$8:BV851,5,FALSE())
)</f>
        <v/>
      </c>
      <c r="CB352" s="81" t="str">
        <f aca="false">IF(BN352&gt;BM$7,
    "",
    VLOOKUP(BN352,BP$8:BV851,6,FALSE())
)</f>
        <v/>
      </c>
      <c r="CC352" s="53"/>
    </row>
    <row r="353" customFormat="false" ht="15.75" hidden="false" customHeight="false" outlineLevel="0" collapsed="false">
      <c r="A353" s="5"/>
      <c r="B353" s="125"/>
      <c r="C353" s="126"/>
      <c r="D353" s="115"/>
      <c r="E353" s="119"/>
      <c r="F353" s="119"/>
      <c r="G353" s="91"/>
      <c r="H353" s="92"/>
      <c r="I353" s="92"/>
      <c r="J353" s="128"/>
      <c r="K353" s="128"/>
      <c r="L353" s="128"/>
      <c r="M353" s="94"/>
      <c r="N353" s="94"/>
      <c r="O353" s="94"/>
      <c r="P353" s="95"/>
      <c r="Q353" s="96"/>
      <c r="R353" s="128"/>
      <c r="S353" s="98"/>
      <c r="T353" s="99"/>
      <c r="U353" s="99" t="str">
        <f aca="false">IF(ISBLANK($C353),"",IF(G353=Constants!$B$2, TRUE(), IF(G353=Constants!$B$3, FALSE(), TRUE())))</f>
        <v/>
      </c>
      <c r="V353" s="99" t="str">
        <f aca="false">IF(ISBLANK($C353),"",IF(H353=Constants!$B$2, TRUE(), IF(H353=Constants!$B$3, FALSE(), TRUE())))</f>
        <v/>
      </c>
      <c r="W353" s="99" t="str">
        <f aca="false">IF(ISBLANK($C353),"",IF(I353=Constants!$B$2, TRUE(), IF(I353=Constants!$B$3, FALSE(), TRUE())))</f>
        <v/>
      </c>
      <c r="X353" s="99" t="str">
        <f aca="false">IF(ISBLANK($C353),"",IF(AND(ISNUMBER(J353),J353&gt;0),INT(J353),0))</f>
        <v/>
      </c>
      <c r="Y353" s="99" t="str">
        <f aca="false">IF(ISBLANK($C353),"",IF(K353=Constants!$B$2, TRUE(), IF(K353=Constants!$B$3, FALSE(), TRUE())))</f>
        <v/>
      </c>
      <c r="Z353" s="100" t="str">
        <f aca="false">IF(ISBLANK($C353),"",IF(AND(ISNUMBER(L353),L353&gt;0),INT(L353),0))</f>
        <v/>
      </c>
      <c r="AA353" s="101" t="str">
        <f aca="false">IF(ISBLANK($C353),"",IF(ISNUMBER(M353), M353, ""))</f>
        <v/>
      </c>
      <c r="AB353" s="101" t="str">
        <f aca="false">IF(ISBLANK($C353),"",IF(ISNUMBER(N353), N353, ""))</f>
        <v/>
      </c>
      <c r="AC353" s="101" t="str">
        <f aca="false">IF(ISBLANK($C353),"",IF(ISNUMBER(O353), O353, ""))</f>
        <v/>
      </c>
      <c r="AD353" s="102" t="str">
        <f aca="false">IF(ISBLANK($C353),"",IF(ISNUMBER(P353), P353, ""))</f>
        <v/>
      </c>
      <c r="AE353" s="102" t="str">
        <f aca="false">IF(ISBLANK($C353),"",IF(ISNUMBER(Q353), Q353, Constants!$B$13))</f>
        <v/>
      </c>
      <c r="AF353" s="99" t="str">
        <f aca="false">IF(ISBLANK($C353),"",IF(R353=Constants!$B$2, TRUE(), IF(R353=Constants!$B$3, FALSE(), FALSE())))</f>
        <v/>
      </c>
      <c r="AG353" s="99" t="str">
        <f aca="false">IF(ISBLANK(C353), "", IF(AF353, Constants!$B$4,IF(COUNTA(G353:P353)=0, Constants!$B$5, Constants!$B$7)))</f>
        <v/>
      </c>
      <c r="AH353" s="99" t="str">
        <f aca="false">IF(ISBLANK($C353), "",IF($AG353=Constants!$B$7,1,$AG353))</f>
        <v/>
      </c>
      <c r="AI353" s="99" t="str">
        <f aca="false">IF($AG353=Constants!$B$7,POWER(Constants!$B$11,X353)*POWER(Constants!$B$12,Z353),"")</f>
        <v/>
      </c>
      <c r="AJ353" s="99" t="str">
        <f aca="false">IF(AND($AG353=Constants!$B$7, U353, V353) ,IF(OR($AA353="",$AC353=""),"",MAX(0, $AC353-$AA353)),"")</f>
        <v/>
      </c>
      <c r="AK353" s="99" t="str">
        <f aca="false">IF(AND($AG353=Constants!$B$7, U353, V353),IF(OR($AA353="",$AC353=""),$AK$6,""),"")</f>
        <v/>
      </c>
      <c r="AL353" s="99" t="str">
        <f aca="false">IF($AG353=Constants!$B$7,IF(AND(U353,V353,W353,Y353),IF($AJ353="",0,IF($AJ$6=0,Constants!$B$9,Constants!$B$9*AJ353/$AJ$6)), 0),"")</f>
        <v/>
      </c>
      <c r="AM353" s="99" t="str">
        <f aca="false">IF(AL353&lt;&gt;"", AL353*AI353,"")</f>
        <v/>
      </c>
      <c r="AN353" s="99" t="str">
        <f aca="false">IF(AND($AG353=Constants!$B$7, U353, V353) ,IF($AB353="", "", IF(OR($AC353="",$AC353=0),"",MAX(0,1-ABS($AC353-$AB353)/$AC353))),"")</f>
        <v/>
      </c>
      <c r="AO353" s="99" t="str">
        <f aca="false">IF(AND($AG353=Constants!$B$7, U353, V353),IF(AND($AA353&lt;&gt;"",$AB353&lt;&gt;"",$AC353=0),$AO$6,""),"")</f>
        <v/>
      </c>
      <c r="AP353" s="99" t="str">
        <f aca="false">IF($AG353=Constants!$B$7 ,IF(AND(U353,V353,W353,Y353,ISNUMBER(AB353)),IF($AN353="",0,IF($AN$6=0,Constants!$B$10,Constants!$B$10*AN353/$AN$6)), 0),"")</f>
        <v/>
      </c>
      <c r="AQ353" s="99" t="str">
        <f aca="false">IF(AP353&lt;&gt;"", AP353*AI353,"")</f>
        <v/>
      </c>
      <c r="AR353" s="99" t="str">
        <f aca="false">IF($AG353=Constants!$B$7,IF($AD353="",0,IF($AR$6=0,Constants!$B$8,Constants!$B$8*AD353/$AR$6)),"")</f>
        <v/>
      </c>
      <c r="AS353" s="99" t="str">
        <f aca="false">IF($AG353&lt;&gt;Constants!$B$7,$AG353,IF(AK353&amp;AO353&lt;&gt;"",Constants!$B$14,AM353+AQ353+AR353))</f>
        <v/>
      </c>
      <c r="AT353" s="99" t="str">
        <f aca="false">IF(ISBLANK($C353),"",IF($AG353=Constants!$B$7,IF(ISNUMBER(AS353),RANK(AS353,$AS$8:$AS$507),Constants!$B$14),$AG353))</f>
        <v/>
      </c>
      <c r="AU353" s="99" t="str">
        <f aca="false">IF(ISBLANK($C353), "",AM353)</f>
        <v/>
      </c>
      <c r="AV353" s="99" t="str">
        <f aca="false">IF(ISBLANK($C353),"",IF($AG353=Constants!$B$7,RANK(AU353,AU$8:AU$507),$AG353))</f>
        <v/>
      </c>
      <c r="AW353" s="99" t="str">
        <f aca="false">IF(ISBLANK($C353), "",AR353)</f>
        <v/>
      </c>
      <c r="AX353" s="99" t="str">
        <f aca="false">IF(ISBLANK($C353),"",IF($AG353=Constants!$B$7,RANK(AW353,AW$8:AW$507),$AG353))</f>
        <v/>
      </c>
      <c r="AY353" s="99" t="str">
        <f aca="false">IF(ISBLANK($C353), "",AE353)</f>
        <v/>
      </c>
      <c r="AZ353" s="99" t="str">
        <f aca="false">IF(ISBLANK($C353),"",
IF($AG353=Constants!$B$7,
  IF(ISNUMBER(AT353),
    COUNTIFS($AT$8:$AT$507,"&lt;"&amp;$AT353)
    + COUNTIFS($AT$8:$AT$507,$AT353,$AV$8:$AV$507,"&lt;"&amp;$AV353)
    + COUNTIFS($AT$8:$AT$507,$AT353,$AV$8:$AV$507,$AV353,$AX$8:$AX$507,"&lt;"&amp;$AX353)
    + COUNTIFS($AT$8:$AT$507,$AT353,$AV$8:$AV$507,$AV353,$AX$8:$AX$507,$AX353,$AY$8:$AY$507,"&lt;"&amp;$AY353)
    + 1,
  Constants!$B$14),
$AG353))</f>
        <v/>
      </c>
      <c r="BA353" s="99" t="str">
        <f aca="false">IF(ISBLANK(C353),"",IF($AG353=Constants!$B$7, IF(ISNUMBER(AT353),AT353-AZ353,Constants!$B$14),$AG353))</f>
        <v/>
      </c>
      <c r="BB353" s="103"/>
      <c r="BC353" s="104" t="str">
        <f aca="false">IF(ISBLANK($C353),"",TRIM(AK353&amp;" "&amp;AO353))</f>
        <v/>
      </c>
      <c r="BD353" s="105" t="str">
        <f aca="false">IF(ISBLANK($C353),"",IF($AG353&lt;&gt;Constants!$B$7,$AG353,AR353))</f>
        <v/>
      </c>
      <c r="BE353" s="105" t="str">
        <f aca="false">IF(ISBLANK($C353),"",IF($AG353&lt;&gt;Constants!$B$7,$AG353,AM353))</f>
        <v/>
      </c>
      <c r="BF353" s="105" t="str">
        <f aca="false">IF(ISBLANK($C353),"",IF($AG353&lt;&gt;Constants!$B$7,$AG353,AQ353))</f>
        <v/>
      </c>
      <c r="BG353" s="106" t="str">
        <f aca="false">IF(ISBLANK($C353),"",IF($AG353&lt;&gt;Constants!$B$7, $AG353 ,AS353))</f>
        <v/>
      </c>
      <c r="BH353" s="107" t="str">
        <f aca="false">IF(ISBLANK($C353),"",IF($AG353&lt;&gt;Constants!$B$7, $AG353 ,AH353))</f>
        <v/>
      </c>
      <c r="BI353" s="105" t="str">
        <f aca="false">IF(ISBLANK(C353),"",BA353)</f>
        <v/>
      </c>
      <c r="BJ353" s="105" t="str">
        <f aca="false">IF(ISBLANK(C353),"",AZ353)</f>
        <v/>
      </c>
      <c r="BK353" s="108" t="str">
        <f aca="false">IF(ISBLANK(C353),"",IFERROR(_xlfn.SWITCH(BJ353, Constants!$B$4, COUNTA($C$8:$C852)+2, Constants!$B$5, COUNTA($C$8:$C852)+1, Constants!$B$6, COUNTA($C$8:$C852)),BJ353))</f>
        <v/>
      </c>
      <c r="BL353" s="5"/>
      <c r="BM353" s="109" t="n">
        <f aca="false">IF(OR(ISNUMBER(BJ353),BJ353="DQ",BJ353="P",BJ353="NS"),
    1,
    0
)</f>
        <v>0</v>
      </c>
      <c r="BN353" s="109" t="n">
        <v>346</v>
      </c>
      <c r="BO353" s="109" t="str">
        <f aca="false">IF(ISBLANK($C353),"",IF(ISNUMBER(BK353),BK353+ROW($B353)/1000,""))</f>
        <v/>
      </c>
      <c r="BP353" s="109" t="str">
        <f aca="false">IF(ISNUMBER(BO353), RANK(BO353,BO$8:BO$507,1), "")</f>
        <v/>
      </c>
      <c r="BQ353" s="109" t="str">
        <f aca="false">IF(ISBLANK($C353),
    "",
    $B353
)</f>
        <v/>
      </c>
      <c r="BR353" s="109" t="str">
        <f aca="false">IF(ISBLANK($C353),
    "",
    $C353
)</f>
        <v/>
      </c>
      <c r="BS353" s="109" t="str">
        <f aca="false">IF(ISBLANK($C353),
    "",
    $D353
)</f>
        <v/>
      </c>
      <c r="BT353" s="110" t="str">
        <f aca="false">BH353</f>
        <v/>
      </c>
      <c r="BU353" s="111" t="str">
        <f aca="false">BG353</f>
        <v/>
      </c>
      <c r="BV353" s="109" t="str">
        <f aca="false">IF(ISBLANK($C353),
    "",
    BJ353
)</f>
        <v/>
      </c>
      <c r="BW353" s="112" t="str">
        <f aca="false">IF(BN353&gt;BM$7,
    "",
    VLOOKUP(BN353,BP$8:BV852,7,FALSE())
)</f>
        <v/>
      </c>
      <c r="BX353" s="113" t="str">
        <f aca="false">IF(BN353&gt;BM$7,
    "",
    VLOOKUP(BN353,BP$8:BV852,2,FALSE())
)</f>
        <v/>
      </c>
      <c r="BY353" s="113" t="str">
        <f aca="false">IF(BN353&gt;BM$7,
    "",
    VLOOKUP(BN353,BP$8:BV852,3,FALSE())
)</f>
        <v/>
      </c>
      <c r="BZ353" s="113" t="str">
        <f aca="false">IF(BN353&gt;BM$7,
    "",
    VLOOKUP(BN353,BP$8:BV852,4,FALSE())
)</f>
        <v/>
      </c>
      <c r="CA353" s="113" t="str">
        <f aca="false">IF(BN353&gt;BM$7,
    "",
    VLOOKUP(BN353,BP$8:BV852,5,FALSE())
)</f>
        <v/>
      </c>
      <c r="CB353" s="114" t="str">
        <f aca="false">IF(BN353&gt;BM$7,
    "",
    VLOOKUP(BN353,BP$8:BV852,6,FALSE())
)</f>
        <v/>
      </c>
      <c r="CC353" s="53"/>
    </row>
    <row r="354" customFormat="false" ht="15.75" hidden="false" customHeight="false" outlineLevel="0" collapsed="false">
      <c r="A354" s="5"/>
      <c r="B354" s="125"/>
      <c r="C354" s="126"/>
      <c r="D354" s="115"/>
      <c r="E354" s="119"/>
      <c r="F354" s="119"/>
      <c r="G354" s="91"/>
      <c r="H354" s="92"/>
      <c r="I354" s="92"/>
      <c r="J354" s="128"/>
      <c r="K354" s="128"/>
      <c r="L354" s="128"/>
      <c r="M354" s="94"/>
      <c r="N354" s="94"/>
      <c r="O354" s="94"/>
      <c r="P354" s="95"/>
      <c r="Q354" s="96"/>
      <c r="R354" s="128"/>
      <c r="S354" s="98"/>
      <c r="T354" s="99"/>
      <c r="U354" s="99" t="str">
        <f aca="false">IF(ISBLANK($C354),"",IF(G354=Constants!$B$2, TRUE(), IF(G354=Constants!$B$3, FALSE(), TRUE())))</f>
        <v/>
      </c>
      <c r="V354" s="99" t="str">
        <f aca="false">IF(ISBLANK($C354),"",IF(H354=Constants!$B$2, TRUE(), IF(H354=Constants!$B$3, FALSE(), TRUE())))</f>
        <v/>
      </c>
      <c r="W354" s="99" t="str">
        <f aca="false">IF(ISBLANK($C354),"",IF(I354=Constants!$B$2, TRUE(), IF(I354=Constants!$B$3, FALSE(), TRUE())))</f>
        <v/>
      </c>
      <c r="X354" s="99" t="str">
        <f aca="false">IF(ISBLANK($C354),"",IF(AND(ISNUMBER(J354),J354&gt;0),INT(J354),0))</f>
        <v/>
      </c>
      <c r="Y354" s="99" t="str">
        <f aca="false">IF(ISBLANK($C354),"",IF(K354=Constants!$B$2, TRUE(), IF(K354=Constants!$B$3, FALSE(), TRUE())))</f>
        <v/>
      </c>
      <c r="Z354" s="100" t="str">
        <f aca="false">IF(ISBLANK($C354),"",IF(AND(ISNUMBER(L354),L354&gt;0),INT(L354),0))</f>
        <v/>
      </c>
      <c r="AA354" s="101" t="str">
        <f aca="false">IF(ISBLANK($C354),"",IF(ISNUMBER(M354), M354, ""))</f>
        <v/>
      </c>
      <c r="AB354" s="101" t="str">
        <f aca="false">IF(ISBLANK($C354),"",IF(ISNUMBER(N354), N354, ""))</f>
        <v/>
      </c>
      <c r="AC354" s="101" t="str">
        <f aca="false">IF(ISBLANK($C354),"",IF(ISNUMBER(O354), O354, ""))</f>
        <v/>
      </c>
      <c r="AD354" s="102" t="str">
        <f aca="false">IF(ISBLANK($C354),"",IF(ISNUMBER(P354), P354, ""))</f>
        <v/>
      </c>
      <c r="AE354" s="102" t="str">
        <f aca="false">IF(ISBLANK($C354),"",IF(ISNUMBER(Q354), Q354, Constants!$B$13))</f>
        <v/>
      </c>
      <c r="AF354" s="99" t="str">
        <f aca="false">IF(ISBLANK($C354),"",IF(R354=Constants!$B$2, TRUE(), IF(R354=Constants!$B$3, FALSE(), FALSE())))</f>
        <v/>
      </c>
      <c r="AG354" s="99" t="str">
        <f aca="false">IF(ISBLANK(C354), "", IF(AF354, Constants!$B$4,IF(COUNTA(G354:P354)=0, Constants!$B$5, Constants!$B$7)))</f>
        <v/>
      </c>
      <c r="AH354" s="99" t="str">
        <f aca="false">IF(ISBLANK($C354), "",IF($AG354=Constants!$B$7,1,$AG354))</f>
        <v/>
      </c>
      <c r="AI354" s="99" t="str">
        <f aca="false">IF($AG354=Constants!$B$7,POWER(Constants!$B$11,X354)*POWER(Constants!$B$12,Z354),"")</f>
        <v/>
      </c>
      <c r="AJ354" s="99" t="str">
        <f aca="false">IF(AND($AG354=Constants!$B$7, U354, V354) ,IF(OR($AA354="",$AC354=""),"",MAX(0, $AC354-$AA354)),"")</f>
        <v/>
      </c>
      <c r="AK354" s="99" t="str">
        <f aca="false">IF(AND($AG354=Constants!$B$7, U354, V354),IF(OR($AA354="",$AC354=""),$AK$6,""),"")</f>
        <v/>
      </c>
      <c r="AL354" s="99" t="str">
        <f aca="false">IF($AG354=Constants!$B$7,IF(AND(U354,V354,W354,Y354),IF($AJ354="",0,IF($AJ$6=0,Constants!$B$9,Constants!$B$9*AJ354/$AJ$6)), 0),"")</f>
        <v/>
      </c>
      <c r="AM354" s="99" t="str">
        <f aca="false">IF(AL354&lt;&gt;"", AL354*AI354,"")</f>
        <v/>
      </c>
      <c r="AN354" s="99" t="str">
        <f aca="false">IF(AND($AG354=Constants!$B$7, U354, V354) ,IF($AB354="", "", IF(OR($AC354="",$AC354=0),"",MAX(0,1-ABS($AC354-$AB354)/$AC354))),"")</f>
        <v/>
      </c>
      <c r="AO354" s="99" t="str">
        <f aca="false">IF(AND($AG354=Constants!$B$7, U354, V354),IF(AND($AA354&lt;&gt;"",$AB354&lt;&gt;"",$AC354=0),$AO$6,""),"")</f>
        <v/>
      </c>
      <c r="AP354" s="99" t="str">
        <f aca="false">IF($AG354=Constants!$B$7 ,IF(AND(U354,V354,W354,Y354,ISNUMBER(AB354)),IF($AN354="",0,IF($AN$6=0,Constants!$B$10,Constants!$B$10*AN354/$AN$6)), 0),"")</f>
        <v/>
      </c>
      <c r="AQ354" s="99" t="str">
        <f aca="false">IF(AP354&lt;&gt;"", AP354*AI354,"")</f>
        <v/>
      </c>
      <c r="AR354" s="99" t="str">
        <f aca="false">IF($AG354=Constants!$B$7,IF($AD354="",0,IF($AR$6=0,Constants!$B$8,Constants!$B$8*AD354/$AR$6)),"")</f>
        <v/>
      </c>
      <c r="AS354" s="99" t="str">
        <f aca="false">IF($AG354&lt;&gt;Constants!$B$7,$AG354,IF(AK354&amp;AO354&lt;&gt;"",Constants!$B$14,AM354+AQ354+AR354))</f>
        <v/>
      </c>
      <c r="AT354" s="99" t="str">
        <f aca="false">IF(ISBLANK($C354),"",IF($AG354=Constants!$B$7,IF(ISNUMBER(AS354),RANK(AS354,$AS$8:$AS$507),Constants!$B$14),$AG354))</f>
        <v/>
      </c>
      <c r="AU354" s="99" t="str">
        <f aca="false">IF(ISBLANK($C354), "",AM354)</f>
        <v/>
      </c>
      <c r="AV354" s="99" t="str">
        <f aca="false">IF(ISBLANK($C354),"",IF($AG354=Constants!$B$7,RANK(AU354,AU$8:AU$507),$AG354))</f>
        <v/>
      </c>
      <c r="AW354" s="99" t="str">
        <f aca="false">IF(ISBLANK($C354), "",AR354)</f>
        <v/>
      </c>
      <c r="AX354" s="99" t="str">
        <f aca="false">IF(ISBLANK($C354),"",IF($AG354=Constants!$B$7,RANK(AW354,AW$8:AW$507),$AG354))</f>
        <v/>
      </c>
      <c r="AY354" s="99" t="str">
        <f aca="false">IF(ISBLANK($C354), "",AE354)</f>
        <v/>
      </c>
      <c r="AZ354" s="99" t="str">
        <f aca="false">IF(ISBLANK($C354),"",
IF($AG354=Constants!$B$7,
  IF(ISNUMBER(AT354),
    COUNTIFS($AT$8:$AT$507,"&lt;"&amp;$AT354)
    + COUNTIFS($AT$8:$AT$507,$AT354,$AV$8:$AV$507,"&lt;"&amp;$AV354)
    + COUNTIFS($AT$8:$AT$507,$AT354,$AV$8:$AV$507,$AV354,$AX$8:$AX$507,"&lt;"&amp;$AX354)
    + COUNTIFS($AT$8:$AT$507,$AT354,$AV$8:$AV$507,$AV354,$AX$8:$AX$507,$AX354,$AY$8:$AY$507,"&lt;"&amp;$AY354)
    + 1,
  Constants!$B$14),
$AG354))</f>
        <v/>
      </c>
      <c r="BA354" s="99" t="str">
        <f aca="false">IF(ISBLANK(C354),"",IF($AG354=Constants!$B$7, IF(ISNUMBER(AT354),AT354-AZ354,Constants!$B$14),$AG354))</f>
        <v/>
      </c>
      <c r="BB354" s="103"/>
      <c r="BC354" s="104" t="str">
        <f aca="false">IF(ISBLANK($C354),"",TRIM(AK354&amp;" "&amp;AO354))</f>
        <v/>
      </c>
      <c r="BD354" s="105" t="str">
        <f aca="false">IF(ISBLANK($C354),"",IF($AG354&lt;&gt;Constants!$B$7,$AG354,AR354))</f>
        <v/>
      </c>
      <c r="BE354" s="105" t="str">
        <f aca="false">IF(ISBLANK($C354),"",IF($AG354&lt;&gt;Constants!$B$7,$AG354,AM354))</f>
        <v/>
      </c>
      <c r="BF354" s="105" t="str">
        <f aca="false">IF(ISBLANK($C354),"",IF($AG354&lt;&gt;Constants!$B$7,$AG354,AQ354))</f>
        <v/>
      </c>
      <c r="BG354" s="106" t="str">
        <f aca="false">IF(ISBLANK($C354),"",IF($AG354&lt;&gt;Constants!$B$7, $AG354 ,AS354))</f>
        <v/>
      </c>
      <c r="BH354" s="107" t="str">
        <f aca="false">IF(ISBLANK($C354),"",IF($AG354&lt;&gt;Constants!$B$7, $AG354 ,AH354))</f>
        <v/>
      </c>
      <c r="BI354" s="105" t="str">
        <f aca="false">IF(ISBLANK(C354),"",BA354)</f>
        <v/>
      </c>
      <c r="BJ354" s="105" t="str">
        <f aca="false">IF(ISBLANK(C354),"",AZ354)</f>
        <v/>
      </c>
      <c r="BK354" s="108" t="str">
        <f aca="false">IF(ISBLANK(C354),"",IFERROR(_xlfn.SWITCH(BJ354, Constants!$B$4, COUNTA($C$8:$C853)+2, Constants!$B$5, COUNTA($C$8:$C853)+1, Constants!$B$6, COUNTA($C$8:$C853)),BJ354))</f>
        <v/>
      </c>
      <c r="BL354" s="5"/>
      <c r="BM354" s="109" t="n">
        <f aca="false">IF(OR(ISNUMBER(BJ354),BJ354="DQ",BJ354="P",BJ354="NS"),
    1,
    0
)</f>
        <v>0</v>
      </c>
      <c r="BN354" s="109" t="n">
        <v>347</v>
      </c>
      <c r="BO354" s="109" t="str">
        <f aca="false">IF(ISBLANK($C354),"",IF(ISNUMBER(BK354),BK354+ROW($B354)/1000,""))</f>
        <v/>
      </c>
      <c r="BP354" s="109" t="str">
        <f aca="false">IF(ISNUMBER(BO354), RANK(BO354,BO$8:BO$507,1), "")</f>
        <v/>
      </c>
      <c r="BQ354" s="109" t="str">
        <f aca="false">IF(ISBLANK($C354),
    "",
    $B354
)</f>
        <v/>
      </c>
      <c r="BR354" s="109" t="str">
        <f aca="false">IF(ISBLANK($C354),
    "",
    $C354
)</f>
        <v/>
      </c>
      <c r="BS354" s="109" t="str">
        <f aca="false">IF(ISBLANK($C354),
    "",
    $D354
)</f>
        <v/>
      </c>
      <c r="BT354" s="110" t="str">
        <f aca="false">BH354</f>
        <v/>
      </c>
      <c r="BU354" s="111" t="str">
        <f aca="false">BG354</f>
        <v/>
      </c>
      <c r="BV354" s="109" t="str">
        <f aca="false">IF(ISBLANK($C354),
    "",
    BJ354
)</f>
        <v/>
      </c>
      <c r="BW354" s="112" t="str">
        <f aca="false">IF(BN354&gt;BM$7,
    "",
    VLOOKUP(BN354,BP$8:BV853,7,FALSE())
)</f>
        <v/>
      </c>
      <c r="BX354" s="113" t="str">
        <f aca="false">IF(BN354&gt;BM$7,
    "",
    VLOOKUP(BN354,BP$8:BV853,2,FALSE())
)</f>
        <v/>
      </c>
      <c r="BY354" s="113" t="str">
        <f aca="false">IF(BN354&gt;BM$7,
    "",
    VLOOKUP(BN354,BP$8:BV853,3,FALSE())
)</f>
        <v/>
      </c>
      <c r="BZ354" s="113" t="str">
        <f aca="false">IF(BN354&gt;BM$7,
    "",
    VLOOKUP(BN354,BP$8:BV853,4,FALSE())
)</f>
        <v/>
      </c>
      <c r="CA354" s="113" t="str">
        <f aca="false">IF(BN354&gt;BM$7,
    "",
    VLOOKUP(BN354,BP$8:BV853,5,FALSE())
)</f>
        <v/>
      </c>
      <c r="CB354" s="114" t="str">
        <f aca="false">IF(BN354&gt;BM$7,
    "",
    VLOOKUP(BN354,BP$8:BV853,6,FALSE())
)</f>
        <v/>
      </c>
      <c r="CC354" s="53"/>
    </row>
    <row r="355" customFormat="false" ht="15.75" hidden="false" customHeight="false" outlineLevel="0" collapsed="false">
      <c r="A355" s="5"/>
      <c r="B355" s="125"/>
      <c r="C355" s="126"/>
      <c r="D355" s="115"/>
      <c r="E355" s="119"/>
      <c r="F355" s="119"/>
      <c r="G355" s="91"/>
      <c r="H355" s="92"/>
      <c r="I355" s="92"/>
      <c r="J355" s="128"/>
      <c r="K355" s="128"/>
      <c r="L355" s="128"/>
      <c r="M355" s="94"/>
      <c r="N355" s="94"/>
      <c r="O355" s="94"/>
      <c r="P355" s="95"/>
      <c r="Q355" s="96"/>
      <c r="R355" s="128"/>
      <c r="S355" s="98"/>
      <c r="T355" s="99"/>
      <c r="U355" s="99" t="str">
        <f aca="false">IF(ISBLANK($C355),"",IF(G355=Constants!$B$2, TRUE(), IF(G355=Constants!$B$3, FALSE(), TRUE())))</f>
        <v/>
      </c>
      <c r="V355" s="99" t="str">
        <f aca="false">IF(ISBLANK($C355),"",IF(H355=Constants!$B$2, TRUE(), IF(H355=Constants!$B$3, FALSE(), TRUE())))</f>
        <v/>
      </c>
      <c r="W355" s="99" t="str">
        <f aca="false">IF(ISBLANK($C355),"",IF(I355=Constants!$B$2, TRUE(), IF(I355=Constants!$B$3, FALSE(), TRUE())))</f>
        <v/>
      </c>
      <c r="X355" s="99" t="str">
        <f aca="false">IF(ISBLANK($C355),"",IF(AND(ISNUMBER(J355),J355&gt;0),INT(J355),0))</f>
        <v/>
      </c>
      <c r="Y355" s="99" t="str">
        <f aca="false">IF(ISBLANK($C355),"",IF(K355=Constants!$B$2, TRUE(), IF(K355=Constants!$B$3, FALSE(), TRUE())))</f>
        <v/>
      </c>
      <c r="Z355" s="100" t="str">
        <f aca="false">IF(ISBLANK($C355),"",IF(AND(ISNUMBER(L355),L355&gt;0),INT(L355),0))</f>
        <v/>
      </c>
      <c r="AA355" s="101" t="str">
        <f aca="false">IF(ISBLANK($C355),"",IF(ISNUMBER(M355), M355, ""))</f>
        <v/>
      </c>
      <c r="AB355" s="101" t="str">
        <f aca="false">IF(ISBLANK($C355),"",IF(ISNUMBER(N355), N355, ""))</f>
        <v/>
      </c>
      <c r="AC355" s="101" t="str">
        <f aca="false">IF(ISBLANK($C355),"",IF(ISNUMBER(O355), O355, ""))</f>
        <v/>
      </c>
      <c r="AD355" s="102" t="str">
        <f aca="false">IF(ISBLANK($C355),"",IF(ISNUMBER(P355), P355, ""))</f>
        <v/>
      </c>
      <c r="AE355" s="102" t="str">
        <f aca="false">IF(ISBLANK($C355),"",IF(ISNUMBER(Q355), Q355, Constants!$B$13))</f>
        <v/>
      </c>
      <c r="AF355" s="99" t="str">
        <f aca="false">IF(ISBLANK($C355),"",IF(R355=Constants!$B$2, TRUE(), IF(R355=Constants!$B$3, FALSE(), FALSE())))</f>
        <v/>
      </c>
      <c r="AG355" s="99" t="str">
        <f aca="false">IF(ISBLANK(C355), "", IF(AF355, Constants!$B$4,IF(COUNTA(G355:P355)=0, Constants!$B$5, Constants!$B$7)))</f>
        <v/>
      </c>
      <c r="AH355" s="99" t="str">
        <f aca="false">IF(ISBLANK($C355), "",IF($AG355=Constants!$B$7,1,$AG355))</f>
        <v/>
      </c>
      <c r="AI355" s="99" t="str">
        <f aca="false">IF($AG355=Constants!$B$7,POWER(Constants!$B$11,X355)*POWER(Constants!$B$12,Z355),"")</f>
        <v/>
      </c>
      <c r="AJ355" s="99" t="str">
        <f aca="false">IF(AND($AG355=Constants!$B$7, U355, V355) ,IF(OR($AA355="",$AC355=""),"",MAX(0, $AC355-$AA355)),"")</f>
        <v/>
      </c>
      <c r="AK355" s="99" t="str">
        <f aca="false">IF(AND($AG355=Constants!$B$7, U355, V355),IF(OR($AA355="",$AC355=""),$AK$6,""),"")</f>
        <v/>
      </c>
      <c r="AL355" s="99" t="str">
        <f aca="false">IF($AG355=Constants!$B$7,IF(AND(U355,V355,W355,Y355),IF($AJ355="",0,IF($AJ$6=0,Constants!$B$9,Constants!$B$9*AJ355/$AJ$6)), 0),"")</f>
        <v/>
      </c>
      <c r="AM355" s="99" t="str">
        <f aca="false">IF(AL355&lt;&gt;"", AL355*AI355,"")</f>
        <v/>
      </c>
      <c r="AN355" s="99" t="str">
        <f aca="false">IF(AND($AG355=Constants!$B$7, U355, V355) ,IF($AB355="", "", IF(OR($AC355="",$AC355=0),"",MAX(0,1-ABS($AC355-$AB355)/$AC355))),"")</f>
        <v/>
      </c>
      <c r="AO355" s="99" t="str">
        <f aca="false">IF(AND($AG355=Constants!$B$7, U355, V355),IF(AND($AA355&lt;&gt;"",$AB355&lt;&gt;"",$AC355=0),$AO$6,""),"")</f>
        <v/>
      </c>
      <c r="AP355" s="99" t="str">
        <f aca="false">IF($AG355=Constants!$B$7 ,IF(AND(U355,V355,W355,Y355,ISNUMBER(AB355)),IF($AN355="",0,IF($AN$6=0,Constants!$B$10,Constants!$B$10*AN355/$AN$6)), 0),"")</f>
        <v/>
      </c>
      <c r="AQ355" s="99" t="str">
        <f aca="false">IF(AP355&lt;&gt;"", AP355*AI355,"")</f>
        <v/>
      </c>
      <c r="AR355" s="99" t="str">
        <f aca="false">IF($AG355=Constants!$B$7,IF($AD355="",0,IF($AR$6=0,Constants!$B$8,Constants!$B$8*AD355/$AR$6)),"")</f>
        <v/>
      </c>
      <c r="AS355" s="99" t="str">
        <f aca="false">IF($AG355&lt;&gt;Constants!$B$7,$AG355,IF(AK355&amp;AO355&lt;&gt;"",Constants!$B$14,AM355+AQ355+AR355))</f>
        <v/>
      </c>
      <c r="AT355" s="99" t="str">
        <f aca="false">IF(ISBLANK($C355),"",IF($AG355=Constants!$B$7,IF(ISNUMBER(AS355),RANK(AS355,$AS$8:$AS$507),Constants!$B$14),$AG355))</f>
        <v/>
      </c>
      <c r="AU355" s="99" t="str">
        <f aca="false">IF(ISBLANK($C355), "",AM355)</f>
        <v/>
      </c>
      <c r="AV355" s="99" t="str">
        <f aca="false">IF(ISBLANK($C355),"",IF($AG355=Constants!$B$7,RANK(AU355,AU$8:AU$507),$AG355))</f>
        <v/>
      </c>
      <c r="AW355" s="99" t="str">
        <f aca="false">IF(ISBLANK($C355), "",AR355)</f>
        <v/>
      </c>
      <c r="AX355" s="99" t="str">
        <f aca="false">IF(ISBLANK($C355),"",IF($AG355=Constants!$B$7,RANK(AW355,AW$8:AW$507),$AG355))</f>
        <v/>
      </c>
      <c r="AY355" s="99" t="str">
        <f aca="false">IF(ISBLANK($C355), "",AE355)</f>
        <v/>
      </c>
      <c r="AZ355" s="99" t="str">
        <f aca="false">IF(ISBLANK($C355),"",
IF($AG355=Constants!$B$7,
  IF(ISNUMBER(AT355),
    COUNTIFS($AT$8:$AT$507,"&lt;"&amp;$AT355)
    + COUNTIFS($AT$8:$AT$507,$AT355,$AV$8:$AV$507,"&lt;"&amp;$AV355)
    + COUNTIFS($AT$8:$AT$507,$AT355,$AV$8:$AV$507,$AV355,$AX$8:$AX$507,"&lt;"&amp;$AX355)
    + COUNTIFS($AT$8:$AT$507,$AT355,$AV$8:$AV$507,$AV355,$AX$8:$AX$507,$AX355,$AY$8:$AY$507,"&lt;"&amp;$AY355)
    + 1,
  Constants!$B$14),
$AG355))</f>
        <v/>
      </c>
      <c r="BA355" s="99" t="str">
        <f aca="false">IF(ISBLANK(C355),"",IF($AG355=Constants!$B$7, IF(ISNUMBER(AT355),AT355-AZ355,Constants!$B$14),$AG355))</f>
        <v/>
      </c>
      <c r="BB355" s="103"/>
      <c r="BC355" s="104" t="str">
        <f aca="false">IF(ISBLANK($C355),"",TRIM(AK355&amp;" "&amp;AO355))</f>
        <v/>
      </c>
      <c r="BD355" s="105" t="str">
        <f aca="false">IF(ISBLANK($C355),"",IF($AG355&lt;&gt;Constants!$B$7,$AG355,AR355))</f>
        <v/>
      </c>
      <c r="BE355" s="105" t="str">
        <f aca="false">IF(ISBLANK($C355),"",IF($AG355&lt;&gt;Constants!$B$7,$AG355,AM355))</f>
        <v/>
      </c>
      <c r="BF355" s="105" t="str">
        <f aca="false">IF(ISBLANK($C355),"",IF($AG355&lt;&gt;Constants!$B$7,$AG355,AQ355))</f>
        <v/>
      </c>
      <c r="BG355" s="106" t="str">
        <f aca="false">IF(ISBLANK($C355),"",IF($AG355&lt;&gt;Constants!$B$7, $AG355 ,AS355))</f>
        <v/>
      </c>
      <c r="BH355" s="107" t="str">
        <f aca="false">IF(ISBLANK($C355),"",IF($AG355&lt;&gt;Constants!$B$7, $AG355 ,AH355))</f>
        <v/>
      </c>
      <c r="BI355" s="105" t="str">
        <f aca="false">IF(ISBLANK(C355),"",BA355)</f>
        <v/>
      </c>
      <c r="BJ355" s="105" t="str">
        <f aca="false">IF(ISBLANK(C355),"",AZ355)</f>
        <v/>
      </c>
      <c r="BK355" s="108" t="str">
        <f aca="false">IF(ISBLANK(C355),"",IFERROR(_xlfn.SWITCH(BJ355, Constants!$B$4, COUNTA($C$8:$C854)+2, Constants!$B$5, COUNTA($C$8:$C854)+1, Constants!$B$6, COUNTA($C$8:$C854)),BJ355))</f>
        <v/>
      </c>
      <c r="BL355" s="5"/>
      <c r="BM355" s="109" t="n">
        <f aca="false">IF(OR(ISNUMBER(BJ355),BJ355="DQ",BJ355="P",BJ355="NS"),
    1,
    0
)</f>
        <v>0</v>
      </c>
      <c r="BN355" s="109" t="n">
        <v>348</v>
      </c>
      <c r="BO355" s="109" t="str">
        <f aca="false">IF(ISBLANK($C355),"",IF(ISNUMBER(BK355),BK355+ROW($B355)/1000,""))</f>
        <v/>
      </c>
      <c r="BP355" s="109" t="str">
        <f aca="false">IF(ISNUMBER(BO355), RANK(BO355,BO$8:BO$507,1), "")</f>
        <v/>
      </c>
      <c r="BQ355" s="109" t="str">
        <f aca="false">IF(ISBLANK($C355),
    "",
    $B355
)</f>
        <v/>
      </c>
      <c r="BR355" s="109" t="str">
        <f aca="false">IF(ISBLANK($C355),
    "",
    $C355
)</f>
        <v/>
      </c>
      <c r="BS355" s="109" t="str">
        <f aca="false">IF(ISBLANK($C355),
    "",
    $D355
)</f>
        <v/>
      </c>
      <c r="BT355" s="110" t="str">
        <f aca="false">BH355</f>
        <v/>
      </c>
      <c r="BU355" s="111" t="str">
        <f aca="false">BG355</f>
        <v/>
      </c>
      <c r="BV355" s="109" t="str">
        <f aca="false">IF(ISBLANK($C355),
    "",
    BJ355
)</f>
        <v/>
      </c>
      <c r="BW355" s="112" t="str">
        <f aca="false">IF(BN355&gt;BM$7,
    "",
    VLOOKUP(BN355,BP$8:BV854,7,FALSE())
)</f>
        <v/>
      </c>
      <c r="BX355" s="113" t="str">
        <f aca="false">IF(BN355&gt;BM$7,
    "",
    VLOOKUP(BN355,BP$8:BV854,2,FALSE())
)</f>
        <v/>
      </c>
      <c r="BY355" s="113" t="str">
        <f aca="false">IF(BN355&gt;BM$7,
    "",
    VLOOKUP(BN355,BP$8:BV854,3,FALSE())
)</f>
        <v/>
      </c>
      <c r="BZ355" s="113" t="str">
        <f aca="false">IF(BN355&gt;BM$7,
    "",
    VLOOKUP(BN355,BP$8:BV854,4,FALSE())
)</f>
        <v/>
      </c>
      <c r="CA355" s="113" t="str">
        <f aca="false">IF(BN355&gt;BM$7,
    "",
    VLOOKUP(BN355,BP$8:BV854,5,FALSE())
)</f>
        <v/>
      </c>
      <c r="CB355" s="114" t="str">
        <f aca="false">IF(BN355&gt;BM$7,
    "",
    VLOOKUP(BN355,BP$8:BV854,6,FALSE())
)</f>
        <v/>
      </c>
      <c r="CC355" s="53"/>
    </row>
    <row r="356" customFormat="false" ht="15.75" hidden="false" customHeight="false" outlineLevel="0" collapsed="false">
      <c r="A356" s="5"/>
      <c r="B356" s="129"/>
      <c r="C356" s="55"/>
      <c r="D356" s="56"/>
      <c r="E356" s="123"/>
      <c r="F356" s="123"/>
      <c r="G356" s="58"/>
      <c r="H356" s="59"/>
      <c r="I356" s="59"/>
      <c r="J356" s="83"/>
      <c r="K356" s="83"/>
      <c r="L356" s="83"/>
      <c r="M356" s="61"/>
      <c r="N356" s="61"/>
      <c r="O356" s="61"/>
      <c r="P356" s="62"/>
      <c r="Q356" s="63"/>
      <c r="R356" s="83"/>
      <c r="S356" s="65"/>
      <c r="T356" s="66"/>
      <c r="U356" s="66" t="str">
        <f aca="false">IF(ISBLANK($C356),"",IF(G356=Constants!$B$2, TRUE(), IF(G356=Constants!$B$3, FALSE(), TRUE())))</f>
        <v/>
      </c>
      <c r="V356" s="66" t="str">
        <f aca="false">IF(ISBLANK($C356),"",IF(H356=Constants!$B$2, TRUE(), IF(H356=Constants!$B$3, FALSE(), TRUE())))</f>
        <v/>
      </c>
      <c r="W356" s="66" t="str">
        <f aca="false">IF(ISBLANK($C356),"",IF(I356=Constants!$B$2, TRUE(), IF(I356=Constants!$B$3, FALSE(), TRUE())))</f>
        <v/>
      </c>
      <c r="X356" s="66" t="str">
        <f aca="false">IF(ISBLANK($C356),"",IF(AND(ISNUMBER(J356),J356&gt;0),INT(J356),0))</f>
        <v/>
      </c>
      <c r="Y356" s="66" t="str">
        <f aca="false">IF(ISBLANK($C356),"",IF(K356=Constants!$B$2, TRUE(), IF(K356=Constants!$B$3, FALSE(), TRUE())))</f>
        <v/>
      </c>
      <c r="Z356" s="66" t="str">
        <f aca="false">IF(ISBLANK($C356),"",IF(AND(ISNUMBER(L356),L356&gt;0),INT(L356),0))</f>
        <v/>
      </c>
      <c r="AA356" s="68" t="str">
        <f aca="false">IF(ISBLANK($C356),"",IF(ISNUMBER(M356), M356, ""))</f>
        <v/>
      </c>
      <c r="AB356" s="68" t="str">
        <f aca="false">IF(ISBLANK($C356),"",IF(ISNUMBER(N356), N356, ""))</f>
        <v/>
      </c>
      <c r="AC356" s="68" t="str">
        <f aca="false">IF(ISBLANK($C356),"",IF(ISNUMBER(O356), O356, ""))</f>
        <v/>
      </c>
      <c r="AD356" s="69" t="str">
        <f aca="false">IF(ISBLANK($C356),"",IF(ISNUMBER(P356), P356, ""))</f>
        <v/>
      </c>
      <c r="AE356" s="69" t="str">
        <f aca="false">IF(ISBLANK($C356),"",IF(ISNUMBER(Q356), Q356, Constants!$B$13))</f>
        <v/>
      </c>
      <c r="AF356" s="66" t="str">
        <f aca="false">IF(ISBLANK($C356),"",IF(R356=Constants!$B$2, TRUE(), IF(R356=Constants!$B$3, FALSE(), FALSE())))</f>
        <v/>
      </c>
      <c r="AG356" s="66" t="str">
        <f aca="false">IF(ISBLANK(C356), "", IF(AF356, Constants!$B$4,IF(COUNTA(G356:P356)=0, Constants!$B$5, Constants!$B$7)))</f>
        <v/>
      </c>
      <c r="AH356" s="66" t="str">
        <f aca="false">IF(ISBLANK($C356), "",IF($AG356=Constants!$B$7,1,$AG356))</f>
        <v/>
      </c>
      <c r="AI356" s="66" t="str">
        <f aca="false">IF($AG356=Constants!$B$7,POWER(Constants!$B$11,X356)*POWER(Constants!$B$12,Z356),"")</f>
        <v/>
      </c>
      <c r="AJ356" s="66" t="str">
        <f aca="false">IF(AND($AG356=Constants!$B$7, U356, V356) ,IF(OR($AA356="",$AC356=""),"",MAX(0, $AC356-$AA356)),"")</f>
        <v/>
      </c>
      <c r="AK356" s="66" t="str">
        <f aca="false">IF(AND($AG356=Constants!$B$7, U356, V356),IF(OR($AA356="",$AC356=""),$AK$6,""),"")</f>
        <v/>
      </c>
      <c r="AL356" s="66" t="str">
        <f aca="false">IF($AG356=Constants!$B$7,IF(AND(U356,V356,W356,Y356),IF($AJ356="",0,IF($AJ$6=0,Constants!$B$9,Constants!$B$9*AJ356/$AJ$6)), 0),"")</f>
        <v/>
      </c>
      <c r="AM356" s="66" t="str">
        <f aca="false">IF(AL356&lt;&gt;"", AL356*AI356,"")</f>
        <v/>
      </c>
      <c r="AN356" s="66" t="str">
        <f aca="false">IF(AND($AG356=Constants!$B$7, U356, V356) ,IF($AB356="", "", IF(OR($AC356="",$AC356=0),"",MAX(0,1-ABS($AC356-$AB356)/$AC356))),"")</f>
        <v/>
      </c>
      <c r="AO356" s="66" t="str">
        <f aca="false">IF(AND($AG356=Constants!$B$7, U356, V356),IF(AND($AA356&lt;&gt;"",$AB356&lt;&gt;"",$AC356=0),$AO$6,""),"")</f>
        <v/>
      </c>
      <c r="AP356" s="66" t="str">
        <f aca="false">IF($AG356=Constants!$B$7 ,IF(AND(U356,V356,W356,Y356,ISNUMBER(AB356)),IF($AN356="",0,IF($AN$6=0,Constants!$B$10,Constants!$B$10*AN356/$AN$6)), 0),"")</f>
        <v/>
      </c>
      <c r="AQ356" s="66" t="str">
        <f aca="false">IF(AP356&lt;&gt;"", AP356*AI356,"")</f>
        <v/>
      </c>
      <c r="AR356" s="66" t="str">
        <f aca="false">IF($AG356=Constants!$B$7,IF($AD356="",0,IF($AR$6=0,Constants!$B$8,Constants!$B$8*AD356/$AR$6)),"")</f>
        <v/>
      </c>
      <c r="AS356" s="66" t="str">
        <f aca="false">IF($AG356&lt;&gt;Constants!$B$7,$AG356,IF(AK356&amp;AO356&lt;&gt;"",Constants!$B$14,AM356+AQ356+AR356))</f>
        <v/>
      </c>
      <c r="AT356" s="66" t="str">
        <f aca="false">IF(ISBLANK($C356),"",IF($AG356=Constants!$B$7,IF(ISNUMBER(AS356),RANK(AS356,$AS$8:$AS$507),Constants!$B$14),$AG356))</f>
        <v/>
      </c>
      <c r="AU356" s="66" t="str">
        <f aca="false">IF(ISBLANK($C356), "",AM356)</f>
        <v/>
      </c>
      <c r="AV356" s="66" t="str">
        <f aca="false">IF(ISBLANK($C356),"",IF($AG356=Constants!$B$7,RANK(AU356,AU$8:AU$507),$AG356))</f>
        <v/>
      </c>
      <c r="AW356" s="66" t="str">
        <f aca="false">IF(ISBLANK($C356), "",AR356)</f>
        <v/>
      </c>
      <c r="AX356" s="66" t="str">
        <f aca="false">IF(ISBLANK($C356),"",IF($AG356=Constants!$B$7,RANK(AW356,AW$8:AW$507),$AG356))</f>
        <v/>
      </c>
      <c r="AY356" s="66" t="str">
        <f aca="false">IF(ISBLANK($C356), "",AE356)</f>
        <v/>
      </c>
      <c r="AZ356" s="66" t="str">
        <f aca="false">IF(ISBLANK($C356),"",
IF($AG356=Constants!$B$7,
  IF(ISNUMBER(AT356),
    COUNTIFS($AT$8:$AT$507,"&lt;"&amp;$AT356)
    + COUNTIFS($AT$8:$AT$507,$AT356,$AV$8:$AV$507,"&lt;"&amp;$AV356)
    + COUNTIFS($AT$8:$AT$507,$AT356,$AV$8:$AV$507,$AV356,$AX$8:$AX$507,"&lt;"&amp;$AX356)
    + COUNTIFS($AT$8:$AT$507,$AT356,$AV$8:$AV$507,$AV356,$AX$8:$AX$507,$AX356,$AY$8:$AY$507,"&lt;"&amp;$AY356)
    + 1,
  Constants!$B$14),
$AG356))</f>
        <v/>
      </c>
      <c r="BA356" s="66" t="str">
        <f aca="false">IF(ISBLANK(C356),"",IF($AG356=Constants!$B$7, IF(ISNUMBER(AT356),AT356-AZ356,Constants!$B$14),$AG356))</f>
        <v/>
      </c>
      <c r="BB356" s="70"/>
      <c r="BC356" s="84" t="str">
        <f aca="false">IF(ISBLANK($C356),"",TRIM(AK356&amp;" "&amp;AO356))</f>
        <v/>
      </c>
      <c r="BD356" s="72" t="str">
        <f aca="false">IF(ISBLANK($C356),"",IF($AG356&lt;&gt;Constants!$B$7,$AG356,AR356))</f>
        <v/>
      </c>
      <c r="BE356" s="72" t="str">
        <f aca="false">IF(ISBLANK($C356),"",IF($AG356&lt;&gt;Constants!$B$7,$AG356,AM356))</f>
        <v/>
      </c>
      <c r="BF356" s="72" t="str">
        <f aca="false">IF(ISBLANK($C356),"",IF($AG356&lt;&gt;Constants!$B$7,$AG356,AQ356))</f>
        <v/>
      </c>
      <c r="BG356" s="73" t="str">
        <f aca="false">IF(ISBLANK($C356),"",IF($AG356&lt;&gt;Constants!$B$7, $AG356 ,AS356))</f>
        <v/>
      </c>
      <c r="BH356" s="74" t="str">
        <f aca="false">IF(ISBLANK($C356),"",IF($AG356&lt;&gt;Constants!$B$7, $AG356 ,AH356))</f>
        <v/>
      </c>
      <c r="BI356" s="72" t="str">
        <f aca="false">IF(ISBLANK(C356),"",BA356)</f>
        <v/>
      </c>
      <c r="BJ356" s="72" t="str">
        <f aca="false">IF(ISBLANK(C356),"",AZ356)</f>
        <v/>
      </c>
      <c r="BK356" s="75" t="str">
        <f aca="false">IF(ISBLANK(C356),"",IFERROR(_xlfn.SWITCH(BJ356, Constants!$B$4, COUNTA($C$8:$C855)+2, Constants!$B$5, COUNTA($C$8:$C855)+1, Constants!$B$6, COUNTA($C$8:$C855)),BJ356))</f>
        <v/>
      </c>
      <c r="BL356" s="5"/>
      <c r="BM356" s="76" t="n">
        <f aca="false">IF(OR(ISNUMBER(BJ356),BJ356="DQ",BJ356="P",BJ356="NS"),
    1,
    0
)</f>
        <v>0</v>
      </c>
      <c r="BN356" s="76" t="n">
        <v>349</v>
      </c>
      <c r="BO356" s="76" t="str">
        <f aca="false">IF(ISBLANK($C356),"",IF(ISNUMBER(BK356),BK356+ROW($B356)/1000,""))</f>
        <v/>
      </c>
      <c r="BP356" s="76" t="str">
        <f aca="false">IF(ISNUMBER(BO356), RANK(BO356,BO$8:BO$507,1), "")</f>
        <v/>
      </c>
      <c r="BQ356" s="76" t="str">
        <f aca="false">IF(ISBLANK($C356),
    "",
    $B356
)</f>
        <v/>
      </c>
      <c r="BR356" s="76" t="str">
        <f aca="false">IF(ISBLANK($C356),
    "",
    $C356
)</f>
        <v/>
      </c>
      <c r="BS356" s="76" t="str">
        <f aca="false">IF(ISBLANK($C356),
    "",
    $D356
)</f>
        <v/>
      </c>
      <c r="BT356" s="77" t="str">
        <f aca="false">BH356</f>
        <v/>
      </c>
      <c r="BU356" s="78" t="str">
        <f aca="false">BG356</f>
        <v/>
      </c>
      <c r="BV356" s="76" t="str">
        <f aca="false">IF(ISBLANK($C356),
    "",
    BJ356
)</f>
        <v/>
      </c>
      <c r="BW356" s="79" t="str">
        <f aca="false">IF(BN356&gt;BM$7,
    "",
    VLOOKUP(BN356,BP$8:BV855,7,FALSE())
)</f>
        <v/>
      </c>
      <c r="BX356" s="80" t="str">
        <f aca="false">IF(BN356&gt;BM$7,
    "",
    VLOOKUP(BN356,BP$8:BV855,2,FALSE())
)</f>
        <v/>
      </c>
      <c r="BY356" s="80" t="str">
        <f aca="false">IF(BN356&gt;BM$7,
    "",
    VLOOKUP(BN356,BP$8:BV855,3,FALSE())
)</f>
        <v/>
      </c>
      <c r="BZ356" s="80" t="str">
        <f aca="false">IF(BN356&gt;BM$7,
    "",
    VLOOKUP(BN356,BP$8:BV855,4,FALSE())
)</f>
        <v/>
      </c>
      <c r="CA356" s="80" t="str">
        <f aca="false">IF(BN356&gt;BM$7,
    "",
    VLOOKUP(BN356,BP$8:BV855,5,FALSE())
)</f>
        <v/>
      </c>
      <c r="CB356" s="81" t="str">
        <f aca="false">IF(BN356&gt;BM$7,
    "",
    VLOOKUP(BN356,BP$8:BV855,6,FALSE())
)</f>
        <v/>
      </c>
      <c r="CC356" s="53"/>
    </row>
    <row r="357" customFormat="false" ht="15.75" hidden="false" customHeight="false" outlineLevel="0" collapsed="false">
      <c r="A357" s="5"/>
      <c r="B357" s="129"/>
      <c r="C357" s="55"/>
      <c r="D357" s="56"/>
      <c r="E357" s="123"/>
      <c r="F357" s="123"/>
      <c r="G357" s="58"/>
      <c r="H357" s="59"/>
      <c r="I357" s="59"/>
      <c r="J357" s="83"/>
      <c r="K357" s="83"/>
      <c r="L357" s="83"/>
      <c r="M357" s="61"/>
      <c r="N357" s="61"/>
      <c r="O357" s="61"/>
      <c r="P357" s="62"/>
      <c r="Q357" s="63"/>
      <c r="R357" s="83"/>
      <c r="S357" s="65"/>
      <c r="T357" s="66"/>
      <c r="U357" s="66" t="str">
        <f aca="false">IF(ISBLANK($C357),"",IF(G357=Constants!$B$2, TRUE(), IF(G357=Constants!$B$3, FALSE(), TRUE())))</f>
        <v/>
      </c>
      <c r="V357" s="66" t="str">
        <f aca="false">IF(ISBLANK($C357),"",IF(H357=Constants!$B$2, TRUE(), IF(H357=Constants!$B$3, FALSE(), TRUE())))</f>
        <v/>
      </c>
      <c r="W357" s="66" t="str">
        <f aca="false">IF(ISBLANK($C357),"",IF(I357=Constants!$B$2, TRUE(), IF(I357=Constants!$B$3, FALSE(), TRUE())))</f>
        <v/>
      </c>
      <c r="X357" s="66" t="str">
        <f aca="false">IF(ISBLANK($C357),"",IF(AND(ISNUMBER(J357),J357&gt;0),INT(J357),0))</f>
        <v/>
      </c>
      <c r="Y357" s="66" t="str">
        <f aca="false">IF(ISBLANK($C357),"",IF(K357=Constants!$B$2, TRUE(), IF(K357=Constants!$B$3, FALSE(), TRUE())))</f>
        <v/>
      </c>
      <c r="Z357" s="66" t="str">
        <f aca="false">IF(ISBLANK($C357),"",IF(AND(ISNUMBER(L357),L357&gt;0),INT(L357),0))</f>
        <v/>
      </c>
      <c r="AA357" s="68" t="str">
        <f aca="false">IF(ISBLANK($C357),"",IF(ISNUMBER(M357), M357, ""))</f>
        <v/>
      </c>
      <c r="AB357" s="68" t="str">
        <f aca="false">IF(ISBLANK($C357),"",IF(ISNUMBER(N357), N357, ""))</f>
        <v/>
      </c>
      <c r="AC357" s="68" t="str">
        <f aca="false">IF(ISBLANK($C357),"",IF(ISNUMBER(O357), O357, ""))</f>
        <v/>
      </c>
      <c r="AD357" s="69" t="str">
        <f aca="false">IF(ISBLANK($C357),"",IF(ISNUMBER(P357), P357, ""))</f>
        <v/>
      </c>
      <c r="AE357" s="69" t="str">
        <f aca="false">IF(ISBLANK($C357),"",IF(ISNUMBER(Q357), Q357, Constants!$B$13))</f>
        <v/>
      </c>
      <c r="AF357" s="66" t="str">
        <f aca="false">IF(ISBLANK($C357),"",IF(R357=Constants!$B$2, TRUE(), IF(R357=Constants!$B$3, FALSE(), FALSE())))</f>
        <v/>
      </c>
      <c r="AG357" s="66" t="str">
        <f aca="false">IF(ISBLANK(C357), "", IF(AF357, Constants!$B$4,IF(COUNTA(G357:P357)=0, Constants!$B$5, Constants!$B$7)))</f>
        <v/>
      </c>
      <c r="AH357" s="66" t="str">
        <f aca="false">IF(ISBLANK($C357), "",IF($AG357=Constants!$B$7,1,$AG357))</f>
        <v/>
      </c>
      <c r="AI357" s="66" t="str">
        <f aca="false">IF($AG357=Constants!$B$7,POWER(Constants!$B$11,X357)*POWER(Constants!$B$12,Z357),"")</f>
        <v/>
      </c>
      <c r="AJ357" s="66" t="str">
        <f aca="false">IF(AND($AG357=Constants!$B$7, U357, V357) ,IF(OR($AA357="",$AC357=""),"",MAX(0, $AC357-$AA357)),"")</f>
        <v/>
      </c>
      <c r="AK357" s="66" t="str">
        <f aca="false">IF(AND($AG357=Constants!$B$7, U357, V357),IF(OR($AA357="",$AC357=""),$AK$6,""),"")</f>
        <v/>
      </c>
      <c r="AL357" s="66" t="str">
        <f aca="false">IF($AG357=Constants!$B$7,IF(AND(U357,V357,W357,Y357),IF($AJ357="",0,IF($AJ$6=0,Constants!$B$9,Constants!$B$9*AJ357/$AJ$6)), 0),"")</f>
        <v/>
      </c>
      <c r="AM357" s="66" t="str">
        <f aca="false">IF(AL357&lt;&gt;"", AL357*AI357,"")</f>
        <v/>
      </c>
      <c r="AN357" s="66" t="str">
        <f aca="false">IF(AND($AG357=Constants!$B$7, U357, V357) ,IF($AB357="", "", IF(OR($AC357="",$AC357=0),"",MAX(0,1-ABS($AC357-$AB357)/$AC357))),"")</f>
        <v/>
      </c>
      <c r="AO357" s="66" t="str">
        <f aca="false">IF(AND($AG357=Constants!$B$7, U357, V357),IF(AND($AA357&lt;&gt;"",$AB357&lt;&gt;"",$AC357=0),$AO$6,""),"")</f>
        <v/>
      </c>
      <c r="AP357" s="66" t="str">
        <f aca="false">IF($AG357=Constants!$B$7 ,IF(AND(U357,V357,W357,Y357,ISNUMBER(AB357)),IF($AN357="",0,IF($AN$6=0,Constants!$B$10,Constants!$B$10*AN357/$AN$6)), 0),"")</f>
        <v/>
      </c>
      <c r="AQ357" s="66" t="str">
        <f aca="false">IF(AP357&lt;&gt;"", AP357*AI357,"")</f>
        <v/>
      </c>
      <c r="AR357" s="66" t="str">
        <f aca="false">IF($AG357=Constants!$B$7,IF($AD357="",0,IF($AR$6=0,Constants!$B$8,Constants!$B$8*AD357/$AR$6)),"")</f>
        <v/>
      </c>
      <c r="AS357" s="66" t="str">
        <f aca="false">IF($AG357&lt;&gt;Constants!$B$7,$AG357,IF(AK357&amp;AO357&lt;&gt;"",Constants!$B$14,AM357+AQ357+AR357))</f>
        <v/>
      </c>
      <c r="AT357" s="66" t="str">
        <f aca="false">IF(ISBLANK($C357),"",IF($AG357=Constants!$B$7,IF(ISNUMBER(AS357),RANK(AS357,$AS$8:$AS$507),Constants!$B$14),$AG357))</f>
        <v/>
      </c>
      <c r="AU357" s="66" t="str">
        <f aca="false">IF(ISBLANK($C357), "",AM357)</f>
        <v/>
      </c>
      <c r="AV357" s="66" t="str">
        <f aca="false">IF(ISBLANK($C357),"",IF($AG357=Constants!$B$7,RANK(AU357,AU$8:AU$507),$AG357))</f>
        <v/>
      </c>
      <c r="AW357" s="66" t="str">
        <f aca="false">IF(ISBLANK($C357), "",AR357)</f>
        <v/>
      </c>
      <c r="AX357" s="66" t="str">
        <f aca="false">IF(ISBLANK($C357),"",IF($AG357=Constants!$B$7,RANK(AW357,AW$8:AW$507),$AG357))</f>
        <v/>
      </c>
      <c r="AY357" s="66" t="str">
        <f aca="false">IF(ISBLANK($C357), "",AE357)</f>
        <v/>
      </c>
      <c r="AZ357" s="66" t="str">
        <f aca="false">IF(ISBLANK($C357),"",
IF($AG357=Constants!$B$7,
  IF(ISNUMBER(AT357),
    COUNTIFS($AT$8:$AT$507,"&lt;"&amp;$AT357)
    + COUNTIFS($AT$8:$AT$507,$AT357,$AV$8:$AV$507,"&lt;"&amp;$AV357)
    + COUNTIFS($AT$8:$AT$507,$AT357,$AV$8:$AV$507,$AV357,$AX$8:$AX$507,"&lt;"&amp;$AX357)
    + COUNTIFS($AT$8:$AT$507,$AT357,$AV$8:$AV$507,$AV357,$AX$8:$AX$507,$AX357,$AY$8:$AY$507,"&lt;"&amp;$AY357)
    + 1,
  Constants!$B$14),
$AG357))</f>
        <v/>
      </c>
      <c r="BA357" s="66" t="str">
        <f aca="false">IF(ISBLANK(C357),"",IF($AG357=Constants!$B$7, IF(ISNUMBER(AT357),AT357-AZ357,Constants!$B$14),$AG357))</f>
        <v/>
      </c>
      <c r="BB357" s="70"/>
      <c r="BC357" s="84" t="str">
        <f aca="false">IF(ISBLANK($C357),"",TRIM(AK357&amp;" "&amp;AO357))</f>
        <v/>
      </c>
      <c r="BD357" s="72" t="str">
        <f aca="false">IF(ISBLANK($C357),"",IF($AG357&lt;&gt;Constants!$B$7,$AG357,AR357))</f>
        <v/>
      </c>
      <c r="BE357" s="72" t="str">
        <f aca="false">IF(ISBLANK($C357),"",IF($AG357&lt;&gt;Constants!$B$7,$AG357,AM357))</f>
        <v/>
      </c>
      <c r="BF357" s="72" t="str">
        <f aca="false">IF(ISBLANK($C357),"",IF($AG357&lt;&gt;Constants!$B$7,$AG357,AQ357))</f>
        <v/>
      </c>
      <c r="BG357" s="73" t="str">
        <f aca="false">IF(ISBLANK($C357),"",IF($AG357&lt;&gt;Constants!$B$7, $AG357 ,AS357))</f>
        <v/>
      </c>
      <c r="BH357" s="74" t="str">
        <f aca="false">IF(ISBLANK($C357),"",IF($AG357&lt;&gt;Constants!$B$7, $AG357 ,AH357))</f>
        <v/>
      </c>
      <c r="BI357" s="72" t="str">
        <f aca="false">IF(ISBLANK(C357),"",BA357)</f>
        <v/>
      </c>
      <c r="BJ357" s="72" t="str">
        <f aca="false">IF(ISBLANK(C357),"",AZ357)</f>
        <v/>
      </c>
      <c r="BK357" s="75" t="str">
        <f aca="false">IF(ISBLANK(C357),"",IFERROR(_xlfn.SWITCH(BJ357, Constants!$B$4, COUNTA($C$8:$C856)+2, Constants!$B$5, COUNTA($C$8:$C856)+1, Constants!$B$6, COUNTA($C$8:$C856)),BJ357))</f>
        <v/>
      </c>
      <c r="BL357" s="5"/>
      <c r="BM357" s="76" t="n">
        <f aca="false">IF(OR(ISNUMBER(BJ357),BJ357="DQ",BJ357="P",BJ357="NS"),
    1,
    0
)</f>
        <v>0</v>
      </c>
      <c r="BN357" s="76" t="n">
        <v>350</v>
      </c>
      <c r="BO357" s="76" t="str">
        <f aca="false">IF(ISBLANK($C357),"",IF(ISNUMBER(BK357),BK357+ROW($B357)/1000,""))</f>
        <v/>
      </c>
      <c r="BP357" s="76" t="str">
        <f aca="false">IF(ISNUMBER(BO357), RANK(BO357,BO$8:BO$507,1), "")</f>
        <v/>
      </c>
      <c r="BQ357" s="76" t="str">
        <f aca="false">IF(ISBLANK($C357),
    "",
    $B357
)</f>
        <v/>
      </c>
      <c r="BR357" s="76" t="str">
        <f aca="false">IF(ISBLANK($C357),
    "",
    $C357
)</f>
        <v/>
      </c>
      <c r="BS357" s="76" t="str">
        <f aca="false">IF(ISBLANK($C357),
    "",
    $D357
)</f>
        <v/>
      </c>
      <c r="BT357" s="77" t="str">
        <f aca="false">BH357</f>
        <v/>
      </c>
      <c r="BU357" s="78" t="str">
        <f aca="false">BG357</f>
        <v/>
      </c>
      <c r="BV357" s="76" t="str">
        <f aca="false">IF(ISBLANK($C357),
    "",
    BJ357
)</f>
        <v/>
      </c>
      <c r="BW357" s="79" t="str">
        <f aca="false">IF(BN357&gt;BM$7,
    "",
    VLOOKUP(BN357,BP$8:BV856,7,FALSE())
)</f>
        <v/>
      </c>
      <c r="BX357" s="80" t="str">
        <f aca="false">IF(BN357&gt;BM$7,
    "",
    VLOOKUP(BN357,BP$8:BV856,2,FALSE())
)</f>
        <v/>
      </c>
      <c r="BY357" s="80" t="str">
        <f aca="false">IF(BN357&gt;BM$7,
    "",
    VLOOKUP(BN357,BP$8:BV856,3,FALSE())
)</f>
        <v/>
      </c>
      <c r="BZ357" s="80" t="str">
        <f aca="false">IF(BN357&gt;BM$7,
    "",
    VLOOKUP(BN357,BP$8:BV856,4,FALSE())
)</f>
        <v/>
      </c>
      <c r="CA357" s="80" t="str">
        <f aca="false">IF(BN357&gt;BM$7,
    "",
    VLOOKUP(BN357,BP$8:BV856,5,FALSE())
)</f>
        <v/>
      </c>
      <c r="CB357" s="81" t="str">
        <f aca="false">IF(BN357&gt;BM$7,
    "",
    VLOOKUP(BN357,BP$8:BV856,6,FALSE())
)</f>
        <v/>
      </c>
      <c r="CC357" s="53"/>
    </row>
    <row r="358" customFormat="false" ht="15.75" hidden="false" customHeight="false" outlineLevel="0" collapsed="false">
      <c r="A358" s="5"/>
      <c r="B358" s="129"/>
      <c r="C358" s="55"/>
      <c r="D358" s="56"/>
      <c r="E358" s="123"/>
      <c r="F358" s="123"/>
      <c r="G358" s="58"/>
      <c r="H358" s="59"/>
      <c r="I358" s="59"/>
      <c r="J358" s="83"/>
      <c r="K358" s="83"/>
      <c r="L358" s="83"/>
      <c r="M358" s="61"/>
      <c r="N358" s="61"/>
      <c r="O358" s="61"/>
      <c r="P358" s="62"/>
      <c r="Q358" s="63"/>
      <c r="R358" s="83"/>
      <c r="S358" s="65"/>
      <c r="T358" s="66"/>
      <c r="U358" s="66" t="str">
        <f aca="false">IF(ISBLANK($C358),"",IF(G358=Constants!$B$2, TRUE(), IF(G358=Constants!$B$3, FALSE(), TRUE())))</f>
        <v/>
      </c>
      <c r="V358" s="66" t="str">
        <f aca="false">IF(ISBLANK($C358),"",IF(H358=Constants!$B$2, TRUE(), IF(H358=Constants!$B$3, FALSE(), TRUE())))</f>
        <v/>
      </c>
      <c r="W358" s="66" t="str">
        <f aca="false">IF(ISBLANK($C358),"",IF(I358=Constants!$B$2, TRUE(), IF(I358=Constants!$B$3, FALSE(), TRUE())))</f>
        <v/>
      </c>
      <c r="X358" s="66" t="str">
        <f aca="false">IF(ISBLANK($C358),"",IF(AND(ISNUMBER(J358),J358&gt;0),INT(J358),0))</f>
        <v/>
      </c>
      <c r="Y358" s="66" t="str">
        <f aca="false">IF(ISBLANK($C358),"",IF(K358=Constants!$B$2, TRUE(), IF(K358=Constants!$B$3, FALSE(), TRUE())))</f>
        <v/>
      </c>
      <c r="Z358" s="66" t="str">
        <f aca="false">IF(ISBLANK($C358),"",IF(AND(ISNUMBER(L358),L358&gt;0),INT(L358),0))</f>
        <v/>
      </c>
      <c r="AA358" s="68" t="str">
        <f aca="false">IF(ISBLANK($C358),"",IF(ISNUMBER(M358), M358, ""))</f>
        <v/>
      </c>
      <c r="AB358" s="68" t="str">
        <f aca="false">IF(ISBLANK($C358),"",IF(ISNUMBER(N358), N358, ""))</f>
        <v/>
      </c>
      <c r="AC358" s="68" t="str">
        <f aca="false">IF(ISBLANK($C358),"",IF(ISNUMBER(O358), O358, ""))</f>
        <v/>
      </c>
      <c r="AD358" s="69" t="str">
        <f aca="false">IF(ISBLANK($C358),"",IF(ISNUMBER(P358), P358, ""))</f>
        <v/>
      </c>
      <c r="AE358" s="69" t="str">
        <f aca="false">IF(ISBLANK($C358),"",IF(ISNUMBER(Q358), Q358, Constants!$B$13))</f>
        <v/>
      </c>
      <c r="AF358" s="66" t="str">
        <f aca="false">IF(ISBLANK($C358),"",IF(R358=Constants!$B$2, TRUE(), IF(R358=Constants!$B$3, FALSE(), FALSE())))</f>
        <v/>
      </c>
      <c r="AG358" s="66" t="str">
        <f aca="false">IF(ISBLANK(C358), "", IF(AF358, Constants!$B$4,IF(COUNTA(G358:P358)=0, Constants!$B$5, Constants!$B$7)))</f>
        <v/>
      </c>
      <c r="AH358" s="66" t="str">
        <f aca="false">IF(ISBLANK($C358), "",IF($AG358=Constants!$B$7,1,$AG358))</f>
        <v/>
      </c>
      <c r="AI358" s="66" t="str">
        <f aca="false">IF($AG358=Constants!$B$7,POWER(Constants!$B$11,X358)*POWER(Constants!$B$12,Z358),"")</f>
        <v/>
      </c>
      <c r="AJ358" s="66" t="str">
        <f aca="false">IF(AND($AG358=Constants!$B$7, U358, V358) ,IF(OR($AA358="",$AC358=""),"",MAX(0, $AC358-$AA358)),"")</f>
        <v/>
      </c>
      <c r="AK358" s="66" t="str">
        <f aca="false">IF(AND($AG358=Constants!$B$7, U358, V358),IF(OR($AA358="",$AC358=""),$AK$6,""),"")</f>
        <v/>
      </c>
      <c r="AL358" s="66" t="str">
        <f aca="false">IF($AG358=Constants!$B$7,IF(AND(U358,V358,W358,Y358),IF($AJ358="",0,IF($AJ$6=0,Constants!$B$9,Constants!$B$9*AJ358/$AJ$6)), 0),"")</f>
        <v/>
      </c>
      <c r="AM358" s="66" t="str">
        <f aca="false">IF(AL358&lt;&gt;"", AL358*AI358,"")</f>
        <v/>
      </c>
      <c r="AN358" s="66" t="str">
        <f aca="false">IF(AND($AG358=Constants!$B$7, U358, V358) ,IF($AB358="", "", IF(OR($AC358="",$AC358=0),"",MAX(0,1-ABS($AC358-$AB358)/$AC358))),"")</f>
        <v/>
      </c>
      <c r="AO358" s="66" t="str">
        <f aca="false">IF(AND($AG358=Constants!$B$7, U358, V358),IF(AND($AA358&lt;&gt;"",$AB358&lt;&gt;"",$AC358=0),$AO$6,""),"")</f>
        <v/>
      </c>
      <c r="AP358" s="66" t="str">
        <f aca="false">IF($AG358=Constants!$B$7 ,IF(AND(U358,V358,W358,Y358,ISNUMBER(AB358)),IF($AN358="",0,IF($AN$6=0,Constants!$B$10,Constants!$B$10*AN358/$AN$6)), 0),"")</f>
        <v/>
      </c>
      <c r="AQ358" s="66" t="str">
        <f aca="false">IF(AP358&lt;&gt;"", AP358*AI358,"")</f>
        <v/>
      </c>
      <c r="AR358" s="66" t="str">
        <f aca="false">IF($AG358=Constants!$B$7,IF($AD358="",0,IF($AR$6=0,Constants!$B$8,Constants!$B$8*AD358/$AR$6)),"")</f>
        <v/>
      </c>
      <c r="AS358" s="66" t="str">
        <f aca="false">IF($AG358&lt;&gt;Constants!$B$7,$AG358,IF(AK358&amp;AO358&lt;&gt;"",Constants!$B$14,AM358+AQ358+AR358))</f>
        <v/>
      </c>
      <c r="AT358" s="66" t="str">
        <f aca="false">IF(ISBLANK($C358),"",IF($AG358=Constants!$B$7,IF(ISNUMBER(AS358),RANK(AS358,$AS$8:$AS$507),Constants!$B$14),$AG358))</f>
        <v/>
      </c>
      <c r="AU358" s="66" t="str">
        <f aca="false">IF(ISBLANK($C358), "",AM358)</f>
        <v/>
      </c>
      <c r="AV358" s="66" t="str">
        <f aca="false">IF(ISBLANK($C358),"",IF($AG358=Constants!$B$7,RANK(AU358,AU$8:AU$507),$AG358))</f>
        <v/>
      </c>
      <c r="AW358" s="66" t="str">
        <f aca="false">IF(ISBLANK($C358), "",AR358)</f>
        <v/>
      </c>
      <c r="AX358" s="66" t="str">
        <f aca="false">IF(ISBLANK($C358),"",IF($AG358=Constants!$B$7,RANK(AW358,AW$8:AW$507),$AG358))</f>
        <v/>
      </c>
      <c r="AY358" s="66" t="str">
        <f aca="false">IF(ISBLANK($C358), "",AE358)</f>
        <v/>
      </c>
      <c r="AZ358" s="66" t="str">
        <f aca="false">IF(ISBLANK($C358),"",
IF($AG358=Constants!$B$7,
  IF(ISNUMBER(AT358),
    COUNTIFS($AT$8:$AT$507,"&lt;"&amp;$AT358)
    + COUNTIFS($AT$8:$AT$507,$AT358,$AV$8:$AV$507,"&lt;"&amp;$AV358)
    + COUNTIFS($AT$8:$AT$507,$AT358,$AV$8:$AV$507,$AV358,$AX$8:$AX$507,"&lt;"&amp;$AX358)
    + COUNTIFS($AT$8:$AT$507,$AT358,$AV$8:$AV$507,$AV358,$AX$8:$AX$507,$AX358,$AY$8:$AY$507,"&lt;"&amp;$AY358)
    + 1,
  Constants!$B$14),
$AG358))</f>
        <v/>
      </c>
      <c r="BA358" s="66" t="str">
        <f aca="false">IF(ISBLANK(C358),"",IF($AG358=Constants!$B$7, IF(ISNUMBER(AT358),AT358-AZ358,Constants!$B$14),$AG358))</f>
        <v/>
      </c>
      <c r="BB358" s="70"/>
      <c r="BC358" s="84" t="str">
        <f aca="false">IF(ISBLANK($C358),"",TRIM(AK358&amp;" "&amp;AO358))</f>
        <v/>
      </c>
      <c r="BD358" s="72" t="str">
        <f aca="false">IF(ISBLANK($C358),"",IF($AG358&lt;&gt;Constants!$B$7,$AG358,AR358))</f>
        <v/>
      </c>
      <c r="BE358" s="72" t="str">
        <f aca="false">IF(ISBLANK($C358),"",IF($AG358&lt;&gt;Constants!$B$7,$AG358,AM358))</f>
        <v/>
      </c>
      <c r="BF358" s="72" t="str">
        <f aca="false">IF(ISBLANK($C358),"",IF($AG358&lt;&gt;Constants!$B$7,$AG358,AQ358))</f>
        <v/>
      </c>
      <c r="BG358" s="73" t="str">
        <f aca="false">IF(ISBLANK($C358),"",IF($AG358&lt;&gt;Constants!$B$7, $AG358 ,AS358))</f>
        <v/>
      </c>
      <c r="BH358" s="74" t="str">
        <f aca="false">IF(ISBLANK($C358),"",IF($AG358&lt;&gt;Constants!$B$7, $AG358 ,AH358))</f>
        <v/>
      </c>
      <c r="BI358" s="72" t="str">
        <f aca="false">IF(ISBLANK(C358),"",BA358)</f>
        <v/>
      </c>
      <c r="BJ358" s="72" t="str">
        <f aca="false">IF(ISBLANK(C358),"",AZ358)</f>
        <v/>
      </c>
      <c r="BK358" s="75" t="str">
        <f aca="false">IF(ISBLANK(C358),"",IFERROR(_xlfn.SWITCH(BJ358, Constants!$B$4, COUNTA($C$8:$C857)+2, Constants!$B$5, COUNTA($C$8:$C857)+1, Constants!$B$6, COUNTA($C$8:$C857)),BJ358))</f>
        <v/>
      </c>
      <c r="BL358" s="5"/>
      <c r="BM358" s="76" t="n">
        <f aca="false">IF(OR(ISNUMBER(BJ358),BJ358="DQ",BJ358="P",BJ358="NS"),
    1,
    0
)</f>
        <v>0</v>
      </c>
      <c r="BN358" s="76" t="n">
        <v>351</v>
      </c>
      <c r="BO358" s="76" t="str">
        <f aca="false">IF(ISBLANK($C358),"",IF(ISNUMBER(BK358),BK358+ROW($B358)/1000,""))</f>
        <v/>
      </c>
      <c r="BP358" s="76" t="str">
        <f aca="false">IF(ISNUMBER(BO358), RANK(BO358,BO$8:BO$507,1), "")</f>
        <v/>
      </c>
      <c r="BQ358" s="76" t="str">
        <f aca="false">IF(ISBLANK($C358),
    "",
    $B358
)</f>
        <v/>
      </c>
      <c r="BR358" s="76" t="str">
        <f aca="false">IF(ISBLANK($C358),
    "",
    $C358
)</f>
        <v/>
      </c>
      <c r="BS358" s="76" t="str">
        <f aca="false">IF(ISBLANK($C358),
    "",
    $D358
)</f>
        <v/>
      </c>
      <c r="BT358" s="77" t="str">
        <f aca="false">BH358</f>
        <v/>
      </c>
      <c r="BU358" s="78" t="str">
        <f aca="false">BG358</f>
        <v/>
      </c>
      <c r="BV358" s="76" t="str">
        <f aca="false">IF(ISBLANK($C358),
    "",
    BJ358
)</f>
        <v/>
      </c>
      <c r="BW358" s="79" t="str">
        <f aca="false">IF(BN358&gt;BM$7,
    "",
    VLOOKUP(BN358,BP$8:BV857,7,FALSE())
)</f>
        <v/>
      </c>
      <c r="BX358" s="80" t="str">
        <f aca="false">IF(BN358&gt;BM$7,
    "",
    VLOOKUP(BN358,BP$8:BV857,2,FALSE())
)</f>
        <v/>
      </c>
      <c r="BY358" s="80" t="str">
        <f aca="false">IF(BN358&gt;BM$7,
    "",
    VLOOKUP(BN358,BP$8:BV857,3,FALSE())
)</f>
        <v/>
      </c>
      <c r="BZ358" s="80" t="str">
        <f aca="false">IF(BN358&gt;BM$7,
    "",
    VLOOKUP(BN358,BP$8:BV857,4,FALSE())
)</f>
        <v/>
      </c>
      <c r="CA358" s="80" t="str">
        <f aca="false">IF(BN358&gt;BM$7,
    "",
    VLOOKUP(BN358,BP$8:BV857,5,FALSE())
)</f>
        <v/>
      </c>
      <c r="CB358" s="81" t="str">
        <f aca="false">IF(BN358&gt;BM$7,
    "",
    VLOOKUP(BN358,BP$8:BV857,6,FALSE())
)</f>
        <v/>
      </c>
      <c r="CC358" s="53"/>
    </row>
    <row r="359" customFormat="false" ht="15.75" hidden="false" customHeight="false" outlineLevel="0" collapsed="false">
      <c r="A359" s="5"/>
      <c r="B359" s="125"/>
      <c r="C359" s="126"/>
      <c r="D359" s="115"/>
      <c r="E359" s="119"/>
      <c r="F359" s="119"/>
      <c r="G359" s="91"/>
      <c r="H359" s="92"/>
      <c r="I359" s="92"/>
      <c r="J359" s="128"/>
      <c r="K359" s="128"/>
      <c r="L359" s="128"/>
      <c r="M359" s="94"/>
      <c r="N359" s="94"/>
      <c r="O359" s="94"/>
      <c r="P359" s="95"/>
      <c r="Q359" s="96"/>
      <c r="R359" s="128"/>
      <c r="S359" s="98"/>
      <c r="T359" s="99"/>
      <c r="U359" s="99" t="str">
        <f aca="false">IF(ISBLANK($C359),"",IF(G359=Constants!$B$2, TRUE(), IF(G359=Constants!$B$3, FALSE(), TRUE())))</f>
        <v/>
      </c>
      <c r="V359" s="99" t="str">
        <f aca="false">IF(ISBLANK($C359),"",IF(H359=Constants!$B$2, TRUE(), IF(H359=Constants!$B$3, FALSE(), TRUE())))</f>
        <v/>
      </c>
      <c r="W359" s="99" t="str">
        <f aca="false">IF(ISBLANK($C359),"",IF(I359=Constants!$B$2, TRUE(), IF(I359=Constants!$B$3, FALSE(), TRUE())))</f>
        <v/>
      </c>
      <c r="X359" s="99" t="str">
        <f aca="false">IF(ISBLANK($C359),"",IF(AND(ISNUMBER(J359),J359&gt;0),INT(J359),0))</f>
        <v/>
      </c>
      <c r="Y359" s="99" t="str">
        <f aca="false">IF(ISBLANK($C359),"",IF(K359=Constants!$B$2, TRUE(), IF(K359=Constants!$B$3, FALSE(), TRUE())))</f>
        <v/>
      </c>
      <c r="Z359" s="100" t="str">
        <f aca="false">IF(ISBLANK($C359),"",IF(AND(ISNUMBER(L359),L359&gt;0),INT(L359),0))</f>
        <v/>
      </c>
      <c r="AA359" s="101" t="str">
        <f aca="false">IF(ISBLANK($C359),"",IF(ISNUMBER(M359), M359, ""))</f>
        <v/>
      </c>
      <c r="AB359" s="101" t="str">
        <f aca="false">IF(ISBLANK($C359),"",IF(ISNUMBER(N359), N359, ""))</f>
        <v/>
      </c>
      <c r="AC359" s="101" t="str">
        <f aca="false">IF(ISBLANK($C359),"",IF(ISNUMBER(O359), O359, ""))</f>
        <v/>
      </c>
      <c r="AD359" s="102" t="str">
        <f aca="false">IF(ISBLANK($C359),"",IF(ISNUMBER(P359), P359, ""))</f>
        <v/>
      </c>
      <c r="AE359" s="102" t="str">
        <f aca="false">IF(ISBLANK($C359),"",IF(ISNUMBER(Q359), Q359, Constants!$B$13))</f>
        <v/>
      </c>
      <c r="AF359" s="99" t="str">
        <f aca="false">IF(ISBLANK($C359),"",IF(R359=Constants!$B$2, TRUE(), IF(R359=Constants!$B$3, FALSE(), FALSE())))</f>
        <v/>
      </c>
      <c r="AG359" s="99" t="str">
        <f aca="false">IF(ISBLANK(C359), "", IF(AF359, Constants!$B$4,IF(COUNTA(G359:P359)=0, Constants!$B$5, Constants!$B$7)))</f>
        <v/>
      </c>
      <c r="AH359" s="99" t="str">
        <f aca="false">IF(ISBLANK($C359), "",IF($AG359=Constants!$B$7,1,$AG359))</f>
        <v/>
      </c>
      <c r="AI359" s="99" t="str">
        <f aca="false">IF($AG359=Constants!$B$7,POWER(Constants!$B$11,X359)*POWER(Constants!$B$12,Z359),"")</f>
        <v/>
      </c>
      <c r="AJ359" s="99" t="str">
        <f aca="false">IF(AND($AG359=Constants!$B$7, U359, V359) ,IF(OR($AA359="",$AC359=""),"",MAX(0, $AC359-$AA359)),"")</f>
        <v/>
      </c>
      <c r="AK359" s="99" t="str">
        <f aca="false">IF(AND($AG359=Constants!$B$7, U359, V359),IF(OR($AA359="",$AC359=""),$AK$6,""),"")</f>
        <v/>
      </c>
      <c r="AL359" s="99" t="str">
        <f aca="false">IF($AG359=Constants!$B$7,IF(AND(U359,V359,W359,Y359),IF($AJ359="",0,IF($AJ$6=0,Constants!$B$9,Constants!$B$9*AJ359/$AJ$6)), 0),"")</f>
        <v/>
      </c>
      <c r="AM359" s="99" t="str">
        <f aca="false">IF(AL359&lt;&gt;"", AL359*AI359,"")</f>
        <v/>
      </c>
      <c r="AN359" s="99" t="str">
        <f aca="false">IF(AND($AG359=Constants!$B$7, U359, V359) ,IF($AB359="", "", IF(OR($AC359="",$AC359=0),"",MAX(0,1-ABS($AC359-$AB359)/$AC359))),"")</f>
        <v/>
      </c>
      <c r="AO359" s="99" t="str">
        <f aca="false">IF(AND($AG359=Constants!$B$7, U359, V359),IF(AND($AA359&lt;&gt;"",$AB359&lt;&gt;"",$AC359=0),$AO$6,""),"")</f>
        <v/>
      </c>
      <c r="AP359" s="99" t="str">
        <f aca="false">IF($AG359=Constants!$B$7 ,IF(AND(U359,V359,W359,Y359,ISNUMBER(AB359)),IF($AN359="",0,IF($AN$6=0,Constants!$B$10,Constants!$B$10*AN359/$AN$6)), 0),"")</f>
        <v/>
      </c>
      <c r="AQ359" s="99" t="str">
        <f aca="false">IF(AP359&lt;&gt;"", AP359*AI359,"")</f>
        <v/>
      </c>
      <c r="AR359" s="99" t="str">
        <f aca="false">IF($AG359=Constants!$B$7,IF($AD359="",0,IF($AR$6=0,Constants!$B$8,Constants!$B$8*AD359/$AR$6)),"")</f>
        <v/>
      </c>
      <c r="AS359" s="99" t="str">
        <f aca="false">IF($AG359&lt;&gt;Constants!$B$7,$AG359,IF(AK359&amp;AO359&lt;&gt;"",Constants!$B$14,AM359+AQ359+AR359))</f>
        <v/>
      </c>
      <c r="AT359" s="99" t="str">
        <f aca="false">IF(ISBLANK($C359),"",IF($AG359=Constants!$B$7,IF(ISNUMBER(AS359),RANK(AS359,$AS$8:$AS$507),Constants!$B$14),$AG359))</f>
        <v/>
      </c>
      <c r="AU359" s="99" t="str">
        <f aca="false">IF(ISBLANK($C359), "",AM359)</f>
        <v/>
      </c>
      <c r="AV359" s="99" t="str">
        <f aca="false">IF(ISBLANK($C359),"",IF($AG359=Constants!$B$7,RANK(AU359,AU$8:AU$507),$AG359))</f>
        <v/>
      </c>
      <c r="AW359" s="99" t="str">
        <f aca="false">IF(ISBLANK($C359), "",AR359)</f>
        <v/>
      </c>
      <c r="AX359" s="99" t="str">
        <f aca="false">IF(ISBLANK($C359),"",IF($AG359=Constants!$B$7,RANK(AW359,AW$8:AW$507),$AG359))</f>
        <v/>
      </c>
      <c r="AY359" s="99" t="str">
        <f aca="false">IF(ISBLANK($C359), "",AE359)</f>
        <v/>
      </c>
      <c r="AZ359" s="99" t="str">
        <f aca="false">IF(ISBLANK($C359),"",
IF($AG359=Constants!$B$7,
  IF(ISNUMBER(AT359),
    COUNTIFS($AT$8:$AT$507,"&lt;"&amp;$AT359)
    + COUNTIFS($AT$8:$AT$507,$AT359,$AV$8:$AV$507,"&lt;"&amp;$AV359)
    + COUNTIFS($AT$8:$AT$507,$AT359,$AV$8:$AV$507,$AV359,$AX$8:$AX$507,"&lt;"&amp;$AX359)
    + COUNTIFS($AT$8:$AT$507,$AT359,$AV$8:$AV$507,$AV359,$AX$8:$AX$507,$AX359,$AY$8:$AY$507,"&lt;"&amp;$AY359)
    + 1,
  Constants!$B$14),
$AG359))</f>
        <v/>
      </c>
      <c r="BA359" s="99" t="str">
        <f aca="false">IF(ISBLANK(C359),"",IF($AG359=Constants!$B$7, IF(ISNUMBER(AT359),AT359-AZ359,Constants!$B$14),$AG359))</f>
        <v/>
      </c>
      <c r="BB359" s="103"/>
      <c r="BC359" s="104" t="str">
        <f aca="false">IF(ISBLANK($C359),"",TRIM(AK359&amp;" "&amp;AO359))</f>
        <v/>
      </c>
      <c r="BD359" s="105" t="str">
        <f aca="false">IF(ISBLANK($C359),"",IF($AG359&lt;&gt;Constants!$B$7,$AG359,AR359))</f>
        <v/>
      </c>
      <c r="BE359" s="105" t="str">
        <f aca="false">IF(ISBLANK($C359),"",IF($AG359&lt;&gt;Constants!$B$7,$AG359,AM359))</f>
        <v/>
      </c>
      <c r="BF359" s="105" t="str">
        <f aca="false">IF(ISBLANK($C359),"",IF($AG359&lt;&gt;Constants!$B$7,$AG359,AQ359))</f>
        <v/>
      </c>
      <c r="BG359" s="106" t="str">
        <f aca="false">IF(ISBLANK($C359),"",IF($AG359&lt;&gt;Constants!$B$7, $AG359 ,AS359))</f>
        <v/>
      </c>
      <c r="BH359" s="107" t="str">
        <f aca="false">IF(ISBLANK($C359),"",IF($AG359&lt;&gt;Constants!$B$7, $AG359 ,AH359))</f>
        <v/>
      </c>
      <c r="BI359" s="105" t="str">
        <f aca="false">IF(ISBLANK(C359),"",BA359)</f>
        <v/>
      </c>
      <c r="BJ359" s="105" t="str">
        <f aca="false">IF(ISBLANK(C359),"",AZ359)</f>
        <v/>
      </c>
      <c r="BK359" s="108" t="str">
        <f aca="false">IF(ISBLANK(C359),"",IFERROR(_xlfn.SWITCH(BJ359, Constants!$B$4, COUNTA($C$8:$C858)+2, Constants!$B$5, COUNTA($C$8:$C858)+1, Constants!$B$6, COUNTA($C$8:$C858)),BJ359))</f>
        <v/>
      </c>
      <c r="BL359" s="5"/>
      <c r="BM359" s="109" t="n">
        <f aca="false">IF(OR(ISNUMBER(BJ359),BJ359="DQ",BJ359="P",BJ359="NS"),
    1,
    0
)</f>
        <v>0</v>
      </c>
      <c r="BN359" s="109" t="n">
        <v>352</v>
      </c>
      <c r="BO359" s="109" t="str">
        <f aca="false">IF(ISBLANK($C359),"",IF(ISNUMBER(BK359),BK359+ROW($B359)/1000,""))</f>
        <v/>
      </c>
      <c r="BP359" s="109" t="str">
        <f aca="false">IF(ISNUMBER(BO359), RANK(BO359,BO$8:BO$507,1), "")</f>
        <v/>
      </c>
      <c r="BQ359" s="109" t="str">
        <f aca="false">IF(ISBLANK($C359),
    "",
    $B359
)</f>
        <v/>
      </c>
      <c r="BR359" s="109" t="str">
        <f aca="false">IF(ISBLANK($C359),
    "",
    $C359
)</f>
        <v/>
      </c>
      <c r="BS359" s="109" t="str">
        <f aca="false">IF(ISBLANK($C359),
    "",
    $D359
)</f>
        <v/>
      </c>
      <c r="BT359" s="110" t="str">
        <f aca="false">BH359</f>
        <v/>
      </c>
      <c r="BU359" s="111" t="str">
        <f aca="false">BG359</f>
        <v/>
      </c>
      <c r="BV359" s="109" t="str">
        <f aca="false">IF(ISBLANK($C359),
    "",
    BJ359
)</f>
        <v/>
      </c>
      <c r="BW359" s="112" t="str">
        <f aca="false">IF(BN359&gt;BM$7,
    "",
    VLOOKUP(BN359,BP$8:BV858,7,FALSE())
)</f>
        <v/>
      </c>
      <c r="BX359" s="113" t="str">
        <f aca="false">IF(BN359&gt;BM$7,
    "",
    VLOOKUP(BN359,BP$8:BV858,2,FALSE())
)</f>
        <v/>
      </c>
      <c r="BY359" s="113" t="str">
        <f aca="false">IF(BN359&gt;BM$7,
    "",
    VLOOKUP(BN359,BP$8:BV858,3,FALSE())
)</f>
        <v/>
      </c>
      <c r="BZ359" s="113" t="str">
        <f aca="false">IF(BN359&gt;BM$7,
    "",
    VLOOKUP(BN359,BP$8:BV858,4,FALSE())
)</f>
        <v/>
      </c>
      <c r="CA359" s="113" t="str">
        <f aca="false">IF(BN359&gt;BM$7,
    "",
    VLOOKUP(BN359,BP$8:BV858,5,FALSE())
)</f>
        <v/>
      </c>
      <c r="CB359" s="114" t="str">
        <f aca="false">IF(BN359&gt;BM$7,
    "",
    VLOOKUP(BN359,BP$8:BV858,6,FALSE())
)</f>
        <v/>
      </c>
      <c r="CC359" s="53"/>
    </row>
    <row r="360" customFormat="false" ht="15.75" hidden="false" customHeight="false" outlineLevel="0" collapsed="false">
      <c r="A360" s="5"/>
      <c r="B360" s="125"/>
      <c r="C360" s="126"/>
      <c r="D360" s="115"/>
      <c r="E360" s="119"/>
      <c r="F360" s="119"/>
      <c r="G360" s="91"/>
      <c r="H360" s="92"/>
      <c r="I360" s="92"/>
      <c r="J360" s="128"/>
      <c r="K360" s="128"/>
      <c r="L360" s="128"/>
      <c r="M360" s="94"/>
      <c r="N360" s="94"/>
      <c r="O360" s="94"/>
      <c r="P360" s="95"/>
      <c r="Q360" s="96"/>
      <c r="R360" s="128"/>
      <c r="S360" s="98"/>
      <c r="T360" s="99"/>
      <c r="U360" s="99" t="str">
        <f aca="false">IF(ISBLANK($C360),"",IF(G360=Constants!$B$2, TRUE(), IF(G360=Constants!$B$3, FALSE(), TRUE())))</f>
        <v/>
      </c>
      <c r="V360" s="99" t="str">
        <f aca="false">IF(ISBLANK($C360),"",IF(H360=Constants!$B$2, TRUE(), IF(H360=Constants!$B$3, FALSE(), TRUE())))</f>
        <v/>
      </c>
      <c r="W360" s="99" t="str">
        <f aca="false">IF(ISBLANK($C360),"",IF(I360=Constants!$B$2, TRUE(), IF(I360=Constants!$B$3, FALSE(), TRUE())))</f>
        <v/>
      </c>
      <c r="X360" s="99" t="str">
        <f aca="false">IF(ISBLANK($C360),"",IF(AND(ISNUMBER(J360),J360&gt;0),INT(J360),0))</f>
        <v/>
      </c>
      <c r="Y360" s="99" t="str">
        <f aca="false">IF(ISBLANK($C360),"",IF(K360=Constants!$B$2, TRUE(), IF(K360=Constants!$B$3, FALSE(), TRUE())))</f>
        <v/>
      </c>
      <c r="Z360" s="100" t="str">
        <f aca="false">IF(ISBLANK($C360),"",IF(AND(ISNUMBER(L360),L360&gt;0),INT(L360),0))</f>
        <v/>
      </c>
      <c r="AA360" s="101" t="str">
        <f aca="false">IF(ISBLANK($C360),"",IF(ISNUMBER(M360), M360, ""))</f>
        <v/>
      </c>
      <c r="AB360" s="101" t="str">
        <f aca="false">IF(ISBLANK($C360),"",IF(ISNUMBER(N360), N360, ""))</f>
        <v/>
      </c>
      <c r="AC360" s="101" t="str">
        <f aca="false">IF(ISBLANK($C360),"",IF(ISNUMBER(O360), O360, ""))</f>
        <v/>
      </c>
      <c r="AD360" s="102" t="str">
        <f aca="false">IF(ISBLANK($C360),"",IF(ISNUMBER(P360), P360, ""))</f>
        <v/>
      </c>
      <c r="AE360" s="102" t="str">
        <f aca="false">IF(ISBLANK($C360),"",IF(ISNUMBER(Q360), Q360, Constants!$B$13))</f>
        <v/>
      </c>
      <c r="AF360" s="99" t="str">
        <f aca="false">IF(ISBLANK($C360),"",IF(R360=Constants!$B$2, TRUE(), IF(R360=Constants!$B$3, FALSE(), FALSE())))</f>
        <v/>
      </c>
      <c r="AG360" s="99" t="str">
        <f aca="false">IF(ISBLANK(C360), "", IF(AF360, Constants!$B$4,IF(COUNTA(G360:P360)=0, Constants!$B$5, Constants!$B$7)))</f>
        <v/>
      </c>
      <c r="AH360" s="99" t="str">
        <f aca="false">IF(ISBLANK($C360), "",IF($AG360=Constants!$B$7,1,$AG360))</f>
        <v/>
      </c>
      <c r="AI360" s="99" t="str">
        <f aca="false">IF($AG360=Constants!$B$7,POWER(Constants!$B$11,X360)*POWER(Constants!$B$12,Z360),"")</f>
        <v/>
      </c>
      <c r="AJ360" s="99" t="str">
        <f aca="false">IF(AND($AG360=Constants!$B$7, U360, V360) ,IF(OR($AA360="",$AC360=""),"",MAX(0, $AC360-$AA360)),"")</f>
        <v/>
      </c>
      <c r="AK360" s="99" t="str">
        <f aca="false">IF(AND($AG360=Constants!$B$7, U360, V360),IF(OR($AA360="",$AC360=""),$AK$6,""),"")</f>
        <v/>
      </c>
      <c r="AL360" s="99" t="str">
        <f aca="false">IF($AG360=Constants!$B$7,IF(AND(U360,V360,W360,Y360),IF($AJ360="",0,IF($AJ$6=0,Constants!$B$9,Constants!$B$9*AJ360/$AJ$6)), 0),"")</f>
        <v/>
      </c>
      <c r="AM360" s="99" t="str">
        <f aca="false">IF(AL360&lt;&gt;"", AL360*AI360,"")</f>
        <v/>
      </c>
      <c r="AN360" s="99" t="str">
        <f aca="false">IF(AND($AG360=Constants!$B$7, U360, V360) ,IF($AB360="", "", IF(OR($AC360="",$AC360=0),"",MAX(0,1-ABS($AC360-$AB360)/$AC360))),"")</f>
        <v/>
      </c>
      <c r="AO360" s="99" t="str">
        <f aca="false">IF(AND($AG360=Constants!$B$7, U360, V360),IF(AND($AA360&lt;&gt;"",$AB360&lt;&gt;"",$AC360=0),$AO$6,""),"")</f>
        <v/>
      </c>
      <c r="AP360" s="99" t="str">
        <f aca="false">IF($AG360=Constants!$B$7 ,IF(AND(U360,V360,W360,Y360,ISNUMBER(AB360)),IF($AN360="",0,IF($AN$6=0,Constants!$B$10,Constants!$B$10*AN360/$AN$6)), 0),"")</f>
        <v/>
      </c>
      <c r="AQ360" s="99" t="str">
        <f aca="false">IF(AP360&lt;&gt;"", AP360*AI360,"")</f>
        <v/>
      </c>
      <c r="AR360" s="99" t="str">
        <f aca="false">IF($AG360=Constants!$B$7,IF($AD360="",0,IF($AR$6=0,Constants!$B$8,Constants!$B$8*AD360/$AR$6)),"")</f>
        <v/>
      </c>
      <c r="AS360" s="99" t="str">
        <f aca="false">IF($AG360&lt;&gt;Constants!$B$7,$AG360,IF(AK360&amp;AO360&lt;&gt;"",Constants!$B$14,AM360+AQ360+AR360))</f>
        <v/>
      </c>
      <c r="AT360" s="99" t="str">
        <f aca="false">IF(ISBLANK($C360),"",IF($AG360=Constants!$B$7,IF(ISNUMBER(AS360),RANK(AS360,$AS$8:$AS$507),Constants!$B$14),$AG360))</f>
        <v/>
      </c>
      <c r="AU360" s="99" t="str">
        <f aca="false">IF(ISBLANK($C360), "",AM360)</f>
        <v/>
      </c>
      <c r="AV360" s="99" t="str">
        <f aca="false">IF(ISBLANK($C360),"",IF($AG360=Constants!$B$7,RANK(AU360,AU$8:AU$507),$AG360))</f>
        <v/>
      </c>
      <c r="AW360" s="99" t="str">
        <f aca="false">IF(ISBLANK($C360), "",AR360)</f>
        <v/>
      </c>
      <c r="AX360" s="99" t="str">
        <f aca="false">IF(ISBLANK($C360),"",IF($AG360=Constants!$B$7,RANK(AW360,AW$8:AW$507),$AG360))</f>
        <v/>
      </c>
      <c r="AY360" s="99" t="str">
        <f aca="false">IF(ISBLANK($C360), "",AE360)</f>
        <v/>
      </c>
      <c r="AZ360" s="99" t="str">
        <f aca="false">IF(ISBLANK($C360),"",
IF($AG360=Constants!$B$7,
  IF(ISNUMBER(AT360),
    COUNTIFS($AT$8:$AT$507,"&lt;"&amp;$AT360)
    + COUNTIFS($AT$8:$AT$507,$AT360,$AV$8:$AV$507,"&lt;"&amp;$AV360)
    + COUNTIFS($AT$8:$AT$507,$AT360,$AV$8:$AV$507,$AV360,$AX$8:$AX$507,"&lt;"&amp;$AX360)
    + COUNTIFS($AT$8:$AT$507,$AT360,$AV$8:$AV$507,$AV360,$AX$8:$AX$507,$AX360,$AY$8:$AY$507,"&lt;"&amp;$AY360)
    + 1,
  Constants!$B$14),
$AG360))</f>
        <v/>
      </c>
      <c r="BA360" s="99" t="str">
        <f aca="false">IF(ISBLANK(C360),"",IF($AG360=Constants!$B$7, IF(ISNUMBER(AT360),AT360-AZ360,Constants!$B$14),$AG360))</f>
        <v/>
      </c>
      <c r="BB360" s="103"/>
      <c r="BC360" s="104" t="str">
        <f aca="false">IF(ISBLANK($C360),"",TRIM(AK360&amp;" "&amp;AO360))</f>
        <v/>
      </c>
      <c r="BD360" s="105" t="str">
        <f aca="false">IF(ISBLANK($C360),"",IF($AG360&lt;&gt;Constants!$B$7,$AG360,AR360))</f>
        <v/>
      </c>
      <c r="BE360" s="105" t="str">
        <f aca="false">IF(ISBLANK($C360),"",IF($AG360&lt;&gt;Constants!$B$7,$AG360,AM360))</f>
        <v/>
      </c>
      <c r="BF360" s="105" t="str">
        <f aca="false">IF(ISBLANK($C360),"",IF($AG360&lt;&gt;Constants!$B$7,$AG360,AQ360))</f>
        <v/>
      </c>
      <c r="BG360" s="106" t="str">
        <f aca="false">IF(ISBLANK($C360),"",IF($AG360&lt;&gt;Constants!$B$7, $AG360 ,AS360))</f>
        <v/>
      </c>
      <c r="BH360" s="107" t="str">
        <f aca="false">IF(ISBLANK($C360),"",IF($AG360&lt;&gt;Constants!$B$7, $AG360 ,AH360))</f>
        <v/>
      </c>
      <c r="BI360" s="105" t="str">
        <f aca="false">IF(ISBLANK(C360),"",BA360)</f>
        <v/>
      </c>
      <c r="BJ360" s="105" t="str">
        <f aca="false">IF(ISBLANK(C360),"",AZ360)</f>
        <v/>
      </c>
      <c r="BK360" s="108" t="str">
        <f aca="false">IF(ISBLANK(C360),"",IFERROR(_xlfn.SWITCH(BJ360, Constants!$B$4, COUNTA($C$8:$C859)+2, Constants!$B$5, COUNTA($C$8:$C859)+1, Constants!$B$6, COUNTA($C$8:$C859)),BJ360))</f>
        <v/>
      </c>
      <c r="BL360" s="5"/>
      <c r="BM360" s="109" t="n">
        <f aca="false">IF(OR(ISNUMBER(BJ360),BJ360="DQ",BJ360="P",BJ360="NS"),
    1,
    0
)</f>
        <v>0</v>
      </c>
      <c r="BN360" s="109" t="n">
        <v>353</v>
      </c>
      <c r="BO360" s="109" t="str">
        <f aca="false">IF(ISBLANK($C360),"",IF(ISNUMBER(BK360),BK360+ROW($B360)/1000,""))</f>
        <v/>
      </c>
      <c r="BP360" s="109" t="str">
        <f aca="false">IF(ISNUMBER(BO360), RANK(BO360,BO$8:BO$507,1), "")</f>
        <v/>
      </c>
      <c r="BQ360" s="109" t="str">
        <f aca="false">IF(ISBLANK($C360),
    "",
    $B360
)</f>
        <v/>
      </c>
      <c r="BR360" s="109" t="str">
        <f aca="false">IF(ISBLANK($C360),
    "",
    $C360
)</f>
        <v/>
      </c>
      <c r="BS360" s="109" t="str">
        <f aca="false">IF(ISBLANK($C360),
    "",
    $D360
)</f>
        <v/>
      </c>
      <c r="BT360" s="110" t="str">
        <f aca="false">BH360</f>
        <v/>
      </c>
      <c r="BU360" s="111" t="str">
        <f aca="false">BG360</f>
        <v/>
      </c>
      <c r="BV360" s="109" t="str">
        <f aca="false">IF(ISBLANK($C360),
    "",
    BJ360
)</f>
        <v/>
      </c>
      <c r="BW360" s="112" t="str">
        <f aca="false">IF(BN360&gt;BM$7,
    "",
    VLOOKUP(BN360,BP$8:BV859,7,FALSE())
)</f>
        <v/>
      </c>
      <c r="BX360" s="113" t="str">
        <f aca="false">IF(BN360&gt;BM$7,
    "",
    VLOOKUP(BN360,BP$8:BV859,2,FALSE())
)</f>
        <v/>
      </c>
      <c r="BY360" s="113" t="str">
        <f aca="false">IF(BN360&gt;BM$7,
    "",
    VLOOKUP(BN360,BP$8:BV859,3,FALSE())
)</f>
        <v/>
      </c>
      <c r="BZ360" s="113" t="str">
        <f aca="false">IF(BN360&gt;BM$7,
    "",
    VLOOKUP(BN360,BP$8:BV859,4,FALSE())
)</f>
        <v/>
      </c>
      <c r="CA360" s="113" t="str">
        <f aca="false">IF(BN360&gt;BM$7,
    "",
    VLOOKUP(BN360,BP$8:BV859,5,FALSE())
)</f>
        <v/>
      </c>
      <c r="CB360" s="114" t="str">
        <f aca="false">IF(BN360&gt;BM$7,
    "",
    VLOOKUP(BN360,BP$8:BV859,6,FALSE())
)</f>
        <v/>
      </c>
      <c r="CC360" s="53"/>
    </row>
    <row r="361" customFormat="false" ht="15.75" hidden="false" customHeight="false" outlineLevel="0" collapsed="false">
      <c r="A361" s="5"/>
      <c r="B361" s="125"/>
      <c r="C361" s="126"/>
      <c r="D361" s="115"/>
      <c r="E361" s="119"/>
      <c r="F361" s="119"/>
      <c r="G361" s="91"/>
      <c r="H361" s="92"/>
      <c r="I361" s="92"/>
      <c r="J361" s="128"/>
      <c r="K361" s="128"/>
      <c r="L361" s="128"/>
      <c r="M361" s="94"/>
      <c r="N361" s="94"/>
      <c r="O361" s="94"/>
      <c r="P361" s="95"/>
      <c r="Q361" s="96"/>
      <c r="R361" s="128"/>
      <c r="S361" s="98"/>
      <c r="T361" s="99"/>
      <c r="U361" s="99" t="str">
        <f aca="false">IF(ISBLANK($C361),"",IF(G361=Constants!$B$2, TRUE(), IF(G361=Constants!$B$3, FALSE(), TRUE())))</f>
        <v/>
      </c>
      <c r="V361" s="99" t="str">
        <f aca="false">IF(ISBLANK($C361),"",IF(H361=Constants!$B$2, TRUE(), IF(H361=Constants!$B$3, FALSE(), TRUE())))</f>
        <v/>
      </c>
      <c r="W361" s="99" t="str">
        <f aca="false">IF(ISBLANK($C361),"",IF(I361=Constants!$B$2, TRUE(), IF(I361=Constants!$B$3, FALSE(), TRUE())))</f>
        <v/>
      </c>
      <c r="X361" s="99" t="str">
        <f aca="false">IF(ISBLANK($C361),"",IF(AND(ISNUMBER(J361),J361&gt;0),INT(J361),0))</f>
        <v/>
      </c>
      <c r="Y361" s="99" t="str">
        <f aca="false">IF(ISBLANK($C361),"",IF(K361=Constants!$B$2, TRUE(), IF(K361=Constants!$B$3, FALSE(), TRUE())))</f>
        <v/>
      </c>
      <c r="Z361" s="100" t="str">
        <f aca="false">IF(ISBLANK($C361),"",IF(AND(ISNUMBER(L361),L361&gt;0),INT(L361),0))</f>
        <v/>
      </c>
      <c r="AA361" s="101" t="str">
        <f aca="false">IF(ISBLANK($C361),"",IF(ISNUMBER(M361), M361, ""))</f>
        <v/>
      </c>
      <c r="AB361" s="101" t="str">
        <f aca="false">IF(ISBLANK($C361),"",IF(ISNUMBER(N361), N361, ""))</f>
        <v/>
      </c>
      <c r="AC361" s="101" t="str">
        <f aca="false">IF(ISBLANK($C361),"",IF(ISNUMBER(O361), O361, ""))</f>
        <v/>
      </c>
      <c r="AD361" s="102" t="str">
        <f aca="false">IF(ISBLANK($C361),"",IF(ISNUMBER(P361), P361, ""))</f>
        <v/>
      </c>
      <c r="AE361" s="102" t="str">
        <f aca="false">IF(ISBLANK($C361),"",IF(ISNUMBER(Q361), Q361, Constants!$B$13))</f>
        <v/>
      </c>
      <c r="AF361" s="99" t="str">
        <f aca="false">IF(ISBLANK($C361),"",IF(R361=Constants!$B$2, TRUE(), IF(R361=Constants!$B$3, FALSE(), FALSE())))</f>
        <v/>
      </c>
      <c r="AG361" s="99" t="str">
        <f aca="false">IF(ISBLANK(C361), "", IF(AF361, Constants!$B$4,IF(COUNTA(G361:P361)=0, Constants!$B$5, Constants!$B$7)))</f>
        <v/>
      </c>
      <c r="AH361" s="99" t="str">
        <f aca="false">IF(ISBLANK($C361), "",IF($AG361=Constants!$B$7,1,$AG361))</f>
        <v/>
      </c>
      <c r="AI361" s="99" t="str">
        <f aca="false">IF($AG361=Constants!$B$7,POWER(Constants!$B$11,X361)*POWER(Constants!$B$12,Z361),"")</f>
        <v/>
      </c>
      <c r="AJ361" s="99" t="str">
        <f aca="false">IF(AND($AG361=Constants!$B$7, U361, V361) ,IF(OR($AA361="",$AC361=""),"",MAX(0, $AC361-$AA361)),"")</f>
        <v/>
      </c>
      <c r="AK361" s="99" t="str">
        <f aca="false">IF(AND($AG361=Constants!$B$7, U361, V361),IF(OR($AA361="",$AC361=""),$AK$6,""),"")</f>
        <v/>
      </c>
      <c r="AL361" s="99" t="str">
        <f aca="false">IF($AG361=Constants!$B$7,IF(AND(U361,V361,W361,Y361),IF($AJ361="",0,IF($AJ$6=0,Constants!$B$9,Constants!$B$9*AJ361/$AJ$6)), 0),"")</f>
        <v/>
      </c>
      <c r="AM361" s="99" t="str">
        <f aca="false">IF(AL361&lt;&gt;"", AL361*AI361,"")</f>
        <v/>
      </c>
      <c r="AN361" s="99" t="str">
        <f aca="false">IF(AND($AG361=Constants!$B$7, U361, V361) ,IF($AB361="", "", IF(OR($AC361="",$AC361=0),"",MAX(0,1-ABS($AC361-$AB361)/$AC361))),"")</f>
        <v/>
      </c>
      <c r="AO361" s="99" t="str">
        <f aca="false">IF(AND($AG361=Constants!$B$7, U361, V361),IF(AND($AA361&lt;&gt;"",$AB361&lt;&gt;"",$AC361=0),$AO$6,""),"")</f>
        <v/>
      </c>
      <c r="AP361" s="99" t="str">
        <f aca="false">IF($AG361=Constants!$B$7 ,IF(AND(U361,V361,W361,Y361,ISNUMBER(AB361)),IF($AN361="",0,IF($AN$6=0,Constants!$B$10,Constants!$B$10*AN361/$AN$6)), 0),"")</f>
        <v/>
      </c>
      <c r="AQ361" s="99" t="str">
        <f aca="false">IF(AP361&lt;&gt;"", AP361*AI361,"")</f>
        <v/>
      </c>
      <c r="AR361" s="99" t="str">
        <f aca="false">IF($AG361=Constants!$B$7,IF($AD361="",0,IF($AR$6=0,Constants!$B$8,Constants!$B$8*AD361/$AR$6)),"")</f>
        <v/>
      </c>
      <c r="AS361" s="99" t="str">
        <f aca="false">IF($AG361&lt;&gt;Constants!$B$7,$AG361,IF(AK361&amp;AO361&lt;&gt;"",Constants!$B$14,AM361+AQ361+AR361))</f>
        <v/>
      </c>
      <c r="AT361" s="99" t="str">
        <f aca="false">IF(ISBLANK($C361),"",IF($AG361=Constants!$B$7,IF(ISNUMBER(AS361),RANK(AS361,$AS$8:$AS$507),Constants!$B$14),$AG361))</f>
        <v/>
      </c>
      <c r="AU361" s="99" t="str">
        <f aca="false">IF(ISBLANK($C361), "",AM361)</f>
        <v/>
      </c>
      <c r="AV361" s="99" t="str">
        <f aca="false">IF(ISBLANK($C361),"",IF($AG361=Constants!$B$7,RANK(AU361,AU$8:AU$507),$AG361))</f>
        <v/>
      </c>
      <c r="AW361" s="99" t="str">
        <f aca="false">IF(ISBLANK($C361), "",AR361)</f>
        <v/>
      </c>
      <c r="AX361" s="99" t="str">
        <f aca="false">IF(ISBLANK($C361),"",IF($AG361=Constants!$B$7,RANK(AW361,AW$8:AW$507),$AG361))</f>
        <v/>
      </c>
      <c r="AY361" s="99" t="str">
        <f aca="false">IF(ISBLANK($C361), "",AE361)</f>
        <v/>
      </c>
      <c r="AZ361" s="99" t="str">
        <f aca="false">IF(ISBLANK($C361),"",
IF($AG361=Constants!$B$7,
  IF(ISNUMBER(AT361),
    COUNTIFS($AT$8:$AT$507,"&lt;"&amp;$AT361)
    + COUNTIFS($AT$8:$AT$507,$AT361,$AV$8:$AV$507,"&lt;"&amp;$AV361)
    + COUNTIFS($AT$8:$AT$507,$AT361,$AV$8:$AV$507,$AV361,$AX$8:$AX$507,"&lt;"&amp;$AX361)
    + COUNTIFS($AT$8:$AT$507,$AT361,$AV$8:$AV$507,$AV361,$AX$8:$AX$507,$AX361,$AY$8:$AY$507,"&lt;"&amp;$AY361)
    + 1,
  Constants!$B$14),
$AG361))</f>
        <v/>
      </c>
      <c r="BA361" s="99" t="str">
        <f aca="false">IF(ISBLANK(C361),"",IF($AG361=Constants!$B$7, IF(ISNUMBER(AT361),AT361-AZ361,Constants!$B$14),$AG361))</f>
        <v/>
      </c>
      <c r="BB361" s="103"/>
      <c r="BC361" s="104" t="str">
        <f aca="false">IF(ISBLANK($C361),"",TRIM(AK361&amp;" "&amp;AO361))</f>
        <v/>
      </c>
      <c r="BD361" s="105" t="str">
        <f aca="false">IF(ISBLANK($C361),"",IF($AG361&lt;&gt;Constants!$B$7,$AG361,AR361))</f>
        <v/>
      </c>
      <c r="BE361" s="105" t="str">
        <f aca="false">IF(ISBLANK($C361),"",IF($AG361&lt;&gt;Constants!$B$7,$AG361,AM361))</f>
        <v/>
      </c>
      <c r="BF361" s="105" t="str">
        <f aca="false">IF(ISBLANK($C361),"",IF($AG361&lt;&gt;Constants!$B$7,$AG361,AQ361))</f>
        <v/>
      </c>
      <c r="BG361" s="106" t="str">
        <f aca="false">IF(ISBLANK($C361),"",IF($AG361&lt;&gt;Constants!$B$7, $AG361 ,AS361))</f>
        <v/>
      </c>
      <c r="BH361" s="107" t="str">
        <f aca="false">IF(ISBLANK($C361),"",IF($AG361&lt;&gt;Constants!$B$7, $AG361 ,AH361))</f>
        <v/>
      </c>
      <c r="BI361" s="105" t="str">
        <f aca="false">IF(ISBLANK(C361),"",BA361)</f>
        <v/>
      </c>
      <c r="BJ361" s="105" t="str">
        <f aca="false">IF(ISBLANK(C361),"",AZ361)</f>
        <v/>
      </c>
      <c r="BK361" s="108" t="str">
        <f aca="false">IF(ISBLANK(C361),"",IFERROR(_xlfn.SWITCH(BJ361, Constants!$B$4, COUNTA($C$8:$C860)+2, Constants!$B$5, COUNTA($C$8:$C860)+1, Constants!$B$6, COUNTA($C$8:$C860)),BJ361))</f>
        <v/>
      </c>
      <c r="BL361" s="5"/>
      <c r="BM361" s="109" t="n">
        <f aca="false">IF(OR(ISNUMBER(BJ361),BJ361="DQ",BJ361="P",BJ361="NS"),
    1,
    0
)</f>
        <v>0</v>
      </c>
      <c r="BN361" s="109" t="n">
        <v>354</v>
      </c>
      <c r="BO361" s="109" t="str">
        <f aca="false">IF(ISBLANK($C361),"",IF(ISNUMBER(BK361),BK361+ROW($B361)/1000,""))</f>
        <v/>
      </c>
      <c r="BP361" s="109" t="str">
        <f aca="false">IF(ISNUMBER(BO361), RANK(BO361,BO$8:BO$507,1), "")</f>
        <v/>
      </c>
      <c r="BQ361" s="109" t="str">
        <f aca="false">IF(ISBLANK($C361),
    "",
    $B361
)</f>
        <v/>
      </c>
      <c r="BR361" s="109" t="str">
        <f aca="false">IF(ISBLANK($C361),
    "",
    $C361
)</f>
        <v/>
      </c>
      <c r="BS361" s="109" t="str">
        <f aca="false">IF(ISBLANK($C361),
    "",
    $D361
)</f>
        <v/>
      </c>
      <c r="BT361" s="110" t="str">
        <f aca="false">BH361</f>
        <v/>
      </c>
      <c r="BU361" s="111" t="str">
        <f aca="false">BG361</f>
        <v/>
      </c>
      <c r="BV361" s="109" t="str">
        <f aca="false">IF(ISBLANK($C361),
    "",
    BJ361
)</f>
        <v/>
      </c>
      <c r="BW361" s="112" t="str">
        <f aca="false">IF(BN361&gt;BM$7,
    "",
    VLOOKUP(BN361,BP$8:BV860,7,FALSE())
)</f>
        <v/>
      </c>
      <c r="BX361" s="113" t="str">
        <f aca="false">IF(BN361&gt;BM$7,
    "",
    VLOOKUP(BN361,BP$8:BV860,2,FALSE())
)</f>
        <v/>
      </c>
      <c r="BY361" s="113" t="str">
        <f aca="false">IF(BN361&gt;BM$7,
    "",
    VLOOKUP(BN361,BP$8:BV860,3,FALSE())
)</f>
        <v/>
      </c>
      <c r="BZ361" s="113" t="str">
        <f aca="false">IF(BN361&gt;BM$7,
    "",
    VLOOKUP(BN361,BP$8:BV860,4,FALSE())
)</f>
        <v/>
      </c>
      <c r="CA361" s="113" t="str">
        <f aca="false">IF(BN361&gt;BM$7,
    "",
    VLOOKUP(BN361,BP$8:BV860,5,FALSE())
)</f>
        <v/>
      </c>
      <c r="CB361" s="114" t="str">
        <f aca="false">IF(BN361&gt;BM$7,
    "",
    VLOOKUP(BN361,BP$8:BV860,6,FALSE())
)</f>
        <v/>
      </c>
      <c r="CC361" s="53"/>
    </row>
    <row r="362" customFormat="false" ht="15.75" hidden="false" customHeight="false" outlineLevel="0" collapsed="false">
      <c r="A362" s="5"/>
      <c r="B362" s="129"/>
      <c r="C362" s="55"/>
      <c r="D362" s="56"/>
      <c r="E362" s="123"/>
      <c r="F362" s="123"/>
      <c r="G362" s="58"/>
      <c r="H362" s="59"/>
      <c r="I362" s="59"/>
      <c r="J362" s="83"/>
      <c r="K362" s="83"/>
      <c r="L362" s="83"/>
      <c r="M362" s="61"/>
      <c r="N362" s="61"/>
      <c r="O362" s="61"/>
      <c r="P362" s="62"/>
      <c r="Q362" s="63"/>
      <c r="R362" s="83"/>
      <c r="S362" s="65"/>
      <c r="T362" s="66"/>
      <c r="U362" s="66" t="str">
        <f aca="false">IF(ISBLANK($C362),"",IF(G362=Constants!$B$2, TRUE(), IF(G362=Constants!$B$3, FALSE(), TRUE())))</f>
        <v/>
      </c>
      <c r="V362" s="66" t="str">
        <f aca="false">IF(ISBLANK($C362),"",IF(H362=Constants!$B$2, TRUE(), IF(H362=Constants!$B$3, FALSE(), TRUE())))</f>
        <v/>
      </c>
      <c r="W362" s="66" t="str">
        <f aca="false">IF(ISBLANK($C362),"",IF(I362=Constants!$B$2, TRUE(), IF(I362=Constants!$B$3, FALSE(), TRUE())))</f>
        <v/>
      </c>
      <c r="X362" s="66" t="str">
        <f aca="false">IF(ISBLANK($C362),"",IF(AND(ISNUMBER(J362),J362&gt;0),INT(J362),0))</f>
        <v/>
      </c>
      <c r="Y362" s="66" t="str">
        <f aca="false">IF(ISBLANK($C362),"",IF(K362=Constants!$B$2, TRUE(), IF(K362=Constants!$B$3, FALSE(), TRUE())))</f>
        <v/>
      </c>
      <c r="Z362" s="66" t="str">
        <f aca="false">IF(ISBLANK($C362),"",IF(AND(ISNUMBER(L362),L362&gt;0),INT(L362),0))</f>
        <v/>
      </c>
      <c r="AA362" s="68" t="str">
        <f aca="false">IF(ISBLANK($C362),"",IF(ISNUMBER(M362), M362, ""))</f>
        <v/>
      </c>
      <c r="AB362" s="68" t="str">
        <f aca="false">IF(ISBLANK($C362),"",IF(ISNUMBER(N362), N362, ""))</f>
        <v/>
      </c>
      <c r="AC362" s="68" t="str">
        <f aca="false">IF(ISBLANK($C362),"",IF(ISNUMBER(O362), O362, ""))</f>
        <v/>
      </c>
      <c r="AD362" s="69" t="str">
        <f aca="false">IF(ISBLANK($C362),"",IF(ISNUMBER(P362), P362, ""))</f>
        <v/>
      </c>
      <c r="AE362" s="69" t="str">
        <f aca="false">IF(ISBLANK($C362),"",IF(ISNUMBER(Q362), Q362, Constants!$B$13))</f>
        <v/>
      </c>
      <c r="AF362" s="66" t="str">
        <f aca="false">IF(ISBLANK($C362),"",IF(R362=Constants!$B$2, TRUE(), IF(R362=Constants!$B$3, FALSE(), FALSE())))</f>
        <v/>
      </c>
      <c r="AG362" s="66" t="str">
        <f aca="false">IF(ISBLANK(C362), "", IF(AF362, Constants!$B$4,IF(COUNTA(G362:P362)=0, Constants!$B$5, Constants!$B$7)))</f>
        <v/>
      </c>
      <c r="AH362" s="66" t="str">
        <f aca="false">IF(ISBLANK($C362), "",IF($AG362=Constants!$B$7,1,$AG362))</f>
        <v/>
      </c>
      <c r="AI362" s="66" t="str">
        <f aca="false">IF($AG362=Constants!$B$7,POWER(Constants!$B$11,X362)*POWER(Constants!$B$12,Z362),"")</f>
        <v/>
      </c>
      <c r="AJ362" s="66" t="str">
        <f aca="false">IF(AND($AG362=Constants!$B$7, U362, V362) ,IF(OR($AA362="",$AC362=""),"",MAX(0, $AC362-$AA362)),"")</f>
        <v/>
      </c>
      <c r="AK362" s="66" t="str">
        <f aca="false">IF(AND($AG362=Constants!$B$7, U362, V362),IF(OR($AA362="",$AC362=""),$AK$6,""),"")</f>
        <v/>
      </c>
      <c r="AL362" s="66" t="str">
        <f aca="false">IF($AG362=Constants!$B$7,IF(AND(U362,V362,W362,Y362),IF($AJ362="",0,IF($AJ$6=0,Constants!$B$9,Constants!$B$9*AJ362/$AJ$6)), 0),"")</f>
        <v/>
      </c>
      <c r="AM362" s="66" t="str">
        <f aca="false">IF(AL362&lt;&gt;"", AL362*AI362,"")</f>
        <v/>
      </c>
      <c r="AN362" s="66" t="str">
        <f aca="false">IF(AND($AG362=Constants!$B$7, U362, V362) ,IF($AB362="", "", IF(OR($AC362="",$AC362=0),"",MAX(0,1-ABS($AC362-$AB362)/$AC362))),"")</f>
        <v/>
      </c>
      <c r="AO362" s="66" t="str">
        <f aca="false">IF(AND($AG362=Constants!$B$7, U362, V362),IF(AND($AA362&lt;&gt;"",$AB362&lt;&gt;"",$AC362=0),$AO$6,""),"")</f>
        <v/>
      </c>
      <c r="AP362" s="66" t="str">
        <f aca="false">IF($AG362=Constants!$B$7 ,IF(AND(U362,V362,W362,Y362,ISNUMBER(AB362)),IF($AN362="",0,IF($AN$6=0,Constants!$B$10,Constants!$B$10*AN362/$AN$6)), 0),"")</f>
        <v/>
      </c>
      <c r="AQ362" s="66" t="str">
        <f aca="false">IF(AP362&lt;&gt;"", AP362*AI362,"")</f>
        <v/>
      </c>
      <c r="AR362" s="66" t="str">
        <f aca="false">IF($AG362=Constants!$B$7,IF($AD362="",0,IF($AR$6=0,Constants!$B$8,Constants!$B$8*AD362/$AR$6)),"")</f>
        <v/>
      </c>
      <c r="AS362" s="66" t="str">
        <f aca="false">IF($AG362&lt;&gt;Constants!$B$7,$AG362,IF(AK362&amp;AO362&lt;&gt;"",Constants!$B$14,AM362+AQ362+AR362))</f>
        <v/>
      </c>
      <c r="AT362" s="66" t="str">
        <f aca="false">IF(ISBLANK($C362),"",IF($AG362=Constants!$B$7,IF(ISNUMBER(AS362),RANK(AS362,$AS$8:$AS$507),Constants!$B$14),$AG362))</f>
        <v/>
      </c>
      <c r="AU362" s="66" t="str">
        <f aca="false">IF(ISBLANK($C362), "",AM362)</f>
        <v/>
      </c>
      <c r="AV362" s="66" t="str">
        <f aca="false">IF(ISBLANK($C362),"",IF($AG362=Constants!$B$7,RANK(AU362,AU$8:AU$507),$AG362))</f>
        <v/>
      </c>
      <c r="AW362" s="66" t="str">
        <f aca="false">IF(ISBLANK($C362), "",AR362)</f>
        <v/>
      </c>
      <c r="AX362" s="66" t="str">
        <f aca="false">IF(ISBLANK($C362),"",IF($AG362=Constants!$B$7,RANK(AW362,AW$8:AW$507),$AG362))</f>
        <v/>
      </c>
      <c r="AY362" s="66" t="str">
        <f aca="false">IF(ISBLANK($C362), "",AE362)</f>
        <v/>
      </c>
      <c r="AZ362" s="66" t="str">
        <f aca="false">IF(ISBLANK($C362),"",
IF($AG362=Constants!$B$7,
  IF(ISNUMBER(AT362),
    COUNTIFS($AT$8:$AT$507,"&lt;"&amp;$AT362)
    + COUNTIFS($AT$8:$AT$507,$AT362,$AV$8:$AV$507,"&lt;"&amp;$AV362)
    + COUNTIFS($AT$8:$AT$507,$AT362,$AV$8:$AV$507,$AV362,$AX$8:$AX$507,"&lt;"&amp;$AX362)
    + COUNTIFS($AT$8:$AT$507,$AT362,$AV$8:$AV$507,$AV362,$AX$8:$AX$507,$AX362,$AY$8:$AY$507,"&lt;"&amp;$AY362)
    + 1,
  Constants!$B$14),
$AG362))</f>
        <v/>
      </c>
      <c r="BA362" s="66" t="str">
        <f aca="false">IF(ISBLANK(C362),"",IF($AG362=Constants!$B$7, IF(ISNUMBER(AT362),AT362-AZ362,Constants!$B$14),$AG362))</f>
        <v/>
      </c>
      <c r="BB362" s="70"/>
      <c r="BC362" s="84" t="str">
        <f aca="false">IF(ISBLANK($C362),"",TRIM(AK362&amp;" "&amp;AO362))</f>
        <v/>
      </c>
      <c r="BD362" s="72" t="str">
        <f aca="false">IF(ISBLANK($C362),"",IF($AG362&lt;&gt;Constants!$B$7,$AG362,AR362))</f>
        <v/>
      </c>
      <c r="BE362" s="72" t="str">
        <f aca="false">IF(ISBLANK($C362),"",IF($AG362&lt;&gt;Constants!$B$7,$AG362,AM362))</f>
        <v/>
      </c>
      <c r="BF362" s="72" t="str">
        <f aca="false">IF(ISBLANK($C362),"",IF($AG362&lt;&gt;Constants!$B$7,$AG362,AQ362))</f>
        <v/>
      </c>
      <c r="BG362" s="73" t="str">
        <f aca="false">IF(ISBLANK($C362),"",IF($AG362&lt;&gt;Constants!$B$7, $AG362 ,AS362))</f>
        <v/>
      </c>
      <c r="BH362" s="74" t="str">
        <f aca="false">IF(ISBLANK($C362),"",IF($AG362&lt;&gt;Constants!$B$7, $AG362 ,AH362))</f>
        <v/>
      </c>
      <c r="BI362" s="72" t="str">
        <f aca="false">IF(ISBLANK(C362),"",BA362)</f>
        <v/>
      </c>
      <c r="BJ362" s="72" t="str">
        <f aca="false">IF(ISBLANK(C362),"",AZ362)</f>
        <v/>
      </c>
      <c r="BK362" s="75" t="str">
        <f aca="false">IF(ISBLANK(C362),"",IFERROR(_xlfn.SWITCH(BJ362, Constants!$B$4, COUNTA($C$8:$C861)+2, Constants!$B$5, COUNTA($C$8:$C861)+1, Constants!$B$6, COUNTA($C$8:$C861)),BJ362))</f>
        <v/>
      </c>
      <c r="BL362" s="5"/>
      <c r="BM362" s="76" t="n">
        <f aca="false">IF(OR(ISNUMBER(BJ362),BJ362="DQ",BJ362="P",BJ362="NS"),
    1,
    0
)</f>
        <v>0</v>
      </c>
      <c r="BN362" s="76" t="n">
        <v>355</v>
      </c>
      <c r="BO362" s="76" t="str">
        <f aca="false">IF(ISBLANK($C362),"",IF(ISNUMBER(BK362),BK362+ROW($B362)/1000,""))</f>
        <v/>
      </c>
      <c r="BP362" s="76" t="str">
        <f aca="false">IF(ISNUMBER(BO362), RANK(BO362,BO$8:BO$507,1), "")</f>
        <v/>
      </c>
      <c r="BQ362" s="76" t="str">
        <f aca="false">IF(ISBLANK($C362),
    "",
    $B362
)</f>
        <v/>
      </c>
      <c r="BR362" s="76" t="str">
        <f aca="false">IF(ISBLANK($C362),
    "",
    $C362
)</f>
        <v/>
      </c>
      <c r="BS362" s="76" t="str">
        <f aca="false">IF(ISBLANK($C362),
    "",
    $D362
)</f>
        <v/>
      </c>
      <c r="BT362" s="77" t="str">
        <f aca="false">BH362</f>
        <v/>
      </c>
      <c r="BU362" s="78" t="str">
        <f aca="false">BG362</f>
        <v/>
      </c>
      <c r="BV362" s="76" t="str">
        <f aca="false">IF(ISBLANK($C362),
    "",
    BJ362
)</f>
        <v/>
      </c>
      <c r="BW362" s="79" t="str">
        <f aca="false">IF(BN362&gt;BM$7,
    "",
    VLOOKUP(BN362,BP$8:BV861,7,FALSE())
)</f>
        <v/>
      </c>
      <c r="BX362" s="80" t="str">
        <f aca="false">IF(BN362&gt;BM$7,
    "",
    VLOOKUP(BN362,BP$8:BV861,2,FALSE())
)</f>
        <v/>
      </c>
      <c r="BY362" s="80" t="str">
        <f aca="false">IF(BN362&gt;BM$7,
    "",
    VLOOKUP(BN362,BP$8:BV861,3,FALSE())
)</f>
        <v/>
      </c>
      <c r="BZ362" s="80" t="str">
        <f aca="false">IF(BN362&gt;BM$7,
    "",
    VLOOKUP(BN362,BP$8:BV861,4,FALSE())
)</f>
        <v/>
      </c>
      <c r="CA362" s="80" t="str">
        <f aca="false">IF(BN362&gt;BM$7,
    "",
    VLOOKUP(BN362,BP$8:BV861,5,FALSE())
)</f>
        <v/>
      </c>
      <c r="CB362" s="81" t="str">
        <f aca="false">IF(BN362&gt;BM$7,
    "",
    VLOOKUP(BN362,BP$8:BV861,6,FALSE())
)</f>
        <v/>
      </c>
      <c r="CC362" s="53"/>
    </row>
    <row r="363" customFormat="false" ht="15.75" hidden="false" customHeight="false" outlineLevel="0" collapsed="false">
      <c r="A363" s="5"/>
      <c r="B363" s="129"/>
      <c r="C363" s="55"/>
      <c r="D363" s="56"/>
      <c r="E363" s="123"/>
      <c r="F363" s="123"/>
      <c r="G363" s="58"/>
      <c r="H363" s="59"/>
      <c r="I363" s="59"/>
      <c r="J363" s="83"/>
      <c r="K363" s="83"/>
      <c r="L363" s="83"/>
      <c r="M363" s="61"/>
      <c r="N363" s="61"/>
      <c r="O363" s="61"/>
      <c r="P363" s="62"/>
      <c r="Q363" s="63"/>
      <c r="R363" s="83"/>
      <c r="S363" s="65"/>
      <c r="T363" s="66"/>
      <c r="U363" s="66" t="str">
        <f aca="false">IF(ISBLANK($C363),"",IF(G363=Constants!$B$2, TRUE(), IF(G363=Constants!$B$3, FALSE(), TRUE())))</f>
        <v/>
      </c>
      <c r="V363" s="66" t="str">
        <f aca="false">IF(ISBLANK($C363),"",IF(H363=Constants!$B$2, TRUE(), IF(H363=Constants!$B$3, FALSE(), TRUE())))</f>
        <v/>
      </c>
      <c r="W363" s="66" t="str">
        <f aca="false">IF(ISBLANK($C363),"",IF(I363=Constants!$B$2, TRUE(), IF(I363=Constants!$B$3, FALSE(), TRUE())))</f>
        <v/>
      </c>
      <c r="X363" s="66" t="str">
        <f aca="false">IF(ISBLANK($C363),"",IF(AND(ISNUMBER(J363),J363&gt;0),INT(J363),0))</f>
        <v/>
      </c>
      <c r="Y363" s="66" t="str">
        <f aca="false">IF(ISBLANK($C363),"",IF(K363=Constants!$B$2, TRUE(), IF(K363=Constants!$B$3, FALSE(), TRUE())))</f>
        <v/>
      </c>
      <c r="Z363" s="66" t="str">
        <f aca="false">IF(ISBLANK($C363),"",IF(AND(ISNUMBER(L363),L363&gt;0),INT(L363),0))</f>
        <v/>
      </c>
      <c r="AA363" s="68" t="str">
        <f aca="false">IF(ISBLANK($C363),"",IF(ISNUMBER(M363), M363, ""))</f>
        <v/>
      </c>
      <c r="AB363" s="68" t="str">
        <f aca="false">IF(ISBLANK($C363),"",IF(ISNUMBER(N363), N363, ""))</f>
        <v/>
      </c>
      <c r="AC363" s="68" t="str">
        <f aca="false">IF(ISBLANK($C363),"",IF(ISNUMBER(O363), O363, ""))</f>
        <v/>
      </c>
      <c r="AD363" s="69" t="str">
        <f aca="false">IF(ISBLANK($C363),"",IF(ISNUMBER(P363), P363, ""))</f>
        <v/>
      </c>
      <c r="AE363" s="69" t="str">
        <f aca="false">IF(ISBLANK($C363),"",IF(ISNUMBER(Q363), Q363, Constants!$B$13))</f>
        <v/>
      </c>
      <c r="AF363" s="66" t="str">
        <f aca="false">IF(ISBLANK($C363),"",IF(R363=Constants!$B$2, TRUE(), IF(R363=Constants!$B$3, FALSE(), FALSE())))</f>
        <v/>
      </c>
      <c r="AG363" s="66" t="str">
        <f aca="false">IF(ISBLANK(C363), "", IF(AF363, Constants!$B$4,IF(COUNTA(G363:P363)=0, Constants!$B$5, Constants!$B$7)))</f>
        <v/>
      </c>
      <c r="AH363" s="66" t="str">
        <f aca="false">IF(ISBLANK($C363), "",IF($AG363=Constants!$B$7,1,$AG363))</f>
        <v/>
      </c>
      <c r="AI363" s="66" t="str">
        <f aca="false">IF($AG363=Constants!$B$7,POWER(Constants!$B$11,X363)*POWER(Constants!$B$12,Z363),"")</f>
        <v/>
      </c>
      <c r="AJ363" s="66" t="str">
        <f aca="false">IF(AND($AG363=Constants!$B$7, U363, V363) ,IF(OR($AA363="",$AC363=""),"",MAX(0, $AC363-$AA363)),"")</f>
        <v/>
      </c>
      <c r="AK363" s="66" t="str">
        <f aca="false">IF(AND($AG363=Constants!$B$7, U363, V363),IF(OR($AA363="",$AC363=""),$AK$6,""),"")</f>
        <v/>
      </c>
      <c r="AL363" s="66" t="str">
        <f aca="false">IF($AG363=Constants!$B$7,IF(AND(U363,V363,W363,Y363),IF($AJ363="",0,IF($AJ$6=0,Constants!$B$9,Constants!$B$9*AJ363/$AJ$6)), 0),"")</f>
        <v/>
      </c>
      <c r="AM363" s="66" t="str">
        <f aca="false">IF(AL363&lt;&gt;"", AL363*AI363,"")</f>
        <v/>
      </c>
      <c r="AN363" s="66" t="str">
        <f aca="false">IF(AND($AG363=Constants!$B$7, U363, V363) ,IF($AB363="", "", IF(OR($AC363="",$AC363=0),"",MAX(0,1-ABS($AC363-$AB363)/$AC363))),"")</f>
        <v/>
      </c>
      <c r="AO363" s="66" t="str">
        <f aca="false">IF(AND($AG363=Constants!$B$7, U363, V363),IF(AND($AA363&lt;&gt;"",$AB363&lt;&gt;"",$AC363=0),$AO$6,""),"")</f>
        <v/>
      </c>
      <c r="AP363" s="66" t="str">
        <f aca="false">IF($AG363=Constants!$B$7 ,IF(AND(U363,V363,W363,Y363,ISNUMBER(AB363)),IF($AN363="",0,IF($AN$6=0,Constants!$B$10,Constants!$B$10*AN363/$AN$6)), 0),"")</f>
        <v/>
      </c>
      <c r="AQ363" s="66" t="str">
        <f aca="false">IF(AP363&lt;&gt;"", AP363*AI363,"")</f>
        <v/>
      </c>
      <c r="AR363" s="66" t="str">
        <f aca="false">IF($AG363=Constants!$B$7,IF($AD363="",0,IF($AR$6=0,Constants!$B$8,Constants!$B$8*AD363/$AR$6)),"")</f>
        <v/>
      </c>
      <c r="AS363" s="66" t="str">
        <f aca="false">IF($AG363&lt;&gt;Constants!$B$7,$AG363,IF(AK363&amp;AO363&lt;&gt;"",Constants!$B$14,AM363+AQ363+AR363))</f>
        <v/>
      </c>
      <c r="AT363" s="66" t="str">
        <f aca="false">IF(ISBLANK($C363),"",IF($AG363=Constants!$B$7,IF(ISNUMBER(AS363),RANK(AS363,$AS$8:$AS$507),Constants!$B$14),$AG363))</f>
        <v/>
      </c>
      <c r="AU363" s="66" t="str">
        <f aca="false">IF(ISBLANK($C363), "",AM363)</f>
        <v/>
      </c>
      <c r="AV363" s="66" t="str">
        <f aca="false">IF(ISBLANK($C363),"",IF($AG363=Constants!$B$7,RANK(AU363,AU$8:AU$507),$AG363))</f>
        <v/>
      </c>
      <c r="AW363" s="66" t="str">
        <f aca="false">IF(ISBLANK($C363), "",AR363)</f>
        <v/>
      </c>
      <c r="AX363" s="66" t="str">
        <f aca="false">IF(ISBLANK($C363),"",IF($AG363=Constants!$B$7,RANK(AW363,AW$8:AW$507),$AG363))</f>
        <v/>
      </c>
      <c r="AY363" s="66" t="str">
        <f aca="false">IF(ISBLANK($C363), "",AE363)</f>
        <v/>
      </c>
      <c r="AZ363" s="66" t="str">
        <f aca="false">IF(ISBLANK($C363),"",
IF($AG363=Constants!$B$7,
  IF(ISNUMBER(AT363),
    COUNTIFS($AT$8:$AT$507,"&lt;"&amp;$AT363)
    + COUNTIFS($AT$8:$AT$507,$AT363,$AV$8:$AV$507,"&lt;"&amp;$AV363)
    + COUNTIFS($AT$8:$AT$507,$AT363,$AV$8:$AV$507,$AV363,$AX$8:$AX$507,"&lt;"&amp;$AX363)
    + COUNTIFS($AT$8:$AT$507,$AT363,$AV$8:$AV$507,$AV363,$AX$8:$AX$507,$AX363,$AY$8:$AY$507,"&lt;"&amp;$AY363)
    + 1,
  Constants!$B$14),
$AG363))</f>
        <v/>
      </c>
      <c r="BA363" s="66" t="str">
        <f aca="false">IF(ISBLANK(C363),"",IF($AG363=Constants!$B$7, IF(ISNUMBER(AT363),AT363-AZ363,Constants!$B$14),$AG363))</f>
        <v/>
      </c>
      <c r="BB363" s="70"/>
      <c r="BC363" s="84" t="str">
        <f aca="false">IF(ISBLANK($C363),"",TRIM(AK363&amp;" "&amp;AO363))</f>
        <v/>
      </c>
      <c r="BD363" s="72" t="str">
        <f aca="false">IF(ISBLANK($C363),"",IF($AG363&lt;&gt;Constants!$B$7,$AG363,AR363))</f>
        <v/>
      </c>
      <c r="BE363" s="72" t="str">
        <f aca="false">IF(ISBLANK($C363),"",IF($AG363&lt;&gt;Constants!$B$7,$AG363,AM363))</f>
        <v/>
      </c>
      <c r="BF363" s="72" t="str">
        <f aca="false">IF(ISBLANK($C363),"",IF($AG363&lt;&gt;Constants!$B$7,$AG363,AQ363))</f>
        <v/>
      </c>
      <c r="BG363" s="73" t="str">
        <f aca="false">IF(ISBLANK($C363),"",IF($AG363&lt;&gt;Constants!$B$7, $AG363 ,AS363))</f>
        <v/>
      </c>
      <c r="BH363" s="74" t="str">
        <f aca="false">IF(ISBLANK($C363),"",IF($AG363&lt;&gt;Constants!$B$7, $AG363 ,AH363))</f>
        <v/>
      </c>
      <c r="BI363" s="72" t="str">
        <f aca="false">IF(ISBLANK(C363),"",BA363)</f>
        <v/>
      </c>
      <c r="BJ363" s="72" t="str">
        <f aca="false">IF(ISBLANK(C363),"",AZ363)</f>
        <v/>
      </c>
      <c r="BK363" s="75" t="str">
        <f aca="false">IF(ISBLANK(C363),"",IFERROR(_xlfn.SWITCH(BJ363, Constants!$B$4, COUNTA($C$8:$C862)+2, Constants!$B$5, COUNTA($C$8:$C862)+1, Constants!$B$6, COUNTA($C$8:$C862)),BJ363))</f>
        <v/>
      </c>
      <c r="BL363" s="5"/>
      <c r="BM363" s="76" t="n">
        <f aca="false">IF(OR(ISNUMBER(BJ363),BJ363="DQ",BJ363="P",BJ363="NS"),
    1,
    0
)</f>
        <v>0</v>
      </c>
      <c r="BN363" s="76" t="n">
        <v>356</v>
      </c>
      <c r="BO363" s="76" t="str">
        <f aca="false">IF(ISBLANK($C363),"",IF(ISNUMBER(BK363),BK363+ROW($B363)/1000,""))</f>
        <v/>
      </c>
      <c r="BP363" s="76" t="str">
        <f aca="false">IF(ISNUMBER(BO363), RANK(BO363,BO$8:BO$507,1), "")</f>
        <v/>
      </c>
      <c r="BQ363" s="76" t="str">
        <f aca="false">IF(ISBLANK($C363),
    "",
    $B363
)</f>
        <v/>
      </c>
      <c r="BR363" s="76" t="str">
        <f aca="false">IF(ISBLANK($C363),
    "",
    $C363
)</f>
        <v/>
      </c>
      <c r="BS363" s="76" t="str">
        <f aca="false">IF(ISBLANK($C363),
    "",
    $D363
)</f>
        <v/>
      </c>
      <c r="BT363" s="77" t="str">
        <f aca="false">BH363</f>
        <v/>
      </c>
      <c r="BU363" s="78" t="str">
        <f aca="false">BG363</f>
        <v/>
      </c>
      <c r="BV363" s="76" t="str">
        <f aca="false">IF(ISBLANK($C363),
    "",
    BJ363
)</f>
        <v/>
      </c>
      <c r="BW363" s="79" t="str">
        <f aca="false">IF(BN363&gt;BM$7,
    "",
    VLOOKUP(BN363,BP$8:BV862,7,FALSE())
)</f>
        <v/>
      </c>
      <c r="BX363" s="80" t="str">
        <f aca="false">IF(BN363&gt;BM$7,
    "",
    VLOOKUP(BN363,BP$8:BV862,2,FALSE())
)</f>
        <v/>
      </c>
      <c r="BY363" s="80" t="str">
        <f aca="false">IF(BN363&gt;BM$7,
    "",
    VLOOKUP(BN363,BP$8:BV862,3,FALSE())
)</f>
        <v/>
      </c>
      <c r="BZ363" s="80" t="str">
        <f aca="false">IF(BN363&gt;BM$7,
    "",
    VLOOKUP(BN363,BP$8:BV862,4,FALSE())
)</f>
        <v/>
      </c>
      <c r="CA363" s="80" t="str">
        <f aca="false">IF(BN363&gt;BM$7,
    "",
    VLOOKUP(BN363,BP$8:BV862,5,FALSE())
)</f>
        <v/>
      </c>
      <c r="CB363" s="81" t="str">
        <f aca="false">IF(BN363&gt;BM$7,
    "",
    VLOOKUP(BN363,BP$8:BV862,6,FALSE())
)</f>
        <v/>
      </c>
      <c r="CC363" s="53"/>
    </row>
    <row r="364" customFormat="false" ht="15.75" hidden="false" customHeight="false" outlineLevel="0" collapsed="false">
      <c r="A364" s="5"/>
      <c r="B364" s="129"/>
      <c r="C364" s="55"/>
      <c r="D364" s="56"/>
      <c r="E364" s="123"/>
      <c r="F364" s="123"/>
      <c r="G364" s="58"/>
      <c r="H364" s="59"/>
      <c r="I364" s="59"/>
      <c r="J364" s="83"/>
      <c r="K364" s="83"/>
      <c r="L364" s="83"/>
      <c r="M364" s="61"/>
      <c r="N364" s="61"/>
      <c r="O364" s="61"/>
      <c r="P364" s="62"/>
      <c r="Q364" s="63"/>
      <c r="R364" s="83"/>
      <c r="S364" s="65"/>
      <c r="T364" s="66"/>
      <c r="U364" s="66" t="str">
        <f aca="false">IF(ISBLANK($C364),"",IF(G364=Constants!$B$2, TRUE(), IF(G364=Constants!$B$3, FALSE(), TRUE())))</f>
        <v/>
      </c>
      <c r="V364" s="66" t="str">
        <f aca="false">IF(ISBLANK($C364),"",IF(H364=Constants!$B$2, TRUE(), IF(H364=Constants!$B$3, FALSE(), TRUE())))</f>
        <v/>
      </c>
      <c r="W364" s="66" t="str">
        <f aca="false">IF(ISBLANK($C364),"",IF(I364=Constants!$B$2, TRUE(), IF(I364=Constants!$B$3, FALSE(), TRUE())))</f>
        <v/>
      </c>
      <c r="X364" s="66" t="str">
        <f aca="false">IF(ISBLANK($C364),"",IF(AND(ISNUMBER(J364),J364&gt;0),INT(J364),0))</f>
        <v/>
      </c>
      <c r="Y364" s="66" t="str">
        <f aca="false">IF(ISBLANK($C364),"",IF(K364=Constants!$B$2, TRUE(), IF(K364=Constants!$B$3, FALSE(), TRUE())))</f>
        <v/>
      </c>
      <c r="Z364" s="66" t="str">
        <f aca="false">IF(ISBLANK($C364),"",IF(AND(ISNUMBER(L364),L364&gt;0),INT(L364),0))</f>
        <v/>
      </c>
      <c r="AA364" s="68" t="str">
        <f aca="false">IF(ISBLANK($C364),"",IF(ISNUMBER(M364), M364, ""))</f>
        <v/>
      </c>
      <c r="AB364" s="68" t="str">
        <f aca="false">IF(ISBLANK($C364),"",IF(ISNUMBER(N364), N364, ""))</f>
        <v/>
      </c>
      <c r="AC364" s="68" t="str">
        <f aca="false">IF(ISBLANK($C364),"",IF(ISNUMBER(O364), O364, ""))</f>
        <v/>
      </c>
      <c r="AD364" s="69" t="str">
        <f aca="false">IF(ISBLANK($C364),"",IF(ISNUMBER(P364), P364, ""))</f>
        <v/>
      </c>
      <c r="AE364" s="69" t="str">
        <f aca="false">IF(ISBLANK($C364),"",IF(ISNUMBER(Q364), Q364, Constants!$B$13))</f>
        <v/>
      </c>
      <c r="AF364" s="66" t="str">
        <f aca="false">IF(ISBLANK($C364),"",IF(R364=Constants!$B$2, TRUE(), IF(R364=Constants!$B$3, FALSE(), FALSE())))</f>
        <v/>
      </c>
      <c r="AG364" s="66" t="str">
        <f aca="false">IF(ISBLANK(C364), "", IF(AF364, Constants!$B$4,IF(COUNTA(G364:P364)=0, Constants!$B$5, Constants!$B$7)))</f>
        <v/>
      </c>
      <c r="AH364" s="66" t="str">
        <f aca="false">IF(ISBLANK($C364), "",IF($AG364=Constants!$B$7,1,$AG364))</f>
        <v/>
      </c>
      <c r="AI364" s="66" t="str">
        <f aca="false">IF($AG364=Constants!$B$7,POWER(Constants!$B$11,X364)*POWER(Constants!$B$12,Z364),"")</f>
        <v/>
      </c>
      <c r="AJ364" s="66" t="str">
        <f aca="false">IF(AND($AG364=Constants!$B$7, U364, V364) ,IF(OR($AA364="",$AC364=""),"",MAX(0, $AC364-$AA364)),"")</f>
        <v/>
      </c>
      <c r="AK364" s="66" t="str">
        <f aca="false">IF(AND($AG364=Constants!$B$7, U364, V364),IF(OR($AA364="",$AC364=""),$AK$6,""),"")</f>
        <v/>
      </c>
      <c r="AL364" s="66" t="str">
        <f aca="false">IF($AG364=Constants!$B$7,IF(AND(U364,V364,W364,Y364),IF($AJ364="",0,IF($AJ$6=0,Constants!$B$9,Constants!$B$9*AJ364/$AJ$6)), 0),"")</f>
        <v/>
      </c>
      <c r="AM364" s="66" t="str">
        <f aca="false">IF(AL364&lt;&gt;"", AL364*AI364,"")</f>
        <v/>
      </c>
      <c r="AN364" s="66" t="str">
        <f aca="false">IF(AND($AG364=Constants!$B$7, U364, V364) ,IF($AB364="", "", IF(OR($AC364="",$AC364=0),"",MAX(0,1-ABS($AC364-$AB364)/$AC364))),"")</f>
        <v/>
      </c>
      <c r="AO364" s="66" t="str">
        <f aca="false">IF(AND($AG364=Constants!$B$7, U364, V364),IF(AND($AA364&lt;&gt;"",$AB364&lt;&gt;"",$AC364=0),$AO$6,""),"")</f>
        <v/>
      </c>
      <c r="AP364" s="66" t="str">
        <f aca="false">IF($AG364=Constants!$B$7 ,IF(AND(U364,V364,W364,Y364,ISNUMBER(AB364)),IF($AN364="",0,IF($AN$6=0,Constants!$B$10,Constants!$B$10*AN364/$AN$6)), 0),"")</f>
        <v/>
      </c>
      <c r="AQ364" s="66" t="str">
        <f aca="false">IF(AP364&lt;&gt;"", AP364*AI364,"")</f>
        <v/>
      </c>
      <c r="AR364" s="66" t="str">
        <f aca="false">IF($AG364=Constants!$B$7,IF($AD364="",0,IF($AR$6=0,Constants!$B$8,Constants!$B$8*AD364/$AR$6)),"")</f>
        <v/>
      </c>
      <c r="AS364" s="66" t="str">
        <f aca="false">IF($AG364&lt;&gt;Constants!$B$7,$AG364,IF(AK364&amp;AO364&lt;&gt;"",Constants!$B$14,AM364+AQ364+AR364))</f>
        <v/>
      </c>
      <c r="AT364" s="66" t="str">
        <f aca="false">IF(ISBLANK($C364),"",IF($AG364=Constants!$B$7,IF(ISNUMBER(AS364),RANK(AS364,$AS$8:$AS$507),Constants!$B$14),$AG364))</f>
        <v/>
      </c>
      <c r="AU364" s="66" t="str">
        <f aca="false">IF(ISBLANK($C364), "",AM364)</f>
        <v/>
      </c>
      <c r="AV364" s="66" t="str">
        <f aca="false">IF(ISBLANK($C364),"",IF($AG364=Constants!$B$7,RANK(AU364,AU$8:AU$507),$AG364))</f>
        <v/>
      </c>
      <c r="AW364" s="66" t="str">
        <f aca="false">IF(ISBLANK($C364), "",AR364)</f>
        <v/>
      </c>
      <c r="AX364" s="66" t="str">
        <f aca="false">IF(ISBLANK($C364),"",IF($AG364=Constants!$B$7,RANK(AW364,AW$8:AW$507),$AG364))</f>
        <v/>
      </c>
      <c r="AY364" s="66" t="str">
        <f aca="false">IF(ISBLANK($C364), "",AE364)</f>
        <v/>
      </c>
      <c r="AZ364" s="66" t="str">
        <f aca="false">IF(ISBLANK($C364),"",
IF($AG364=Constants!$B$7,
  IF(ISNUMBER(AT364),
    COUNTIFS($AT$8:$AT$507,"&lt;"&amp;$AT364)
    + COUNTIFS($AT$8:$AT$507,$AT364,$AV$8:$AV$507,"&lt;"&amp;$AV364)
    + COUNTIFS($AT$8:$AT$507,$AT364,$AV$8:$AV$507,$AV364,$AX$8:$AX$507,"&lt;"&amp;$AX364)
    + COUNTIFS($AT$8:$AT$507,$AT364,$AV$8:$AV$507,$AV364,$AX$8:$AX$507,$AX364,$AY$8:$AY$507,"&lt;"&amp;$AY364)
    + 1,
  Constants!$B$14),
$AG364))</f>
        <v/>
      </c>
      <c r="BA364" s="66" t="str">
        <f aca="false">IF(ISBLANK(C364),"",IF($AG364=Constants!$B$7, IF(ISNUMBER(AT364),AT364-AZ364,Constants!$B$14),$AG364))</f>
        <v/>
      </c>
      <c r="BB364" s="70"/>
      <c r="BC364" s="84" t="str">
        <f aca="false">IF(ISBLANK($C364),"",TRIM(AK364&amp;" "&amp;AO364))</f>
        <v/>
      </c>
      <c r="BD364" s="72" t="str">
        <f aca="false">IF(ISBLANK($C364),"",IF($AG364&lt;&gt;Constants!$B$7,$AG364,AR364))</f>
        <v/>
      </c>
      <c r="BE364" s="72" t="str">
        <f aca="false">IF(ISBLANK($C364),"",IF($AG364&lt;&gt;Constants!$B$7,$AG364,AM364))</f>
        <v/>
      </c>
      <c r="BF364" s="72" t="str">
        <f aca="false">IF(ISBLANK($C364),"",IF($AG364&lt;&gt;Constants!$B$7,$AG364,AQ364))</f>
        <v/>
      </c>
      <c r="BG364" s="73" t="str">
        <f aca="false">IF(ISBLANK($C364),"",IF($AG364&lt;&gt;Constants!$B$7, $AG364 ,AS364))</f>
        <v/>
      </c>
      <c r="BH364" s="74" t="str">
        <f aca="false">IF(ISBLANK($C364),"",IF($AG364&lt;&gt;Constants!$B$7, $AG364 ,AH364))</f>
        <v/>
      </c>
      <c r="BI364" s="72" t="str">
        <f aca="false">IF(ISBLANK(C364),"",BA364)</f>
        <v/>
      </c>
      <c r="BJ364" s="72" t="str">
        <f aca="false">IF(ISBLANK(C364),"",AZ364)</f>
        <v/>
      </c>
      <c r="BK364" s="75" t="str">
        <f aca="false">IF(ISBLANK(C364),"",IFERROR(_xlfn.SWITCH(BJ364, Constants!$B$4, COUNTA($C$8:$C863)+2, Constants!$B$5, COUNTA($C$8:$C863)+1, Constants!$B$6, COUNTA($C$8:$C863)),BJ364))</f>
        <v/>
      </c>
      <c r="BL364" s="5"/>
      <c r="BM364" s="76" t="n">
        <f aca="false">IF(OR(ISNUMBER(BJ364),BJ364="DQ",BJ364="P",BJ364="NS"),
    1,
    0
)</f>
        <v>0</v>
      </c>
      <c r="BN364" s="76" t="n">
        <v>357</v>
      </c>
      <c r="BO364" s="76" t="str">
        <f aca="false">IF(ISBLANK($C364),"",IF(ISNUMBER(BK364),BK364+ROW($B364)/1000,""))</f>
        <v/>
      </c>
      <c r="BP364" s="76" t="str">
        <f aca="false">IF(ISNUMBER(BO364), RANK(BO364,BO$8:BO$507,1), "")</f>
        <v/>
      </c>
      <c r="BQ364" s="76" t="str">
        <f aca="false">IF(ISBLANK($C364),
    "",
    $B364
)</f>
        <v/>
      </c>
      <c r="BR364" s="76" t="str">
        <f aca="false">IF(ISBLANK($C364),
    "",
    $C364
)</f>
        <v/>
      </c>
      <c r="BS364" s="76" t="str">
        <f aca="false">IF(ISBLANK($C364),
    "",
    $D364
)</f>
        <v/>
      </c>
      <c r="BT364" s="77" t="str">
        <f aca="false">BH364</f>
        <v/>
      </c>
      <c r="BU364" s="78" t="str">
        <f aca="false">BG364</f>
        <v/>
      </c>
      <c r="BV364" s="76" t="str">
        <f aca="false">IF(ISBLANK($C364),
    "",
    BJ364
)</f>
        <v/>
      </c>
      <c r="BW364" s="79" t="str">
        <f aca="false">IF(BN364&gt;BM$7,
    "",
    VLOOKUP(BN364,BP$8:BV863,7,FALSE())
)</f>
        <v/>
      </c>
      <c r="BX364" s="80" t="str">
        <f aca="false">IF(BN364&gt;BM$7,
    "",
    VLOOKUP(BN364,BP$8:BV863,2,FALSE())
)</f>
        <v/>
      </c>
      <c r="BY364" s="80" t="str">
        <f aca="false">IF(BN364&gt;BM$7,
    "",
    VLOOKUP(BN364,BP$8:BV863,3,FALSE())
)</f>
        <v/>
      </c>
      <c r="BZ364" s="80" t="str">
        <f aca="false">IF(BN364&gt;BM$7,
    "",
    VLOOKUP(BN364,BP$8:BV863,4,FALSE())
)</f>
        <v/>
      </c>
      <c r="CA364" s="80" t="str">
        <f aca="false">IF(BN364&gt;BM$7,
    "",
    VLOOKUP(BN364,BP$8:BV863,5,FALSE())
)</f>
        <v/>
      </c>
      <c r="CB364" s="81" t="str">
        <f aca="false">IF(BN364&gt;BM$7,
    "",
    VLOOKUP(BN364,BP$8:BV863,6,FALSE())
)</f>
        <v/>
      </c>
      <c r="CC364" s="53"/>
    </row>
    <row r="365" customFormat="false" ht="15.75" hidden="false" customHeight="false" outlineLevel="0" collapsed="false">
      <c r="A365" s="5"/>
      <c r="B365" s="125"/>
      <c r="C365" s="126"/>
      <c r="D365" s="115"/>
      <c r="E365" s="119"/>
      <c r="F365" s="119"/>
      <c r="G365" s="91"/>
      <c r="H365" s="92"/>
      <c r="I365" s="92"/>
      <c r="J365" s="128"/>
      <c r="K365" s="128"/>
      <c r="L365" s="128"/>
      <c r="M365" s="94"/>
      <c r="N365" s="94"/>
      <c r="O365" s="94"/>
      <c r="P365" s="95"/>
      <c r="Q365" s="96"/>
      <c r="R365" s="128"/>
      <c r="S365" s="98"/>
      <c r="T365" s="99"/>
      <c r="U365" s="99" t="str">
        <f aca="false">IF(ISBLANK($C365),"",IF(G365=Constants!$B$2, TRUE(), IF(G365=Constants!$B$3, FALSE(), TRUE())))</f>
        <v/>
      </c>
      <c r="V365" s="99" t="str">
        <f aca="false">IF(ISBLANK($C365),"",IF(H365=Constants!$B$2, TRUE(), IF(H365=Constants!$B$3, FALSE(), TRUE())))</f>
        <v/>
      </c>
      <c r="W365" s="99" t="str">
        <f aca="false">IF(ISBLANK($C365),"",IF(I365=Constants!$B$2, TRUE(), IF(I365=Constants!$B$3, FALSE(), TRUE())))</f>
        <v/>
      </c>
      <c r="X365" s="99" t="str">
        <f aca="false">IF(ISBLANK($C365),"",IF(AND(ISNUMBER(J365),J365&gt;0),INT(J365),0))</f>
        <v/>
      </c>
      <c r="Y365" s="99" t="str">
        <f aca="false">IF(ISBLANK($C365),"",IF(K365=Constants!$B$2, TRUE(), IF(K365=Constants!$B$3, FALSE(), TRUE())))</f>
        <v/>
      </c>
      <c r="Z365" s="100" t="str">
        <f aca="false">IF(ISBLANK($C365),"",IF(AND(ISNUMBER(L365),L365&gt;0),INT(L365),0))</f>
        <v/>
      </c>
      <c r="AA365" s="101" t="str">
        <f aca="false">IF(ISBLANK($C365),"",IF(ISNUMBER(M365), M365, ""))</f>
        <v/>
      </c>
      <c r="AB365" s="101" t="str">
        <f aca="false">IF(ISBLANK($C365),"",IF(ISNUMBER(N365), N365, ""))</f>
        <v/>
      </c>
      <c r="AC365" s="101" t="str">
        <f aca="false">IF(ISBLANK($C365),"",IF(ISNUMBER(O365), O365, ""))</f>
        <v/>
      </c>
      <c r="AD365" s="102" t="str">
        <f aca="false">IF(ISBLANK($C365),"",IF(ISNUMBER(P365), P365, ""))</f>
        <v/>
      </c>
      <c r="AE365" s="102" t="str">
        <f aca="false">IF(ISBLANK($C365),"",IF(ISNUMBER(Q365), Q365, Constants!$B$13))</f>
        <v/>
      </c>
      <c r="AF365" s="99" t="str">
        <f aca="false">IF(ISBLANK($C365),"",IF(R365=Constants!$B$2, TRUE(), IF(R365=Constants!$B$3, FALSE(), FALSE())))</f>
        <v/>
      </c>
      <c r="AG365" s="99" t="str">
        <f aca="false">IF(ISBLANK(C365), "", IF(AF365, Constants!$B$4,IF(COUNTA(G365:P365)=0, Constants!$B$5, Constants!$B$7)))</f>
        <v/>
      </c>
      <c r="AH365" s="99" t="str">
        <f aca="false">IF(ISBLANK($C365), "",IF($AG365=Constants!$B$7,1,$AG365))</f>
        <v/>
      </c>
      <c r="AI365" s="99" t="str">
        <f aca="false">IF($AG365=Constants!$B$7,POWER(Constants!$B$11,X365)*POWER(Constants!$B$12,Z365),"")</f>
        <v/>
      </c>
      <c r="AJ365" s="99" t="str">
        <f aca="false">IF(AND($AG365=Constants!$B$7, U365, V365) ,IF(OR($AA365="",$AC365=""),"",MAX(0, $AC365-$AA365)),"")</f>
        <v/>
      </c>
      <c r="AK365" s="99" t="str">
        <f aca="false">IF(AND($AG365=Constants!$B$7, U365, V365),IF(OR($AA365="",$AC365=""),$AK$6,""),"")</f>
        <v/>
      </c>
      <c r="AL365" s="99" t="str">
        <f aca="false">IF($AG365=Constants!$B$7,IF(AND(U365,V365,W365,Y365),IF($AJ365="",0,IF($AJ$6=0,Constants!$B$9,Constants!$B$9*AJ365/$AJ$6)), 0),"")</f>
        <v/>
      </c>
      <c r="AM365" s="99" t="str">
        <f aca="false">IF(AL365&lt;&gt;"", AL365*AI365,"")</f>
        <v/>
      </c>
      <c r="AN365" s="99" t="str">
        <f aca="false">IF(AND($AG365=Constants!$B$7, U365, V365) ,IF($AB365="", "", IF(OR($AC365="",$AC365=0),"",MAX(0,1-ABS($AC365-$AB365)/$AC365))),"")</f>
        <v/>
      </c>
      <c r="AO365" s="99" t="str">
        <f aca="false">IF(AND($AG365=Constants!$B$7, U365, V365),IF(AND($AA365&lt;&gt;"",$AB365&lt;&gt;"",$AC365=0),$AO$6,""),"")</f>
        <v/>
      </c>
      <c r="AP365" s="99" t="str">
        <f aca="false">IF($AG365=Constants!$B$7 ,IF(AND(U365,V365,W365,Y365,ISNUMBER(AB365)),IF($AN365="",0,IF($AN$6=0,Constants!$B$10,Constants!$B$10*AN365/$AN$6)), 0),"")</f>
        <v/>
      </c>
      <c r="AQ365" s="99" t="str">
        <f aca="false">IF(AP365&lt;&gt;"", AP365*AI365,"")</f>
        <v/>
      </c>
      <c r="AR365" s="99" t="str">
        <f aca="false">IF($AG365=Constants!$B$7,IF($AD365="",0,IF($AR$6=0,Constants!$B$8,Constants!$B$8*AD365/$AR$6)),"")</f>
        <v/>
      </c>
      <c r="AS365" s="99" t="str">
        <f aca="false">IF($AG365&lt;&gt;Constants!$B$7,$AG365,IF(AK365&amp;AO365&lt;&gt;"",Constants!$B$14,AM365+AQ365+AR365))</f>
        <v/>
      </c>
      <c r="AT365" s="99" t="str">
        <f aca="false">IF(ISBLANK($C365),"",IF($AG365=Constants!$B$7,IF(ISNUMBER(AS365),RANK(AS365,$AS$8:$AS$507),Constants!$B$14),$AG365))</f>
        <v/>
      </c>
      <c r="AU365" s="99" t="str">
        <f aca="false">IF(ISBLANK($C365), "",AM365)</f>
        <v/>
      </c>
      <c r="AV365" s="99" t="str">
        <f aca="false">IF(ISBLANK($C365),"",IF($AG365=Constants!$B$7,RANK(AU365,AU$8:AU$507),$AG365))</f>
        <v/>
      </c>
      <c r="AW365" s="99" t="str">
        <f aca="false">IF(ISBLANK($C365), "",AR365)</f>
        <v/>
      </c>
      <c r="AX365" s="99" t="str">
        <f aca="false">IF(ISBLANK($C365),"",IF($AG365=Constants!$B$7,RANK(AW365,AW$8:AW$507),$AG365))</f>
        <v/>
      </c>
      <c r="AY365" s="99" t="str">
        <f aca="false">IF(ISBLANK($C365), "",AE365)</f>
        <v/>
      </c>
      <c r="AZ365" s="99" t="str">
        <f aca="false">IF(ISBLANK($C365),"",
IF($AG365=Constants!$B$7,
  IF(ISNUMBER(AT365),
    COUNTIFS($AT$8:$AT$507,"&lt;"&amp;$AT365)
    + COUNTIFS($AT$8:$AT$507,$AT365,$AV$8:$AV$507,"&lt;"&amp;$AV365)
    + COUNTIFS($AT$8:$AT$507,$AT365,$AV$8:$AV$507,$AV365,$AX$8:$AX$507,"&lt;"&amp;$AX365)
    + COUNTIFS($AT$8:$AT$507,$AT365,$AV$8:$AV$507,$AV365,$AX$8:$AX$507,$AX365,$AY$8:$AY$507,"&lt;"&amp;$AY365)
    + 1,
  Constants!$B$14),
$AG365))</f>
        <v/>
      </c>
      <c r="BA365" s="99" t="str">
        <f aca="false">IF(ISBLANK(C365),"",IF($AG365=Constants!$B$7, IF(ISNUMBER(AT365),AT365-AZ365,Constants!$B$14),$AG365))</f>
        <v/>
      </c>
      <c r="BB365" s="103"/>
      <c r="BC365" s="104" t="str">
        <f aca="false">IF(ISBLANK($C365),"",TRIM(AK365&amp;" "&amp;AO365))</f>
        <v/>
      </c>
      <c r="BD365" s="105" t="str">
        <f aca="false">IF(ISBLANK($C365),"",IF($AG365&lt;&gt;Constants!$B$7,$AG365,AR365))</f>
        <v/>
      </c>
      <c r="BE365" s="105" t="str">
        <f aca="false">IF(ISBLANK($C365),"",IF($AG365&lt;&gt;Constants!$B$7,$AG365,AM365))</f>
        <v/>
      </c>
      <c r="BF365" s="105" t="str">
        <f aca="false">IF(ISBLANK($C365),"",IF($AG365&lt;&gt;Constants!$B$7,$AG365,AQ365))</f>
        <v/>
      </c>
      <c r="BG365" s="106" t="str">
        <f aca="false">IF(ISBLANK($C365),"",IF($AG365&lt;&gt;Constants!$B$7, $AG365 ,AS365))</f>
        <v/>
      </c>
      <c r="BH365" s="107" t="str">
        <f aca="false">IF(ISBLANK($C365),"",IF($AG365&lt;&gt;Constants!$B$7, $AG365 ,AH365))</f>
        <v/>
      </c>
      <c r="BI365" s="105" t="str">
        <f aca="false">IF(ISBLANK(C365),"",BA365)</f>
        <v/>
      </c>
      <c r="BJ365" s="105" t="str">
        <f aca="false">IF(ISBLANK(C365),"",AZ365)</f>
        <v/>
      </c>
      <c r="BK365" s="108" t="str">
        <f aca="false">IF(ISBLANK(C365),"",IFERROR(_xlfn.SWITCH(BJ365, Constants!$B$4, COUNTA($C$8:$C864)+2, Constants!$B$5, COUNTA($C$8:$C864)+1, Constants!$B$6, COUNTA($C$8:$C864)),BJ365))</f>
        <v/>
      </c>
      <c r="BL365" s="5"/>
      <c r="BM365" s="109" t="n">
        <f aca="false">IF(OR(ISNUMBER(BJ365),BJ365="DQ",BJ365="P",BJ365="NS"),
    1,
    0
)</f>
        <v>0</v>
      </c>
      <c r="BN365" s="109" t="n">
        <v>358</v>
      </c>
      <c r="BO365" s="109" t="str">
        <f aca="false">IF(ISBLANK($C365),"",IF(ISNUMBER(BK365),BK365+ROW($B365)/1000,""))</f>
        <v/>
      </c>
      <c r="BP365" s="109" t="str">
        <f aca="false">IF(ISNUMBER(BO365), RANK(BO365,BO$8:BO$507,1), "")</f>
        <v/>
      </c>
      <c r="BQ365" s="109" t="str">
        <f aca="false">IF(ISBLANK($C365),
    "",
    $B365
)</f>
        <v/>
      </c>
      <c r="BR365" s="109" t="str">
        <f aca="false">IF(ISBLANK($C365),
    "",
    $C365
)</f>
        <v/>
      </c>
      <c r="BS365" s="109" t="str">
        <f aca="false">IF(ISBLANK($C365),
    "",
    $D365
)</f>
        <v/>
      </c>
      <c r="BT365" s="110" t="str">
        <f aca="false">BH365</f>
        <v/>
      </c>
      <c r="BU365" s="111" t="str">
        <f aca="false">BG365</f>
        <v/>
      </c>
      <c r="BV365" s="109" t="str">
        <f aca="false">IF(ISBLANK($C365),
    "",
    BJ365
)</f>
        <v/>
      </c>
      <c r="BW365" s="112" t="str">
        <f aca="false">IF(BN365&gt;BM$7,
    "",
    VLOOKUP(BN365,BP$8:BV864,7,FALSE())
)</f>
        <v/>
      </c>
      <c r="BX365" s="113" t="str">
        <f aca="false">IF(BN365&gt;BM$7,
    "",
    VLOOKUP(BN365,BP$8:BV864,2,FALSE())
)</f>
        <v/>
      </c>
      <c r="BY365" s="113" t="str">
        <f aca="false">IF(BN365&gt;BM$7,
    "",
    VLOOKUP(BN365,BP$8:BV864,3,FALSE())
)</f>
        <v/>
      </c>
      <c r="BZ365" s="113" t="str">
        <f aca="false">IF(BN365&gt;BM$7,
    "",
    VLOOKUP(BN365,BP$8:BV864,4,FALSE())
)</f>
        <v/>
      </c>
      <c r="CA365" s="113" t="str">
        <f aca="false">IF(BN365&gt;BM$7,
    "",
    VLOOKUP(BN365,BP$8:BV864,5,FALSE())
)</f>
        <v/>
      </c>
      <c r="CB365" s="114" t="str">
        <f aca="false">IF(BN365&gt;BM$7,
    "",
    VLOOKUP(BN365,BP$8:BV864,6,FALSE())
)</f>
        <v/>
      </c>
      <c r="CC365" s="53"/>
    </row>
    <row r="366" customFormat="false" ht="15.75" hidden="false" customHeight="false" outlineLevel="0" collapsed="false">
      <c r="A366" s="5"/>
      <c r="B366" s="125"/>
      <c r="C366" s="126"/>
      <c r="D366" s="115"/>
      <c r="E366" s="119"/>
      <c r="F366" s="119"/>
      <c r="G366" s="91"/>
      <c r="H366" s="92"/>
      <c r="I366" s="92"/>
      <c r="J366" s="128"/>
      <c r="K366" s="128"/>
      <c r="L366" s="128"/>
      <c r="M366" s="94"/>
      <c r="N366" s="94"/>
      <c r="O366" s="94"/>
      <c r="P366" s="95"/>
      <c r="Q366" s="96"/>
      <c r="R366" s="128"/>
      <c r="S366" s="98"/>
      <c r="T366" s="99"/>
      <c r="U366" s="99" t="str">
        <f aca="false">IF(ISBLANK($C366),"",IF(G366=Constants!$B$2, TRUE(), IF(G366=Constants!$B$3, FALSE(), TRUE())))</f>
        <v/>
      </c>
      <c r="V366" s="99" t="str">
        <f aca="false">IF(ISBLANK($C366),"",IF(H366=Constants!$B$2, TRUE(), IF(H366=Constants!$B$3, FALSE(), TRUE())))</f>
        <v/>
      </c>
      <c r="W366" s="99" t="str">
        <f aca="false">IF(ISBLANK($C366),"",IF(I366=Constants!$B$2, TRUE(), IF(I366=Constants!$B$3, FALSE(), TRUE())))</f>
        <v/>
      </c>
      <c r="X366" s="99" t="str">
        <f aca="false">IF(ISBLANK($C366),"",IF(AND(ISNUMBER(J366),J366&gt;0),INT(J366),0))</f>
        <v/>
      </c>
      <c r="Y366" s="99" t="str">
        <f aca="false">IF(ISBLANK($C366),"",IF(K366=Constants!$B$2, TRUE(), IF(K366=Constants!$B$3, FALSE(), TRUE())))</f>
        <v/>
      </c>
      <c r="Z366" s="100" t="str">
        <f aca="false">IF(ISBLANK($C366),"",IF(AND(ISNUMBER(L366),L366&gt;0),INT(L366),0))</f>
        <v/>
      </c>
      <c r="AA366" s="101" t="str">
        <f aca="false">IF(ISBLANK($C366),"",IF(ISNUMBER(M366), M366, ""))</f>
        <v/>
      </c>
      <c r="AB366" s="101" t="str">
        <f aca="false">IF(ISBLANK($C366),"",IF(ISNUMBER(N366), N366, ""))</f>
        <v/>
      </c>
      <c r="AC366" s="101" t="str">
        <f aca="false">IF(ISBLANK($C366),"",IF(ISNUMBER(O366), O366, ""))</f>
        <v/>
      </c>
      <c r="AD366" s="102" t="str">
        <f aca="false">IF(ISBLANK($C366),"",IF(ISNUMBER(P366), P366, ""))</f>
        <v/>
      </c>
      <c r="AE366" s="102" t="str">
        <f aca="false">IF(ISBLANK($C366),"",IF(ISNUMBER(Q366), Q366, Constants!$B$13))</f>
        <v/>
      </c>
      <c r="AF366" s="99" t="str">
        <f aca="false">IF(ISBLANK($C366),"",IF(R366=Constants!$B$2, TRUE(), IF(R366=Constants!$B$3, FALSE(), FALSE())))</f>
        <v/>
      </c>
      <c r="AG366" s="99" t="str">
        <f aca="false">IF(ISBLANK(C366), "", IF(AF366, Constants!$B$4,IF(COUNTA(G366:P366)=0, Constants!$B$5, Constants!$B$7)))</f>
        <v/>
      </c>
      <c r="AH366" s="99" t="str">
        <f aca="false">IF(ISBLANK($C366), "",IF($AG366=Constants!$B$7,1,$AG366))</f>
        <v/>
      </c>
      <c r="AI366" s="99" t="str">
        <f aca="false">IF($AG366=Constants!$B$7,POWER(Constants!$B$11,X366)*POWER(Constants!$B$12,Z366),"")</f>
        <v/>
      </c>
      <c r="AJ366" s="99" t="str">
        <f aca="false">IF(AND($AG366=Constants!$B$7, U366, V366) ,IF(OR($AA366="",$AC366=""),"",MAX(0, $AC366-$AA366)),"")</f>
        <v/>
      </c>
      <c r="AK366" s="99" t="str">
        <f aca="false">IF(AND($AG366=Constants!$B$7, U366, V366),IF(OR($AA366="",$AC366=""),$AK$6,""),"")</f>
        <v/>
      </c>
      <c r="AL366" s="99" t="str">
        <f aca="false">IF($AG366=Constants!$B$7,IF(AND(U366,V366,W366,Y366),IF($AJ366="",0,IF($AJ$6=0,Constants!$B$9,Constants!$B$9*AJ366/$AJ$6)), 0),"")</f>
        <v/>
      </c>
      <c r="AM366" s="99" t="str">
        <f aca="false">IF(AL366&lt;&gt;"", AL366*AI366,"")</f>
        <v/>
      </c>
      <c r="AN366" s="99" t="str">
        <f aca="false">IF(AND($AG366=Constants!$B$7, U366, V366) ,IF($AB366="", "", IF(OR($AC366="",$AC366=0),"",MAX(0,1-ABS($AC366-$AB366)/$AC366))),"")</f>
        <v/>
      </c>
      <c r="AO366" s="99" t="str">
        <f aca="false">IF(AND($AG366=Constants!$B$7, U366, V366),IF(AND($AA366&lt;&gt;"",$AB366&lt;&gt;"",$AC366=0),$AO$6,""),"")</f>
        <v/>
      </c>
      <c r="AP366" s="99" t="str">
        <f aca="false">IF($AG366=Constants!$B$7 ,IF(AND(U366,V366,W366,Y366,ISNUMBER(AB366)),IF($AN366="",0,IF($AN$6=0,Constants!$B$10,Constants!$B$10*AN366/$AN$6)), 0),"")</f>
        <v/>
      </c>
      <c r="AQ366" s="99" t="str">
        <f aca="false">IF(AP366&lt;&gt;"", AP366*AI366,"")</f>
        <v/>
      </c>
      <c r="AR366" s="99" t="str">
        <f aca="false">IF($AG366=Constants!$B$7,IF($AD366="",0,IF($AR$6=0,Constants!$B$8,Constants!$B$8*AD366/$AR$6)),"")</f>
        <v/>
      </c>
      <c r="AS366" s="99" t="str">
        <f aca="false">IF($AG366&lt;&gt;Constants!$B$7,$AG366,IF(AK366&amp;AO366&lt;&gt;"",Constants!$B$14,AM366+AQ366+AR366))</f>
        <v/>
      </c>
      <c r="AT366" s="99" t="str">
        <f aca="false">IF(ISBLANK($C366),"",IF($AG366=Constants!$B$7,IF(ISNUMBER(AS366),RANK(AS366,$AS$8:$AS$507),Constants!$B$14),$AG366))</f>
        <v/>
      </c>
      <c r="AU366" s="99" t="str">
        <f aca="false">IF(ISBLANK($C366), "",AM366)</f>
        <v/>
      </c>
      <c r="AV366" s="99" t="str">
        <f aca="false">IF(ISBLANK($C366),"",IF($AG366=Constants!$B$7,RANK(AU366,AU$8:AU$507),$AG366))</f>
        <v/>
      </c>
      <c r="AW366" s="99" t="str">
        <f aca="false">IF(ISBLANK($C366), "",AR366)</f>
        <v/>
      </c>
      <c r="AX366" s="99" t="str">
        <f aca="false">IF(ISBLANK($C366),"",IF($AG366=Constants!$B$7,RANK(AW366,AW$8:AW$507),$AG366))</f>
        <v/>
      </c>
      <c r="AY366" s="99" t="str">
        <f aca="false">IF(ISBLANK($C366), "",AE366)</f>
        <v/>
      </c>
      <c r="AZ366" s="99" t="str">
        <f aca="false">IF(ISBLANK($C366),"",
IF($AG366=Constants!$B$7,
  IF(ISNUMBER(AT366),
    COUNTIFS($AT$8:$AT$507,"&lt;"&amp;$AT366)
    + COUNTIFS($AT$8:$AT$507,$AT366,$AV$8:$AV$507,"&lt;"&amp;$AV366)
    + COUNTIFS($AT$8:$AT$507,$AT366,$AV$8:$AV$507,$AV366,$AX$8:$AX$507,"&lt;"&amp;$AX366)
    + COUNTIFS($AT$8:$AT$507,$AT366,$AV$8:$AV$507,$AV366,$AX$8:$AX$507,$AX366,$AY$8:$AY$507,"&lt;"&amp;$AY366)
    + 1,
  Constants!$B$14),
$AG366))</f>
        <v/>
      </c>
      <c r="BA366" s="99" t="str">
        <f aca="false">IF(ISBLANK(C366),"",IF($AG366=Constants!$B$7, IF(ISNUMBER(AT366),AT366-AZ366,Constants!$B$14),$AG366))</f>
        <v/>
      </c>
      <c r="BB366" s="103"/>
      <c r="BC366" s="104" t="str">
        <f aca="false">IF(ISBLANK($C366),"",TRIM(AK366&amp;" "&amp;AO366))</f>
        <v/>
      </c>
      <c r="BD366" s="105" t="str">
        <f aca="false">IF(ISBLANK($C366),"",IF($AG366&lt;&gt;Constants!$B$7,$AG366,AR366))</f>
        <v/>
      </c>
      <c r="BE366" s="105" t="str">
        <f aca="false">IF(ISBLANK($C366),"",IF($AG366&lt;&gt;Constants!$B$7,$AG366,AM366))</f>
        <v/>
      </c>
      <c r="BF366" s="105" t="str">
        <f aca="false">IF(ISBLANK($C366),"",IF($AG366&lt;&gt;Constants!$B$7,$AG366,AQ366))</f>
        <v/>
      </c>
      <c r="BG366" s="106" t="str">
        <f aca="false">IF(ISBLANK($C366),"",IF($AG366&lt;&gt;Constants!$B$7, $AG366 ,AS366))</f>
        <v/>
      </c>
      <c r="BH366" s="107" t="str">
        <f aca="false">IF(ISBLANK($C366),"",IF($AG366&lt;&gt;Constants!$B$7, $AG366 ,AH366))</f>
        <v/>
      </c>
      <c r="BI366" s="105" t="str">
        <f aca="false">IF(ISBLANK(C366),"",BA366)</f>
        <v/>
      </c>
      <c r="BJ366" s="105" t="str">
        <f aca="false">IF(ISBLANK(C366),"",AZ366)</f>
        <v/>
      </c>
      <c r="BK366" s="108" t="str">
        <f aca="false">IF(ISBLANK(C366),"",IFERROR(_xlfn.SWITCH(BJ366, Constants!$B$4, COUNTA($C$8:$C865)+2, Constants!$B$5, COUNTA($C$8:$C865)+1, Constants!$B$6, COUNTA($C$8:$C865)),BJ366))</f>
        <v/>
      </c>
      <c r="BL366" s="5"/>
      <c r="BM366" s="109" t="n">
        <f aca="false">IF(OR(ISNUMBER(BJ366),BJ366="DQ",BJ366="P",BJ366="NS"),
    1,
    0
)</f>
        <v>0</v>
      </c>
      <c r="BN366" s="109" t="n">
        <v>359</v>
      </c>
      <c r="BO366" s="109" t="str">
        <f aca="false">IF(ISBLANK($C366),"",IF(ISNUMBER(BK366),BK366+ROW($B366)/1000,""))</f>
        <v/>
      </c>
      <c r="BP366" s="109" t="str">
        <f aca="false">IF(ISNUMBER(BO366), RANK(BO366,BO$8:BO$507,1), "")</f>
        <v/>
      </c>
      <c r="BQ366" s="109" t="str">
        <f aca="false">IF(ISBLANK($C366),
    "",
    $B366
)</f>
        <v/>
      </c>
      <c r="BR366" s="109" t="str">
        <f aca="false">IF(ISBLANK($C366),
    "",
    $C366
)</f>
        <v/>
      </c>
      <c r="BS366" s="109" t="str">
        <f aca="false">IF(ISBLANK($C366),
    "",
    $D366
)</f>
        <v/>
      </c>
      <c r="BT366" s="110" t="str">
        <f aca="false">BH366</f>
        <v/>
      </c>
      <c r="BU366" s="111" t="str">
        <f aca="false">BG366</f>
        <v/>
      </c>
      <c r="BV366" s="109" t="str">
        <f aca="false">IF(ISBLANK($C366),
    "",
    BJ366
)</f>
        <v/>
      </c>
      <c r="BW366" s="112" t="str">
        <f aca="false">IF(BN366&gt;BM$7,
    "",
    VLOOKUP(BN366,BP$8:BV865,7,FALSE())
)</f>
        <v/>
      </c>
      <c r="BX366" s="113" t="str">
        <f aca="false">IF(BN366&gt;BM$7,
    "",
    VLOOKUP(BN366,BP$8:BV865,2,FALSE())
)</f>
        <v/>
      </c>
      <c r="BY366" s="113" t="str">
        <f aca="false">IF(BN366&gt;BM$7,
    "",
    VLOOKUP(BN366,BP$8:BV865,3,FALSE())
)</f>
        <v/>
      </c>
      <c r="BZ366" s="113" t="str">
        <f aca="false">IF(BN366&gt;BM$7,
    "",
    VLOOKUP(BN366,BP$8:BV865,4,FALSE())
)</f>
        <v/>
      </c>
      <c r="CA366" s="113" t="str">
        <f aca="false">IF(BN366&gt;BM$7,
    "",
    VLOOKUP(BN366,BP$8:BV865,5,FALSE())
)</f>
        <v/>
      </c>
      <c r="CB366" s="114" t="str">
        <f aca="false">IF(BN366&gt;BM$7,
    "",
    VLOOKUP(BN366,BP$8:BV865,6,FALSE())
)</f>
        <v/>
      </c>
      <c r="CC366" s="53"/>
    </row>
    <row r="367" customFormat="false" ht="15.75" hidden="false" customHeight="false" outlineLevel="0" collapsed="false">
      <c r="A367" s="5"/>
      <c r="B367" s="125"/>
      <c r="C367" s="126"/>
      <c r="D367" s="115"/>
      <c r="E367" s="119"/>
      <c r="F367" s="119"/>
      <c r="G367" s="91"/>
      <c r="H367" s="92"/>
      <c r="I367" s="92"/>
      <c r="J367" s="128"/>
      <c r="K367" s="128"/>
      <c r="L367" s="128"/>
      <c r="M367" s="94"/>
      <c r="N367" s="94"/>
      <c r="O367" s="94"/>
      <c r="P367" s="95"/>
      <c r="Q367" s="96"/>
      <c r="R367" s="128"/>
      <c r="S367" s="98"/>
      <c r="T367" s="99"/>
      <c r="U367" s="99" t="str">
        <f aca="false">IF(ISBLANK($C367),"",IF(G367=Constants!$B$2, TRUE(), IF(G367=Constants!$B$3, FALSE(), TRUE())))</f>
        <v/>
      </c>
      <c r="V367" s="99" t="str">
        <f aca="false">IF(ISBLANK($C367),"",IF(H367=Constants!$B$2, TRUE(), IF(H367=Constants!$B$3, FALSE(), TRUE())))</f>
        <v/>
      </c>
      <c r="W367" s="99" t="str">
        <f aca="false">IF(ISBLANK($C367),"",IF(I367=Constants!$B$2, TRUE(), IF(I367=Constants!$B$3, FALSE(), TRUE())))</f>
        <v/>
      </c>
      <c r="X367" s="99" t="str">
        <f aca="false">IF(ISBLANK($C367),"",IF(AND(ISNUMBER(J367),J367&gt;0),INT(J367),0))</f>
        <v/>
      </c>
      <c r="Y367" s="99" t="str">
        <f aca="false">IF(ISBLANK($C367),"",IF(K367=Constants!$B$2, TRUE(), IF(K367=Constants!$B$3, FALSE(), TRUE())))</f>
        <v/>
      </c>
      <c r="Z367" s="100" t="str">
        <f aca="false">IF(ISBLANK($C367),"",IF(AND(ISNUMBER(L367),L367&gt;0),INT(L367),0))</f>
        <v/>
      </c>
      <c r="AA367" s="101" t="str">
        <f aca="false">IF(ISBLANK($C367),"",IF(ISNUMBER(M367), M367, ""))</f>
        <v/>
      </c>
      <c r="AB367" s="101" t="str">
        <f aca="false">IF(ISBLANK($C367),"",IF(ISNUMBER(N367), N367, ""))</f>
        <v/>
      </c>
      <c r="AC367" s="101" t="str">
        <f aca="false">IF(ISBLANK($C367),"",IF(ISNUMBER(O367), O367, ""))</f>
        <v/>
      </c>
      <c r="AD367" s="102" t="str">
        <f aca="false">IF(ISBLANK($C367),"",IF(ISNUMBER(P367), P367, ""))</f>
        <v/>
      </c>
      <c r="AE367" s="102" t="str">
        <f aca="false">IF(ISBLANK($C367),"",IF(ISNUMBER(Q367), Q367, Constants!$B$13))</f>
        <v/>
      </c>
      <c r="AF367" s="99" t="str">
        <f aca="false">IF(ISBLANK($C367),"",IF(R367=Constants!$B$2, TRUE(), IF(R367=Constants!$B$3, FALSE(), FALSE())))</f>
        <v/>
      </c>
      <c r="AG367" s="99" t="str">
        <f aca="false">IF(ISBLANK(C367), "", IF(AF367, Constants!$B$4,IF(COUNTA(G367:P367)=0, Constants!$B$5, Constants!$B$7)))</f>
        <v/>
      </c>
      <c r="AH367" s="99" t="str">
        <f aca="false">IF(ISBLANK($C367), "",IF($AG367=Constants!$B$7,1,$AG367))</f>
        <v/>
      </c>
      <c r="AI367" s="99" t="str">
        <f aca="false">IF($AG367=Constants!$B$7,POWER(Constants!$B$11,X367)*POWER(Constants!$B$12,Z367),"")</f>
        <v/>
      </c>
      <c r="AJ367" s="99" t="str">
        <f aca="false">IF(AND($AG367=Constants!$B$7, U367, V367) ,IF(OR($AA367="",$AC367=""),"",MAX(0, $AC367-$AA367)),"")</f>
        <v/>
      </c>
      <c r="AK367" s="99" t="str">
        <f aca="false">IF(AND($AG367=Constants!$B$7, U367, V367),IF(OR($AA367="",$AC367=""),$AK$6,""),"")</f>
        <v/>
      </c>
      <c r="AL367" s="99" t="str">
        <f aca="false">IF($AG367=Constants!$B$7,IF(AND(U367,V367,W367,Y367),IF($AJ367="",0,IF($AJ$6=0,Constants!$B$9,Constants!$B$9*AJ367/$AJ$6)), 0),"")</f>
        <v/>
      </c>
      <c r="AM367" s="99" t="str">
        <f aca="false">IF(AL367&lt;&gt;"", AL367*AI367,"")</f>
        <v/>
      </c>
      <c r="AN367" s="99" t="str">
        <f aca="false">IF(AND($AG367=Constants!$B$7, U367, V367) ,IF($AB367="", "", IF(OR($AC367="",$AC367=0),"",MAX(0,1-ABS($AC367-$AB367)/$AC367))),"")</f>
        <v/>
      </c>
      <c r="AO367" s="99" t="str">
        <f aca="false">IF(AND($AG367=Constants!$B$7, U367, V367),IF(AND($AA367&lt;&gt;"",$AB367&lt;&gt;"",$AC367=0),$AO$6,""),"")</f>
        <v/>
      </c>
      <c r="AP367" s="99" t="str">
        <f aca="false">IF($AG367=Constants!$B$7 ,IF(AND(U367,V367,W367,Y367,ISNUMBER(AB367)),IF($AN367="",0,IF($AN$6=0,Constants!$B$10,Constants!$B$10*AN367/$AN$6)), 0),"")</f>
        <v/>
      </c>
      <c r="AQ367" s="99" t="str">
        <f aca="false">IF(AP367&lt;&gt;"", AP367*AI367,"")</f>
        <v/>
      </c>
      <c r="AR367" s="99" t="str">
        <f aca="false">IF($AG367=Constants!$B$7,IF($AD367="",0,IF($AR$6=0,Constants!$B$8,Constants!$B$8*AD367/$AR$6)),"")</f>
        <v/>
      </c>
      <c r="AS367" s="99" t="str">
        <f aca="false">IF($AG367&lt;&gt;Constants!$B$7,$AG367,IF(AK367&amp;AO367&lt;&gt;"",Constants!$B$14,AM367+AQ367+AR367))</f>
        <v/>
      </c>
      <c r="AT367" s="99" t="str">
        <f aca="false">IF(ISBLANK($C367),"",IF($AG367=Constants!$B$7,IF(ISNUMBER(AS367),RANK(AS367,$AS$8:$AS$507),Constants!$B$14),$AG367))</f>
        <v/>
      </c>
      <c r="AU367" s="99" t="str">
        <f aca="false">IF(ISBLANK($C367), "",AM367)</f>
        <v/>
      </c>
      <c r="AV367" s="99" t="str">
        <f aca="false">IF(ISBLANK($C367),"",IF($AG367=Constants!$B$7,RANK(AU367,AU$8:AU$507),$AG367))</f>
        <v/>
      </c>
      <c r="AW367" s="99" t="str">
        <f aca="false">IF(ISBLANK($C367), "",AR367)</f>
        <v/>
      </c>
      <c r="AX367" s="99" t="str">
        <f aca="false">IF(ISBLANK($C367),"",IF($AG367=Constants!$B$7,RANK(AW367,AW$8:AW$507),$AG367))</f>
        <v/>
      </c>
      <c r="AY367" s="99" t="str">
        <f aca="false">IF(ISBLANK($C367), "",AE367)</f>
        <v/>
      </c>
      <c r="AZ367" s="99" t="str">
        <f aca="false">IF(ISBLANK($C367),"",
IF($AG367=Constants!$B$7,
  IF(ISNUMBER(AT367),
    COUNTIFS($AT$8:$AT$507,"&lt;"&amp;$AT367)
    + COUNTIFS($AT$8:$AT$507,$AT367,$AV$8:$AV$507,"&lt;"&amp;$AV367)
    + COUNTIFS($AT$8:$AT$507,$AT367,$AV$8:$AV$507,$AV367,$AX$8:$AX$507,"&lt;"&amp;$AX367)
    + COUNTIFS($AT$8:$AT$507,$AT367,$AV$8:$AV$507,$AV367,$AX$8:$AX$507,$AX367,$AY$8:$AY$507,"&lt;"&amp;$AY367)
    + 1,
  Constants!$B$14),
$AG367))</f>
        <v/>
      </c>
      <c r="BA367" s="99" t="str">
        <f aca="false">IF(ISBLANK(C367),"",IF($AG367=Constants!$B$7, IF(ISNUMBER(AT367),AT367-AZ367,Constants!$B$14),$AG367))</f>
        <v/>
      </c>
      <c r="BB367" s="103"/>
      <c r="BC367" s="104" t="str">
        <f aca="false">IF(ISBLANK($C367),"",TRIM(AK367&amp;" "&amp;AO367))</f>
        <v/>
      </c>
      <c r="BD367" s="105" t="str">
        <f aca="false">IF(ISBLANK($C367),"",IF($AG367&lt;&gt;Constants!$B$7,$AG367,AR367))</f>
        <v/>
      </c>
      <c r="BE367" s="105" t="str">
        <f aca="false">IF(ISBLANK($C367),"",IF($AG367&lt;&gt;Constants!$B$7,$AG367,AM367))</f>
        <v/>
      </c>
      <c r="BF367" s="105" t="str">
        <f aca="false">IF(ISBLANK($C367),"",IF($AG367&lt;&gt;Constants!$B$7,$AG367,AQ367))</f>
        <v/>
      </c>
      <c r="BG367" s="106" t="str">
        <f aca="false">IF(ISBLANK($C367),"",IF($AG367&lt;&gt;Constants!$B$7, $AG367 ,AS367))</f>
        <v/>
      </c>
      <c r="BH367" s="107" t="str">
        <f aca="false">IF(ISBLANK($C367),"",IF($AG367&lt;&gt;Constants!$B$7, $AG367 ,AH367))</f>
        <v/>
      </c>
      <c r="BI367" s="105" t="str">
        <f aca="false">IF(ISBLANK(C367),"",BA367)</f>
        <v/>
      </c>
      <c r="BJ367" s="105" t="str">
        <f aca="false">IF(ISBLANK(C367),"",AZ367)</f>
        <v/>
      </c>
      <c r="BK367" s="108" t="str">
        <f aca="false">IF(ISBLANK(C367),"",IFERROR(_xlfn.SWITCH(BJ367, Constants!$B$4, COUNTA($C$8:$C866)+2, Constants!$B$5, COUNTA($C$8:$C866)+1, Constants!$B$6, COUNTA($C$8:$C866)),BJ367))</f>
        <v/>
      </c>
      <c r="BL367" s="5"/>
      <c r="BM367" s="109" t="n">
        <f aca="false">IF(OR(ISNUMBER(BJ367),BJ367="DQ",BJ367="P",BJ367="NS"),
    1,
    0
)</f>
        <v>0</v>
      </c>
      <c r="BN367" s="109" t="n">
        <v>360</v>
      </c>
      <c r="BO367" s="109" t="str">
        <f aca="false">IF(ISBLANK($C367),"",IF(ISNUMBER(BK367),BK367+ROW($B367)/1000,""))</f>
        <v/>
      </c>
      <c r="BP367" s="109" t="str">
        <f aca="false">IF(ISNUMBER(BO367), RANK(BO367,BO$8:BO$507,1), "")</f>
        <v/>
      </c>
      <c r="BQ367" s="109" t="str">
        <f aca="false">IF(ISBLANK($C367),
    "",
    $B367
)</f>
        <v/>
      </c>
      <c r="BR367" s="109" t="str">
        <f aca="false">IF(ISBLANK($C367),
    "",
    $C367
)</f>
        <v/>
      </c>
      <c r="BS367" s="109" t="str">
        <f aca="false">IF(ISBLANK($C367),
    "",
    $D367
)</f>
        <v/>
      </c>
      <c r="BT367" s="110" t="str">
        <f aca="false">BH367</f>
        <v/>
      </c>
      <c r="BU367" s="111" t="str">
        <f aca="false">BG367</f>
        <v/>
      </c>
      <c r="BV367" s="109" t="str">
        <f aca="false">IF(ISBLANK($C367),
    "",
    BJ367
)</f>
        <v/>
      </c>
      <c r="BW367" s="112" t="str">
        <f aca="false">IF(BN367&gt;BM$7,
    "",
    VLOOKUP(BN367,BP$8:BV866,7,FALSE())
)</f>
        <v/>
      </c>
      <c r="BX367" s="113" t="str">
        <f aca="false">IF(BN367&gt;BM$7,
    "",
    VLOOKUP(BN367,BP$8:BV866,2,FALSE())
)</f>
        <v/>
      </c>
      <c r="BY367" s="113" t="str">
        <f aca="false">IF(BN367&gt;BM$7,
    "",
    VLOOKUP(BN367,BP$8:BV866,3,FALSE())
)</f>
        <v/>
      </c>
      <c r="BZ367" s="113" t="str">
        <f aca="false">IF(BN367&gt;BM$7,
    "",
    VLOOKUP(BN367,BP$8:BV866,4,FALSE())
)</f>
        <v/>
      </c>
      <c r="CA367" s="113" t="str">
        <f aca="false">IF(BN367&gt;BM$7,
    "",
    VLOOKUP(BN367,BP$8:BV866,5,FALSE())
)</f>
        <v/>
      </c>
      <c r="CB367" s="114" t="str">
        <f aca="false">IF(BN367&gt;BM$7,
    "",
    VLOOKUP(BN367,BP$8:BV866,6,FALSE())
)</f>
        <v/>
      </c>
      <c r="CC367" s="53"/>
    </row>
    <row r="368" customFormat="false" ht="15.75" hidden="false" customHeight="false" outlineLevel="0" collapsed="false">
      <c r="A368" s="5"/>
      <c r="B368" s="129"/>
      <c r="C368" s="55"/>
      <c r="D368" s="56"/>
      <c r="E368" s="123"/>
      <c r="F368" s="123"/>
      <c r="G368" s="58"/>
      <c r="H368" s="59"/>
      <c r="I368" s="59"/>
      <c r="J368" s="83"/>
      <c r="K368" s="83"/>
      <c r="L368" s="83"/>
      <c r="M368" s="61"/>
      <c r="N368" s="61"/>
      <c r="O368" s="61"/>
      <c r="P368" s="62"/>
      <c r="Q368" s="63"/>
      <c r="R368" s="83"/>
      <c r="S368" s="65"/>
      <c r="T368" s="66"/>
      <c r="U368" s="66" t="str">
        <f aca="false">IF(ISBLANK($C368),"",IF(G368=Constants!$B$2, TRUE(), IF(G368=Constants!$B$3, FALSE(), TRUE())))</f>
        <v/>
      </c>
      <c r="V368" s="66" t="str">
        <f aca="false">IF(ISBLANK($C368),"",IF(H368=Constants!$B$2, TRUE(), IF(H368=Constants!$B$3, FALSE(), TRUE())))</f>
        <v/>
      </c>
      <c r="W368" s="66" t="str">
        <f aca="false">IF(ISBLANK($C368),"",IF(I368=Constants!$B$2, TRUE(), IF(I368=Constants!$B$3, FALSE(), TRUE())))</f>
        <v/>
      </c>
      <c r="X368" s="66" t="str">
        <f aca="false">IF(ISBLANK($C368),"",IF(AND(ISNUMBER(J368),J368&gt;0),INT(J368),0))</f>
        <v/>
      </c>
      <c r="Y368" s="66" t="str">
        <f aca="false">IF(ISBLANK($C368),"",IF(K368=Constants!$B$2, TRUE(), IF(K368=Constants!$B$3, FALSE(), TRUE())))</f>
        <v/>
      </c>
      <c r="Z368" s="66" t="str">
        <f aca="false">IF(ISBLANK($C368),"",IF(AND(ISNUMBER(L368),L368&gt;0),INT(L368),0))</f>
        <v/>
      </c>
      <c r="AA368" s="68" t="str">
        <f aca="false">IF(ISBLANK($C368),"",IF(ISNUMBER(M368), M368, ""))</f>
        <v/>
      </c>
      <c r="AB368" s="68" t="str">
        <f aca="false">IF(ISBLANK($C368),"",IF(ISNUMBER(N368), N368, ""))</f>
        <v/>
      </c>
      <c r="AC368" s="68" t="str">
        <f aca="false">IF(ISBLANK($C368),"",IF(ISNUMBER(O368), O368, ""))</f>
        <v/>
      </c>
      <c r="AD368" s="69" t="str">
        <f aca="false">IF(ISBLANK($C368),"",IF(ISNUMBER(P368), P368, ""))</f>
        <v/>
      </c>
      <c r="AE368" s="69" t="str">
        <f aca="false">IF(ISBLANK($C368),"",IF(ISNUMBER(Q368), Q368, Constants!$B$13))</f>
        <v/>
      </c>
      <c r="AF368" s="66" t="str">
        <f aca="false">IF(ISBLANK($C368),"",IF(R368=Constants!$B$2, TRUE(), IF(R368=Constants!$B$3, FALSE(), FALSE())))</f>
        <v/>
      </c>
      <c r="AG368" s="66" t="str">
        <f aca="false">IF(ISBLANK(C368), "", IF(AF368, Constants!$B$4,IF(COUNTA(G368:P368)=0, Constants!$B$5, Constants!$B$7)))</f>
        <v/>
      </c>
      <c r="AH368" s="66" t="str">
        <f aca="false">IF(ISBLANK($C368), "",IF($AG368=Constants!$B$7,1,$AG368))</f>
        <v/>
      </c>
      <c r="AI368" s="66" t="str">
        <f aca="false">IF($AG368=Constants!$B$7,POWER(Constants!$B$11,X368)*POWER(Constants!$B$12,Z368),"")</f>
        <v/>
      </c>
      <c r="AJ368" s="66" t="str">
        <f aca="false">IF(AND($AG368=Constants!$B$7, U368, V368) ,IF(OR($AA368="",$AC368=""),"",MAX(0, $AC368-$AA368)),"")</f>
        <v/>
      </c>
      <c r="AK368" s="66" t="str">
        <f aca="false">IF(AND($AG368=Constants!$B$7, U368, V368),IF(OR($AA368="",$AC368=""),$AK$6,""),"")</f>
        <v/>
      </c>
      <c r="AL368" s="66" t="str">
        <f aca="false">IF($AG368=Constants!$B$7,IF(AND(U368,V368,W368,Y368),IF($AJ368="",0,IF($AJ$6=0,Constants!$B$9,Constants!$B$9*AJ368/$AJ$6)), 0),"")</f>
        <v/>
      </c>
      <c r="AM368" s="66" t="str">
        <f aca="false">IF(AL368&lt;&gt;"", AL368*AI368,"")</f>
        <v/>
      </c>
      <c r="AN368" s="66" t="str">
        <f aca="false">IF(AND($AG368=Constants!$B$7, U368, V368) ,IF($AB368="", "", IF(OR($AC368="",$AC368=0),"",MAX(0,1-ABS($AC368-$AB368)/$AC368))),"")</f>
        <v/>
      </c>
      <c r="AO368" s="66" t="str">
        <f aca="false">IF(AND($AG368=Constants!$B$7, U368, V368),IF(AND($AA368&lt;&gt;"",$AB368&lt;&gt;"",$AC368=0),$AO$6,""),"")</f>
        <v/>
      </c>
      <c r="AP368" s="66" t="str">
        <f aca="false">IF($AG368=Constants!$B$7 ,IF(AND(U368,V368,W368,Y368,ISNUMBER(AB368)),IF($AN368="",0,IF($AN$6=0,Constants!$B$10,Constants!$B$10*AN368/$AN$6)), 0),"")</f>
        <v/>
      </c>
      <c r="AQ368" s="66" t="str">
        <f aca="false">IF(AP368&lt;&gt;"", AP368*AI368,"")</f>
        <v/>
      </c>
      <c r="AR368" s="66" t="str">
        <f aca="false">IF($AG368=Constants!$B$7,IF($AD368="",0,IF($AR$6=0,Constants!$B$8,Constants!$B$8*AD368/$AR$6)),"")</f>
        <v/>
      </c>
      <c r="AS368" s="66" t="str">
        <f aca="false">IF($AG368&lt;&gt;Constants!$B$7,$AG368,IF(AK368&amp;AO368&lt;&gt;"",Constants!$B$14,AM368+AQ368+AR368))</f>
        <v/>
      </c>
      <c r="AT368" s="66" t="str">
        <f aca="false">IF(ISBLANK($C368),"",IF($AG368=Constants!$B$7,IF(ISNUMBER(AS368),RANK(AS368,$AS$8:$AS$507),Constants!$B$14),$AG368))</f>
        <v/>
      </c>
      <c r="AU368" s="66" t="str">
        <f aca="false">IF(ISBLANK($C368), "",AM368)</f>
        <v/>
      </c>
      <c r="AV368" s="66" t="str">
        <f aca="false">IF(ISBLANK($C368),"",IF($AG368=Constants!$B$7,RANK(AU368,AU$8:AU$507),$AG368))</f>
        <v/>
      </c>
      <c r="AW368" s="66" t="str">
        <f aca="false">IF(ISBLANK($C368), "",AR368)</f>
        <v/>
      </c>
      <c r="AX368" s="66" t="str">
        <f aca="false">IF(ISBLANK($C368),"",IF($AG368=Constants!$B$7,RANK(AW368,AW$8:AW$507),$AG368))</f>
        <v/>
      </c>
      <c r="AY368" s="66" t="str">
        <f aca="false">IF(ISBLANK($C368), "",AE368)</f>
        <v/>
      </c>
      <c r="AZ368" s="66" t="str">
        <f aca="false">IF(ISBLANK($C368),"",
IF($AG368=Constants!$B$7,
  IF(ISNUMBER(AT368),
    COUNTIFS($AT$8:$AT$507,"&lt;"&amp;$AT368)
    + COUNTIFS($AT$8:$AT$507,$AT368,$AV$8:$AV$507,"&lt;"&amp;$AV368)
    + COUNTIFS($AT$8:$AT$507,$AT368,$AV$8:$AV$507,$AV368,$AX$8:$AX$507,"&lt;"&amp;$AX368)
    + COUNTIFS($AT$8:$AT$507,$AT368,$AV$8:$AV$507,$AV368,$AX$8:$AX$507,$AX368,$AY$8:$AY$507,"&lt;"&amp;$AY368)
    + 1,
  Constants!$B$14),
$AG368))</f>
        <v/>
      </c>
      <c r="BA368" s="66" t="str">
        <f aca="false">IF(ISBLANK(C368),"",IF($AG368=Constants!$B$7, IF(ISNUMBER(AT368),AT368-AZ368,Constants!$B$14),$AG368))</f>
        <v/>
      </c>
      <c r="BB368" s="70"/>
      <c r="BC368" s="84" t="str">
        <f aca="false">IF(ISBLANK($C368),"",TRIM(AK368&amp;" "&amp;AO368))</f>
        <v/>
      </c>
      <c r="BD368" s="72" t="str">
        <f aca="false">IF(ISBLANK($C368),"",IF($AG368&lt;&gt;Constants!$B$7,$AG368,AR368))</f>
        <v/>
      </c>
      <c r="BE368" s="72" t="str">
        <f aca="false">IF(ISBLANK($C368),"",IF($AG368&lt;&gt;Constants!$B$7,$AG368,AM368))</f>
        <v/>
      </c>
      <c r="BF368" s="72" t="str">
        <f aca="false">IF(ISBLANK($C368),"",IF($AG368&lt;&gt;Constants!$B$7,$AG368,AQ368))</f>
        <v/>
      </c>
      <c r="BG368" s="73" t="str">
        <f aca="false">IF(ISBLANK($C368),"",IF($AG368&lt;&gt;Constants!$B$7, $AG368 ,AS368))</f>
        <v/>
      </c>
      <c r="BH368" s="74" t="str">
        <f aca="false">IF(ISBLANK($C368),"",IF($AG368&lt;&gt;Constants!$B$7, $AG368 ,AH368))</f>
        <v/>
      </c>
      <c r="BI368" s="72" t="str">
        <f aca="false">IF(ISBLANK(C368),"",BA368)</f>
        <v/>
      </c>
      <c r="BJ368" s="72" t="str">
        <f aca="false">IF(ISBLANK(C368),"",AZ368)</f>
        <v/>
      </c>
      <c r="BK368" s="75" t="str">
        <f aca="false">IF(ISBLANK(C368),"",IFERROR(_xlfn.SWITCH(BJ368, Constants!$B$4, COUNTA($C$8:$C867)+2, Constants!$B$5, COUNTA($C$8:$C867)+1, Constants!$B$6, COUNTA($C$8:$C867)),BJ368))</f>
        <v/>
      </c>
      <c r="BL368" s="5"/>
      <c r="BM368" s="76" t="n">
        <f aca="false">IF(OR(ISNUMBER(BJ368),BJ368="DQ",BJ368="P",BJ368="NS"),
    1,
    0
)</f>
        <v>0</v>
      </c>
      <c r="BN368" s="76" t="n">
        <v>361</v>
      </c>
      <c r="BO368" s="76" t="str">
        <f aca="false">IF(ISBLANK($C368),"",IF(ISNUMBER(BK368),BK368+ROW($B368)/1000,""))</f>
        <v/>
      </c>
      <c r="BP368" s="76" t="str">
        <f aca="false">IF(ISNUMBER(BO368), RANK(BO368,BO$8:BO$507,1), "")</f>
        <v/>
      </c>
      <c r="BQ368" s="76" t="str">
        <f aca="false">IF(ISBLANK($C368),
    "",
    $B368
)</f>
        <v/>
      </c>
      <c r="BR368" s="76" t="str">
        <f aca="false">IF(ISBLANK($C368),
    "",
    $C368
)</f>
        <v/>
      </c>
      <c r="BS368" s="76" t="str">
        <f aca="false">IF(ISBLANK($C368),
    "",
    $D368
)</f>
        <v/>
      </c>
      <c r="BT368" s="77" t="str">
        <f aca="false">BH368</f>
        <v/>
      </c>
      <c r="BU368" s="78" t="str">
        <f aca="false">BG368</f>
        <v/>
      </c>
      <c r="BV368" s="76" t="str">
        <f aca="false">IF(ISBLANK($C368),
    "",
    BJ368
)</f>
        <v/>
      </c>
      <c r="BW368" s="79" t="str">
        <f aca="false">IF(BN368&gt;BM$7,
    "",
    VLOOKUP(BN368,BP$8:BV867,7,FALSE())
)</f>
        <v/>
      </c>
      <c r="BX368" s="80" t="str">
        <f aca="false">IF(BN368&gt;BM$7,
    "",
    VLOOKUP(BN368,BP$8:BV867,2,FALSE())
)</f>
        <v/>
      </c>
      <c r="BY368" s="80" t="str">
        <f aca="false">IF(BN368&gt;BM$7,
    "",
    VLOOKUP(BN368,BP$8:BV867,3,FALSE())
)</f>
        <v/>
      </c>
      <c r="BZ368" s="80" t="str">
        <f aca="false">IF(BN368&gt;BM$7,
    "",
    VLOOKUP(BN368,BP$8:BV867,4,FALSE())
)</f>
        <v/>
      </c>
      <c r="CA368" s="80" t="str">
        <f aca="false">IF(BN368&gt;BM$7,
    "",
    VLOOKUP(BN368,BP$8:BV867,5,FALSE())
)</f>
        <v/>
      </c>
      <c r="CB368" s="81" t="str">
        <f aca="false">IF(BN368&gt;BM$7,
    "",
    VLOOKUP(BN368,BP$8:BV867,6,FALSE())
)</f>
        <v/>
      </c>
      <c r="CC368" s="53"/>
    </row>
    <row r="369" customFormat="false" ht="15.75" hidden="false" customHeight="false" outlineLevel="0" collapsed="false">
      <c r="A369" s="5"/>
      <c r="B369" s="129"/>
      <c r="C369" s="55"/>
      <c r="D369" s="56"/>
      <c r="E369" s="123"/>
      <c r="F369" s="123"/>
      <c r="G369" s="58"/>
      <c r="H369" s="59"/>
      <c r="I369" s="59"/>
      <c r="J369" s="83"/>
      <c r="K369" s="83"/>
      <c r="L369" s="83"/>
      <c r="M369" s="61"/>
      <c r="N369" s="61"/>
      <c r="O369" s="61"/>
      <c r="P369" s="62"/>
      <c r="Q369" s="63"/>
      <c r="R369" s="83"/>
      <c r="S369" s="65"/>
      <c r="T369" s="66"/>
      <c r="U369" s="66" t="str">
        <f aca="false">IF(ISBLANK($C369),"",IF(G369=Constants!$B$2, TRUE(), IF(G369=Constants!$B$3, FALSE(), TRUE())))</f>
        <v/>
      </c>
      <c r="V369" s="66" t="str">
        <f aca="false">IF(ISBLANK($C369),"",IF(H369=Constants!$B$2, TRUE(), IF(H369=Constants!$B$3, FALSE(), TRUE())))</f>
        <v/>
      </c>
      <c r="W369" s="66" t="str">
        <f aca="false">IF(ISBLANK($C369),"",IF(I369=Constants!$B$2, TRUE(), IF(I369=Constants!$B$3, FALSE(), TRUE())))</f>
        <v/>
      </c>
      <c r="X369" s="66" t="str">
        <f aca="false">IF(ISBLANK($C369),"",IF(AND(ISNUMBER(J369),J369&gt;0),INT(J369),0))</f>
        <v/>
      </c>
      <c r="Y369" s="66" t="str">
        <f aca="false">IF(ISBLANK($C369),"",IF(K369=Constants!$B$2, TRUE(), IF(K369=Constants!$B$3, FALSE(), TRUE())))</f>
        <v/>
      </c>
      <c r="Z369" s="66" t="str">
        <f aca="false">IF(ISBLANK($C369),"",IF(AND(ISNUMBER(L369),L369&gt;0),INT(L369),0))</f>
        <v/>
      </c>
      <c r="AA369" s="68" t="str">
        <f aca="false">IF(ISBLANK($C369),"",IF(ISNUMBER(M369), M369, ""))</f>
        <v/>
      </c>
      <c r="AB369" s="68" t="str">
        <f aca="false">IF(ISBLANK($C369),"",IF(ISNUMBER(N369), N369, ""))</f>
        <v/>
      </c>
      <c r="AC369" s="68" t="str">
        <f aca="false">IF(ISBLANK($C369),"",IF(ISNUMBER(O369), O369, ""))</f>
        <v/>
      </c>
      <c r="AD369" s="69" t="str">
        <f aca="false">IF(ISBLANK($C369),"",IF(ISNUMBER(P369), P369, ""))</f>
        <v/>
      </c>
      <c r="AE369" s="69" t="str">
        <f aca="false">IF(ISBLANK($C369),"",IF(ISNUMBER(Q369), Q369, Constants!$B$13))</f>
        <v/>
      </c>
      <c r="AF369" s="66" t="str">
        <f aca="false">IF(ISBLANK($C369),"",IF(R369=Constants!$B$2, TRUE(), IF(R369=Constants!$B$3, FALSE(), FALSE())))</f>
        <v/>
      </c>
      <c r="AG369" s="66" t="str">
        <f aca="false">IF(ISBLANK(C369), "", IF(AF369, Constants!$B$4,IF(COUNTA(G369:P369)=0, Constants!$B$5, Constants!$B$7)))</f>
        <v/>
      </c>
      <c r="AH369" s="66" t="str">
        <f aca="false">IF(ISBLANK($C369), "",IF($AG369=Constants!$B$7,1,$AG369))</f>
        <v/>
      </c>
      <c r="AI369" s="66" t="str">
        <f aca="false">IF($AG369=Constants!$B$7,POWER(Constants!$B$11,X369)*POWER(Constants!$B$12,Z369),"")</f>
        <v/>
      </c>
      <c r="AJ369" s="66" t="str">
        <f aca="false">IF(AND($AG369=Constants!$B$7, U369, V369) ,IF(OR($AA369="",$AC369=""),"",MAX(0, $AC369-$AA369)),"")</f>
        <v/>
      </c>
      <c r="AK369" s="66" t="str">
        <f aca="false">IF(AND($AG369=Constants!$B$7, U369, V369),IF(OR($AA369="",$AC369=""),$AK$6,""),"")</f>
        <v/>
      </c>
      <c r="AL369" s="66" t="str">
        <f aca="false">IF($AG369=Constants!$B$7,IF(AND(U369,V369,W369,Y369),IF($AJ369="",0,IF($AJ$6=0,Constants!$B$9,Constants!$B$9*AJ369/$AJ$6)), 0),"")</f>
        <v/>
      </c>
      <c r="AM369" s="66" t="str">
        <f aca="false">IF(AL369&lt;&gt;"", AL369*AI369,"")</f>
        <v/>
      </c>
      <c r="AN369" s="66" t="str">
        <f aca="false">IF(AND($AG369=Constants!$B$7, U369, V369) ,IF($AB369="", "", IF(OR($AC369="",$AC369=0),"",MAX(0,1-ABS($AC369-$AB369)/$AC369))),"")</f>
        <v/>
      </c>
      <c r="AO369" s="66" t="str">
        <f aca="false">IF(AND($AG369=Constants!$B$7, U369, V369),IF(AND($AA369&lt;&gt;"",$AB369&lt;&gt;"",$AC369=0),$AO$6,""),"")</f>
        <v/>
      </c>
      <c r="AP369" s="66" t="str">
        <f aca="false">IF($AG369=Constants!$B$7 ,IF(AND(U369,V369,W369,Y369,ISNUMBER(AB369)),IF($AN369="",0,IF($AN$6=0,Constants!$B$10,Constants!$B$10*AN369/$AN$6)), 0),"")</f>
        <v/>
      </c>
      <c r="AQ369" s="66" t="str">
        <f aca="false">IF(AP369&lt;&gt;"", AP369*AI369,"")</f>
        <v/>
      </c>
      <c r="AR369" s="66" t="str">
        <f aca="false">IF($AG369=Constants!$B$7,IF($AD369="",0,IF($AR$6=0,Constants!$B$8,Constants!$B$8*AD369/$AR$6)),"")</f>
        <v/>
      </c>
      <c r="AS369" s="66" t="str">
        <f aca="false">IF($AG369&lt;&gt;Constants!$B$7,$AG369,IF(AK369&amp;AO369&lt;&gt;"",Constants!$B$14,AM369+AQ369+AR369))</f>
        <v/>
      </c>
      <c r="AT369" s="66" t="str">
        <f aca="false">IF(ISBLANK($C369),"",IF($AG369=Constants!$B$7,IF(ISNUMBER(AS369),RANK(AS369,$AS$8:$AS$507),Constants!$B$14),$AG369))</f>
        <v/>
      </c>
      <c r="AU369" s="66" t="str">
        <f aca="false">IF(ISBLANK($C369), "",AM369)</f>
        <v/>
      </c>
      <c r="AV369" s="66" t="str">
        <f aca="false">IF(ISBLANK($C369),"",IF($AG369=Constants!$B$7,RANK(AU369,AU$8:AU$507),$AG369))</f>
        <v/>
      </c>
      <c r="AW369" s="66" t="str">
        <f aca="false">IF(ISBLANK($C369), "",AR369)</f>
        <v/>
      </c>
      <c r="AX369" s="66" t="str">
        <f aca="false">IF(ISBLANK($C369),"",IF($AG369=Constants!$B$7,RANK(AW369,AW$8:AW$507),$AG369))</f>
        <v/>
      </c>
      <c r="AY369" s="66" t="str">
        <f aca="false">IF(ISBLANK($C369), "",AE369)</f>
        <v/>
      </c>
      <c r="AZ369" s="66" t="str">
        <f aca="false">IF(ISBLANK($C369),"",
IF($AG369=Constants!$B$7,
  IF(ISNUMBER(AT369),
    COUNTIFS($AT$8:$AT$507,"&lt;"&amp;$AT369)
    + COUNTIFS($AT$8:$AT$507,$AT369,$AV$8:$AV$507,"&lt;"&amp;$AV369)
    + COUNTIFS($AT$8:$AT$507,$AT369,$AV$8:$AV$507,$AV369,$AX$8:$AX$507,"&lt;"&amp;$AX369)
    + COUNTIFS($AT$8:$AT$507,$AT369,$AV$8:$AV$507,$AV369,$AX$8:$AX$507,$AX369,$AY$8:$AY$507,"&lt;"&amp;$AY369)
    + 1,
  Constants!$B$14),
$AG369))</f>
        <v/>
      </c>
      <c r="BA369" s="66" t="str">
        <f aca="false">IF(ISBLANK(C369),"",IF($AG369=Constants!$B$7, IF(ISNUMBER(AT369),AT369-AZ369,Constants!$B$14),$AG369))</f>
        <v/>
      </c>
      <c r="BB369" s="70"/>
      <c r="BC369" s="84" t="str">
        <f aca="false">IF(ISBLANK($C369),"",TRIM(AK369&amp;" "&amp;AO369))</f>
        <v/>
      </c>
      <c r="BD369" s="72" t="str">
        <f aca="false">IF(ISBLANK($C369),"",IF($AG369&lt;&gt;Constants!$B$7,$AG369,AR369))</f>
        <v/>
      </c>
      <c r="BE369" s="72" t="str">
        <f aca="false">IF(ISBLANK($C369),"",IF($AG369&lt;&gt;Constants!$B$7,$AG369,AM369))</f>
        <v/>
      </c>
      <c r="BF369" s="72" t="str">
        <f aca="false">IF(ISBLANK($C369),"",IF($AG369&lt;&gt;Constants!$B$7,$AG369,AQ369))</f>
        <v/>
      </c>
      <c r="BG369" s="73" t="str">
        <f aca="false">IF(ISBLANK($C369),"",IF($AG369&lt;&gt;Constants!$B$7, $AG369 ,AS369))</f>
        <v/>
      </c>
      <c r="BH369" s="74" t="str">
        <f aca="false">IF(ISBLANK($C369),"",IF($AG369&lt;&gt;Constants!$B$7, $AG369 ,AH369))</f>
        <v/>
      </c>
      <c r="BI369" s="72" t="str">
        <f aca="false">IF(ISBLANK(C369),"",BA369)</f>
        <v/>
      </c>
      <c r="BJ369" s="72" t="str">
        <f aca="false">IF(ISBLANK(C369),"",AZ369)</f>
        <v/>
      </c>
      <c r="BK369" s="75" t="str">
        <f aca="false">IF(ISBLANK(C369),"",IFERROR(_xlfn.SWITCH(BJ369, Constants!$B$4, COUNTA($C$8:$C868)+2, Constants!$B$5, COUNTA($C$8:$C868)+1, Constants!$B$6, COUNTA($C$8:$C868)),BJ369))</f>
        <v/>
      </c>
      <c r="BL369" s="5"/>
      <c r="BM369" s="76" t="n">
        <f aca="false">IF(OR(ISNUMBER(BJ369),BJ369="DQ",BJ369="P",BJ369="NS"),
    1,
    0
)</f>
        <v>0</v>
      </c>
      <c r="BN369" s="76" t="n">
        <v>362</v>
      </c>
      <c r="BO369" s="76" t="str">
        <f aca="false">IF(ISBLANK($C369),"",IF(ISNUMBER(BK369),BK369+ROW($B369)/1000,""))</f>
        <v/>
      </c>
      <c r="BP369" s="76" t="str">
        <f aca="false">IF(ISNUMBER(BO369), RANK(BO369,BO$8:BO$507,1), "")</f>
        <v/>
      </c>
      <c r="BQ369" s="76" t="str">
        <f aca="false">IF(ISBLANK($C369),
    "",
    $B369
)</f>
        <v/>
      </c>
      <c r="BR369" s="76" t="str">
        <f aca="false">IF(ISBLANK($C369),
    "",
    $C369
)</f>
        <v/>
      </c>
      <c r="BS369" s="76" t="str">
        <f aca="false">IF(ISBLANK($C369),
    "",
    $D369
)</f>
        <v/>
      </c>
      <c r="BT369" s="77" t="str">
        <f aca="false">BH369</f>
        <v/>
      </c>
      <c r="BU369" s="78" t="str">
        <f aca="false">BG369</f>
        <v/>
      </c>
      <c r="BV369" s="76" t="str">
        <f aca="false">IF(ISBLANK($C369),
    "",
    BJ369
)</f>
        <v/>
      </c>
      <c r="BW369" s="79" t="str">
        <f aca="false">IF(BN369&gt;BM$7,
    "",
    VLOOKUP(BN369,BP$8:BV868,7,FALSE())
)</f>
        <v/>
      </c>
      <c r="BX369" s="80" t="str">
        <f aca="false">IF(BN369&gt;BM$7,
    "",
    VLOOKUP(BN369,BP$8:BV868,2,FALSE())
)</f>
        <v/>
      </c>
      <c r="BY369" s="80" t="str">
        <f aca="false">IF(BN369&gt;BM$7,
    "",
    VLOOKUP(BN369,BP$8:BV868,3,FALSE())
)</f>
        <v/>
      </c>
      <c r="BZ369" s="80" t="str">
        <f aca="false">IF(BN369&gt;BM$7,
    "",
    VLOOKUP(BN369,BP$8:BV868,4,FALSE())
)</f>
        <v/>
      </c>
      <c r="CA369" s="80" t="str">
        <f aca="false">IF(BN369&gt;BM$7,
    "",
    VLOOKUP(BN369,BP$8:BV868,5,FALSE())
)</f>
        <v/>
      </c>
      <c r="CB369" s="81" t="str">
        <f aca="false">IF(BN369&gt;BM$7,
    "",
    VLOOKUP(BN369,BP$8:BV868,6,FALSE())
)</f>
        <v/>
      </c>
      <c r="CC369" s="53"/>
    </row>
    <row r="370" customFormat="false" ht="15.75" hidden="false" customHeight="false" outlineLevel="0" collapsed="false">
      <c r="A370" s="5"/>
      <c r="B370" s="129"/>
      <c r="C370" s="55"/>
      <c r="D370" s="56"/>
      <c r="E370" s="123"/>
      <c r="F370" s="123"/>
      <c r="G370" s="58"/>
      <c r="H370" s="59"/>
      <c r="I370" s="59"/>
      <c r="J370" s="83"/>
      <c r="K370" s="83"/>
      <c r="L370" s="83"/>
      <c r="M370" s="61"/>
      <c r="N370" s="61"/>
      <c r="O370" s="61"/>
      <c r="P370" s="62"/>
      <c r="Q370" s="63"/>
      <c r="R370" s="83"/>
      <c r="S370" s="65"/>
      <c r="T370" s="66"/>
      <c r="U370" s="66" t="str">
        <f aca="false">IF(ISBLANK($C370),"",IF(G370=Constants!$B$2, TRUE(), IF(G370=Constants!$B$3, FALSE(), TRUE())))</f>
        <v/>
      </c>
      <c r="V370" s="66" t="str">
        <f aca="false">IF(ISBLANK($C370),"",IF(H370=Constants!$B$2, TRUE(), IF(H370=Constants!$B$3, FALSE(), TRUE())))</f>
        <v/>
      </c>
      <c r="W370" s="66" t="str">
        <f aca="false">IF(ISBLANK($C370),"",IF(I370=Constants!$B$2, TRUE(), IF(I370=Constants!$B$3, FALSE(), TRUE())))</f>
        <v/>
      </c>
      <c r="X370" s="66" t="str">
        <f aca="false">IF(ISBLANK($C370),"",IF(AND(ISNUMBER(J370),J370&gt;0),INT(J370),0))</f>
        <v/>
      </c>
      <c r="Y370" s="66" t="str">
        <f aca="false">IF(ISBLANK($C370),"",IF(K370=Constants!$B$2, TRUE(), IF(K370=Constants!$B$3, FALSE(), TRUE())))</f>
        <v/>
      </c>
      <c r="Z370" s="66" t="str">
        <f aca="false">IF(ISBLANK($C370),"",IF(AND(ISNUMBER(L370),L370&gt;0),INT(L370),0))</f>
        <v/>
      </c>
      <c r="AA370" s="68" t="str">
        <f aca="false">IF(ISBLANK($C370),"",IF(ISNUMBER(M370), M370, ""))</f>
        <v/>
      </c>
      <c r="AB370" s="68" t="str">
        <f aca="false">IF(ISBLANK($C370),"",IF(ISNUMBER(N370), N370, ""))</f>
        <v/>
      </c>
      <c r="AC370" s="68" t="str">
        <f aca="false">IF(ISBLANK($C370),"",IF(ISNUMBER(O370), O370, ""))</f>
        <v/>
      </c>
      <c r="AD370" s="69" t="str">
        <f aca="false">IF(ISBLANK($C370),"",IF(ISNUMBER(P370), P370, ""))</f>
        <v/>
      </c>
      <c r="AE370" s="69" t="str">
        <f aca="false">IF(ISBLANK($C370),"",IF(ISNUMBER(Q370), Q370, Constants!$B$13))</f>
        <v/>
      </c>
      <c r="AF370" s="66" t="str">
        <f aca="false">IF(ISBLANK($C370),"",IF(R370=Constants!$B$2, TRUE(), IF(R370=Constants!$B$3, FALSE(), FALSE())))</f>
        <v/>
      </c>
      <c r="AG370" s="66" t="str">
        <f aca="false">IF(ISBLANK(C370), "", IF(AF370, Constants!$B$4,IF(COUNTA(G370:P370)=0, Constants!$B$5, Constants!$B$7)))</f>
        <v/>
      </c>
      <c r="AH370" s="66" t="str">
        <f aca="false">IF(ISBLANK($C370), "",IF($AG370=Constants!$B$7,1,$AG370))</f>
        <v/>
      </c>
      <c r="AI370" s="66" t="str">
        <f aca="false">IF($AG370=Constants!$B$7,POWER(Constants!$B$11,X370)*POWER(Constants!$B$12,Z370),"")</f>
        <v/>
      </c>
      <c r="AJ370" s="66" t="str">
        <f aca="false">IF(AND($AG370=Constants!$B$7, U370, V370) ,IF(OR($AA370="",$AC370=""),"",MAX(0, $AC370-$AA370)),"")</f>
        <v/>
      </c>
      <c r="AK370" s="66" t="str">
        <f aca="false">IF(AND($AG370=Constants!$B$7, U370, V370),IF(OR($AA370="",$AC370=""),$AK$6,""),"")</f>
        <v/>
      </c>
      <c r="AL370" s="66" t="str">
        <f aca="false">IF($AG370=Constants!$B$7,IF(AND(U370,V370,W370,Y370),IF($AJ370="",0,IF($AJ$6=0,Constants!$B$9,Constants!$B$9*AJ370/$AJ$6)), 0),"")</f>
        <v/>
      </c>
      <c r="AM370" s="66" t="str">
        <f aca="false">IF(AL370&lt;&gt;"", AL370*AI370,"")</f>
        <v/>
      </c>
      <c r="AN370" s="66" t="str">
        <f aca="false">IF(AND($AG370=Constants!$B$7, U370, V370) ,IF($AB370="", "", IF(OR($AC370="",$AC370=0),"",MAX(0,1-ABS($AC370-$AB370)/$AC370))),"")</f>
        <v/>
      </c>
      <c r="AO370" s="66" t="str">
        <f aca="false">IF(AND($AG370=Constants!$B$7, U370, V370),IF(AND($AA370&lt;&gt;"",$AB370&lt;&gt;"",$AC370=0),$AO$6,""),"")</f>
        <v/>
      </c>
      <c r="AP370" s="66" t="str">
        <f aca="false">IF($AG370=Constants!$B$7 ,IF(AND(U370,V370,W370,Y370,ISNUMBER(AB370)),IF($AN370="",0,IF($AN$6=0,Constants!$B$10,Constants!$B$10*AN370/$AN$6)), 0),"")</f>
        <v/>
      </c>
      <c r="AQ370" s="66" t="str">
        <f aca="false">IF(AP370&lt;&gt;"", AP370*AI370,"")</f>
        <v/>
      </c>
      <c r="AR370" s="66" t="str">
        <f aca="false">IF($AG370=Constants!$B$7,IF($AD370="",0,IF($AR$6=0,Constants!$B$8,Constants!$B$8*AD370/$AR$6)),"")</f>
        <v/>
      </c>
      <c r="AS370" s="66" t="str">
        <f aca="false">IF($AG370&lt;&gt;Constants!$B$7,$AG370,IF(AK370&amp;AO370&lt;&gt;"",Constants!$B$14,AM370+AQ370+AR370))</f>
        <v/>
      </c>
      <c r="AT370" s="66" t="str">
        <f aca="false">IF(ISBLANK($C370),"",IF($AG370=Constants!$B$7,IF(ISNUMBER(AS370),RANK(AS370,$AS$8:$AS$507),Constants!$B$14),$AG370))</f>
        <v/>
      </c>
      <c r="AU370" s="66" t="str">
        <f aca="false">IF(ISBLANK($C370), "",AM370)</f>
        <v/>
      </c>
      <c r="AV370" s="66" t="str">
        <f aca="false">IF(ISBLANK($C370),"",IF($AG370=Constants!$B$7,RANK(AU370,AU$8:AU$507),$AG370))</f>
        <v/>
      </c>
      <c r="AW370" s="66" t="str">
        <f aca="false">IF(ISBLANK($C370), "",AR370)</f>
        <v/>
      </c>
      <c r="AX370" s="66" t="str">
        <f aca="false">IF(ISBLANK($C370),"",IF($AG370=Constants!$B$7,RANK(AW370,AW$8:AW$507),$AG370))</f>
        <v/>
      </c>
      <c r="AY370" s="66" t="str">
        <f aca="false">IF(ISBLANK($C370), "",AE370)</f>
        <v/>
      </c>
      <c r="AZ370" s="66" t="str">
        <f aca="false">IF(ISBLANK($C370),"",
IF($AG370=Constants!$B$7,
  IF(ISNUMBER(AT370),
    COUNTIFS($AT$8:$AT$507,"&lt;"&amp;$AT370)
    + COUNTIFS($AT$8:$AT$507,$AT370,$AV$8:$AV$507,"&lt;"&amp;$AV370)
    + COUNTIFS($AT$8:$AT$507,$AT370,$AV$8:$AV$507,$AV370,$AX$8:$AX$507,"&lt;"&amp;$AX370)
    + COUNTIFS($AT$8:$AT$507,$AT370,$AV$8:$AV$507,$AV370,$AX$8:$AX$507,$AX370,$AY$8:$AY$507,"&lt;"&amp;$AY370)
    + 1,
  Constants!$B$14),
$AG370))</f>
        <v/>
      </c>
      <c r="BA370" s="66" t="str">
        <f aca="false">IF(ISBLANK(C370),"",IF($AG370=Constants!$B$7, IF(ISNUMBER(AT370),AT370-AZ370,Constants!$B$14),$AG370))</f>
        <v/>
      </c>
      <c r="BB370" s="70"/>
      <c r="BC370" s="84" t="str">
        <f aca="false">IF(ISBLANK($C370),"",TRIM(AK370&amp;" "&amp;AO370))</f>
        <v/>
      </c>
      <c r="BD370" s="72" t="str">
        <f aca="false">IF(ISBLANK($C370),"",IF($AG370&lt;&gt;Constants!$B$7,$AG370,AR370))</f>
        <v/>
      </c>
      <c r="BE370" s="72" t="str">
        <f aca="false">IF(ISBLANK($C370),"",IF($AG370&lt;&gt;Constants!$B$7,$AG370,AM370))</f>
        <v/>
      </c>
      <c r="BF370" s="72" t="str">
        <f aca="false">IF(ISBLANK($C370),"",IF($AG370&lt;&gt;Constants!$B$7,$AG370,AQ370))</f>
        <v/>
      </c>
      <c r="BG370" s="73" t="str">
        <f aca="false">IF(ISBLANK($C370),"",IF($AG370&lt;&gt;Constants!$B$7, $AG370 ,AS370))</f>
        <v/>
      </c>
      <c r="BH370" s="74" t="str">
        <f aca="false">IF(ISBLANK($C370),"",IF($AG370&lt;&gt;Constants!$B$7, $AG370 ,AH370))</f>
        <v/>
      </c>
      <c r="BI370" s="72" t="str">
        <f aca="false">IF(ISBLANK(C370),"",BA370)</f>
        <v/>
      </c>
      <c r="BJ370" s="72" t="str">
        <f aca="false">IF(ISBLANK(C370),"",AZ370)</f>
        <v/>
      </c>
      <c r="BK370" s="75" t="str">
        <f aca="false">IF(ISBLANK(C370),"",IFERROR(_xlfn.SWITCH(BJ370, Constants!$B$4, COUNTA($C$8:$C869)+2, Constants!$B$5, COUNTA($C$8:$C869)+1, Constants!$B$6, COUNTA($C$8:$C869)),BJ370))</f>
        <v/>
      </c>
      <c r="BL370" s="5"/>
      <c r="BM370" s="76" t="n">
        <f aca="false">IF(OR(ISNUMBER(BJ370),BJ370="DQ",BJ370="P",BJ370="NS"),
    1,
    0
)</f>
        <v>0</v>
      </c>
      <c r="BN370" s="76" t="n">
        <v>363</v>
      </c>
      <c r="BO370" s="76" t="str">
        <f aca="false">IF(ISBLANK($C370),"",IF(ISNUMBER(BK370),BK370+ROW($B370)/1000,""))</f>
        <v/>
      </c>
      <c r="BP370" s="76" t="str">
        <f aca="false">IF(ISNUMBER(BO370), RANK(BO370,BO$8:BO$507,1), "")</f>
        <v/>
      </c>
      <c r="BQ370" s="76" t="str">
        <f aca="false">IF(ISBLANK($C370),
    "",
    $B370
)</f>
        <v/>
      </c>
      <c r="BR370" s="76" t="str">
        <f aca="false">IF(ISBLANK($C370),
    "",
    $C370
)</f>
        <v/>
      </c>
      <c r="BS370" s="76" t="str">
        <f aca="false">IF(ISBLANK($C370),
    "",
    $D370
)</f>
        <v/>
      </c>
      <c r="BT370" s="77" t="str">
        <f aca="false">BH370</f>
        <v/>
      </c>
      <c r="BU370" s="78" t="str">
        <f aca="false">BG370</f>
        <v/>
      </c>
      <c r="BV370" s="76" t="str">
        <f aca="false">IF(ISBLANK($C370),
    "",
    BJ370
)</f>
        <v/>
      </c>
      <c r="BW370" s="79" t="str">
        <f aca="false">IF(BN370&gt;BM$7,
    "",
    VLOOKUP(BN370,BP$8:BV869,7,FALSE())
)</f>
        <v/>
      </c>
      <c r="BX370" s="80" t="str">
        <f aca="false">IF(BN370&gt;BM$7,
    "",
    VLOOKUP(BN370,BP$8:BV869,2,FALSE())
)</f>
        <v/>
      </c>
      <c r="BY370" s="80" t="str">
        <f aca="false">IF(BN370&gt;BM$7,
    "",
    VLOOKUP(BN370,BP$8:BV869,3,FALSE())
)</f>
        <v/>
      </c>
      <c r="BZ370" s="80" t="str">
        <f aca="false">IF(BN370&gt;BM$7,
    "",
    VLOOKUP(BN370,BP$8:BV869,4,FALSE())
)</f>
        <v/>
      </c>
      <c r="CA370" s="80" t="str">
        <f aca="false">IF(BN370&gt;BM$7,
    "",
    VLOOKUP(BN370,BP$8:BV869,5,FALSE())
)</f>
        <v/>
      </c>
      <c r="CB370" s="81" t="str">
        <f aca="false">IF(BN370&gt;BM$7,
    "",
    VLOOKUP(BN370,BP$8:BV869,6,FALSE())
)</f>
        <v/>
      </c>
      <c r="CC370" s="53"/>
    </row>
    <row r="371" customFormat="false" ht="15.75" hidden="false" customHeight="false" outlineLevel="0" collapsed="false">
      <c r="A371" s="5"/>
      <c r="B371" s="125"/>
      <c r="C371" s="126"/>
      <c r="D371" s="115"/>
      <c r="E371" s="119"/>
      <c r="F371" s="119"/>
      <c r="G371" s="91"/>
      <c r="H371" s="92"/>
      <c r="I371" s="92"/>
      <c r="J371" s="128"/>
      <c r="K371" s="128"/>
      <c r="L371" s="128"/>
      <c r="M371" s="94"/>
      <c r="N371" s="94"/>
      <c r="O371" s="94"/>
      <c r="P371" s="95"/>
      <c r="Q371" s="96"/>
      <c r="R371" s="128"/>
      <c r="S371" s="98"/>
      <c r="T371" s="99"/>
      <c r="U371" s="99" t="str">
        <f aca="false">IF(ISBLANK($C371),"",IF(G371=Constants!$B$2, TRUE(), IF(G371=Constants!$B$3, FALSE(), TRUE())))</f>
        <v/>
      </c>
      <c r="V371" s="99" t="str">
        <f aca="false">IF(ISBLANK($C371),"",IF(H371=Constants!$B$2, TRUE(), IF(H371=Constants!$B$3, FALSE(), TRUE())))</f>
        <v/>
      </c>
      <c r="W371" s="99" t="str">
        <f aca="false">IF(ISBLANK($C371),"",IF(I371=Constants!$B$2, TRUE(), IF(I371=Constants!$B$3, FALSE(), TRUE())))</f>
        <v/>
      </c>
      <c r="X371" s="99" t="str">
        <f aca="false">IF(ISBLANK($C371),"",IF(AND(ISNUMBER(J371),J371&gt;0),INT(J371),0))</f>
        <v/>
      </c>
      <c r="Y371" s="99" t="str">
        <f aca="false">IF(ISBLANK($C371),"",IF(K371=Constants!$B$2, TRUE(), IF(K371=Constants!$B$3, FALSE(), TRUE())))</f>
        <v/>
      </c>
      <c r="Z371" s="100" t="str">
        <f aca="false">IF(ISBLANK($C371),"",IF(AND(ISNUMBER(L371),L371&gt;0),INT(L371),0))</f>
        <v/>
      </c>
      <c r="AA371" s="101" t="str">
        <f aca="false">IF(ISBLANK($C371),"",IF(ISNUMBER(M371), M371, ""))</f>
        <v/>
      </c>
      <c r="AB371" s="101" t="str">
        <f aca="false">IF(ISBLANK($C371),"",IF(ISNUMBER(N371), N371, ""))</f>
        <v/>
      </c>
      <c r="AC371" s="101" t="str">
        <f aca="false">IF(ISBLANK($C371),"",IF(ISNUMBER(O371), O371, ""))</f>
        <v/>
      </c>
      <c r="AD371" s="102" t="str">
        <f aca="false">IF(ISBLANK($C371),"",IF(ISNUMBER(P371), P371, ""))</f>
        <v/>
      </c>
      <c r="AE371" s="102" t="str">
        <f aca="false">IF(ISBLANK($C371),"",IF(ISNUMBER(Q371), Q371, Constants!$B$13))</f>
        <v/>
      </c>
      <c r="AF371" s="99" t="str">
        <f aca="false">IF(ISBLANK($C371),"",IF(R371=Constants!$B$2, TRUE(), IF(R371=Constants!$B$3, FALSE(), FALSE())))</f>
        <v/>
      </c>
      <c r="AG371" s="99" t="str">
        <f aca="false">IF(ISBLANK(C371), "", IF(AF371, Constants!$B$4,IF(COUNTA(G371:P371)=0, Constants!$B$5, Constants!$B$7)))</f>
        <v/>
      </c>
      <c r="AH371" s="99" t="str">
        <f aca="false">IF(ISBLANK($C371), "",IF($AG371=Constants!$B$7,1,$AG371))</f>
        <v/>
      </c>
      <c r="AI371" s="99" t="str">
        <f aca="false">IF($AG371=Constants!$B$7,POWER(Constants!$B$11,X371)*POWER(Constants!$B$12,Z371),"")</f>
        <v/>
      </c>
      <c r="AJ371" s="99" t="str">
        <f aca="false">IF(AND($AG371=Constants!$B$7, U371, V371) ,IF(OR($AA371="",$AC371=""),"",MAX(0, $AC371-$AA371)),"")</f>
        <v/>
      </c>
      <c r="AK371" s="99" t="str">
        <f aca="false">IF(AND($AG371=Constants!$B$7, U371, V371),IF(OR($AA371="",$AC371=""),$AK$6,""),"")</f>
        <v/>
      </c>
      <c r="AL371" s="99" t="str">
        <f aca="false">IF($AG371=Constants!$B$7,IF(AND(U371,V371,W371,Y371),IF($AJ371="",0,IF($AJ$6=0,Constants!$B$9,Constants!$B$9*AJ371/$AJ$6)), 0),"")</f>
        <v/>
      </c>
      <c r="AM371" s="99" t="str">
        <f aca="false">IF(AL371&lt;&gt;"", AL371*AI371,"")</f>
        <v/>
      </c>
      <c r="AN371" s="99" t="str">
        <f aca="false">IF(AND($AG371=Constants!$B$7, U371, V371) ,IF($AB371="", "", IF(OR($AC371="",$AC371=0),"",MAX(0,1-ABS($AC371-$AB371)/$AC371))),"")</f>
        <v/>
      </c>
      <c r="AO371" s="99" t="str">
        <f aca="false">IF(AND($AG371=Constants!$B$7, U371, V371),IF(AND($AA371&lt;&gt;"",$AB371&lt;&gt;"",$AC371=0),$AO$6,""),"")</f>
        <v/>
      </c>
      <c r="AP371" s="99" t="str">
        <f aca="false">IF($AG371=Constants!$B$7 ,IF(AND(U371,V371,W371,Y371,ISNUMBER(AB371)),IF($AN371="",0,IF($AN$6=0,Constants!$B$10,Constants!$B$10*AN371/$AN$6)), 0),"")</f>
        <v/>
      </c>
      <c r="AQ371" s="99" t="str">
        <f aca="false">IF(AP371&lt;&gt;"", AP371*AI371,"")</f>
        <v/>
      </c>
      <c r="AR371" s="99" t="str">
        <f aca="false">IF($AG371=Constants!$B$7,IF($AD371="",0,IF($AR$6=0,Constants!$B$8,Constants!$B$8*AD371/$AR$6)),"")</f>
        <v/>
      </c>
      <c r="AS371" s="99" t="str">
        <f aca="false">IF($AG371&lt;&gt;Constants!$B$7,$AG371,IF(AK371&amp;AO371&lt;&gt;"",Constants!$B$14,AM371+AQ371+AR371))</f>
        <v/>
      </c>
      <c r="AT371" s="99" t="str">
        <f aca="false">IF(ISBLANK($C371),"",IF($AG371=Constants!$B$7,IF(ISNUMBER(AS371),RANK(AS371,$AS$8:$AS$507),Constants!$B$14),$AG371))</f>
        <v/>
      </c>
      <c r="AU371" s="99" t="str">
        <f aca="false">IF(ISBLANK($C371), "",AM371)</f>
        <v/>
      </c>
      <c r="AV371" s="99" t="str">
        <f aca="false">IF(ISBLANK($C371),"",IF($AG371=Constants!$B$7,RANK(AU371,AU$8:AU$507),$AG371))</f>
        <v/>
      </c>
      <c r="AW371" s="99" t="str">
        <f aca="false">IF(ISBLANK($C371), "",AR371)</f>
        <v/>
      </c>
      <c r="AX371" s="99" t="str">
        <f aca="false">IF(ISBLANK($C371),"",IF($AG371=Constants!$B$7,RANK(AW371,AW$8:AW$507),$AG371))</f>
        <v/>
      </c>
      <c r="AY371" s="99" t="str">
        <f aca="false">IF(ISBLANK($C371), "",AE371)</f>
        <v/>
      </c>
      <c r="AZ371" s="99" t="str">
        <f aca="false">IF(ISBLANK($C371),"",
IF($AG371=Constants!$B$7,
  IF(ISNUMBER(AT371),
    COUNTIFS($AT$8:$AT$507,"&lt;"&amp;$AT371)
    + COUNTIFS($AT$8:$AT$507,$AT371,$AV$8:$AV$507,"&lt;"&amp;$AV371)
    + COUNTIFS($AT$8:$AT$507,$AT371,$AV$8:$AV$507,$AV371,$AX$8:$AX$507,"&lt;"&amp;$AX371)
    + COUNTIFS($AT$8:$AT$507,$AT371,$AV$8:$AV$507,$AV371,$AX$8:$AX$507,$AX371,$AY$8:$AY$507,"&lt;"&amp;$AY371)
    + 1,
  Constants!$B$14),
$AG371))</f>
        <v/>
      </c>
      <c r="BA371" s="99" t="str">
        <f aca="false">IF(ISBLANK(C371),"",IF($AG371=Constants!$B$7, IF(ISNUMBER(AT371),AT371-AZ371,Constants!$B$14),$AG371))</f>
        <v/>
      </c>
      <c r="BB371" s="103"/>
      <c r="BC371" s="104" t="str">
        <f aca="false">IF(ISBLANK($C371),"",TRIM(AK371&amp;" "&amp;AO371))</f>
        <v/>
      </c>
      <c r="BD371" s="105" t="str">
        <f aca="false">IF(ISBLANK($C371),"",IF($AG371&lt;&gt;Constants!$B$7,$AG371,AR371))</f>
        <v/>
      </c>
      <c r="BE371" s="105" t="str">
        <f aca="false">IF(ISBLANK($C371),"",IF($AG371&lt;&gt;Constants!$B$7,$AG371,AM371))</f>
        <v/>
      </c>
      <c r="BF371" s="105" t="str">
        <f aca="false">IF(ISBLANK($C371),"",IF($AG371&lt;&gt;Constants!$B$7,$AG371,AQ371))</f>
        <v/>
      </c>
      <c r="BG371" s="106" t="str">
        <f aca="false">IF(ISBLANK($C371),"",IF($AG371&lt;&gt;Constants!$B$7, $AG371 ,AS371))</f>
        <v/>
      </c>
      <c r="BH371" s="107" t="str">
        <f aca="false">IF(ISBLANK($C371),"",IF($AG371&lt;&gt;Constants!$B$7, $AG371 ,AH371))</f>
        <v/>
      </c>
      <c r="BI371" s="105" t="str">
        <f aca="false">IF(ISBLANK(C371),"",BA371)</f>
        <v/>
      </c>
      <c r="BJ371" s="105" t="str">
        <f aca="false">IF(ISBLANK(C371),"",AZ371)</f>
        <v/>
      </c>
      <c r="BK371" s="108" t="str">
        <f aca="false">IF(ISBLANK(C371),"",IFERROR(_xlfn.SWITCH(BJ371, Constants!$B$4, COUNTA($C$8:$C870)+2, Constants!$B$5, COUNTA($C$8:$C870)+1, Constants!$B$6, COUNTA($C$8:$C870)),BJ371))</f>
        <v/>
      </c>
      <c r="BL371" s="5"/>
      <c r="BM371" s="109" t="n">
        <f aca="false">IF(OR(ISNUMBER(BJ371),BJ371="DQ",BJ371="P",BJ371="NS"),
    1,
    0
)</f>
        <v>0</v>
      </c>
      <c r="BN371" s="109" t="n">
        <v>364</v>
      </c>
      <c r="BO371" s="109" t="str">
        <f aca="false">IF(ISBLANK($C371),"",IF(ISNUMBER(BK371),BK371+ROW($B371)/1000,""))</f>
        <v/>
      </c>
      <c r="BP371" s="109" t="str">
        <f aca="false">IF(ISNUMBER(BO371), RANK(BO371,BO$8:BO$507,1), "")</f>
        <v/>
      </c>
      <c r="BQ371" s="109" t="str">
        <f aca="false">IF(ISBLANK($C371),
    "",
    $B371
)</f>
        <v/>
      </c>
      <c r="BR371" s="109" t="str">
        <f aca="false">IF(ISBLANK($C371),
    "",
    $C371
)</f>
        <v/>
      </c>
      <c r="BS371" s="109" t="str">
        <f aca="false">IF(ISBLANK($C371),
    "",
    $D371
)</f>
        <v/>
      </c>
      <c r="BT371" s="110" t="str">
        <f aca="false">BH371</f>
        <v/>
      </c>
      <c r="BU371" s="111" t="str">
        <f aca="false">BG371</f>
        <v/>
      </c>
      <c r="BV371" s="109" t="str">
        <f aca="false">IF(ISBLANK($C371),
    "",
    BJ371
)</f>
        <v/>
      </c>
      <c r="BW371" s="112" t="str">
        <f aca="false">IF(BN371&gt;BM$7,
    "",
    VLOOKUP(BN371,BP$8:BV870,7,FALSE())
)</f>
        <v/>
      </c>
      <c r="BX371" s="113" t="str">
        <f aca="false">IF(BN371&gt;BM$7,
    "",
    VLOOKUP(BN371,BP$8:BV870,2,FALSE())
)</f>
        <v/>
      </c>
      <c r="BY371" s="113" t="str">
        <f aca="false">IF(BN371&gt;BM$7,
    "",
    VLOOKUP(BN371,BP$8:BV870,3,FALSE())
)</f>
        <v/>
      </c>
      <c r="BZ371" s="113" t="str">
        <f aca="false">IF(BN371&gt;BM$7,
    "",
    VLOOKUP(BN371,BP$8:BV870,4,FALSE())
)</f>
        <v/>
      </c>
      <c r="CA371" s="113" t="str">
        <f aca="false">IF(BN371&gt;BM$7,
    "",
    VLOOKUP(BN371,BP$8:BV870,5,FALSE())
)</f>
        <v/>
      </c>
      <c r="CB371" s="114" t="str">
        <f aca="false">IF(BN371&gt;BM$7,
    "",
    VLOOKUP(BN371,BP$8:BV870,6,FALSE())
)</f>
        <v/>
      </c>
      <c r="CC371" s="53"/>
    </row>
    <row r="372" customFormat="false" ht="15.75" hidden="false" customHeight="false" outlineLevel="0" collapsed="false">
      <c r="A372" s="5"/>
      <c r="B372" s="125"/>
      <c r="C372" s="126"/>
      <c r="D372" s="115"/>
      <c r="E372" s="119"/>
      <c r="F372" s="119"/>
      <c r="G372" s="91"/>
      <c r="H372" s="92"/>
      <c r="I372" s="92"/>
      <c r="J372" s="128"/>
      <c r="K372" s="128"/>
      <c r="L372" s="128"/>
      <c r="M372" s="94"/>
      <c r="N372" s="94"/>
      <c r="O372" s="94"/>
      <c r="P372" s="95"/>
      <c r="Q372" s="96"/>
      <c r="R372" s="128"/>
      <c r="S372" s="98"/>
      <c r="T372" s="99"/>
      <c r="U372" s="99" t="str">
        <f aca="false">IF(ISBLANK($C372),"",IF(G372=Constants!$B$2, TRUE(), IF(G372=Constants!$B$3, FALSE(), TRUE())))</f>
        <v/>
      </c>
      <c r="V372" s="99" t="str">
        <f aca="false">IF(ISBLANK($C372),"",IF(H372=Constants!$B$2, TRUE(), IF(H372=Constants!$B$3, FALSE(), TRUE())))</f>
        <v/>
      </c>
      <c r="W372" s="99" t="str">
        <f aca="false">IF(ISBLANK($C372),"",IF(I372=Constants!$B$2, TRUE(), IF(I372=Constants!$B$3, FALSE(), TRUE())))</f>
        <v/>
      </c>
      <c r="X372" s="99" t="str">
        <f aca="false">IF(ISBLANK($C372),"",IF(AND(ISNUMBER(J372),J372&gt;0),INT(J372),0))</f>
        <v/>
      </c>
      <c r="Y372" s="99" t="str">
        <f aca="false">IF(ISBLANK($C372),"",IF(K372=Constants!$B$2, TRUE(), IF(K372=Constants!$B$3, FALSE(), TRUE())))</f>
        <v/>
      </c>
      <c r="Z372" s="100" t="str">
        <f aca="false">IF(ISBLANK($C372),"",IF(AND(ISNUMBER(L372),L372&gt;0),INT(L372),0))</f>
        <v/>
      </c>
      <c r="AA372" s="101" t="str">
        <f aca="false">IF(ISBLANK($C372),"",IF(ISNUMBER(M372), M372, ""))</f>
        <v/>
      </c>
      <c r="AB372" s="101" t="str">
        <f aca="false">IF(ISBLANK($C372),"",IF(ISNUMBER(N372), N372, ""))</f>
        <v/>
      </c>
      <c r="AC372" s="101" t="str">
        <f aca="false">IF(ISBLANK($C372),"",IF(ISNUMBER(O372), O372, ""))</f>
        <v/>
      </c>
      <c r="AD372" s="102" t="str">
        <f aca="false">IF(ISBLANK($C372),"",IF(ISNUMBER(P372), P372, ""))</f>
        <v/>
      </c>
      <c r="AE372" s="102" t="str">
        <f aca="false">IF(ISBLANK($C372),"",IF(ISNUMBER(Q372), Q372, Constants!$B$13))</f>
        <v/>
      </c>
      <c r="AF372" s="99" t="str">
        <f aca="false">IF(ISBLANK($C372),"",IF(R372=Constants!$B$2, TRUE(), IF(R372=Constants!$B$3, FALSE(), FALSE())))</f>
        <v/>
      </c>
      <c r="AG372" s="99" t="str">
        <f aca="false">IF(ISBLANK(C372), "", IF(AF372, Constants!$B$4,IF(COUNTA(G372:P372)=0, Constants!$B$5, Constants!$B$7)))</f>
        <v/>
      </c>
      <c r="AH372" s="99" t="str">
        <f aca="false">IF(ISBLANK($C372), "",IF($AG372=Constants!$B$7,1,$AG372))</f>
        <v/>
      </c>
      <c r="AI372" s="99" t="str">
        <f aca="false">IF($AG372=Constants!$B$7,POWER(Constants!$B$11,X372)*POWER(Constants!$B$12,Z372),"")</f>
        <v/>
      </c>
      <c r="AJ372" s="99" t="str">
        <f aca="false">IF(AND($AG372=Constants!$B$7, U372, V372) ,IF(OR($AA372="",$AC372=""),"",MAX(0, $AC372-$AA372)),"")</f>
        <v/>
      </c>
      <c r="AK372" s="99" t="str">
        <f aca="false">IF(AND($AG372=Constants!$B$7, U372, V372),IF(OR($AA372="",$AC372=""),$AK$6,""),"")</f>
        <v/>
      </c>
      <c r="AL372" s="99" t="str">
        <f aca="false">IF($AG372=Constants!$B$7,IF(AND(U372,V372,W372,Y372),IF($AJ372="",0,IF($AJ$6=0,Constants!$B$9,Constants!$B$9*AJ372/$AJ$6)), 0),"")</f>
        <v/>
      </c>
      <c r="AM372" s="99" t="str">
        <f aca="false">IF(AL372&lt;&gt;"", AL372*AI372,"")</f>
        <v/>
      </c>
      <c r="AN372" s="99" t="str">
        <f aca="false">IF(AND($AG372=Constants!$B$7, U372, V372) ,IF($AB372="", "", IF(OR($AC372="",$AC372=0),"",MAX(0,1-ABS($AC372-$AB372)/$AC372))),"")</f>
        <v/>
      </c>
      <c r="AO372" s="99" t="str">
        <f aca="false">IF(AND($AG372=Constants!$B$7, U372, V372),IF(AND($AA372&lt;&gt;"",$AB372&lt;&gt;"",$AC372=0),$AO$6,""),"")</f>
        <v/>
      </c>
      <c r="AP372" s="99" t="str">
        <f aca="false">IF($AG372=Constants!$B$7 ,IF(AND(U372,V372,W372,Y372,ISNUMBER(AB372)),IF($AN372="",0,IF($AN$6=0,Constants!$B$10,Constants!$B$10*AN372/$AN$6)), 0),"")</f>
        <v/>
      </c>
      <c r="AQ372" s="99" t="str">
        <f aca="false">IF(AP372&lt;&gt;"", AP372*AI372,"")</f>
        <v/>
      </c>
      <c r="AR372" s="99" t="str">
        <f aca="false">IF($AG372=Constants!$B$7,IF($AD372="",0,IF($AR$6=0,Constants!$B$8,Constants!$B$8*AD372/$AR$6)),"")</f>
        <v/>
      </c>
      <c r="AS372" s="99" t="str">
        <f aca="false">IF($AG372&lt;&gt;Constants!$B$7,$AG372,IF(AK372&amp;AO372&lt;&gt;"",Constants!$B$14,AM372+AQ372+AR372))</f>
        <v/>
      </c>
      <c r="AT372" s="99" t="str">
        <f aca="false">IF(ISBLANK($C372),"",IF($AG372=Constants!$B$7,IF(ISNUMBER(AS372),RANK(AS372,$AS$8:$AS$507),Constants!$B$14),$AG372))</f>
        <v/>
      </c>
      <c r="AU372" s="99" t="str">
        <f aca="false">IF(ISBLANK($C372), "",AM372)</f>
        <v/>
      </c>
      <c r="AV372" s="99" t="str">
        <f aca="false">IF(ISBLANK($C372),"",IF($AG372=Constants!$B$7,RANK(AU372,AU$8:AU$507),$AG372))</f>
        <v/>
      </c>
      <c r="AW372" s="99" t="str">
        <f aca="false">IF(ISBLANK($C372), "",AR372)</f>
        <v/>
      </c>
      <c r="AX372" s="99" t="str">
        <f aca="false">IF(ISBLANK($C372),"",IF($AG372=Constants!$B$7,RANK(AW372,AW$8:AW$507),$AG372))</f>
        <v/>
      </c>
      <c r="AY372" s="99" t="str">
        <f aca="false">IF(ISBLANK($C372), "",AE372)</f>
        <v/>
      </c>
      <c r="AZ372" s="99" t="str">
        <f aca="false">IF(ISBLANK($C372),"",
IF($AG372=Constants!$B$7,
  IF(ISNUMBER(AT372),
    COUNTIFS($AT$8:$AT$507,"&lt;"&amp;$AT372)
    + COUNTIFS($AT$8:$AT$507,$AT372,$AV$8:$AV$507,"&lt;"&amp;$AV372)
    + COUNTIFS($AT$8:$AT$507,$AT372,$AV$8:$AV$507,$AV372,$AX$8:$AX$507,"&lt;"&amp;$AX372)
    + COUNTIFS($AT$8:$AT$507,$AT372,$AV$8:$AV$507,$AV372,$AX$8:$AX$507,$AX372,$AY$8:$AY$507,"&lt;"&amp;$AY372)
    + 1,
  Constants!$B$14),
$AG372))</f>
        <v/>
      </c>
      <c r="BA372" s="99" t="str">
        <f aca="false">IF(ISBLANK(C372),"",IF($AG372=Constants!$B$7, IF(ISNUMBER(AT372),AT372-AZ372,Constants!$B$14),$AG372))</f>
        <v/>
      </c>
      <c r="BB372" s="103"/>
      <c r="BC372" s="104" t="str">
        <f aca="false">IF(ISBLANK($C372),"",TRIM(AK372&amp;" "&amp;AO372))</f>
        <v/>
      </c>
      <c r="BD372" s="105" t="str">
        <f aca="false">IF(ISBLANK($C372),"",IF($AG372&lt;&gt;Constants!$B$7,$AG372,AR372))</f>
        <v/>
      </c>
      <c r="BE372" s="105" t="str">
        <f aca="false">IF(ISBLANK($C372),"",IF($AG372&lt;&gt;Constants!$B$7,$AG372,AM372))</f>
        <v/>
      </c>
      <c r="BF372" s="105" t="str">
        <f aca="false">IF(ISBLANK($C372),"",IF($AG372&lt;&gt;Constants!$B$7,$AG372,AQ372))</f>
        <v/>
      </c>
      <c r="BG372" s="106" t="str">
        <f aca="false">IF(ISBLANK($C372),"",IF($AG372&lt;&gt;Constants!$B$7, $AG372 ,AS372))</f>
        <v/>
      </c>
      <c r="BH372" s="107" t="str">
        <f aca="false">IF(ISBLANK($C372),"",IF($AG372&lt;&gt;Constants!$B$7, $AG372 ,AH372))</f>
        <v/>
      </c>
      <c r="BI372" s="105" t="str">
        <f aca="false">IF(ISBLANK(C372),"",BA372)</f>
        <v/>
      </c>
      <c r="BJ372" s="105" t="str">
        <f aca="false">IF(ISBLANK(C372),"",AZ372)</f>
        <v/>
      </c>
      <c r="BK372" s="108" t="str">
        <f aca="false">IF(ISBLANK(C372),"",IFERROR(_xlfn.SWITCH(BJ372, Constants!$B$4, COUNTA($C$8:$C871)+2, Constants!$B$5, COUNTA($C$8:$C871)+1, Constants!$B$6, COUNTA($C$8:$C871)),BJ372))</f>
        <v/>
      </c>
      <c r="BL372" s="5"/>
      <c r="BM372" s="109" t="n">
        <f aca="false">IF(OR(ISNUMBER(BJ372),BJ372="DQ",BJ372="P",BJ372="NS"),
    1,
    0
)</f>
        <v>0</v>
      </c>
      <c r="BN372" s="109" t="n">
        <v>365</v>
      </c>
      <c r="BO372" s="109" t="str">
        <f aca="false">IF(ISBLANK($C372),"",IF(ISNUMBER(BK372),BK372+ROW($B372)/1000,""))</f>
        <v/>
      </c>
      <c r="BP372" s="109" t="str">
        <f aca="false">IF(ISNUMBER(BO372), RANK(BO372,BO$8:BO$507,1), "")</f>
        <v/>
      </c>
      <c r="BQ372" s="109" t="str">
        <f aca="false">IF(ISBLANK($C372),
    "",
    $B372
)</f>
        <v/>
      </c>
      <c r="BR372" s="109" t="str">
        <f aca="false">IF(ISBLANK($C372),
    "",
    $C372
)</f>
        <v/>
      </c>
      <c r="BS372" s="109" t="str">
        <f aca="false">IF(ISBLANK($C372),
    "",
    $D372
)</f>
        <v/>
      </c>
      <c r="BT372" s="110" t="str">
        <f aca="false">BH372</f>
        <v/>
      </c>
      <c r="BU372" s="111" t="str">
        <f aca="false">BG372</f>
        <v/>
      </c>
      <c r="BV372" s="109" t="str">
        <f aca="false">IF(ISBLANK($C372),
    "",
    BJ372
)</f>
        <v/>
      </c>
      <c r="BW372" s="112" t="str">
        <f aca="false">IF(BN372&gt;BM$7,
    "",
    VLOOKUP(BN372,BP$8:BV871,7,FALSE())
)</f>
        <v/>
      </c>
      <c r="BX372" s="113" t="str">
        <f aca="false">IF(BN372&gt;BM$7,
    "",
    VLOOKUP(BN372,BP$8:BV871,2,FALSE())
)</f>
        <v/>
      </c>
      <c r="BY372" s="113" t="str">
        <f aca="false">IF(BN372&gt;BM$7,
    "",
    VLOOKUP(BN372,BP$8:BV871,3,FALSE())
)</f>
        <v/>
      </c>
      <c r="BZ372" s="113" t="str">
        <f aca="false">IF(BN372&gt;BM$7,
    "",
    VLOOKUP(BN372,BP$8:BV871,4,FALSE())
)</f>
        <v/>
      </c>
      <c r="CA372" s="113" t="str">
        <f aca="false">IF(BN372&gt;BM$7,
    "",
    VLOOKUP(BN372,BP$8:BV871,5,FALSE())
)</f>
        <v/>
      </c>
      <c r="CB372" s="114" t="str">
        <f aca="false">IF(BN372&gt;BM$7,
    "",
    VLOOKUP(BN372,BP$8:BV871,6,FALSE())
)</f>
        <v/>
      </c>
      <c r="CC372" s="53"/>
    </row>
    <row r="373" customFormat="false" ht="15.75" hidden="false" customHeight="false" outlineLevel="0" collapsed="false">
      <c r="A373" s="5"/>
      <c r="B373" s="125"/>
      <c r="C373" s="126"/>
      <c r="D373" s="115"/>
      <c r="E373" s="119"/>
      <c r="F373" s="119"/>
      <c r="G373" s="91"/>
      <c r="H373" s="92"/>
      <c r="I373" s="92"/>
      <c r="J373" s="128"/>
      <c r="K373" s="128"/>
      <c r="L373" s="128"/>
      <c r="M373" s="94"/>
      <c r="N373" s="94"/>
      <c r="O373" s="94"/>
      <c r="P373" s="95"/>
      <c r="Q373" s="96"/>
      <c r="R373" s="128"/>
      <c r="S373" s="98"/>
      <c r="T373" s="99"/>
      <c r="U373" s="99" t="str">
        <f aca="false">IF(ISBLANK($C373),"",IF(G373=Constants!$B$2, TRUE(), IF(G373=Constants!$B$3, FALSE(), TRUE())))</f>
        <v/>
      </c>
      <c r="V373" s="99" t="str">
        <f aca="false">IF(ISBLANK($C373),"",IF(H373=Constants!$B$2, TRUE(), IF(H373=Constants!$B$3, FALSE(), TRUE())))</f>
        <v/>
      </c>
      <c r="W373" s="99" t="str">
        <f aca="false">IF(ISBLANK($C373),"",IF(I373=Constants!$B$2, TRUE(), IF(I373=Constants!$B$3, FALSE(), TRUE())))</f>
        <v/>
      </c>
      <c r="X373" s="99" t="str">
        <f aca="false">IF(ISBLANK($C373),"",IF(AND(ISNUMBER(J373),J373&gt;0),INT(J373),0))</f>
        <v/>
      </c>
      <c r="Y373" s="99" t="str">
        <f aca="false">IF(ISBLANK($C373),"",IF(K373=Constants!$B$2, TRUE(), IF(K373=Constants!$B$3, FALSE(), TRUE())))</f>
        <v/>
      </c>
      <c r="Z373" s="100" t="str">
        <f aca="false">IF(ISBLANK($C373),"",IF(AND(ISNUMBER(L373),L373&gt;0),INT(L373),0))</f>
        <v/>
      </c>
      <c r="AA373" s="101" t="str">
        <f aca="false">IF(ISBLANK($C373),"",IF(ISNUMBER(M373), M373, ""))</f>
        <v/>
      </c>
      <c r="AB373" s="101" t="str">
        <f aca="false">IF(ISBLANK($C373),"",IF(ISNUMBER(N373), N373, ""))</f>
        <v/>
      </c>
      <c r="AC373" s="101" t="str">
        <f aca="false">IF(ISBLANK($C373),"",IF(ISNUMBER(O373), O373, ""))</f>
        <v/>
      </c>
      <c r="AD373" s="102" t="str">
        <f aca="false">IF(ISBLANK($C373),"",IF(ISNUMBER(P373), P373, ""))</f>
        <v/>
      </c>
      <c r="AE373" s="102" t="str">
        <f aca="false">IF(ISBLANK($C373),"",IF(ISNUMBER(Q373), Q373, Constants!$B$13))</f>
        <v/>
      </c>
      <c r="AF373" s="99" t="str">
        <f aca="false">IF(ISBLANK($C373),"",IF(R373=Constants!$B$2, TRUE(), IF(R373=Constants!$B$3, FALSE(), FALSE())))</f>
        <v/>
      </c>
      <c r="AG373" s="99" t="str">
        <f aca="false">IF(ISBLANK(C373), "", IF(AF373, Constants!$B$4,IF(COUNTA(G373:P373)=0, Constants!$B$5, Constants!$B$7)))</f>
        <v/>
      </c>
      <c r="AH373" s="99" t="str">
        <f aca="false">IF(ISBLANK($C373), "",IF($AG373=Constants!$B$7,1,$AG373))</f>
        <v/>
      </c>
      <c r="AI373" s="99" t="str">
        <f aca="false">IF($AG373=Constants!$B$7,POWER(Constants!$B$11,X373)*POWER(Constants!$B$12,Z373),"")</f>
        <v/>
      </c>
      <c r="AJ373" s="99" t="str">
        <f aca="false">IF(AND($AG373=Constants!$B$7, U373, V373) ,IF(OR($AA373="",$AC373=""),"",MAX(0, $AC373-$AA373)),"")</f>
        <v/>
      </c>
      <c r="AK373" s="99" t="str">
        <f aca="false">IF(AND($AG373=Constants!$B$7, U373, V373),IF(OR($AA373="",$AC373=""),$AK$6,""),"")</f>
        <v/>
      </c>
      <c r="AL373" s="99" t="str">
        <f aca="false">IF($AG373=Constants!$B$7,IF(AND(U373,V373,W373,Y373),IF($AJ373="",0,IF($AJ$6=0,Constants!$B$9,Constants!$B$9*AJ373/$AJ$6)), 0),"")</f>
        <v/>
      </c>
      <c r="AM373" s="99" t="str">
        <f aca="false">IF(AL373&lt;&gt;"", AL373*AI373,"")</f>
        <v/>
      </c>
      <c r="AN373" s="99" t="str">
        <f aca="false">IF(AND($AG373=Constants!$B$7, U373, V373) ,IF($AB373="", "", IF(OR($AC373="",$AC373=0),"",MAX(0,1-ABS($AC373-$AB373)/$AC373))),"")</f>
        <v/>
      </c>
      <c r="AO373" s="99" t="str">
        <f aca="false">IF(AND($AG373=Constants!$B$7, U373, V373),IF(AND($AA373&lt;&gt;"",$AB373&lt;&gt;"",$AC373=0),$AO$6,""),"")</f>
        <v/>
      </c>
      <c r="AP373" s="99" t="str">
        <f aca="false">IF($AG373=Constants!$B$7 ,IF(AND(U373,V373,W373,Y373,ISNUMBER(AB373)),IF($AN373="",0,IF($AN$6=0,Constants!$B$10,Constants!$B$10*AN373/$AN$6)), 0),"")</f>
        <v/>
      </c>
      <c r="AQ373" s="99" t="str">
        <f aca="false">IF(AP373&lt;&gt;"", AP373*AI373,"")</f>
        <v/>
      </c>
      <c r="AR373" s="99" t="str">
        <f aca="false">IF($AG373=Constants!$B$7,IF($AD373="",0,IF($AR$6=0,Constants!$B$8,Constants!$B$8*AD373/$AR$6)),"")</f>
        <v/>
      </c>
      <c r="AS373" s="99" t="str">
        <f aca="false">IF($AG373&lt;&gt;Constants!$B$7,$AG373,IF(AK373&amp;AO373&lt;&gt;"",Constants!$B$14,AM373+AQ373+AR373))</f>
        <v/>
      </c>
      <c r="AT373" s="99" t="str">
        <f aca="false">IF(ISBLANK($C373),"",IF($AG373=Constants!$B$7,IF(ISNUMBER(AS373),RANK(AS373,$AS$8:$AS$507),Constants!$B$14),$AG373))</f>
        <v/>
      </c>
      <c r="AU373" s="99" t="str">
        <f aca="false">IF(ISBLANK($C373), "",AM373)</f>
        <v/>
      </c>
      <c r="AV373" s="99" t="str">
        <f aca="false">IF(ISBLANK($C373),"",IF($AG373=Constants!$B$7,RANK(AU373,AU$8:AU$507),$AG373))</f>
        <v/>
      </c>
      <c r="AW373" s="99" t="str">
        <f aca="false">IF(ISBLANK($C373), "",AR373)</f>
        <v/>
      </c>
      <c r="AX373" s="99" t="str">
        <f aca="false">IF(ISBLANK($C373),"",IF($AG373=Constants!$B$7,RANK(AW373,AW$8:AW$507),$AG373))</f>
        <v/>
      </c>
      <c r="AY373" s="99" t="str">
        <f aca="false">IF(ISBLANK($C373), "",AE373)</f>
        <v/>
      </c>
      <c r="AZ373" s="99" t="str">
        <f aca="false">IF(ISBLANK($C373),"",
IF($AG373=Constants!$B$7,
  IF(ISNUMBER(AT373),
    COUNTIFS($AT$8:$AT$507,"&lt;"&amp;$AT373)
    + COUNTIFS($AT$8:$AT$507,$AT373,$AV$8:$AV$507,"&lt;"&amp;$AV373)
    + COUNTIFS($AT$8:$AT$507,$AT373,$AV$8:$AV$507,$AV373,$AX$8:$AX$507,"&lt;"&amp;$AX373)
    + COUNTIFS($AT$8:$AT$507,$AT373,$AV$8:$AV$507,$AV373,$AX$8:$AX$507,$AX373,$AY$8:$AY$507,"&lt;"&amp;$AY373)
    + 1,
  Constants!$B$14),
$AG373))</f>
        <v/>
      </c>
      <c r="BA373" s="99" t="str">
        <f aca="false">IF(ISBLANK(C373),"",IF($AG373=Constants!$B$7, IF(ISNUMBER(AT373),AT373-AZ373,Constants!$B$14),$AG373))</f>
        <v/>
      </c>
      <c r="BB373" s="103"/>
      <c r="BC373" s="104" t="str">
        <f aca="false">IF(ISBLANK($C373),"",TRIM(AK373&amp;" "&amp;AO373))</f>
        <v/>
      </c>
      <c r="BD373" s="105" t="str">
        <f aca="false">IF(ISBLANK($C373),"",IF($AG373&lt;&gt;Constants!$B$7,$AG373,AR373))</f>
        <v/>
      </c>
      <c r="BE373" s="105" t="str">
        <f aca="false">IF(ISBLANK($C373),"",IF($AG373&lt;&gt;Constants!$B$7,$AG373,AM373))</f>
        <v/>
      </c>
      <c r="BF373" s="105" t="str">
        <f aca="false">IF(ISBLANK($C373),"",IF($AG373&lt;&gt;Constants!$B$7,$AG373,AQ373))</f>
        <v/>
      </c>
      <c r="BG373" s="106" t="str">
        <f aca="false">IF(ISBLANK($C373),"",IF($AG373&lt;&gt;Constants!$B$7, $AG373 ,AS373))</f>
        <v/>
      </c>
      <c r="BH373" s="107" t="str">
        <f aca="false">IF(ISBLANK($C373),"",IF($AG373&lt;&gt;Constants!$B$7, $AG373 ,AH373))</f>
        <v/>
      </c>
      <c r="BI373" s="105" t="str">
        <f aca="false">IF(ISBLANK(C373),"",BA373)</f>
        <v/>
      </c>
      <c r="BJ373" s="105" t="str">
        <f aca="false">IF(ISBLANK(C373),"",AZ373)</f>
        <v/>
      </c>
      <c r="BK373" s="108" t="str">
        <f aca="false">IF(ISBLANK(C373),"",IFERROR(_xlfn.SWITCH(BJ373, Constants!$B$4, COUNTA($C$8:$C872)+2, Constants!$B$5, COUNTA($C$8:$C872)+1, Constants!$B$6, COUNTA($C$8:$C872)),BJ373))</f>
        <v/>
      </c>
      <c r="BL373" s="5"/>
      <c r="BM373" s="109" t="n">
        <f aca="false">IF(OR(ISNUMBER(BJ373),BJ373="DQ",BJ373="P",BJ373="NS"),
    1,
    0
)</f>
        <v>0</v>
      </c>
      <c r="BN373" s="109" t="n">
        <v>366</v>
      </c>
      <c r="BO373" s="109" t="str">
        <f aca="false">IF(ISBLANK($C373),"",IF(ISNUMBER(BK373),BK373+ROW($B373)/1000,""))</f>
        <v/>
      </c>
      <c r="BP373" s="109" t="str">
        <f aca="false">IF(ISNUMBER(BO373), RANK(BO373,BO$8:BO$507,1), "")</f>
        <v/>
      </c>
      <c r="BQ373" s="109" t="str">
        <f aca="false">IF(ISBLANK($C373),
    "",
    $B373
)</f>
        <v/>
      </c>
      <c r="BR373" s="109" t="str">
        <f aca="false">IF(ISBLANK($C373),
    "",
    $C373
)</f>
        <v/>
      </c>
      <c r="BS373" s="109" t="str">
        <f aca="false">IF(ISBLANK($C373),
    "",
    $D373
)</f>
        <v/>
      </c>
      <c r="BT373" s="110" t="str">
        <f aca="false">BH373</f>
        <v/>
      </c>
      <c r="BU373" s="111" t="str">
        <f aca="false">BG373</f>
        <v/>
      </c>
      <c r="BV373" s="109" t="str">
        <f aca="false">IF(ISBLANK($C373),
    "",
    BJ373
)</f>
        <v/>
      </c>
      <c r="BW373" s="112" t="str">
        <f aca="false">IF(BN373&gt;BM$7,
    "",
    VLOOKUP(BN373,BP$8:BV872,7,FALSE())
)</f>
        <v/>
      </c>
      <c r="BX373" s="113" t="str">
        <f aca="false">IF(BN373&gt;BM$7,
    "",
    VLOOKUP(BN373,BP$8:BV872,2,FALSE())
)</f>
        <v/>
      </c>
      <c r="BY373" s="113" t="str">
        <f aca="false">IF(BN373&gt;BM$7,
    "",
    VLOOKUP(BN373,BP$8:BV872,3,FALSE())
)</f>
        <v/>
      </c>
      <c r="BZ373" s="113" t="str">
        <f aca="false">IF(BN373&gt;BM$7,
    "",
    VLOOKUP(BN373,BP$8:BV872,4,FALSE())
)</f>
        <v/>
      </c>
      <c r="CA373" s="113" t="str">
        <f aca="false">IF(BN373&gt;BM$7,
    "",
    VLOOKUP(BN373,BP$8:BV872,5,FALSE())
)</f>
        <v/>
      </c>
      <c r="CB373" s="114" t="str">
        <f aca="false">IF(BN373&gt;BM$7,
    "",
    VLOOKUP(BN373,BP$8:BV872,6,FALSE())
)</f>
        <v/>
      </c>
      <c r="CC373" s="53"/>
    </row>
    <row r="374" customFormat="false" ht="15.75" hidden="false" customHeight="false" outlineLevel="0" collapsed="false">
      <c r="A374" s="5"/>
      <c r="B374" s="129"/>
      <c r="C374" s="55"/>
      <c r="D374" s="56"/>
      <c r="E374" s="123"/>
      <c r="F374" s="123"/>
      <c r="G374" s="58"/>
      <c r="H374" s="59"/>
      <c r="I374" s="59"/>
      <c r="J374" s="83"/>
      <c r="K374" s="83"/>
      <c r="L374" s="83"/>
      <c r="M374" s="61"/>
      <c r="N374" s="61"/>
      <c r="O374" s="61"/>
      <c r="P374" s="62"/>
      <c r="Q374" s="63"/>
      <c r="R374" s="83"/>
      <c r="S374" s="65"/>
      <c r="T374" s="66"/>
      <c r="U374" s="66" t="str">
        <f aca="false">IF(ISBLANK($C374),"",IF(G374=Constants!$B$2, TRUE(), IF(G374=Constants!$B$3, FALSE(), TRUE())))</f>
        <v/>
      </c>
      <c r="V374" s="66" t="str">
        <f aca="false">IF(ISBLANK($C374),"",IF(H374=Constants!$B$2, TRUE(), IF(H374=Constants!$B$3, FALSE(), TRUE())))</f>
        <v/>
      </c>
      <c r="W374" s="66" t="str">
        <f aca="false">IF(ISBLANK($C374),"",IF(I374=Constants!$B$2, TRUE(), IF(I374=Constants!$B$3, FALSE(), TRUE())))</f>
        <v/>
      </c>
      <c r="X374" s="66" t="str">
        <f aca="false">IF(ISBLANK($C374),"",IF(AND(ISNUMBER(J374),J374&gt;0),INT(J374),0))</f>
        <v/>
      </c>
      <c r="Y374" s="66" t="str">
        <f aca="false">IF(ISBLANK($C374),"",IF(K374=Constants!$B$2, TRUE(), IF(K374=Constants!$B$3, FALSE(), TRUE())))</f>
        <v/>
      </c>
      <c r="Z374" s="66" t="str">
        <f aca="false">IF(ISBLANK($C374),"",IF(AND(ISNUMBER(L374),L374&gt;0),INT(L374),0))</f>
        <v/>
      </c>
      <c r="AA374" s="68" t="str">
        <f aca="false">IF(ISBLANK($C374),"",IF(ISNUMBER(M374), M374, ""))</f>
        <v/>
      </c>
      <c r="AB374" s="68" t="str">
        <f aca="false">IF(ISBLANK($C374),"",IF(ISNUMBER(N374), N374, ""))</f>
        <v/>
      </c>
      <c r="AC374" s="68" t="str">
        <f aca="false">IF(ISBLANK($C374),"",IF(ISNUMBER(O374), O374, ""))</f>
        <v/>
      </c>
      <c r="AD374" s="69" t="str">
        <f aca="false">IF(ISBLANK($C374),"",IF(ISNUMBER(P374), P374, ""))</f>
        <v/>
      </c>
      <c r="AE374" s="69" t="str">
        <f aca="false">IF(ISBLANK($C374),"",IF(ISNUMBER(Q374), Q374, Constants!$B$13))</f>
        <v/>
      </c>
      <c r="AF374" s="66" t="str">
        <f aca="false">IF(ISBLANK($C374),"",IF(R374=Constants!$B$2, TRUE(), IF(R374=Constants!$B$3, FALSE(), FALSE())))</f>
        <v/>
      </c>
      <c r="AG374" s="66" t="str">
        <f aca="false">IF(ISBLANK(C374), "", IF(AF374, Constants!$B$4,IF(COUNTA(G374:P374)=0, Constants!$B$5, Constants!$B$7)))</f>
        <v/>
      </c>
      <c r="AH374" s="66" t="str">
        <f aca="false">IF(ISBLANK($C374), "",IF($AG374=Constants!$B$7,1,$AG374))</f>
        <v/>
      </c>
      <c r="AI374" s="66" t="str">
        <f aca="false">IF($AG374=Constants!$B$7,POWER(Constants!$B$11,X374)*POWER(Constants!$B$12,Z374),"")</f>
        <v/>
      </c>
      <c r="AJ374" s="66" t="str">
        <f aca="false">IF(AND($AG374=Constants!$B$7, U374, V374) ,IF(OR($AA374="",$AC374=""),"",MAX(0, $AC374-$AA374)),"")</f>
        <v/>
      </c>
      <c r="AK374" s="66" t="str">
        <f aca="false">IF(AND($AG374=Constants!$B$7, U374, V374),IF(OR($AA374="",$AC374=""),$AK$6,""),"")</f>
        <v/>
      </c>
      <c r="AL374" s="66" t="str">
        <f aca="false">IF($AG374=Constants!$B$7,IF(AND(U374,V374,W374,Y374),IF($AJ374="",0,IF($AJ$6=0,Constants!$B$9,Constants!$B$9*AJ374/$AJ$6)), 0),"")</f>
        <v/>
      </c>
      <c r="AM374" s="66" t="str">
        <f aca="false">IF(AL374&lt;&gt;"", AL374*AI374,"")</f>
        <v/>
      </c>
      <c r="AN374" s="66" t="str">
        <f aca="false">IF(AND($AG374=Constants!$B$7, U374, V374) ,IF($AB374="", "", IF(OR($AC374="",$AC374=0),"",MAX(0,1-ABS($AC374-$AB374)/$AC374))),"")</f>
        <v/>
      </c>
      <c r="AO374" s="66" t="str">
        <f aca="false">IF(AND($AG374=Constants!$B$7, U374, V374),IF(AND($AA374&lt;&gt;"",$AB374&lt;&gt;"",$AC374=0),$AO$6,""),"")</f>
        <v/>
      </c>
      <c r="AP374" s="66" t="str">
        <f aca="false">IF($AG374=Constants!$B$7 ,IF(AND(U374,V374,W374,Y374,ISNUMBER(AB374)),IF($AN374="",0,IF($AN$6=0,Constants!$B$10,Constants!$B$10*AN374/$AN$6)), 0),"")</f>
        <v/>
      </c>
      <c r="AQ374" s="66" t="str">
        <f aca="false">IF(AP374&lt;&gt;"", AP374*AI374,"")</f>
        <v/>
      </c>
      <c r="AR374" s="66" t="str">
        <f aca="false">IF($AG374=Constants!$B$7,IF($AD374="",0,IF($AR$6=0,Constants!$B$8,Constants!$B$8*AD374/$AR$6)),"")</f>
        <v/>
      </c>
      <c r="AS374" s="66" t="str">
        <f aca="false">IF($AG374&lt;&gt;Constants!$B$7,$AG374,IF(AK374&amp;AO374&lt;&gt;"",Constants!$B$14,AM374+AQ374+AR374))</f>
        <v/>
      </c>
      <c r="AT374" s="66" t="str">
        <f aca="false">IF(ISBLANK($C374),"",IF($AG374=Constants!$B$7,IF(ISNUMBER(AS374),RANK(AS374,$AS$8:$AS$507),Constants!$B$14),$AG374))</f>
        <v/>
      </c>
      <c r="AU374" s="66" t="str">
        <f aca="false">IF(ISBLANK($C374), "",AM374)</f>
        <v/>
      </c>
      <c r="AV374" s="66" t="str">
        <f aca="false">IF(ISBLANK($C374),"",IF($AG374=Constants!$B$7,RANK(AU374,AU$8:AU$507),$AG374))</f>
        <v/>
      </c>
      <c r="AW374" s="66" t="str">
        <f aca="false">IF(ISBLANK($C374), "",AR374)</f>
        <v/>
      </c>
      <c r="AX374" s="66" t="str">
        <f aca="false">IF(ISBLANK($C374),"",IF($AG374=Constants!$B$7,RANK(AW374,AW$8:AW$507),$AG374))</f>
        <v/>
      </c>
      <c r="AY374" s="66" t="str">
        <f aca="false">IF(ISBLANK($C374), "",AE374)</f>
        <v/>
      </c>
      <c r="AZ374" s="66" t="str">
        <f aca="false">IF(ISBLANK($C374),"",
IF($AG374=Constants!$B$7,
  IF(ISNUMBER(AT374),
    COUNTIFS($AT$8:$AT$507,"&lt;"&amp;$AT374)
    + COUNTIFS($AT$8:$AT$507,$AT374,$AV$8:$AV$507,"&lt;"&amp;$AV374)
    + COUNTIFS($AT$8:$AT$507,$AT374,$AV$8:$AV$507,$AV374,$AX$8:$AX$507,"&lt;"&amp;$AX374)
    + COUNTIFS($AT$8:$AT$507,$AT374,$AV$8:$AV$507,$AV374,$AX$8:$AX$507,$AX374,$AY$8:$AY$507,"&lt;"&amp;$AY374)
    + 1,
  Constants!$B$14),
$AG374))</f>
        <v/>
      </c>
      <c r="BA374" s="66" t="str">
        <f aca="false">IF(ISBLANK(C374),"",IF($AG374=Constants!$B$7, IF(ISNUMBER(AT374),AT374-AZ374,Constants!$B$14),$AG374))</f>
        <v/>
      </c>
      <c r="BB374" s="70"/>
      <c r="BC374" s="84" t="str">
        <f aca="false">IF(ISBLANK($C374),"",TRIM(AK374&amp;" "&amp;AO374))</f>
        <v/>
      </c>
      <c r="BD374" s="72" t="str">
        <f aca="false">IF(ISBLANK($C374),"",IF($AG374&lt;&gt;Constants!$B$7,$AG374,AR374))</f>
        <v/>
      </c>
      <c r="BE374" s="72" t="str">
        <f aca="false">IF(ISBLANK($C374),"",IF($AG374&lt;&gt;Constants!$B$7,$AG374,AM374))</f>
        <v/>
      </c>
      <c r="BF374" s="72" t="str">
        <f aca="false">IF(ISBLANK($C374),"",IF($AG374&lt;&gt;Constants!$B$7,$AG374,AQ374))</f>
        <v/>
      </c>
      <c r="BG374" s="73" t="str">
        <f aca="false">IF(ISBLANK($C374),"",IF($AG374&lt;&gt;Constants!$B$7, $AG374 ,AS374))</f>
        <v/>
      </c>
      <c r="BH374" s="74" t="str">
        <f aca="false">IF(ISBLANK($C374),"",IF($AG374&lt;&gt;Constants!$B$7, $AG374 ,AH374))</f>
        <v/>
      </c>
      <c r="BI374" s="72" t="str">
        <f aca="false">IF(ISBLANK(C374),"",BA374)</f>
        <v/>
      </c>
      <c r="BJ374" s="72" t="str">
        <f aca="false">IF(ISBLANK(C374),"",AZ374)</f>
        <v/>
      </c>
      <c r="BK374" s="75" t="str">
        <f aca="false">IF(ISBLANK(C374),"",IFERROR(_xlfn.SWITCH(BJ374, Constants!$B$4, COUNTA($C$8:$C873)+2, Constants!$B$5, COUNTA($C$8:$C873)+1, Constants!$B$6, COUNTA($C$8:$C873)),BJ374))</f>
        <v/>
      </c>
      <c r="BL374" s="5"/>
      <c r="BM374" s="76" t="n">
        <f aca="false">IF(OR(ISNUMBER(BJ374),BJ374="DQ",BJ374="P",BJ374="NS"),
    1,
    0
)</f>
        <v>0</v>
      </c>
      <c r="BN374" s="76" t="n">
        <v>367</v>
      </c>
      <c r="BO374" s="76" t="str">
        <f aca="false">IF(ISBLANK($C374),"",IF(ISNUMBER(BK374),BK374+ROW($B374)/1000,""))</f>
        <v/>
      </c>
      <c r="BP374" s="76" t="str">
        <f aca="false">IF(ISNUMBER(BO374), RANK(BO374,BO$8:BO$507,1), "")</f>
        <v/>
      </c>
      <c r="BQ374" s="76" t="str">
        <f aca="false">IF(ISBLANK($C374),
    "",
    $B374
)</f>
        <v/>
      </c>
      <c r="BR374" s="76" t="str">
        <f aca="false">IF(ISBLANK($C374),
    "",
    $C374
)</f>
        <v/>
      </c>
      <c r="BS374" s="76" t="str">
        <f aca="false">IF(ISBLANK($C374),
    "",
    $D374
)</f>
        <v/>
      </c>
      <c r="BT374" s="77" t="str">
        <f aca="false">BH374</f>
        <v/>
      </c>
      <c r="BU374" s="78" t="str">
        <f aca="false">BG374</f>
        <v/>
      </c>
      <c r="BV374" s="76" t="str">
        <f aca="false">IF(ISBLANK($C374),
    "",
    BJ374
)</f>
        <v/>
      </c>
      <c r="BW374" s="79" t="str">
        <f aca="false">IF(BN374&gt;BM$7,
    "",
    VLOOKUP(BN374,BP$8:BV873,7,FALSE())
)</f>
        <v/>
      </c>
      <c r="BX374" s="80" t="str">
        <f aca="false">IF(BN374&gt;BM$7,
    "",
    VLOOKUP(BN374,BP$8:BV873,2,FALSE())
)</f>
        <v/>
      </c>
      <c r="BY374" s="80" t="str">
        <f aca="false">IF(BN374&gt;BM$7,
    "",
    VLOOKUP(BN374,BP$8:BV873,3,FALSE())
)</f>
        <v/>
      </c>
      <c r="BZ374" s="80" t="str">
        <f aca="false">IF(BN374&gt;BM$7,
    "",
    VLOOKUP(BN374,BP$8:BV873,4,FALSE())
)</f>
        <v/>
      </c>
      <c r="CA374" s="80" t="str">
        <f aca="false">IF(BN374&gt;BM$7,
    "",
    VLOOKUP(BN374,BP$8:BV873,5,FALSE())
)</f>
        <v/>
      </c>
      <c r="CB374" s="81" t="str">
        <f aca="false">IF(BN374&gt;BM$7,
    "",
    VLOOKUP(BN374,BP$8:BV873,6,FALSE())
)</f>
        <v/>
      </c>
      <c r="CC374" s="53"/>
    </row>
    <row r="375" customFormat="false" ht="15.75" hidden="false" customHeight="false" outlineLevel="0" collapsed="false">
      <c r="A375" s="5"/>
      <c r="B375" s="129"/>
      <c r="C375" s="55"/>
      <c r="D375" s="56"/>
      <c r="E375" s="123"/>
      <c r="F375" s="123"/>
      <c r="G375" s="58"/>
      <c r="H375" s="59"/>
      <c r="I375" s="59"/>
      <c r="J375" s="83"/>
      <c r="K375" s="83"/>
      <c r="L375" s="83"/>
      <c r="M375" s="61"/>
      <c r="N375" s="61"/>
      <c r="O375" s="61"/>
      <c r="P375" s="62"/>
      <c r="Q375" s="63"/>
      <c r="R375" s="83"/>
      <c r="S375" s="65"/>
      <c r="T375" s="66"/>
      <c r="U375" s="66" t="str">
        <f aca="false">IF(ISBLANK($C375),"",IF(G375=Constants!$B$2, TRUE(), IF(G375=Constants!$B$3, FALSE(), TRUE())))</f>
        <v/>
      </c>
      <c r="V375" s="66" t="str">
        <f aca="false">IF(ISBLANK($C375),"",IF(H375=Constants!$B$2, TRUE(), IF(H375=Constants!$B$3, FALSE(), TRUE())))</f>
        <v/>
      </c>
      <c r="W375" s="66" t="str">
        <f aca="false">IF(ISBLANK($C375),"",IF(I375=Constants!$B$2, TRUE(), IF(I375=Constants!$B$3, FALSE(), TRUE())))</f>
        <v/>
      </c>
      <c r="X375" s="66" t="str">
        <f aca="false">IF(ISBLANK($C375),"",IF(AND(ISNUMBER(J375),J375&gt;0),INT(J375),0))</f>
        <v/>
      </c>
      <c r="Y375" s="66" t="str">
        <f aca="false">IF(ISBLANK($C375),"",IF(K375=Constants!$B$2, TRUE(), IF(K375=Constants!$B$3, FALSE(), TRUE())))</f>
        <v/>
      </c>
      <c r="Z375" s="66" t="str">
        <f aca="false">IF(ISBLANK($C375),"",IF(AND(ISNUMBER(L375),L375&gt;0),INT(L375),0))</f>
        <v/>
      </c>
      <c r="AA375" s="68" t="str">
        <f aca="false">IF(ISBLANK($C375),"",IF(ISNUMBER(M375), M375, ""))</f>
        <v/>
      </c>
      <c r="AB375" s="68" t="str">
        <f aca="false">IF(ISBLANK($C375),"",IF(ISNUMBER(N375), N375, ""))</f>
        <v/>
      </c>
      <c r="AC375" s="68" t="str">
        <f aca="false">IF(ISBLANK($C375),"",IF(ISNUMBER(O375), O375, ""))</f>
        <v/>
      </c>
      <c r="AD375" s="69" t="str">
        <f aca="false">IF(ISBLANK($C375),"",IF(ISNUMBER(P375), P375, ""))</f>
        <v/>
      </c>
      <c r="AE375" s="69" t="str">
        <f aca="false">IF(ISBLANK($C375),"",IF(ISNUMBER(Q375), Q375, Constants!$B$13))</f>
        <v/>
      </c>
      <c r="AF375" s="66" t="str">
        <f aca="false">IF(ISBLANK($C375),"",IF(R375=Constants!$B$2, TRUE(), IF(R375=Constants!$B$3, FALSE(), FALSE())))</f>
        <v/>
      </c>
      <c r="AG375" s="66" t="str">
        <f aca="false">IF(ISBLANK(C375), "", IF(AF375, Constants!$B$4,IF(COUNTA(G375:P375)=0, Constants!$B$5, Constants!$B$7)))</f>
        <v/>
      </c>
      <c r="AH375" s="66" t="str">
        <f aca="false">IF(ISBLANK($C375), "",IF($AG375=Constants!$B$7,1,$AG375))</f>
        <v/>
      </c>
      <c r="AI375" s="66" t="str">
        <f aca="false">IF($AG375=Constants!$B$7,POWER(Constants!$B$11,X375)*POWER(Constants!$B$12,Z375),"")</f>
        <v/>
      </c>
      <c r="AJ375" s="66" t="str">
        <f aca="false">IF(AND($AG375=Constants!$B$7, U375, V375) ,IF(OR($AA375="",$AC375=""),"",MAX(0, $AC375-$AA375)),"")</f>
        <v/>
      </c>
      <c r="AK375" s="66" t="str">
        <f aca="false">IF(AND($AG375=Constants!$B$7, U375, V375),IF(OR($AA375="",$AC375=""),$AK$6,""),"")</f>
        <v/>
      </c>
      <c r="AL375" s="66" t="str">
        <f aca="false">IF($AG375=Constants!$B$7,IF(AND(U375,V375,W375,Y375),IF($AJ375="",0,IF($AJ$6=0,Constants!$B$9,Constants!$B$9*AJ375/$AJ$6)), 0),"")</f>
        <v/>
      </c>
      <c r="AM375" s="66" t="str">
        <f aca="false">IF(AL375&lt;&gt;"", AL375*AI375,"")</f>
        <v/>
      </c>
      <c r="AN375" s="66" t="str">
        <f aca="false">IF(AND($AG375=Constants!$B$7, U375, V375) ,IF($AB375="", "", IF(OR($AC375="",$AC375=0),"",MAX(0,1-ABS($AC375-$AB375)/$AC375))),"")</f>
        <v/>
      </c>
      <c r="AO375" s="66" t="str">
        <f aca="false">IF(AND($AG375=Constants!$B$7, U375, V375),IF(AND($AA375&lt;&gt;"",$AB375&lt;&gt;"",$AC375=0),$AO$6,""),"")</f>
        <v/>
      </c>
      <c r="AP375" s="66" t="str">
        <f aca="false">IF($AG375=Constants!$B$7 ,IF(AND(U375,V375,W375,Y375,ISNUMBER(AB375)),IF($AN375="",0,IF($AN$6=0,Constants!$B$10,Constants!$B$10*AN375/$AN$6)), 0),"")</f>
        <v/>
      </c>
      <c r="AQ375" s="66" t="str">
        <f aca="false">IF(AP375&lt;&gt;"", AP375*AI375,"")</f>
        <v/>
      </c>
      <c r="AR375" s="66" t="str">
        <f aca="false">IF($AG375=Constants!$B$7,IF($AD375="",0,IF($AR$6=0,Constants!$B$8,Constants!$B$8*AD375/$AR$6)),"")</f>
        <v/>
      </c>
      <c r="AS375" s="66" t="str">
        <f aca="false">IF($AG375&lt;&gt;Constants!$B$7,$AG375,IF(AK375&amp;AO375&lt;&gt;"",Constants!$B$14,AM375+AQ375+AR375))</f>
        <v/>
      </c>
      <c r="AT375" s="66" t="str">
        <f aca="false">IF(ISBLANK($C375),"",IF($AG375=Constants!$B$7,IF(ISNUMBER(AS375),RANK(AS375,$AS$8:$AS$507),Constants!$B$14),$AG375))</f>
        <v/>
      </c>
      <c r="AU375" s="66" t="str">
        <f aca="false">IF(ISBLANK($C375), "",AM375)</f>
        <v/>
      </c>
      <c r="AV375" s="66" t="str">
        <f aca="false">IF(ISBLANK($C375),"",IF($AG375=Constants!$B$7,RANK(AU375,AU$8:AU$507),$AG375))</f>
        <v/>
      </c>
      <c r="AW375" s="66" t="str">
        <f aca="false">IF(ISBLANK($C375), "",AR375)</f>
        <v/>
      </c>
      <c r="AX375" s="66" t="str">
        <f aca="false">IF(ISBLANK($C375),"",IF($AG375=Constants!$B$7,RANK(AW375,AW$8:AW$507),$AG375))</f>
        <v/>
      </c>
      <c r="AY375" s="66" t="str">
        <f aca="false">IF(ISBLANK($C375), "",AE375)</f>
        <v/>
      </c>
      <c r="AZ375" s="66" t="str">
        <f aca="false">IF(ISBLANK($C375),"",
IF($AG375=Constants!$B$7,
  IF(ISNUMBER(AT375),
    COUNTIFS($AT$8:$AT$507,"&lt;"&amp;$AT375)
    + COUNTIFS($AT$8:$AT$507,$AT375,$AV$8:$AV$507,"&lt;"&amp;$AV375)
    + COUNTIFS($AT$8:$AT$507,$AT375,$AV$8:$AV$507,$AV375,$AX$8:$AX$507,"&lt;"&amp;$AX375)
    + COUNTIFS($AT$8:$AT$507,$AT375,$AV$8:$AV$507,$AV375,$AX$8:$AX$507,$AX375,$AY$8:$AY$507,"&lt;"&amp;$AY375)
    + 1,
  Constants!$B$14),
$AG375))</f>
        <v/>
      </c>
      <c r="BA375" s="66" t="str">
        <f aca="false">IF(ISBLANK(C375),"",IF($AG375=Constants!$B$7, IF(ISNUMBER(AT375),AT375-AZ375,Constants!$B$14),$AG375))</f>
        <v/>
      </c>
      <c r="BB375" s="70"/>
      <c r="BC375" s="84" t="str">
        <f aca="false">IF(ISBLANK($C375),"",TRIM(AK375&amp;" "&amp;AO375))</f>
        <v/>
      </c>
      <c r="BD375" s="72" t="str">
        <f aca="false">IF(ISBLANK($C375),"",IF($AG375&lt;&gt;Constants!$B$7,$AG375,AR375))</f>
        <v/>
      </c>
      <c r="BE375" s="72" t="str">
        <f aca="false">IF(ISBLANK($C375),"",IF($AG375&lt;&gt;Constants!$B$7,$AG375,AM375))</f>
        <v/>
      </c>
      <c r="BF375" s="72" t="str">
        <f aca="false">IF(ISBLANK($C375),"",IF($AG375&lt;&gt;Constants!$B$7,$AG375,AQ375))</f>
        <v/>
      </c>
      <c r="BG375" s="73" t="str">
        <f aca="false">IF(ISBLANK($C375),"",IF($AG375&lt;&gt;Constants!$B$7, $AG375 ,AS375))</f>
        <v/>
      </c>
      <c r="BH375" s="74" t="str">
        <f aca="false">IF(ISBLANK($C375),"",IF($AG375&lt;&gt;Constants!$B$7, $AG375 ,AH375))</f>
        <v/>
      </c>
      <c r="BI375" s="72" t="str">
        <f aca="false">IF(ISBLANK(C375),"",BA375)</f>
        <v/>
      </c>
      <c r="BJ375" s="72" t="str">
        <f aca="false">IF(ISBLANK(C375),"",AZ375)</f>
        <v/>
      </c>
      <c r="BK375" s="75" t="str">
        <f aca="false">IF(ISBLANK(C375),"",IFERROR(_xlfn.SWITCH(BJ375, Constants!$B$4, COUNTA($C$8:$C874)+2, Constants!$B$5, COUNTA($C$8:$C874)+1, Constants!$B$6, COUNTA($C$8:$C874)),BJ375))</f>
        <v/>
      </c>
      <c r="BL375" s="5"/>
      <c r="BM375" s="76" t="n">
        <f aca="false">IF(OR(ISNUMBER(BJ375),BJ375="DQ",BJ375="P",BJ375="NS"),
    1,
    0
)</f>
        <v>0</v>
      </c>
      <c r="BN375" s="76" t="n">
        <v>368</v>
      </c>
      <c r="BO375" s="76" t="str">
        <f aca="false">IF(ISBLANK($C375),"",IF(ISNUMBER(BK375),BK375+ROW($B375)/1000,""))</f>
        <v/>
      </c>
      <c r="BP375" s="76" t="str">
        <f aca="false">IF(ISNUMBER(BO375), RANK(BO375,BO$8:BO$507,1), "")</f>
        <v/>
      </c>
      <c r="BQ375" s="76" t="str">
        <f aca="false">IF(ISBLANK($C375),
    "",
    $B375
)</f>
        <v/>
      </c>
      <c r="BR375" s="76" t="str">
        <f aca="false">IF(ISBLANK($C375),
    "",
    $C375
)</f>
        <v/>
      </c>
      <c r="BS375" s="76" t="str">
        <f aca="false">IF(ISBLANK($C375),
    "",
    $D375
)</f>
        <v/>
      </c>
      <c r="BT375" s="77" t="str">
        <f aca="false">BH375</f>
        <v/>
      </c>
      <c r="BU375" s="78" t="str">
        <f aca="false">BG375</f>
        <v/>
      </c>
      <c r="BV375" s="76" t="str">
        <f aca="false">IF(ISBLANK($C375),
    "",
    BJ375
)</f>
        <v/>
      </c>
      <c r="BW375" s="79" t="str">
        <f aca="false">IF(BN375&gt;BM$7,
    "",
    VLOOKUP(BN375,BP$8:BV874,7,FALSE())
)</f>
        <v/>
      </c>
      <c r="BX375" s="80" t="str">
        <f aca="false">IF(BN375&gt;BM$7,
    "",
    VLOOKUP(BN375,BP$8:BV874,2,FALSE())
)</f>
        <v/>
      </c>
      <c r="BY375" s="80" t="str">
        <f aca="false">IF(BN375&gt;BM$7,
    "",
    VLOOKUP(BN375,BP$8:BV874,3,FALSE())
)</f>
        <v/>
      </c>
      <c r="BZ375" s="80" t="str">
        <f aca="false">IF(BN375&gt;BM$7,
    "",
    VLOOKUP(BN375,BP$8:BV874,4,FALSE())
)</f>
        <v/>
      </c>
      <c r="CA375" s="80" t="str">
        <f aca="false">IF(BN375&gt;BM$7,
    "",
    VLOOKUP(BN375,BP$8:BV874,5,FALSE())
)</f>
        <v/>
      </c>
      <c r="CB375" s="81" t="str">
        <f aca="false">IF(BN375&gt;BM$7,
    "",
    VLOOKUP(BN375,BP$8:BV874,6,FALSE())
)</f>
        <v/>
      </c>
      <c r="CC375" s="53"/>
    </row>
    <row r="376" customFormat="false" ht="15.75" hidden="false" customHeight="false" outlineLevel="0" collapsed="false">
      <c r="A376" s="5"/>
      <c r="B376" s="129"/>
      <c r="C376" s="55"/>
      <c r="D376" s="56"/>
      <c r="E376" s="123"/>
      <c r="F376" s="123"/>
      <c r="G376" s="58"/>
      <c r="H376" s="59"/>
      <c r="I376" s="59"/>
      <c r="J376" s="83"/>
      <c r="K376" s="83"/>
      <c r="L376" s="83"/>
      <c r="M376" s="61"/>
      <c r="N376" s="61"/>
      <c r="O376" s="61"/>
      <c r="P376" s="62"/>
      <c r="Q376" s="63"/>
      <c r="R376" s="83"/>
      <c r="S376" s="65"/>
      <c r="T376" s="66"/>
      <c r="U376" s="66" t="str">
        <f aca="false">IF(ISBLANK($C376),"",IF(G376=Constants!$B$2, TRUE(), IF(G376=Constants!$B$3, FALSE(), TRUE())))</f>
        <v/>
      </c>
      <c r="V376" s="66" t="str">
        <f aca="false">IF(ISBLANK($C376),"",IF(H376=Constants!$B$2, TRUE(), IF(H376=Constants!$B$3, FALSE(), TRUE())))</f>
        <v/>
      </c>
      <c r="W376" s="66" t="str">
        <f aca="false">IF(ISBLANK($C376),"",IF(I376=Constants!$B$2, TRUE(), IF(I376=Constants!$B$3, FALSE(), TRUE())))</f>
        <v/>
      </c>
      <c r="X376" s="66" t="str">
        <f aca="false">IF(ISBLANK($C376),"",IF(AND(ISNUMBER(J376),J376&gt;0),INT(J376),0))</f>
        <v/>
      </c>
      <c r="Y376" s="66" t="str">
        <f aca="false">IF(ISBLANK($C376),"",IF(K376=Constants!$B$2, TRUE(), IF(K376=Constants!$B$3, FALSE(), TRUE())))</f>
        <v/>
      </c>
      <c r="Z376" s="66" t="str">
        <f aca="false">IF(ISBLANK($C376),"",IF(AND(ISNUMBER(L376),L376&gt;0),INT(L376),0))</f>
        <v/>
      </c>
      <c r="AA376" s="68" t="str">
        <f aca="false">IF(ISBLANK($C376),"",IF(ISNUMBER(M376), M376, ""))</f>
        <v/>
      </c>
      <c r="AB376" s="68" t="str">
        <f aca="false">IF(ISBLANK($C376),"",IF(ISNUMBER(N376), N376, ""))</f>
        <v/>
      </c>
      <c r="AC376" s="68" t="str">
        <f aca="false">IF(ISBLANK($C376),"",IF(ISNUMBER(O376), O376, ""))</f>
        <v/>
      </c>
      <c r="AD376" s="69" t="str">
        <f aca="false">IF(ISBLANK($C376),"",IF(ISNUMBER(P376), P376, ""))</f>
        <v/>
      </c>
      <c r="AE376" s="69" t="str">
        <f aca="false">IF(ISBLANK($C376),"",IF(ISNUMBER(Q376), Q376, Constants!$B$13))</f>
        <v/>
      </c>
      <c r="AF376" s="66" t="str">
        <f aca="false">IF(ISBLANK($C376),"",IF(R376=Constants!$B$2, TRUE(), IF(R376=Constants!$B$3, FALSE(), FALSE())))</f>
        <v/>
      </c>
      <c r="AG376" s="66" t="str">
        <f aca="false">IF(ISBLANK(C376), "", IF(AF376, Constants!$B$4,IF(COUNTA(G376:P376)=0, Constants!$B$5, Constants!$B$7)))</f>
        <v/>
      </c>
      <c r="AH376" s="66" t="str">
        <f aca="false">IF(ISBLANK($C376), "",IF($AG376=Constants!$B$7,1,$AG376))</f>
        <v/>
      </c>
      <c r="AI376" s="66" t="str">
        <f aca="false">IF($AG376=Constants!$B$7,POWER(Constants!$B$11,X376)*POWER(Constants!$B$12,Z376),"")</f>
        <v/>
      </c>
      <c r="AJ376" s="66" t="str">
        <f aca="false">IF(AND($AG376=Constants!$B$7, U376, V376) ,IF(OR($AA376="",$AC376=""),"",MAX(0, $AC376-$AA376)),"")</f>
        <v/>
      </c>
      <c r="AK376" s="66" t="str">
        <f aca="false">IF(AND($AG376=Constants!$B$7, U376, V376),IF(OR($AA376="",$AC376=""),$AK$6,""),"")</f>
        <v/>
      </c>
      <c r="AL376" s="66" t="str">
        <f aca="false">IF($AG376=Constants!$B$7,IF(AND(U376,V376,W376,Y376),IF($AJ376="",0,IF($AJ$6=0,Constants!$B$9,Constants!$B$9*AJ376/$AJ$6)), 0),"")</f>
        <v/>
      </c>
      <c r="AM376" s="66" t="str">
        <f aca="false">IF(AL376&lt;&gt;"", AL376*AI376,"")</f>
        <v/>
      </c>
      <c r="AN376" s="66" t="str">
        <f aca="false">IF(AND($AG376=Constants!$B$7, U376, V376) ,IF($AB376="", "", IF(OR($AC376="",$AC376=0),"",MAX(0,1-ABS($AC376-$AB376)/$AC376))),"")</f>
        <v/>
      </c>
      <c r="AO376" s="66" t="str">
        <f aca="false">IF(AND($AG376=Constants!$B$7, U376, V376),IF(AND($AA376&lt;&gt;"",$AB376&lt;&gt;"",$AC376=0),$AO$6,""),"")</f>
        <v/>
      </c>
      <c r="AP376" s="66" t="str">
        <f aca="false">IF($AG376=Constants!$B$7 ,IF(AND(U376,V376,W376,Y376,ISNUMBER(AB376)),IF($AN376="",0,IF($AN$6=0,Constants!$B$10,Constants!$B$10*AN376/$AN$6)), 0),"")</f>
        <v/>
      </c>
      <c r="AQ376" s="66" t="str">
        <f aca="false">IF(AP376&lt;&gt;"", AP376*AI376,"")</f>
        <v/>
      </c>
      <c r="AR376" s="66" t="str">
        <f aca="false">IF($AG376=Constants!$B$7,IF($AD376="",0,IF($AR$6=0,Constants!$B$8,Constants!$B$8*AD376/$AR$6)),"")</f>
        <v/>
      </c>
      <c r="AS376" s="66" t="str">
        <f aca="false">IF($AG376&lt;&gt;Constants!$B$7,$AG376,IF(AK376&amp;AO376&lt;&gt;"",Constants!$B$14,AM376+AQ376+AR376))</f>
        <v/>
      </c>
      <c r="AT376" s="66" t="str">
        <f aca="false">IF(ISBLANK($C376),"",IF($AG376=Constants!$B$7,IF(ISNUMBER(AS376),RANK(AS376,$AS$8:$AS$507),Constants!$B$14),$AG376))</f>
        <v/>
      </c>
      <c r="AU376" s="66" t="str">
        <f aca="false">IF(ISBLANK($C376), "",AM376)</f>
        <v/>
      </c>
      <c r="AV376" s="66" t="str">
        <f aca="false">IF(ISBLANK($C376),"",IF($AG376=Constants!$B$7,RANK(AU376,AU$8:AU$507),$AG376))</f>
        <v/>
      </c>
      <c r="AW376" s="66" t="str">
        <f aca="false">IF(ISBLANK($C376), "",AR376)</f>
        <v/>
      </c>
      <c r="AX376" s="66" t="str">
        <f aca="false">IF(ISBLANK($C376),"",IF($AG376=Constants!$B$7,RANK(AW376,AW$8:AW$507),$AG376))</f>
        <v/>
      </c>
      <c r="AY376" s="66" t="str">
        <f aca="false">IF(ISBLANK($C376), "",AE376)</f>
        <v/>
      </c>
      <c r="AZ376" s="66" t="str">
        <f aca="false">IF(ISBLANK($C376),"",
IF($AG376=Constants!$B$7,
  IF(ISNUMBER(AT376),
    COUNTIFS($AT$8:$AT$507,"&lt;"&amp;$AT376)
    + COUNTIFS($AT$8:$AT$507,$AT376,$AV$8:$AV$507,"&lt;"&amp;$AV376)
    + COUNTIFS($AT$8:$AT$507,$AT376,$AV$8:$AV$507,$AV376,$AX$8:$AX$507,"&lt;"&amp;$AX376)
    + COUNTIFS($AT$8:$AT$507,$AT376,$AV$8:$AV$507,$AV376,$AX$8:$AX$507,$AX376,$AY$8:$AY$507,"&lt;"&amp;$AY376)
    + 1,
  Constants!$B$14),
$AG376))</f>
        <v/>
      </c>
      <c r="BA376" s="66" t="str">
        <f aca="false">IF(ISBLANK(C376),"",IF($AG376=Constants!$B$7, IF(ISNUMBER(AT376),AT376-AZ376,Constants!$B$14),$AG376))</f>
        <v/>
      </c>
      <c r="BB376" s="70"/>
      <c r="BC376" s="84" t="str">
        <f aca="false">IF(ISBLANK($C376),"",TRIM(AK376&amp;" "&amp;AO376))</f>
        <v/>
      </c>
      <c r="BD376" s="72" t="str">
        <f aca="false">IF(ISBLANK($C376),"",IF($AG376&lt;&gt;Constants!$B$7,$AG376,AR376))</f>
        <v/>
      </c>
      <c r="BE376" s="72" t="str">
        <f aca="false">IF(ISBLANK($C376),"",IF($AG376&lt;&gt;Constants!$B$7,$AG376,AM376))</f>
        <v/>
      </c>
      <c r="BF376" s="72" t="str">
        <f aca="false">IF(ISBLANK($C376),"",IF($AG376&lt;&gt;Constants!$B$7,$AG376,AQ376))</f>
        <v/>
      </c>
      <c r="BG376" s="73" t="str">
        <f aca="false">IF(ISBLANK($C376),"",IF($AG376&lt;&gt;Constants!$B$7, $AG376 ,AS376))</f>
        <v/>
      </c>
      <c r="BH376" s="74" t="str">
        <f aca="false">IF(ISBLANK($C376),"",IF($AG376&lt;&gt;Constants!$B$7, $AG376 ,AH376))</f>
        <v/>
      </c>
      <c r="BI376" s="72" t="str">
        <f aca="false">IF(ISBLANK(C376),"",BA376)</f>
        <v/>
      </c>
      <c r="BJ376" s="72" t="str">
        <f aca="false">IF(ISBLANK(C376),"",AZ376)</f>
        <v/>
      </c>
      <c r="BK376" s="75" t="str">
        <f aca="false">IF(ISBLANK(C376),"",IFERROR(_xlfn.SWITCH(BJ376, Constants!$B$4, COUNTA($C$8:$C875)+2, Constants!$B$5, COUNTA($C$8:$C875)+1, Constants!$B$6, COUNTA($C$8:$C875)),BJ376))</f>
        <v/>
      </c>
      <c r="BL376" s="5"/>
      <c r="BM376" s="76" t="n">
        <f aca="false">IF(OR(ISNUMBER(BJ376),BJ376="DQ",BJ376="P",BJ376="NS"),
    1,
    0
)</f>
        <v>0</v>
      </c>
      <c r="BN376" s="76" t="n">
        <v>369</v>
      </c>
      <c r="BO376" s="76" t="str">
        <f aca="false">IF(ISBLANK($C376),"",IF(ISNUMBER(BK376),BK376+ROW($B376)/1000,""))</f>
        <v/>
      </c>
      <c r="BP376" s="76" t="str">
        <f aca="false">IF(ISNUMBER(BO376), RANK(BO376,BO$8:BO$507,1), "")</f>
        <v/>
      </c>
      <c r="BQ376" s="76" t="str">
        <f aca="false">IF(ISBLANK($C376),
    "",
    $B376
)</f>
        <v/>
      </c>
      <c r="BR376" s="76" t="str">
        <f aca="false">IF(ISBLANK($C376),
    "",
    $C376
)</f>
        <v/>
      </c>
      <c r="BS376" s="76" t="str">
        <f aca="false">IF(ISBLANK($C376),
    "",
    $D376
)</f>
        <v/>
      </c>
      <c r="BT376" s="77" t="str">
        <f aca="false">BH376</f>
        <v/>
      </c>
      <c r="BU376" s="78" t="str">
        <f aca="false">BG376</f>
        <v/>
      </c>
      <c r="BV376" s="76" t="str">
        <f aca="false">IF(ISBLANK($C376),
    "",
    BJ376
)</f>
        <v/>
      </c>
      <c r="BW376" s="79" t="str">
        <f aca="false">IF(BN376&gt;BM$7,
    "",
    VLOOKUP(BN376,BP$8:BV875,7,FALSE())
)</f>
        <v/>
      </c>
      <c r="BX376" s="80" t="str">
        <f aca="false">IF(BN376&gt;BM$7,
    "",
    VLOOKUP(BN376,BP$8:BV875,2,FALSE())
)</f>
        <v/>
      </c>
      <c r="BY376" s="80" t="str">
        <f aca="false">IF(BN376&gt;BM$7,
    "",
    VLOOKUP(BN376,BP$8:BV875,3,FALSE())
)</f>
        <v/>
      </c>
      <c r="BZ376" s="80" t="str">
        <f aca="false">IF(BN376&gt;BM$7,
    "",
    VLOOKUP(BN376,BP$8:BV875,4,FALSE())
)</f>
        <v/>
      </c>
      <c r="CA376" s="80" t="str">
        <f aca="false">IF(BN376&gt;BM$7,
    "",
    VLOOKUP(BN376,BP$8:BV875,5,FALSE())
)</f>
        <v/>
      </c>
      <c r="CB376" s="81" t="str">
        <f aca="false">IF(BN376&gt;BM$7,
    "",
    VLOOKUP(BN376,BP$8:BV875,6,FALSE())
)</f>
        <v/>
      </c>
      <c r="CC376" s="53"/>
    </row>
    <row r="377" customFormat="false" ht="15.75" hidden="false" customHeight="false" outlineLevel="0" collapsed="false">
      <c r="A377" s="5"/>
      <c r="B377" s="125"/>
      <c r="C377" s="126"/>
      <c r="D377" s="115"/>
      <c r="E377" s="119"/>
      <c r="F377" s="119"/>
      <c r="G377" s="91"/>
      <c r="H377" s="92"/>
      <c r="I377" s="92"/>
      <c r="J377" s="128"/>
      <c r="K377" s="128"/>
      <c r="L377" s="128"/>
      <c r="M377" s="94"/>
      <c r="N377" s="94"/>
      <c r="O377" s="94"/>
      <c r="P377" s="95"/>
      <c r="Q377" s="96"/>
      <c r="R377" s="128"/>
      <c r="S377" s="98"/>
      <c r="T377" s="99"/>
      <c r="U377" s="99" t="str">
        <f aca="false">IF(ISBLANK($C377),"",IF(G377=Constants!$B$2, TRUE(), IF(G377=Constants!$B$3, FALSE(), TRUE())))</f>
        <v/>
      </c>
      <c r="V377" s="99" t="str">
        <f aca="false">IF(ISBLANK($C377),"",IF(H377=Constants!$B$2, TRUE(), IF(H377=Constants!$B$3, FALSE(), TRUE())))</f>
        <v/>
      </c>
      <c r="W377" s="99" t="str">
        <f aca="false">IF(ISBLANK($C377),"",IF(I377=Constants!$B$2, TRUE(), IF(I377=Constants!$B$3, FALSE(), TRUE())))</f>
        <v/>
      </c>
      <c r="X377" s="99" t="str">
        <f aca="false">IF(ISBLANK($C377),"",IF(AND(ISNUMBER(J377),J377&gt;0),INT(J377),0))</f>
        <v/>
      </c>
      <c r="Y377" s="99" t="str">
        <f aca="false">IF(ISBLANK($C377),"",IF(K377=Constants!$B$2, TRUE(), IF(K377=Constants!$B$3, FALSE(), TRUE())))</f>
        <v/>
      </c>
      <c r="Z377" s="100" t="str">
        <f aca="false">IF(ISBLANK($C377),"",IF(AND(ISNUMBER(L377),L377&gt;0),INT(L377),0))</f>
        <v/>
      </c>
      <c r="AA377" s="101" t="str">
        <f aca="false">IF(ISBLANK($C377),"",IF(ISNUMBER(M377), M377, ""))</f>
        <v/>
      </c>
      <c r="AB377" s="101" t="str">
        <f aca="false">IF(ISBLANK($C377),"",IF(ISNUMBER(N377), N377, ""))</f>
        <v/>
      </c>
      <c r="AC377" s="101" t="str">
        <f aca="false">IF(ISBLANK($C377),"",IF(ISNUMBER(O377), O377, ""))</f>
        <v/>
      </c>
      <c r="AD377" s="102" t="str">
        <f aca="false">IF(ISBLANK($C377),"",IF(ISNUMBER(P377), P377, ""))</f>
        <v/>
      </c>
      <c r="AE377" s="102" t="str">
        <f aca="false">IF(ISBLANK($C377),"",IF(ISNUMBER(Q377), Q377, Constants!$B$13))</f>
        <v/>
      </c>
      <c r="AF377" s="99" t="str">
        <f aca="false">IF(ISBLANK($C377),"",IF(R377=Constants!$B$2, TRUE(), IF(R377=Constants!$B$3, FALSE(), FALSE())))</f>
        <v/>
      </c>
      <c r="AG377" s="99" t="str">
        <f aca="false">IF(ISBLANK(C377), "", IF(AF377, Constants!$B$4,IF(COUNTA(G377:P377)=0, Constants!$B$5, Constants!$B$7)))</f>
        <v/>
      </c>
      <c r="AH377" s="99" t="str">
        <f aca="false">IF(ISBLANK($C377), "",IF($AG377=Constants!$B$7,1,$AG377))</f>
        <v/>
      </c>
      <c r="AI377" s="99" t="str">
        <f aca="false">IF($AG377=Constants!$B$7,POWER(Constants!$B$11,X377)*POWER(Constants!$B$12,Z377),"")</f>
        <v/>
      </c>
      <c r="AJ377" s="99" t="str">
        <f aca="false">IF(AND($AG377=Constants!$B$7, U377, V377) ,IF(OR($AA377="",$AC377=""),"",MAX(0, $AC377-$AA377)),"")</f>
        <v/>
      </c>
      <c r="AK377" s="99" t="str">
        <f aca="false">IF(AND($AG377=Constants!$B$7, U377, V377),IF(OR($AA377="",$AC377=""),$AK$6,""),"")</f>
        <v/>
      </c>
      <c r="AL377" s="99" t="str">
        <f aca="false">IF($AG377=Constants!$B$7,IF(AND(U377,V377,W377,Y377),IF($AJ377="",0,IF($AJ$6=0,Constants!$B$9,Constants!$B$9*AJ377/$AJ$6)), 0),"")</f>
        <v/>
      </c>
      <c r="AM377" s="99" t="str">
        <f aca="false">IF(AL377&lt;&gt;"", AL377*AI377,"")</f>
        <v/>
      </c>
      <c r="AN377" s="99" t="str">
        <f aca="false">IF(AND($AG377=Constants!$B$7, U377, V377) ,IF($AB377="", "", IF(OR($AC377="",$AC377=0),"",MAX(0,1-ABS($AC377-$AB377)/$AC377))),"")</f>
        <v/>
      </c>
      <c r="AO377" s="99" t="str">
        <f aca="false">IF(AND($AG377=Constants!$B$7, U377, V377),IF(AND($AA377&lt;&gt;"",$AB377&lt;&gt;"",$AC377=0),$AO$6,""),"")</f>
        <v/>
      </c>
      <c r="AP377" s="99" t="str">
        <f aca="false">IF($AG377=Constants!$B$7 ,IF(AND(U377,V377,W377,Y377,ISNUMBER(AB377)),IF($AN377="",0,IF($AN$6=0,Constants!$B$10,Constants!$B$10*AN377/$AN$6)), 0),"")</f>
        <v/>
      </c>
      <c r="AQ377" s="99" t="str">
        <f aca="false">IF(AP377&lt;&gt;"", AP377*AI377,"")</f>
        <v/>
      </c>
      <c r="AR377" s="99" t="str">
        <f aca="false">IF($AG377=Constants!$B$7,IF($AD377="",0,IF($AR$6=0,Constants!$B$8,Constants!$B$8*AD377/$AR$6)),"")</f>
        <v/>
      </c>
      <c r="AS377" s="99" t="str">
        <f aca="false">IF($AG377&lt;&gt;Constants!$B$7,$AG377,IF(AK377&amp;AO377&lt;&gt;"",Constants!$B$14,AM377+AQ377+AR377))</f>
        <v/>
      </c>
      <c r="AT377" s="99" t="str">
        <f aca="false">IF(ISBLANK($C377),"",IF($AG377=Constants!$B$7,IF(ISNUMBER(AS377),RANK(AS377,$AS$8:$AS$507),Constants!$B$14),$AG377))</f>
        <v/>
      </c>
      <c r="AU377" s="99" t="str">
        <f aca="false">IF(ISBLANK($C377), "",AM377)</f>
        <v/>
      </c>
      <c r="AV377" s="99" t="str">
        <f aca="false">IF(ISBLANK($C377),"",IF($AG377=Constants!$B$7,RANK(AU377,AU$8:AU$507),$AG377))</f>
        <v/>
      </c>
      <c r="AW377" s="99" t="str">
        <f aca="false">IF(ISBLANK($C377), "",AR377)</f>
        <v/>
      </c>
      <c r="AX377" s="99" t="str">
        <f aca="false">IF(ISBLANK($C377),"",IF($AG377=Constants!$B$7,RANK(AW377,AW$8:AW$507),$AG377))</f>
        <v/>
      </c>
      <c r="AY377" s="99" t="str">
        <f aca="false">IF(ISBLANK($C377), "",AE377)</f>
        <v/>
      </c>
      <c r="AZ377" s="99" t="str">
        <f aca="false">IF(ISBLANK($C377),"",
IF($AG377=Constants!$B$7,
  IF(ISNUMBER(AT377),
    COUNTIFS($AT$8:$AT$507,"&lt;"&amp;$AT377)
    + COUNTIFS($AT$8:$AT$507,$AT377,$AV$8:$AV$507,"&lt;"&amp;$AV377)
    + COUNTIFS($AT$8:$AT$507,$AT377,$AV$8:$AV$507,$AV377,$AX$8:$AX$507,"&lt;"&amp;$AX377)
    + COUNTIFS($AT$8:$AT$507,$AT377,$AV$8:$AV$507,$AV377,$AX$8:$AX$507,$AX377,$AY$8:$AY$507,"&lt;"&amp;$AY377)
    + 1,
  Constants!$B$14),
$AG377))</f>
        <v/>
      </c>
      <c r="BA377" s="99" t="str">
        <f aca="false">IF(ISBLANK(C377),"",IF($AG377=Constants!$B$7, IF(ISNUMBER(AT377),AT377-AZ377,Constants!$B$14),$AG377))</f>
        <v/>
      </c>
      <c r="BB377" s="103"/>
      <c r="BC377" s="104" t="str">
        <f aca="false">IF(ISBLANK($C377),"",TRIM(AK377&amp;" "&amp;AO377))</f>
        <v/>
      </c>
      <c r="BD377" s="105" t="str">
        <f aca="false">IF(ISBLANK($C377),"",IF($AG377&lt;&gt;Constants!$B$7,$AG377,AR377))</f>
        <v/>
      </c>
      <c r="BE377" s="105" t="str">
        <f aca="false">IF(ISBLANK($C377),"",IF($AG377&lt;&gt;Constants!$B$7,$AG377,AM377))</f>
        <v/>
      </c>
      <c r="BF377" s="105" t="str">
        <f aca="false">IF(ISBLANK($C377),"",IF($AG377&lt;&gt;Constants!$B$7,$AG377,AQ377))</f>
        <v/>
      </c>
      <c r="BG377" s="106" t="str">
        <f aca="false">IF(ISBLANK($C377),"",IF($AG377&lt;&gt;Constants!$B$7, $AG377 ,AS377))</f>
        <v/>
      </c>
      <c r="BH377" s="107" t="str">
        <f aca="false">IF(ISBLANK($C377),"",IF($AG377&lt;&gt;Constants!$B$7, $AG377 ,AH377))</f>
        <v/>
      </c>
      <c r="BI377" s="105" t="str">
        <f aca="false">IF(ISBLANK(C377),"",BA377)</f>
        <v/>
      </c>
      <c r="BJ377" s="105" t="str">
        <f aca="false">IF(ISBLANK(C377),"",AZ377)</f>
        <v/>
      </c>
      <c r="BK377" s="108" t="str">
        <f aca="false">IF(ISBLANK(C377),"",IFERROR(_xlfn.SWITCH(BJ377, Constants!$B$4, COUNTA($C$8:$C876)+2, Constants!$B$5, COUNTA($C$8:$C876)+1, Constants!$B$6, COUNTA($C$8:$C876)),BJ377))</f>
        <v/>
      </c>
      <c r="BL377" s="5"/>
      <c r="BM377" s="109" t="n">
        <f aca="false">IF(OR(ISNUMBER(BJ377),BJ377="DQ",BJ377="P",BJ377="NS"),
    1,
    0
)</f>
        <v>0</v>
      </c>
      <c r="BN377" s="109" t="n">
        <v>370</v>
      </c>
      <c r="BO377" s="109" t="str">
        <f aca="false">IF(ISBLANK($C377),"",IF(ISNUMBER(BK377),BK377+ROW($B377)/1000,""))</f>
        <v/>
      </c>
      <c r="BP377" s="109" t="str">
        <f aca="false">IF(ISNUMBER(BO377), RANK(BO377,BO$8:BO$507,1), "")</f>
        <v/>
      </c>
      <c r="BQ377" s="109" t="str">
        <f aca="false">IF(ISBLANK($C377),
    "",
    $B377
)</f>
        <v/>
      </c>
      <c r="BR377" s="109" t="str">
        <f aca="false">IF(ISBLANK($C377),
    "",
    $C377
)</f>
        <v/>
      </c>
      <c r="BS377" s="109" t="str">
        <f aca="false">IF(ISBLANK($C377),
    "",
    $D377
)</f>
        <v/>
      </c>
      <c r="BT377" s="110" t="str">
        <f aca="false">BH377</f>
        <v/>
      </c>
      <c r="BU377" s="111" t="str">
        <f aca="false">BG377</f>
        <v/>
      </c>
      <c r="BV377" s="109" t="str">
        <f aca="false">IF(ISBLANK($C377),
    "",
    BJ377
)</f>
        <v/>
      </c>
      <c r="BW377" s="112" t="str">
        <f aca="false">IF(BN377&gt;BM$7,
    "",
    VLOOKUP(BN377,BP$8:BV876,7,FALSE())
)</f>
        <v/>
      </c>
      <c r="BX377" s="113" t="str">
        <f aca="false">IF(BN377&gt;BM$7,
    "",
    VLOOKUP(BN377,BP$8:BV876,2,FALSE())
)</f>
        <v/>
      </c>
      <c r="BY377" s="113" t="str">
        <f aca="false">IF(BN377&gt;BM$7,
    "",
    VLOOKUP(BN377,BP$8:BV876,3,FALSE())
)</f>
        <v/>
      </c>
      <c r="BZ377" s="113" t="str">
        <f aca="false">IF(BN377&gt;BM$7,
    "",
    VLOOKUP(BN377,BP$8:BV876,4,FALSE())
)</f>
        <v/>
      </c>
      <c r="CA377" s="113" t="str">
        <f aca="false">IF(BN377&gt;BM$7,
    "",
    VLOOKUP(BN377,BP$8:BV876,5,FALSE())
)</f>
        <v/>
      </c>
      <c r="CB377" s="114" t="str">
        <f aca="false">IF(BN377&gt;BM$7,
    "",
    VLOOKUP(BN377,BP$8:BV876,6,FALSE())
)</f>
        <v/>
      </c>
      <c r="CC377" s="53"/>
    </row>
    <row r="378" customFormat="false" ht="15.75" hidden="false" customHeight="false" outlineLevel="0" collapsed="false">
      <c r="A378" s="5"/>
      <c r="B378" s="125"/>
      <c r="C378" s="126"/>
      <c r="D378" s="115"/>
      <c r="E378" s="119"/>
      <c r="F378" s="119"/>
      <c r="G378" s="91"/>
      <c r="H378" s="92"/>
      <c r="I378" s="92"/>
      <c r="J378" s="128"/>
      <c r="K378" s="128"/>
      <c r="L378" s="128"/>
      <c r="M378" s="94"/>
      <c r="N378" s="94"/>
      <c r="O378" s="94"/>
      <c r="P378" s="95"/>
      <c r="Q378" s="96"/>
      <c r="R378" s="128"/>
      <c r="S378" s="98"/>
      <c r="T378" s="99"/>
      <c r="U378" s="99" t="str">
        <f aca="false">IF(ISBLANK($C378),"",IF(G378=Constants!$B$2, TRUE(), IF(G378=Constants!$B$3, FALSE(), TRUE())))</f>
        <v/>
      </c>
      <c r="V378" s="99" t="str">
        <f aca="false">IF(ISBLANK($C378),"",IF(H378=Constants!$B$2, TRUE(), IF(H378=Constants!$B$3, FALSE(), TRUE())))</f>
        <v/>
      </c>
      <c r="W378" s="99" t="str">
        <f aca="false">IF(ISBLANK($C378),"",IF(I378=Constants!$B$2, TRUE(), IF(I378=Constants!$B$3, FALSE(), TRUE())))</f>
        <v/>
      </c>
      <c r="X378" s="99" t="str">
        <f aca="false">IF(ISBLANK($C378),"",IF(AND(ISNUMBER(J378),J378&gt;0),INT(J378),0))</f>
        <v/>
      </c>
      <c r="Y378" s="99" t="str">
        <f aca="false">IF(ISBLANK($C378),"",IF(K378=Constants!$B$2, TRUE(), IF(K378=Constants!$B$3, FALSE(), TRUE())))</f>
        <v/>
      </c>
      <c r="Z378" s="100" t="str">
        <f aca="false">IF(ISBLANK($C378),"",IF(AND(ISNUMBER(L378),L378&gt;0),INT(L378),0))</f>
        <v/>
      </c>
      <c r="AA378" s="101" t="str">
        <f aca="false">IF(ISBLANK($C378),"",IF(ISNUMBER(M378), M378, ""))</f>
        <v/>
      </c>
      <c r="AB378" s="101" t="str">
        <f aca="false">IF(ISBLANK($C378),"",IF(ISNUMBER(N378), N378, ""))</f>
        <v/>
      </c>
      <c r="AC378" s="101" t="str">
        <f aca="false">IF(ISBLANK($C378),"",IF(ISNUMBER(O378), O378, ""))</f>
        <v/>
      </c>
      <c r="AD378" s="102" t="str">
        <f aca="false">IF(ISBLANK($C378),"",IF(ISNUMBER(P378), P378, ""))</f>
        <v/>
      </c>
      <c r="AE378" s="102" t="str">
        <f aca="false">IF(ISBLANK($C378),"",IF(ISNUMBER(Q378), Q378, Constants!$B$13))</f>
        <v/>
      </c>
      <c r="AF378" s="99" t="str">
        <f aca="false">IF(ISBLANK($C378),"",IF(R378=Constants!$B$2, TRUE(), IF(R378=Constants!$B$3, FALSE(), FALSE())))</f>
        <v/>
      </c>
      <c r="AG378" s="99" t="str">
        <f aca="false">IF(ISBLANK(C378), "", IF(AF378, Constants!$B$4,IF(COUNTA(G378:P378)=0, Constants!$B$5, Constants!$B$7)))</f>
        <v/>
      </c>
      <c r="AH378" s="99" t="str">
        <f aca="false">IF(ISBLANK($C378), "",IF($AG378=Constants!$B$7,1,$AG378))</f>
        <v/>
      </c>
      <c r="AI378" s="99" t="str">
        <f aca="false">IF($AG378=Constants!$B$7,POWER(Constants!$B$11,X378)*POWER(Constants!$B$12,Z378),"")</f>
        <v/>
      </c>
      <c r="AJ378" s="99" t="str">
        <f aca="false">IF(AND($AG378=Constants!$B$7, U378, V378) ,IF(OR($AA378="",$AC378=""),"",MAX(0, $AC378-$AA378)),"")</f>
        <v/>
      </c>
      <c r="AK378" s="99" t="str">
        <f aca="false">IF(AND($AG378=Constants!$B$7, U378, V378),IF(OR($AA378="",$AC378=""),$AK$6,""),"")</f>
        <v/>
      </c>
      <c r="AL378" s="99" t="str">
        <f aca="false">IF($AG378=Constants!$B$7,IF(AND(U378,V378,W378,Y378),IF($AJ378="",0,IF($AJ$6=0,Constants!$B$9,Constants!$B$9*AJ378/$AJ$6)), 0),"")</f>
        <v/>
      </c>
      <c r="AM378" s="99" t="str">
        <f aca="false">IF(AL378&lt;&gt;"", AL378*AI378,"")</f>
        <v/>
      </c>
      <c r="AN378" s="99" t="str">
        <f aca="false">IF(AND($AG378=Constants!$B$7, U378, V378) ,IF($AB378="", "", IF(OR($AC378="",$AC378=0),"",MAX(0,1-ABS($AC378-$AB378)/$AC378))),"")</f>
        <v/>
      </c>
      <c r="AO378" s="99" t="str">
        <f aca="false">IF(AND($AG378=Constants!$B$7, U378, V378),IF(AND($AA378&lt;&gt;"",$AB378&lt;&gt;"",$AC378=0),$AO$6,""),"")</f>
        <v/>
      </c>
      <c r="AP378" s="99" t="str">
        <f aca="false">IF($AG378=Constants!$B$7 ,IF(AND(U378,V378,W378,Y378,ISNUMBER(AB378)),IF($AN378="",0,IF($AN$6=0,Constants!$B$10,Constants!$B$10*AN378/$AN$6)), 0),"")</f>
        <v/>
      </c>
      <c r="AQ378" s="99" t="str">
        <f aca="false">IF(AP378&lt;&gt;"", AP378*AI378,"")</f>
        <v/>
      </c>
      <c r="AR378" s="99" t="str">
        <f aca="false">IF($AG378=Constants!$B$7,IF($AD378="",0,IF($AR$6=0,Constants!$B$8,Constants!$B$8*AD378/$AR$6)),"")</f>
        <v/>
      </c>
      <c r="AS378" s="99" t="str">
        <f aca="false">IF($AG378&lt;&gt;Constants!$B$7,$AG378,IF(AK378&amp;AO378&lt;&gt;"",Constants!$B$14,AM378+AQ378+AR378))</f>
        <v/>
      </c>
      <c r="AT378" s="99" t="str">
        <f aca="false">IF(ISBLANK($C378),"",IF($AG378=Constants!$B$7,IF(ISNUMBER(AS378),RANK(AS378,$AS$8:$AS$507),Constants!$B$14),$AG378))</f>
        <v/>
      </c>
      <c r="AU378" s="99" t="str">
        <f aca="false">IF(ISBLANK($C378), "",AM378)</f>
        <v/>
      </c>
      <c r="AV378" s="99" t="str">
        <f aca="false">IF(ISBLANK($C378),"",IF($AG378=Constants!$B$7,RANK(AU378,AU$8:AU$507),$AG378))</f>
        <v/>
      </c>
      <c r="AW378" s="99" t="str">
        <f aca="false">IF(ISBLANK($C378), "",AR378)</f>
        <v/>
      </c>
      <c r="AX378" s="99" t="str">
        <f aca="false">IF(ISBLANK($C378),"",IF($AG378=Constants!$B$7,RANK(AW378,AW$8:AW$507),$AG378))</f>
        <v/>
      </c>
      <c r="AY378" s="99" t="str">
        <f aca="false">IF(ISBLANK($C378), "",AE378)</f>
        <v/>
      </c>
      <c r="AZ378" s="99" t="str">
        <f aca="false">IF(ISBLANK($C378),"",
IF($AG378=Constants!$B$7,
  IF(ISNUMBER(AT378),
    COUNTIFS($AT$8:$AT$507,"&lt;"&amp;$AT378)
    + COUNTIFS($AT$8:$AT$507,$AT378,$AV$8:$AV$507,"&lt;"&amp;$AV378)
    + COUNTIFS($AT$8:$AT$507,$AT378,$AV$8:$AV$507,$AV378,$AX$8:$AX$507,"&lt;"&amp;$AX378)
    + COUNTIFS($AT$8:$AT$507,$AT378,$AV$8:$AV$507,$AV378,$AX$8:$AX$507,$AX378,$AY$8:$AY$507,"&lt;"&amp;$AY378)
    + 1,
  Constants!$B$14),
$AG378))</f>
        <v/>
      </c>
      <c r="BA378" s="99" t="str">
        <f aca="false">IF(ISBLANK(C378),"",IF($AG378=Constants!$B$7, IF(ISNUMBER(AT378),AT378-AZ378,Constants!$B$14),$AG378))</f>
        <v/>
      </c>
      <c r="BB378" s="103"/>
      <c r="BC378" s="104" t="str">
        <f aca="false">IF(ISBLANK($C378),"",TRIM(AK378&amp;" "&amp;AO378))</f>
        <v/>
      </c>
      <c r="BD378" s="105" t="str">
        <f aca="false">IF(ISBLANK($C378),"",IF($AG378&lt;&gt;Constants!$B$7,$AG378,AR378))</f>
        <v/>
      </c>
      <c r="BE378" s="105" t="str">
        <f aca="false">IF(ISBLANK($C378),"",IF($AG378&lt;&gt;Constants!$B$7,$AG378,AM378))</f>
        <v/>
      </c>
      <c r="BF378" s="105" t="str">
        <f aca="false">IF(ISBLANK($C378),"",IF($AG378&lt;&gt;Constants!$B$7,$AG378,AQ378))</f>
        <v/>
      </c>
      <c r="BG378" s="106" t="str">
        <f aca="false">IF(ISBLANK($C378),"",IF($AG378&lt;&gt;Constants!$B$7, $AG378 ,AS378))</f>
        <v/>
      </c>
      <c r="BH378" s="107" t="str">
        <f aca="false">IF(ISBLANK($C378),"",IF($AG378&lt;&gt;Constants!$B$7, $AG378 ,AH378))</f>
        <v/>
      </c>
      <c r="BI378" s="105" t="str">
        <f aca="false">IF(ISBLANK(C378),"",BA378)</f>
        <v/>
      </c>
      <c r="BJ378" s="105" t="str">
        <f aca="false">IF(ISBLANK(C378),"",AZ378)</f>
        <v/>
      </c>
      <c r="BK378" s="108" t="str">
        <f aca="false">IF(ISBLANK(C378),"",IFERROR(_xlfn.SWITCH(BJ378, Constants!$B$4, COUNTA($C$8:$C877)+2, Constants!$B$5, COUNTA($C$8:$C877)+1, Constants!$B$6, COUNTA($C$8:$C877)),BJ378))</f>
        <v/>
      </c>
      <c r="BL378" s="5"/>
      <c r="BM378" s="109" t="n">
        <f aca="false">IF(OR(ISNUMBER(BJ378),BJ378="DQ",BJ378="P",BJ378="NS"),
    1,
    0
)</f>
        <v>0</v>
      </c>
      <c r="BN378" s="109" t="n">
        <v>371</v>
      </c>
      <c r="BO378" s="109" t="str">
        <f aca="false">IF(ISBLANK($C378),"",IF(ISNUMBER(BK378),BK378+ROW($B378)/1000,""))</f>
        <v/>
      </c>
      <c r="BP378" s="109" t="str">
        <f aca="false">IF(ISNUMBER(BO378), RANK(BO378,BO$8:BO$507,1), "")</f>
        <v/>
      </c>
      <c r="BQ378" s="109" t="str">
        <f aca="false">IF(ISBLANK($C378),
    "",
    $B378
)</f>
        <v/>
      </c>
      <c r="BR378" s="109" t="str">
        <f aca="false">IF(ISBLANK($C378),
    "",
    $C378
)</f>
        <v/>
      </c>
      <c r="BS378" s="109" t="str">
        <f aca="false">IF(ISBLANK($C378),
    "",
    $D378
)</f>
        <v/>
      </c>
      <c r="BT378" s="110" t="str">
        <f aca="false">BH378</f>
        <v/>
      </c>
      <c r="BU378" s="111" t="str">
        <f aca="false">BG378</f>
        <v/>
      </c>
      <c r="BV378" s="109" t="str">
        <f aca="false">IF(ISBLANK($C378),
    "",
    BJ378
)</f>
        <v/>
      </c>
      <c r="BW378" s="112" t="str">
        <f aca="false">IF(BN378&gt;BM$7,
    "",
    VLOOKUP(BN378,BP$8:BV877,7,FALSE())
)</f>
        <v/>
      </c>
      <c r="BX378" s="113" t="str">
        <f aca="false">IF(BN378&gt;BM$7,
    "",
    VLOOKUP(BN378,BP$8:BV877,2,FALSE())
)</f>
        <v/>
      </c>
      <c r="BY378" s="113" t="str">
        <f aca="false">IF(BN378&gt;BM$7,
    "",
    VLOOKUP(BN378,BP$8:BV877,3,FALSE())
)</f>
        <v/>
      </c>
      <c r="BZ378" s="113" t="str">
        <f aca="false">IF(BN378&gt;BM$7,
    "",
    VLOOKUP(BN378,BP$8:BV877,4,FALSE())
)</f>
        <v/>
      </c>
      <c r="CA378" s="113" t="str">
        <f aca="false">IF(BN378&gt;BM$7,
    "",
    VLOOKUP(BN378,BP$8:BV877,5,FALSE())
)</f>
        <v/>
      </c>
      <c r="CB378" s="114" t="str">
        <f aca="false">IF(BN378&gt;BM$7,
    "",
    VLOOKUP(BN378,BP$8:BV877,6,FALSE())
)</f>
        <v/>
      </c>
      <c r="CC378" s="53"/>
    </row>
    <row r="379" customFormat="false" ht="15.75" hidden="false" customHeight="false" outlineLevel="0" collapsed="false">
      <c r="A379" s="5"/>
      <c r="B379" s="125"/>
      <c r="C379" s="126"/>
      <c r="D379" s="115"/>
      <c r="E379" s="119"/>
      <c r="F379" s="119"/>
      <c r="G379" s="91"/>
      <c r="H379" s="92"/>
      <c r="I379" s="92"/>
      <c r="J379" s="128"/>
      <c r="K379" s="128"/>
      <c r="L379" s="128"/>
      <c r="M379" s="94"/>
      <c r="N379" s="94"/>
      <c r="O379" s="94"/>
      <c r="P379" s="95"/>
      <c r="Q379" s="96"/>
      <c r="R379" s="128"/>
      <c r="S379" s="98"/>
      <c r="T379" s="99"/>
      <c r="U379" s="99" t="str">
        <f aca="false">IF(ISBLANK($C379),"",IF(G379=Constants!$B$2, TRUE(), IF(G379=Constants!$B$3, FALSE(), TRUE())))</f>
        <v/>
      </c>
      <c r="V379" s="99" t="str">
        <f aca="false">IF(ISBLANK($C379),"",IF(H379=Constants!$B$2, TRUE(), IF(H379=Constants!$B$3, FALSE(), TRUE())))</f>
        <v/>
      </c>
      <c r="W379" s="99" t="str">
        <f aca="false">IF(ISBLANK($C379),"",IF(I379=Constants!$B$2, TRUE(), IF(I379=Constants!$B$3, FALSE(), TRUE())))</f>
        <v/>
      </c>
      <c r="X379" s="99" t="str">
        <f aca="false">IF(ISBLANK($C379),"",IF(AND(ISNUMBER(J379),J379&gt;0),INT(J379),0))</f>
        <v/>
      </c>
      <c r="Y379" s="99" t="str">
        <f aca="false">IF(ISBLANK($C379),"",IF(K379=Constants!$B$2, TRUE(), IF(K379=Constants!$B$3, FALSE(), TRUE())))</f>
        <v/>
      </c>
      <c r="Z379" s="100" t="str">
        <f aca="false">IF(ISBLANK($C379),"",IF(AND(ISNUMBER(L379),L379&gt;0),INT(L379),0))</f>
        <v/>
      </c>
      <c r="AA379" s="101" t="str">
        <f aca="false">IF(ISBLANK($C379),"",IF(ISNUMBER(M379), M379, ""))</f>
        <v/>
      </c>
      <c r="AB379" s="101" t="str">
        <f aca="false">IF(ISBLANK($C379),"",IF(ISNUMBER(N379), N379, ""))</f>
        <v/>
      </c>
      <c r="AC379" s="101" t="str">
        <f aca="false">IF(ISBLANK($C379),"",IF(ISNUMBER(O379), O379, ""))</f>
        <v/>
      </c>
      <c r="AD379" s="102" t="str">
        <f aca="false">IF(ISBLANK($C379),"",IF(ISNUMBER(P379), P379, ""))</f>
        <v/>
      </c>
      <c r="AE379" s="102" t="str">
        <f aca="false">IF(ISBLANK($C379),"",IF(ISNUMBER(Q379), Q379, Constants!$B$13))</f>
        <v/>
      </c>
      <c r="AF379" s="99" t="str">
        <f aca="false">IF(ISBLANK($C379),"",IF(R379=Constants!$B$2, TRUE(), IF(R379=Constants!$B$3, FALSE(), FALSE())))</f>
        <v/>
      </c>
      <c r="AG379" s="99" t="str">
        <f aca="false">IF(ISBLANK(C379), "", IF(AF379, Constants!$B$4,IF(COUNTA(G379:P379)=0, Constants!$B$5, Constants!$B$7)))</f>
        <v/>
      </c>
      <c r="AH379" s="99" t="str">
        <f aca="false">IF(ISBLANK($C379), "",IF($AG379=Constants!$B$7,1,$AG379))</f>
        <v/>
      </c>
      <c r="AI379" s="99" t="str">
        <f aca="false">IF($AG379=Constants!$B$7,POWER(Constants!$B$11,X379)*POWER(Constants!$B$12,Z379),"")</f>
        <v/>
      </c>
      <c r="AJ379" s="99" t="str">
        <f aca="false">IF(AND($AG379=Constants!$B$7, U379, V379) ,IF(OR($AA379="",$AC379=""),"",MAX(0, $AC379-$AA379)),"")</f>
        <v/>
      </c>
      <c r="AK379" s="99" t="str">
        <f aca="false">IF(AND($AG379=Constants!$B$7, U379, V379),IF(OR($AA379="",$AC379=""),$AK$6,""),"")</f>
        <v/>
      </c>
      <c r="AL379" s="99" t="str">
        <f aca="false">IF($AG379=Constants!$B$7,IF(AND(U379,V379,W379,Y379),IF($AJ379="",0,IF($AJ$6=0,Constants!$B$9,Constants!$B$9*AJ379/$AJ$6)), 0),"")</f>
        <v/>
      </c>
      <c r="AM379" s="99" t="str">
        <f aca="false">IF(AL379&lt;&gt;"", AL379*AI379,"")</f>
        <v/>
      </c>
      <c r="AN379" s="99" t="str">
        <f aca="false">IF(AND($AG379=Constants!$B$7, U379, V379) ,IF($AB379="", "", IF(OR($AC379="",$AC379=0),"",MAX(0,1-ABS($AC379-$AB379)/$AC379))),"")</f>
        <v/>
      </c>
      <c r="AO379" s="99" t="str">
        <f aca="false">IF(AND($AG379=Constants!$B$7, U379, V379),IF(AND($AA379&lt;&gt;"",$AB379&lt;&gt;"",$AC379=0),$AO$6,""),"")</f>
        <v/>
      </c>
      <c r="AP379" s="99" t="str">
        <f aca="false">IF($AG379=Constants!$B$7 ,IF(AND(U379,V379,W379,Y379,ISNUMBER(AB379)),IF($AN379="",0,IF($AN$6=0,Constants!$B$10,Constants!$B$10*AN379/$AN$6)), 0),"")</f>
        <v/>
      </c>
      <c r="AQ379" s="99" t="str">
        <f aca="false">IF(AP379&lt;&gt;"", AP379*AI379,"")</f>
        <v/>
      </c>
      <c r="AR379" s="99" t="str">
        <f aca="false">IF($AG379=Constants!$B$7,IF($AD379="",0,IF($AR$6=0,Constants!$B$8,Constants!$B$8*AD379/$AR$6)),"")</f>
        <v/>
      </c>
      <c r="AS379" s="99" t="str">
        <f aca="false">IF($AG379&lt;&gt;Constants!$B$7,$AG379,IF(AK379&amp;AO379&lt;&gt;"",Constants!$B$14,AM379+AQ379+AR379))</f>
        <v/>
      </c>
      <c r="AT379" s="99" t="str">
        <f aca="false">IF(ISBLANK($C379),"",IF($AG379=Constants!$B$7,IF(ISNUMBER(AS379),RANK(AS379,$AS$8:$AS$507),Constants!$B$14),$AG379))</f>
        <v/>
      </c>
      <c r="AU379" s="99" t="str">
        <f aca="false">IF(ISBLANK($C379), "",AM379)</f>
        <v/>
      </c>
      <c r="AV379" s="99" t="str">
        <f aca="false">IF(ISBLANK($C379),"",IF($AG379=Constants!$B$7,RANK(AU379,AU$8:AU$507),$AG379))</f>
        <v/>
      </c>
      <c r="AW379" s="99" t="str">
        <f aca="false">IF(ISBLANK($C379), "",AR379)</f>
        <v/>
      </c>
      <c r="AX379" s="99" t="str">
        <f aca="false">IF(ISBLANK($C379),"",IF($AG379=Constants!$B$7,RANK(AW379,AW$8:AW$507),$AG379))</f>
        <v/>
      </c>
      <c r="AY379" s="99" t="str">
        <f aca="false">IF(ISBLANK($C379), "",AE379)</f>
        <v/>
      </c>
      <c r="AZ379" s="99" t="str">
        <f aca="false">IF(ISBLANK($C379),"",
IF($AG379=Constants!$B$7,
  IF(ISNUMBER(AT379),
    COUNTIFS($AT$8:$AT$507,"&lt;"&amp;$AT379)
    + COUNTIFS($AT$8:$AT$507,$AT379,$AV$8:$AV$507,"&lt;"&amp;$AV379)
    + COUNTIFS($AT$8:$AT$507,$AT379,$AV$8:$AV$507,$AV379,$AX$8:$AX$507,"&lt;"&amp;$AX379)
    + COUNTIFS($AT$8:$AT$507,$AT379,$AV$8:$AV$507,$AV379,$AX$8:$AX$507,$AX379,$AY$8:$AY$507,"&lt;"&amp;$AY379)
    + 1,
  Constants!$B$14),
$AG379))</f>
        <v/>
      </c>
      <c r="BA379" s="99" t="str">
        <f aca="false">IF(ISBLANK(C379),"",IF($AG379=Constants!$B$7, IF(ISNUMBER(AT379),AT379-AZ379,Constants!$B$14),$AG379))</f>
        <v/>
      </c>
      <c r="BB379" s="103"/>
      <c r="BC379" s="104" t="str">
        <f aca="false">IF(ISBLANK($C379),"",TRIM(AK379&amp;" "&amp;AO379))</f>
        <v/>
      </c>
      <c r="BD379" s="105" t="str">
        <f aca="false">IF(ISBLANK($C379),"",IF($AG379&lt;&gt;Constants!$B$7,$AG379,AR379))</f>
        <v/>
      </c>
      <c r="BE379" s="105" t="str">
        <f aca="false">IF(ISBLANK($C379),"",IF($AG379&lt;&gt;Constants!$B$7,$AG379,AM379))</f>
        <v/>
      </c>
      <c r="BF379" s="105" t="str">
        <f aca="false">IF(ISBLANK($C379),"",IF($AG379&lt;&gt;Constants!$B$7,$AG379,AQ379))</f>
        <v/>
      </c>
      <c r="BG379" s="106" t="str">
        <f aca="false">IF(ISBLANK($C379),"",IF($AG379&lt;&gt;Constants!$B$7, $AG379 ,AS379))</f>
        <v/>
      </c>
      <c r="BH379" s="107" t="str">
        <f aca="false">IF(ISBLANK($C379),"",IF($AG379&lt;&gt;Constants!$B$7, $AG379 ,AH379))</f>
        <v/>
      </c>
      <c r="BI379" s="105" t="str">
        <f aca="false">IF(ISBLANK(C379),"",BA379)</f>
        <v/>
      </c>
      <c r="BJ379" s="105" t="str">
        <f aca="false">IF(ISBLANK(C379),"",AZ379)</f>
        <v/>
      </c>
      <c r="BK379" s="108" t="str">
        <f aca="false">IF(ISBLANK(C379),"",IFERROR(_xlfn.SWITCH(BJ379, Constants!$B$4, COUNTA($C$8:$C878)+2, Constants!$B$5, COUNTA($C$8:$C878)+1, Constants!$B$6, COUNTA($C$8:$C878)),BJ379))</f>
        <v/>
      </c>
      <c r="BL379" s="5"/>
      <c r="BM379" s="109" t="n">
        <f aca="false">IF(OR(ISNUMBER(BJ379),BJ379="DQ",BJ379="P",BJ379="NS"),
    1,
    0
)</f>
        <v>0</v>
      </c>
      <c r="BN379" s="109" t="n">
        <v>372</v>
      </c>
      <c r="BO379" s="109" t="str">
        <f aca="false">IF(ISBLANK($C379),"",IF(ISNUMBER(BK379),BK379+ROW($B379)/1000,""))</f>
        <v/>
      </c>
      <c r="BP379" s="109" t="str">
        <f aca="false">IF(ISNUMBER(BO379), RANK(BO379,BO$8:BO$507,1), "")</f>
        <v/>
      </c>
      <c r="BQ379" s="109" t="str">
        <f aca="false">IF(ISBLANK($C379),
    "",
    $B379
)</f>
        <v/>
      </c>
      <c r="BR379" s="109" t="str">
        <f aca="false">IF(ISBLANK($C379),
    "",
    $C379
)</f>
        <v/>
      </c>
      <c r="BS379" s="109" t="str">
        <f aca="false">IF(ISBLANK($C379),
    "",
    $D379
)</f>
        <v/>
      </c>
      <c r="BT379" s="110" t="str">
        <f aca="false">BH379</f>
        <v/>
      </c>
      <c r="BU379" s="111" t="str">
        <f aca="false">BG379</f>
        <v/>
      </c>
      <c r="BV379" s="109" t="str">
        <f aca="false">IF(ISBLANK($C379),
    "",
    BJ379
)</f>
        <v/>
      </c>
      <c r="BW379" s="112" t="str">
        <f aca="false">IF(BN379&gt;BM$7,
    "",
    VLOOKUP(BN379,BP$8:BV878,7,FALSE())
)</f>
        <v/>
      </c>
      <c r="BX379" s="113" t="str">
        <f aca="false">IF(BN379&gt;BM$7,
    "",
    VLOOKUP(BN379,BP$8:BV878,2,FALSE())
)</f>
        <v/>
      </c>
      <c r="BY379" s="113" t="str">
        <f aca="false">IF(BN379&gt;BM$7,
    "",
    VLOOKUP(BN379,BP$8:BV878,3,FALSE())
)</f>
        <v/>
      </c>
      <c r="BZ379" s="113" t="str">
        <f aca="false">IF(BN379&gt;BM$7,
    "",
    VLOOKUP(BN379,BP$8:BV878,4,FALSE())
)</f>
        <v/>
      </c>
      <c r="CA379" s="113" t="str">
        <f aca="false">IF(BN379&gt;BM$7,
    "",
    VLOOKUP(BN379,BP$8:BV878,5,FALSE())
)</f>
        <v/>
      </c>
      <c r="CB379" s="114" t="str">
        <f aca="false">IF(BN379&gt;BM$7,
    "",
    VLOOKUP(BN379,BP$8:BV878,6,FALSE())
)</f>
        <v/>
      </c>
      <c r="CC379" s="53"/>
    </row>
    <row r="380" customFormat="false" ht="15.75" hidden="false" customHeight="false" outlineLevel="0" collapsed="false">
      <c r="A380" s="5"/>
      <c r="B380" s="129"/>
      <c r="C380" s="55"/>
      <c r="D380" s="56"/>
      <c r="E380" s="123"/>
      <c r="F380" s="123"/>
      <c r="G380" s="58"/>
      <c r="H380" s="59"/>
      <c r="I380" s="59"/>
      <c r="J380" s="83"/>
      <c r="K380" s="83"/>
      <c r="L380" s="83"/>
      <c r="M380" s="61"/>
      <c r="N380" s="61"/>
      <c r="O380" s="61"/>
      <c r="P380" s="62"/>
      <c r="Q380" s="63"/>
      <c r="R380" s="83"/>
      <c r="S380" s="65"/>
      <c r="T380" s="66"/>
      <c r="U380" s="66" t="str">
        <f aca="false">IF(ISBLANK($C380),"",IF(G380=Constants!$B$2, TRUE(), IF(G380=Constants!$B$3, FALSE(), TRUE())))</f>
        <v/>
      </c>
      <c r="V380" s="66" t="str">
        <f aca="false">IF(ISBLANK($C380),"",IF(H380=Constants!$B$2, TRUE(), IF(H380=Constants!$B$3, FALSE(), TRUE())))</f>
        <v/>
      </c>
      <c r="W380" s="66" t="str">
        <f aca="false">IF(ISBLANK($C380),"",IF(I380=Constants!$B$2, TRUE(), IF(I380=Constants!$B$3, FALSE(), TRUE())))</f>
        <v/>
      </c>
      <c r="X380" s="66" t="str">
        <f aca="false">IF(ISBLANK($C380),"",IF(AND(ISNUMBER(J380),J380&gt;0),INT(J380),0))</f>
        <v/>
      </c>
      <c r="Y380" s="66" t="str">
        <f aca="false">IF(ISBLANK($C380),"",IF(K380=Constants!$B$2, TRUE(), IF(K380=Constants!$B$3, FALSE(), TRUE())))</f>
        <v/>
      </c>
      <c r="Z380" s="66" t="str">
        <f aca="false">IF(ISBLANK($C380),"",IF(AND(ISNUMBER(L380),L380&gt;0),INT(L380),0))</f>
        <v/>
      </c>
      <c r="AA380" s="68" t="str">
        <f aca="false">IF(ISBLANK($C380),"",IF(ISNUMBER(M380), M380, ""))</f>
        <v/>
      </c>
      <c r="AB380" s="68" t="str">
        <f aca="false">IF(ISBLANK($C380),"",IF(ISNUMBER(N380), N380, ""))</f>
        <v/>
      </c>
      <c r="AC380" s="68" t="str">
        <f aca="false">IF(ISBLANK($C380),"",IF(ISNUMBER(O380), O380, ""))</f>
        <v/>
      </c>
      <c r="AD380" s="69" t="str">
        <f aca="false">IF(ISBLANK($C380),"",IF(ISNUMBER(P380), P380, ""))</f>
        <v/>
      </c>
      <c r="AE380" s="69" t="str">
        <f aca="false">IF(ISBLANK($C380),"",IF(ISNUMBER(Q380), Q380, Constants!$B$13))</f>
        <v/>
      </c>
      <c r="AF380" s="66" t="str">
        <f aca="false">IF(ISBLANK($C380),"",IF(R380=Constants!$B$2, TRUE(), IF(R380=Constants!$B$3, FALSE(), FALSE())))</f>
        <v/>
      </c>
      <c r="AG380" s="66" t="str">
        <f aca="false">IF(ISBLANK(C380), "", IF(AF380, Constants!$B$4,IF(COUNTA(G380:P380)=0, Constants!$B$5, Constants!$B$7)))</f>
        <v/>
      </c>
      <c r="AH380" s="66" t="str">
        <f aca="false">IF(ISBLANK($C380), "",IF($AG380=Constants!$B$7,1,$AG380))</f>
        <v/>
      </c>
      <c r="AI380" s="66" t="str">
        <f aca="false">IF($AG380=Constants!$B$7,POWER(Constants!$B$11,X380)*POWER(Constants!$B$12,Z380),"")</f>
        <v/>
      </c>
      <c r="AJ380" s="66" t="str">
        <f aca="false">IF(AND($AG380=Constants!$B$7, U380, V380) ,IF(OR($AA380="",$AC380=""),"",MAX(0, $AC380-$AA380)),"")</f>
        <v/>
      </c>
      <c r="AK380" s="66" t="str">
        <f aca="false">IF(AND($AG380=Constants!$B$7, U380, V380),IF(OR($AA380="",$AC380=""),$AK$6,""),"")</f>
        <v/>
      </c>
      <c r="AL380" s="66" t="str">
        <f aca="false">IF($AG380=Constants!$B$7,IF(AND(U380,V380,W380,Y380),IF($AJ380="",0,IF($AJ$6=0,Constants!$B$9,Constants!$B$9*AJ380/$AJ$6)), 0),"")</f>
        <v/>
      </c>
      <c r="AM380" s="66" t="str">
        <f aca="false">IF(AL380&lt;&gt;"", AL380*AI380,"")</f>
        <v/>
      </c>
      <c r="AN380" s="66" t="str">
        <f aca="false">IF(AND($AG380=Constants!$B$7, U380, V380) ,IF($AB380="", "", IF(OR($AC380="",$AC380=0),"",MAX(0,1-ABS($AC380-$AB380)/$AC380))),"")</f>
        <v/>
      </c>
      <c r="AO380" s="66" t="str">
        <f aca="false">IF(AND($AG380=Constants!$B$7, U380, V380),IF(AND($AA380&lt;&gt;"",$AB380&lt;&gt;"",$AC380=0),$AO$6,""),"")</f>
        <v/>
      </c>
      <c r="AP380" s="66" t="str">
        <f aca="false">IF($AG380=Constants!$B$7 ,IF(AND(U380,V380,W380,Y380,ISNUMBER(AB380)),IF($AN380="",0,IF($AN$6=0,Constants!$B$10,Constants!$B$10*AN380/$AN$6)), 0),"")</f>
        <v/>
      </c>
      <c r="AQ380" s="66" t="str">
        <f aca="false">IF(AP380&lt;&gt;"", AP380*AI380,"")</f>
        <v/>
      </c>
      <c r="AR380" s="66" t="str">
        <f aca="false">IF($AG380=Constants!$B$7,IF($AD380="",0,IF($AR$6=0,Constants!$B$8,Constants!$B$8*AD380/$AR$6)),"")</f>
        <v/>
      </c>
      <c r="AS380" s="66" t="str">
        <f aca="false">IF($AG380&lt;&gt;Constants!$B$7,$AG380,IF(AK380&amp;AO380&lt;&gt;"",Constants!$B$14,AM380+AQ380+AR380))</f>
        <v/>
      </c>
      <c r="AT380" s="66" t="str">
        <f aca="false">IF(ISBLANK($C380),"",IF($AG380=Constants!$B$7,IF(ISNUMBER(AS380),RANK(AS380,$AS$8:$AS$507),Constants!$B$14),$AG380))</f>
        <v/>
      </c>
      <c r="AU380" s="66" t="str">
        <f aca="false">IF(ISBLANK($C380), "",AM380)</f>
        <v/>
      </c>
      <c r="AV380" s="66" t="str">
        <f aca="false">IF(ISBLANK($C380),"",IF($AG380=Constants!$B$7,RANK(AU380,AU$8:AU$507),$AG380))</f>
        <v/>
      </c>
      <c r="AW380" s="66" t="str">
        <f aca="false">IF(ISBLANK($C380), "",AR380)</f>
        <v/>
      </c>
      <c r="AX380" s="66" t="str">
        <f aca="false">IF(ISBLANK($C380),"",IF($AG380=Constants!$B$7,RANK(AW380,AW$8:AW$507),$AG380))</f>
        <v/>
      </c>
      <c r="AY380" s="66" t="str">
        <f aca="false">IF(ISBLANK($C380), "",AE380)</f>
        <v/>
      </c>
      <c r="AZ380" s="66" t="str">
        <f aca="false">IF(ISBLANK($C380),"",
IF($AG380=Constants!$B$7,
  IF(ISNUMBER(AT380),
    COUNTIFS($AT$8:$AT$507,"&lt;"&amp;$AT380)
    + COUNTIFS($AT$8:$AT$507,$AT380,$AV$8:$AV$507,"&lt;"&amp;$AV380)
    + COUNTIFS($AT$8:$AT$507,$AT380,$AV$8:$AV$507,$AV380,$AX$8:$AX$507,"&lt;"&amp;$AX380)
    + COUNTIFS($AT$8:$AT$507,$AT380,$AV$8:$AV$507,$AV380,$AX$8:$AX$507,$AX380,$AY$8:$AY$507,"&lt;"&amp;$AY380)
    + 1,
  Constants!$B$14),
$AG380))</f>
        <v/>
      </c>
      <c r="BA380" s="66" t="str">
        <f aca="false">IF(ISBLANK(C380),"",IF($AG380=Constants!$B$7, IF(ISNUMBER(AT380),AT380-AZ380,Constants!$B$14),$AG380))</f>
        <v/>
      </c>
      <c r="BB380" s="70"/>
      <c r="BC380" s="84" t="str">
        <f aca="false">IF(ISBLANK($C380),"",TRIM(AK380&amp;" "&amp;AO380))</f>
        <v/>
      </c>
      <c r="BD380" s="72" t="str">
        <f aca="false">IF(ISBLANK($C380),"",IF($AG380&lt;&gt;Constants!$B$7,$AG380,AR380))</f>
        <v/>
      </c>
      <c r="BE380" s="72" t="str">
        <f aca="false">IF(ISBLANK($C380),"",IF($AG380&lt;&gt;Constants!$B$7,$AG380,AM380))</f>
        <v/>
      </c>
      <c r="BF380" s="72" t="str">
        <f aca="false">IF(ISBLANK($C380),"",IF($AG380&lt;&gt;Constants!$B$7,$AG380,AQ380))</f>
        <v/>
      </c>
      <c r="BG380" s="73" t="str">
        <f aca="false">IF(ISBLANK($C380),"",IF($AG380&lt;&gt;Constants!$B$7, $AG380 ,AS380))</f>
        <v/>
      </c>
      <c r="BH380" s="74" t="str">
        <f aca="false">IF(ISBLANK($C380),"",IF($AG380&lt;&gt;Constants!$B$7, $AG380 ,AH380))</f>
        <v/>
      </c>
      <c r="BI380" s="72" t="str">
        <f aca="false">IF(ISBLANK(C380),"",BA380)</f>
        <v/>
      </c>
      <c r="BJ380" s="72" t="str">
        <f aca="false">IF(ISBLANK(C380),"",AZ380)</f>
        <v/>
      </c>
      <c r="BK380" s="75" t="str">
        <f aca="false">IF(ISBLANK(C380),"",IFERROR(_xlfn.SWITCH(BJ380, Constants!$B$4, COUNTA($C$8:$C879)+2, Constants!$B$5, COUNTA($C$8:$C879)+1, Constants!$B$6, COUNTA($C$8:$C879)),BJ380))</f>
        <v/>
      </c>
      <c r="BL380" s="5"/>
      <c r="BM380" s="76" t="n">
        <f aca="false">IF(OR(ISNUMBER(BJ380),BJ380="DQ",BJ380="P",BJ380="NS"),
    1,
    0
)</f>
        <v>0</v>
      </c>
      <c r="BN380" s="76" t="n">
        <v>373</v>
      </c>
      <c r="BO380" s="76" t="str">
        <f aca="false">IF(ISBLANK($C380),"",IF(ISNUMBER(BK380),BK380+ROW($B380)/1000,""))</f>
        <v/>
      </c>
      <c r="BP380" s="76" t="str">
        <f aca="false">IF(ISNUMBER(BO380), RANK(BO380,BO$8:BO$507,1), "")</f>
        <v/>
      </c>
      <c r="BQ380" s="76" t="str">
        <f aca="false">IF(ISBLANK($C380),
    "",
    $B380
)</f>
        <v/>
      </c>
      <c r="BR380" s="76" t="str">
        <f aca="false">IF(ISBLANK($C380),
    "",
    $C380
)</f>
        <v/>
      </c>
      <c r="BS380" s="76" t="str">
        <f aca="false">IF(ISBLANK($C380),
    "",
    $D380
)</f>
        <v/>
      </c>
      <c r="BT380" s="77" t="str">
        <f aca="false">BH380</f>
        <v/>
      </c>
      <c r="BU380" s="78" t="str">
        <f aca="false">BG380</f>
        <v/>
      </c>
      <c r="BV380" s="76" t="str">
        <f aca="false">IF(ISBLANK($C380),
    "",
    BJ380
)</f>
        <v/>
      </c>
      <c r="BW380" s="79" t="str">
        <f aca="false">IF(BN380&gt;BM$7,
    "",
    VLOOKUP(BN380,BP$8:BV879,7,FALSE())
)</f>
        <v/>
      </c>
      <c r="BX380" s="80" t="str">
        <f aca="false">IF(BN380&gt;BM$7,
    "",
    VLOOKUP(BN380,BP$8:BV879,2,FALSE())
)</f>
        <v/>
      </c>
      <c r="BY380" s="80" t="str">
        <f aca="false">IF(BN380&gt;BM$7,
    "",
    VLOOKUP(BN380,BP$8:BV879,3,FALSE())
)</f>
        <v/>
      </c>
      <c r="BZ380" s="80" t="str">
        <f aca="false">IF(BN380&gt;BM$7,
    "",
    VLOOKUP(BN380,BP$8:BV879,4,FALSE())
)</f>
        <v/>
      </c>
      <c r="CA380" s="80" t="str">
        <f aca="false">IF(BN380&gt;BM$7,
    "",
    VLOOKUP(BN380,BP$8:BV879,5,FALSE())
)</f>
        <v/>
      </c>
      <c r="CB380" s="81" t="str">
        <f aca="false">IF(BN380&gt;BM$7,
    "",
    VLOOKUP(BN380,BP$8:BV879,6,FALSE())
)</f>
        <v/>
      </c>
      <c r="CC380" s="53"/>
    </row>
    <row r="381" customFormat="false" ht="15.75" hidden="false" customHeight="false" outlineLevel="0" collapsed="false">
      <c r="A381" s="5"/>
      <c r="B381" s="129"/>
      <c r="C381" s="55"/>
      <c r="D381" s="56"/>
      <c r="E381" s="123"/>
      <c r="F381" s="123"/>
      <c r="G381" s="58"/>
      <c r="H381" s="59"/>
      <c r="I381" s="59"/>
      <c r="J381" s="83"/>
      <c r="K381" s="83"/>
      <c r="L381" s="83"/>
      <c r="M381" s="61"/>
      <c r="N381" s="61"/>
      <c r="O381" s="61"/>
      <c r="P381" s="62"/>
      <c r="Q381" s="63"/>
      <c r="R381" s="83"/>
      <c r="S381" s="65"/>
      <c r="T381" s="66"/>
      <c r="U381" s="66" t="str">
        <f aca="false">IF(ISBLANK($C381),"",IF(G381=Constants!$B$2, TRUE(), IF(G381=Constants!$B$3, FALSE(), TRUE())))</f>
        <v/>
      </c>
      <c r="V381" s="66" t="str">
        <f aca="false">IF(ISBLANK($C381),"",IF(H381=Constants!$B$2, TRUE(), IF(H381=Constants!$B$3, FALSE(), TRUE())))</f>
        <v/>
      </c>
      <c r="W381" s="66" t="str">
        <f aca="false">IF(ISBLANK($C381),"",IF(I381=Constants!$B$2, TRUE(), IF(I381=Constants!$B$3, FALSE(), TRUE())))</f>
        <v/>
      </c>
      <c r="X381" s="66" t="str">
        <f aca="false">IF(ISBLANK($C381),"",IF(AND(ISNUMBER(J381),J381&gt;0),INT(J381),0))</f>
        <v/>
      </c>
      <c r="Y381" s="66" t="str">
        <f aca="false">IF(ISBLANK($C381),"",IF(K381=Constants!$B$2, TRUE(), IF(K381=Constants!$B$3, FALSE(), TRUE())))</f>
        <v/>
      </c>
      <c r="Z381" s="66" t="str">
        <f aca="false">IF(ISBLANK($C381),"",IF(AND(ISNUMBER(L381),L381&gt;0),INT(L381),0))</f>
        <v/>
      </c>
      <c r="AA381" s="68" t="str">
        <f aca="false">IF(ISBLANK($C381),"",IF(ISNUMBER(M381), M381, ""))</f>
        <v/>
      </c>
      <c r="AB381" s="68" t="str">
        <f aca="false">IF(ISBLANK($C381),"",IF(ISNUMBER(N381), N381, ""))</f>
        <v/>
      </c>
      <c r="AC381" s="68" t="str">
        <f aca="false">IF(ISBLANK($C381),"",IF(ISNUMBER(O381), O381, ""))</f>
        <v/>
      </c>
      <c r="AD381" s="69" t="str">
        <f aca="false">IF(ISBLANK($C381),"",IF(ISNUMBER(P381), P381, ""))</f>
        <v/>
      </c>
      <c r="AE381" s="69" t="str">
        <f aca="false">IF(ISBLANK($C381),"",IF(ISNUMBER(Q381), Q381, Constants!$B$13))</f>
        <v/>
      </c>
      <c r="AF381" s="66" t="str">
        <f aca="false">IF(ISBLANK($C381),"",IF(R381=Constants!$B$2, TRUE(), IF(R381=Constants!$B$3, FALSE(), FALSE())))</f>
        <v/>
      </c>
      <c r="AG381" s="66" t="str">
        <f aca="false">IF(ISBLANK(C381), "", IF(AF381, Constants!$B$4,IF(COUNTA(G381:P381)=0, Constants!$B$5, Constants!$B$7)))</f>
        <v/>
      </c>
      <c r="AH381" s="66" t="str">
        <f aca="false">IF(ISBLANK($C381), "",IF($AG381=Constants!$B$7,1,$AG381))</f>
        <v/>
      </c>
      <c r="AI381" s="66" t="str">
        <f aca="false">IF($AG381=Constants!$B$7,POWER(Constants!$B$11,X381)*POWER(Constants!$B$12,Z381),"")</f>
        <v/>
      </c>
      <c r="AJ381" s="66" t="str">
        <f aca="false">IF(AND($AG381=Constants!$B$7, U381, V381) ,IF(OR($AA381="",$AC381=""),"",MAX(0, $AC381-$AA381)),"")</f>
        <v/>
      </c>
      <c r="AK381" s="66" t="str">
        <f aca="false">IF(AND($AG381=Constants!$B$7, U381, V381),IF(OR($AA381="",$AC381=""),$AK$6,""),"")</f>
        <v/>
      </c>
      <c r="AL381" s="66" t="str">
        <f aca="false">IF($AG381=Constants!$B$7,IF(AND(U381,V381,W381,Y381),IF($AJ381="",0,IF($AJ$6=0,Constants!$B$9,Constants!$B$9*AJ381/$AJ$6)), 0),"")</f>
        <v/>
      </c>
      <c r="AM381" s="66" t="str">
        <f aca="false">IF(AL381&lt;&gt;"", AL381*AI381,"")</f>
        <v/>
      </c>
      <c r="AN381" s="66" t="str">
        <f aca="false">IF(AND($AG381=Constants!$B$7, U381, V381) ,IF($AB381="", "", IF(OR($AC381="",$AC381=0),"",MAX(0,1-ABS($AC381-$AB381)/$AC381))),"")</f>
        <v/>
      </c>
      <c r="AO381" s="66" t="str">
        <f aca="false">IF(AND($AG381=Constants!$B$7, U381, V381),IF(AND($AA381&lt;&gt;"",$AB381&lt;&gt;"",$AC381=0),$AO$6,""),"")</f>
        <v/>
      </c>
      <c r="AP381" s="66" t="str">
        <f aca="false">IF($AG381=Constants!$B$7 ,IF(AND(U381,V381,W381,Y381,ISNUMBER(AB381)),IF($AN381="",0,IF($AN$6=0,Constants!$B$10,Constants!$B$10*AN381/$AN$6)), 0),"")</f>
        <v/>
      </c>
      <c r="AQ381" s="66" t="str">
        <f aca="false">IF(AP381&lt;&gt;"", AP381*AI381,"")</f>
        <v/>
      </c>
      <c r="AR381" s="66" t="str">
        <f aca="false">IF($AG381=Constants!$B$7,IF($AD381="",0,IF($AR$6=0,Constants!$B$8,Constants!$B$8*AD381/$AR$6)),"")</f>
        <v/>
      </c>
      <c r="AS381" s="66" t="str">
        <f aca="false">IF($AG381&lt;&gt;Constants!$B$7,$AG381,IF(AK381&amp;AO381&lt;&gt;"",Constants!$B$14,AM381+AQ381+AR381))</f>
        <v/>
      </c>
      <c r="AT381" s="66" t="str">
        <f aca="false">IF(ISBLANK($C381),"",IF($AG381=Constants!$B$7,IF(ISNUMBER(AS381),RANK(AS381,$AS$8:$AS$507),Constants!$B$14),$AG381))</f>
        <v/>
      </c>
      <c r="AU381" s="66" t="str">
        <f aca="false">IF(ISBLANK($C381), "",AM381)</f>
        <v/>
      </c>
      <c r="AV381" s="66" t="str">
        <f aca="false">IF(ISBLANK($C381),"",IF($AG381=Constants!$B$7,RANK(AU381,AU$8:AU$507),$AG381))</f>
        <v/>
      </c>
      <c r="AW381" s="66" t="str">
        <f aca="false">IF(ISBLANK($C381), "",AR381)</f>
        <v/>
      </c>
      <c r="AX381" s="66" t="str">
        <f aca="false">IF(ISBLANK($C381),"",IF($AG381=Constants!$B$7,RANK(AW381,AW$8:AW$507),$AG381))</f>
        <v/>
      </c>
      <c r="AY381" s="66" t="str">
        <f aca="false">IF(ISBLANK($C381), "",AE381)</f>
        <v/>
      </c>
      <c r="AZ381" s="66" t="str">
        <f aca="false">IF(ISBLANK($C381),"",
IF($AG381=Constants!$B$7,
  IF(ISNUMBER(AT381),
    COUNTIFS($AT$8:$AT$507,"&lt;"&amp;$AT381)
    + COUNTIFS($AT$8:$AT$507,$AT381,$AV$8:$AV$507,"&lt;"&amp;$AV381)
    + COUNTIFS($AT$8:$AT$507,$AT381,$AV$8:$AV$507,$AV381,$AX$8:$AX$507,"&lt;"&amp;$AX381)
    + COUNTIFS($AT$8:$AT$507,$AT381,$AV$8:$AV$507,$AV381,$AX$8:$AX$507,$AX381,$AY$8:$AY$507,"&lt;"&amp;$AY381)
    + 1,
  Constants!$B$14),
$AG381))</f>
        <v/>
      </c>
      <c r="BA381" s="66" t="str">
        <f aca="false">IF(ISBLANK(C381),"",IF($AG381=Constants!$B$7, IF(ISNUMBER(AT381),AT381-AZ381,Constants!$B$14),$AG381))</f>
        <v/>
      </c>
      <c r="BB381" s="70"/>
      <c r="BC381" s="84" t="str">
        <f aca="false">IF(ISBLANK($C381),"",TRIM(AK381&amp;" "&amp;AO381))</f>
        <v/>
      </c>
      <c r="BD381" s="72" t="str">
        <f aca="false">IF(ISBLANK($C381),"",IF($AG381&lt;&gt;Constants!$B$7,$AG381,AR381))</f>
        <v/>
      </c>
      <c r="BE381" s="72" t="str">
        <f aca="false">IF(ISBLANK($C381),"",IF($AG381&lt;&gt;Constants!$B$7,$AG381,AM381))</f>
        <v/>
      </c>
      <c r="BF381" s="72" t="str">
        <f aca="false">IF(ISBLANK($C381),"",IF($AG381&lt;&gt;Constants!$B$7,$AG381,AQ381))</f>
        <v/>
      </c>
      <c r="BG381" s="73" t="str">
        <f aca="false">IF(ISBLANK($C381),"",IF($AG381&lt;&gt;Constants!$B$7, $AG381 ,AS381))</f>
        <v/>
      </c>
      <c r="BH381" s="74" t="str">
        <f aca="false">IF(ISBLANK($C381),"",IF($AG381&lt;&gt;Constants!$B$7, $AG381 ,AH381))</f>
        <v/>
      </c>
      <c r="BI381" s="72" t="str">
        <f aca="false">IF(ISBLANK(C381),"",BA381)</f>
        <v/>
      </c>
      <c r="BJ381" s="72" t="str">
        <f aca="false">IF(ISBLANK(C381),"",AZ381)</f>
        <v/>
      </c>
      <c r="BK381" s="75" t="str">
        <f aca="false">IF(ISBLANK(C381),"",IFERROR(_xlfn.SWITCH(BJ381, Constants!$B$4, COUNTA($C$8:$C880)+2, Constants!$B$5, COUNTA($C$8:$C880)+1, Constants!$B$6, COUNTA($C$8:$C880)),BJ381))</f>
        <v/>
      </c>
      <c r="BL381" s="5"/>
      <c r="BM381" s="76" t="n">
        <f aca="false">IF(OR(ISNUMBER(BJ381),BJ381="DQ",BJ381="P",BJ381="NS"),
    1,
    0
)</f>
        <v>0</v>
      </c>
      <c r="BN381" s="76" t="n">
        <v>374</v>
      </c>
      <c r="BO381" s="76" t="str">
        <f aca="false">IF(ISBLANK($C381),"",IF(ISNUMBER(BK381),BK381+ROW($B381)/1000,""))</f>
        <v/>
      </c>
      <c r="BP381" s="76" t="str">
        <f aca="false">IF(ISNUMBER(BO381), RANK(BO381,BO$8:BO$507,1), "")</f>
        <v/>
      </c>
      <c r="BQ381" s="76" t="str">
        <f aca="false">IF(ISBLANK($C381),
    "",
    $B381
)</f>
        <v/>
      </c>
      <c r="BR381" s="76" t="str">
        <f aca="false">IF(ISBLANK($C381),
    "",
    $C381
)</f>
        <v/>
      </c>
      <c r="BS381" s="76" t="str">
        <f aca="false">IF(ISBLANK($C381),
    "",
    $D381
)</f>
        <v/>
      </c>
      <c r="BT381" s="77" t="str">
        <f aca="false">BH381</f>
        <v/>
      </c>
      <c r="BU381" s="78" t="str">
        <f aca="false">BG381</f>
        <v/>
      </c>
      <c r="BV381" s="76" t="str">
        <f aca="false">IF(ISBLANK($C381),
    "",
    BJ381
)</f>
        <v/>
      </c>
      <c r="BW381" s="79" t="str">
        <f aca="false">IF(BN381&gt;BM$7,
    "",
    VLOOKUP(BN381,BP$8:BV880,7,FALSE())
)</f>
        <v/>
      </c>
      <c r="BX381" s="80" t="str">
        <f aca="false">IF(BN381&gt;BM$7,
    "",
    VLOOKUP(BN381,BP$8:BV880,2,FALSE())
)</f>
        <v/>
      </c>
      <c r="BY381" s="80" t="str">
        <f aca="false">IF(BN381&gt;BM$7,
    "",
    VLOOKUP(BN381,BP$8:BV880,3,FALSE())
)</f>
        <v/>
      </c>
      <c r="BZ381" s="80" t="str">
        <f aca="false">IF(BN381&gt;BM$7,
    "",
    VLOOKUP(BN381,BP$8:BV880,4,FALSE())
)</f>
        <v/>
      </c>
      <c r="CA381" s="80" t="str">
        <f aca="false">IF(BN381&gt;BM$7,
    "",
    VLOOKUP(BN381,BP$8:BV880,5,FALSE())
)</f>
        <v/>
      </c>
      <c r="CB381" s="81" t="str">
        <f aca="false">IF(BN381&gt;BM$7,
    "",
    VLOOKUP(BN381,BP$8:BV880,6,FALSE())
)</f>
        <v/>
      </c>
      <c r="CC381" s="53"/>
    </row>
    <row r="382" customFormat="false" ht="15.75" hidden="false" customHeight="false" outlineLevel="0" collapsed="false">
      <c r="A382" s="5"/>
      <c r="B382" s="129"/>
      <c r="C382" s="55"/>
      <c r="D382" s="56"/>
      <c r="E382" s="123"/>
      <c r="F382" s="123"/>
      <c r="G382" s="58"/>
      <c r="H382" s="59"/>
      <c r="I382" s="59"/>
      <c r="J382" s="83"/>
      <c r="K382" s="83"/>
      <c r="L382" s="83"/>
      <c r="M382" s="61"/>
      <c r="N382" s="61"/>
      <c r="O382" s="61"/>
      <c r="P382" s="62"/>
      <c r="Q382" s="63"/>
      <c r="R382" s="83"/>
      <c r="S382" s="65"/>
      <c r="T382" s="66"/>
      <c r="U382" s="66" t="str">
        <f aca="false">IF(ISBLANK($C382),"",IF(G382=Constants!$B$2, TRUE(), IF(G382=Constants!$B$3, FALSE(), TRUE())))</f>
        <v/>
      </c>
      <c r="V382" s="66" t="str">
        <f aca="false">IF(ISBLANK($C382),"",IF(H382=Constants!$B$2, TRUE(), IF(H382=Constants!$B$3, FALSE(), TRUE())))</f>
        <v/>
      </c>
      <c r="W382" s="66" t="str">
        <f aca="false">IF(ISBLANK($C382),"",IF(I382=Constants!$B$2, TRUE(), IF(I382=Constants!$B$3, FALSE(), TRUE())))</f>
        <v/>
      </c>
      <c r="X382" s="66" t="str">
        <f aca="false">IF(ISBLANK($C382),"",IF(AND(ISNUMBER(J382),J382&gt;0),INT(J382),0))</f>
        <v/>
      </c>
      <c r="Y382" s="66" t="str">
        <f aca="false">IF(ISBLANK($C382),"",IF(K382=Constants!$B$2, TRUE(), IF(K382=Constants!$B$3, FALSE(), TRUE())))</f>
        <v/>
      </c>
      <c r="Z382" s="66" t="str">
        <f aca="false">IF(ISBLANK($C382),"",IF(AND(ISNUMBER(L382),L382&gt;0),INT(L382),0))</f>
        <v/>
      </c>
      <c r="AA382" s="68" t="str">
        <f aca="false">IF(ISBLANK($C382),"",IF(ISNUMBER(M382), M382, ""))</f>
        <v/>
      </c>
      <c r="AB382" s="68" t="str">
        <f aca="false">IF(ISBLANK($C382),"",IF(ISNUMBER(N382), N382, ""))</f>
        <v/>
      </c>
      <c r="AC382" s="68" t="str">
        <f aca="false">IF(ISBLANK($C382),"",IF(ISNUMBER(O382), O382, ""))</f>
        <v/>
      </c>
      <c r="AD382" s="69" t="str">
        <f aca="false">IF(ISBLANK($C382),"",IF(ISNUMBER(P382), P382, ""))</f>
        <v/>
      </c>
      <c r="AE382" s="69" t="str">
        <f aca="false">IF(ISBLANK($C382),"",IF(ISNUMBER(Q382), Q382, Constants!$B$13))</f>
        <v/>
      </c>
      <c r="AF382" s="66" t="str">
        <f aca="false">IF(ISBLANK($C382),"",IF(R382=Constants!$B$2, TRUE(), IF(R382=Constants!$B$3, FALSE(), FALSE())))</f>
        <v/>
      </c>
      <c r="AG382" s="66" t="str">
        <f aca="false">IF(ISBLANK(C382), "", IF(AF382, Constants!$B$4,IF(COUNTA(G382:P382)=0, Constants!$B$5, Constants!$B$7)))</f>
        <v/>
      </c>
      <c r="AH382" s="66" t="str">
        <f aca="false">IF(ISBLANK($C382), "",IF($AG382=Constants!$B$7,1,$AG382))</f>
        <v/>
      </c>
      <c r="AI382" s="66" t="str">
        <f aca="false">IF($AG382=Constants!$B$7,POWER(Constants!$B$11,X382)*POWER(Constants!$B$12,Z382),"")</f>
        <v/>
      </c>
      <c r="AJ382" s="66" t="str">
        <f aca="false">IF(AND($AG382=Constants!$B$7, U382, V382) ,IF(OR($AA382="",$AC382=""),"",MAX(0, $AC382-$AA382)),"")</f>
        <v/>
      </c>
      <c r="AK382" s="66" t="str">
        <f aca="false">IF(AND($AG382=Constants!$B$7, U382, V382),IF(OR($AA382="",$AC382=""),$AK$6,""),"")</f>
        <v/>
      </c>
      <c r="AL382" s="66" t="str">
        <f aca="false">IF($AG382=Constants!$B$7,IF(AND(U382,V382,W382,Y382),IF($AJ382="",0,IF($AJ$6=0,Constants!$B$9,Constants!$B$9*AJ382/$AJ$6)), 0),"")</f>
        <v/>
      </c>
      <c r="AM382" s="66" t="str">
        <f aca="false">IF(AL382&lt;&gt;"", AL382*AI382,"")</f>
        <v/>
      </c>
      <c r="AN382" s="66" t="str">
        <f aca="false">IF(AND($AG382=Constants!$B$7, U382, V382) ,IF($AB382="", "", IF(OR($AC382="",$AC382=0),"",MAX(0,1-ABS($AC382-$AB382)/$AC382))),"")</f>
        <v/>
      </c>
      <c r="AO382" s="66" t="str">
        <f aca="false">IF(AND($AG382=Constants!$B$7, U382, V382),IF(AND($AA382&lt;&gt;"",$AB382&lt;&gt;"",$AC382=0),$AO$6,""),"")</f>
        <v/>
      </c>
      <c r="AP382" s="66" t="str">
        <f aca="false">IF($AG382=Constants!$B$7 ,IF(AND(U382,V382,W382,Y382,ISNUMBER(AB382)),IF($AN382="",0,IF($AN$6=0,Constants!$B$10,Constants!$B$10*AN382/$AN$6)), 0),"")</f>
        <v/>
      </c>
      <c r="AQ382" s="66" t="str">
        <f aca="false">IF(AP382&lt;&gt;"", AP382*AI382,"")</f>
        <v/>
      </c>
      <c r="AR382" s="66" t="str">
        <f aca="false">IF($AG382=Constants!$B$7,IF($AD382="",0,IF($AR$6=0,Constants!$B$8,Constants!$B$8*AD382/$AR$6)),"")</f>
        <v/>
      </c>
      <c r="AS382" s="66" t="str">
        <f aca="false">IF($AG382&lt;&gt;Constants!$B$7,$AG382,IF(AK382&amp;AO382&lt;&gt;"",Constants!$B$14,AM382+AQ382+AR382))</f>
        <v/>
      </c>
      <c r="AT382" s="66" t="str">
        <f aca="false">IF(ISBLANK($C382),"",IF($AG382=Constants!$B$7,IF(ISNUMBER(AS382),RANK(AS382,$AS$8:$AS$507),Constants!$B$14),$AG382))</f>
        <v/>
      </c>
      <c r="AU382" s="66" t="str">
        <f aca="false">IF(ISBLANK($C382), "",AM382)</f>
        <v/>
      </c>
      <c r="AV382" s="66" t="str">
        <f aca="false">IF(ISBLANK($C382),"",IF($AG382=Constants!$B$7,RANK(AU382,AU$8:AU$507),$AG382))</f>
        <v/>
      </c>
      <c r="AW382" s="66" t="str">
        <f aca="false">IF(ISBLANK($C382), "",AR382)</f>
        <v/>
      </c>
      <c r="AX382" s="66" t="str">
        <f aca="false">IF(ISBLANK($C382),"",IF($AG382=Constants!$B$7,RANK(AW382,AW$8:AW$507),$AG382))</f>
        <v/>
      </c>
      <c r="AY382" s="66" t="str">
        <f aca="false">IF(ISBLANK($C382), "",AE382)</f>
        <v/>
      </c>
      <c r="AZ382" s="66" t="str">
        <f aca="false">IF(ISBLANK($C382),"",
IF($AG382=Constants!$B$7,
  IF(ISNUMBER(AT382),
    COUNTIFS($AT$8:$AT$507,"&lt;"&amp;$AT382)
    + COUNTIFS($AT$8:$AT$507,$AT382,$AV$8:$AV$507,"&lt;"&amp;$AV382)
    + COUNTIFS($AT$8:$AT$507,$AT382,$AV$8:$AV$507,$AV382,$AX$8:$AX$507,"&lt;"&amp;$AX382)
    + COUNTIFS($AT$8:$AT$507,$AT382,$AV$8:$AV$507,$AV382,$AX$8:$AX$507,$AX382,$AY$8:$AY$507,"&lt;"&amp;$AY382)
    + 1,
  Constants!$B$14),
$AG382))</f>
        <v/>
      </c>
      <c r="BA382" s="66" t="str">
        <f aca="false">IF(ISBLANK(C382),"",IF($AG382=Constants!$B$7, IF(ISNUMBER(AT382),AT382-AZ382,Constants!$B$14),$AG382))</f>
        <v/>
      </c>
      <c r="BB382" s="70"/>
      <c r="BC382" s="84" t="str">
        <f aca="false">IF(ISBLANK($C382),"",TRIM(AK382&amp;" "&amp;AO382))</f>
        <v/>
      </c>
      <c r="BD382" s="72" t="str">
        <f aca="false">IF(ISBLANK($C382),"",IF($AG382&lt;&gt;Constants!$B$7,$AG382,AR382))</f>
        <v/>
      </c>
      <c r="BE382" s="72" t="str">
        <f aca="false">IF(ISBLANK($C382),"",IF($AG382&lt;&gt;Constants!$B$7,$AG382,AM382))</f>
        <v/>
      </c>
      <c r="BF382" s="72" t="str">
        <f aca="false">IF(ISBLANK($C382),"",IF($AG382&lt;&gt;Constants!$B$7,$AG382,AQ382))</f>
        <v/>
      </c>
      <c r="BG382" s="73" t="str">
        <f aca="false">IF(ISBLANK($C382),"",IF($AG382&lt;&gt;Constants!$B$7, $AG382 ,AS382))</f>
        <v/>
      </c>
      <c r="BH382" s="74" t="str">
        <f aca="false">IF(ISBLANK($C382),"",IF($AG382&lt;&gt;Constants!$B$7, $AG382 ,AH382))</f>
        <v/>
      </c>
      <c r="BI382" s="72" t="str">
        <f aca="false">IF(ISBLANK(C382),"",BA382)</f>
        <v/>
      </c>
      <c r="BJ382" s="72" t="str">
        <f aca="false">IF(ISBLANK(C382),"",AZ382)</f>
        <v/>
      </c>
      <c r="BK382" s="75" t="str">
        <f aca="false">IF(ISBLANK(C382),"",IFERROR(_xlfn.SWITCH(BJ382, Constants!$B$4, COUNTA($C$8:$C881)+2, Constants!$B$5, COUNTA($C$8:$C881)+1, Constants!$B$6, COUNTA($C$8:$C881)),BJ382))</f>
        <v/>
      </c>
      <c r="BL382" s="5"/>
      <c r="BM382" s="76" t="n">
        <f aca="false">IF(OR(ISNUMBER(BJ382),BJ382="DQ",BJ382="P",BJ382="NS"),
    1,
    0
)</f>
        <v>0</v>
      </c>
      <c r="BN382" s="76" t="n">
        <v>375</v>
      </c>
      <c r="BO382" s="76" t="str">
        <f aca="false">IF(ISBLANK($C382),"",IF(ISNUMBER(BK382),BK382+ROW($B382)/1000,""))</f>
        <v/>
      </c>
      <c r="BP382" s="76" t="str">
        <f aca="false">IF(ISNUMBER(BO382), RANK(BO382,BO$8:BO$507,1), "")</f>
        <v/>
      </c>
      <c r="BQ382" s="76" t="str">
        <f aca="false">IF(ISBLANK($C382),
    "",
    $B382
)</f>
        <v/>
      </c>
      <c r="BR382" s="76" t="str">
        <f aca="false">IF(ISBLANK($C382),
    "",
    $C382
)</f>
        <v/>
      </c>
      <c r="BS382" s="76" t="str">
        <f aca="false">IF(ISBLANK($C382),
    "",
    $D382
)</f>
        <v/>
      </c>
      <c r="BT382" s="77" t="str">
        <f aca="false">BH382</f>
        <v/>
      </c>
      <c r="BU382" s="78" t="str">
        <f aca="false">BG382</f>
        <v/>
      </c>
      <c r="BV382" s="76" t="str">
        <f aca="false">IF(ISBLANK($C382),
    "",
    BJ382
)</f>
        <v/>
      </c>
      <c r="BW382" s="79" t="str">
        <f aca="false">IF(BN382&gt;BM$7,
    "",
    VLOOKUP(BN382,BP$8:BV881,7,FALSE())
)</f>
        <v/>
      </c>
      <c r="BX382" s="80" t="str">
        <f aca="false">IF(BN382&gt;BM$7,
    "",
    VLOOKUP(BN382,BP$8:BV881,2,FALSE())
)</f>
        <v/>
      </c>
      <c r="BY382" s="80" t="str">
        <f aca="false">IF(BN382&gt;BM$7,
    "",
    VLOOKUP(BN382,BP$8:BV881,3,FALSE())
)</f>
        <v/>
      </c>
      <c r="BZ382" s="80" t="str">
        <f aca="false">IF(BN382&gt;BM$7,
    "",
    VLOOKUP(BN382,BP$8:BV881,4,FALSE())
)</f>
        <v/>
      </c>
      <c r="CA382" s="80" t="str">
        <f aca="false">IF(BN382&gt;BM$7,
    "",
    VLOOKUP(BN382,BP$8:BV881,5,FALSE())
)</f>
        <v/>
      </c>
      <c r="CB382" s="81" t="str">
        <f aca="false">IF(BN382&gt;BM$7,
    "",
    VLOOKUP(BN382,BP$8:BV881,6,FALSE())
)</f>
        <v/>
      </c>
      <c r="CC382" s="53"/>
    </row>
    <row r="383" customFormat="false" ht="15.75" hidden="false" customHeight="false" outlineLevel="0" collapsed="false">
      <c r="A383" s="5"/>
      <c r="B383" s="125"/>
      <c r="C383" s="126"/>
      <c r="D383" s="115"/>
      <c r="E383" s="119"/>
      <c r="F383" s="119"/>
      <c r="G383" s="91"/>
      <c r="H383" s="92"/>
      <c r="I383" s="92"/>
      <c r="J383" s="128"/>
      <c r="K383" s="128"/>
      <c r="L383" s="128"/>
      <c r="M383" s="94"/>
      <c r="N383" s="94"/>
      <c r="O383" s="94"/>
      <c r="P383" s="95"/>
      <c r="Q383" s="96"/>
      <c r="R383" s="128"/>
      <c r="S383" s="98"/>
      <c r="T383" s="99"/>
      <c r="U383" s="99" t="str">
        <f aca="false">IF(ISBLANK($C383),"",IF(G383=Constants!$B$2, TRUE(), IF(G383=Constants!$B$3, FALSE(), TRUE())))</f>
        <v/>
      </c>
      <c r="V383" s="99" t="str">
        <f aca="false">IF(ISBLANK($C383),"",IF(H383=Constants!$B$2, TRUE(), IF(H383=Constants!$B$3, FALSE(), TRUE())))</f>
        <v/>
      </c>
      <c r="W383" s="99" t="str">
        <f aca="false">IF(ISBLANK($C383),"",IF(I383=Constants!$B$2, TRUE(), IF(I383=Constants!$B$3, FALSE(), TRUE())))</f>
        <v/>
      </c>
      <c r="X383" s="99" t="str">
        <f aca="false">IF(ISBLANK($C383),"",IF(AND(ISNUMBER(J383),J383&gt;0),INT(J383),0))</f>
        <v/>
      </c>
      <c r="Y383" s="99" t="str">
        <f aca="false">IF(ISBLANK($C383),"",IF(K383=Constants!$B$2, TRUE(), IF(K383=Constants!$B$3, FALSE(), TRUE())))</f>
        <v/>
      </c>
      <c r="Z383" s="100" t="str">
        <f aca="false">IF(ISBLANK($C383),"",IF(AND(ISNUMBER(L383),L383&gt;0),INT(L383),0))</f>
        <v/>
      </c>
      <c r="AA383" s="101" t="str">
        <f aca="false">IF(ISBLANK($C383),"",IF(ISNUMBER(M383), M383, ""))</f>
        <v/>
      </c>
      <c r="AB383" s="101" t="str">
        <f aca="false">IF(ISBLANK($C383),"",IF(ISNUMBER(N383), N383, ""))</f>
        <v/>
      </c>
      <c r="AC383" s="101" t="str">
        <f aca="false">IF(ISBLANK($C383),"",IF(ISNUMBER(O383), O383, ""))</f>
        <v/>
      </c>
      <c r="AD383" s="102" t="str">
        <f aca="false">IF(ISBLANK($C383),"",IF(ISNUMBER(P383), P383, ""))</f>
        <v/>
      </c>
      <c r="AE383" s="102" t="str">
        <f aca="false">IF(ISBLANK($C383),"",IF(ISNUMBER(Q383), Q383, Constants!$B$13))</f>
        <v/>
      </c>
      <c r="AF383" s="99" t="str">
        <f aca="false">IF(ISBLANK($C383),"",IF(R383=Constants!$B$2, TRUE(), IF(R383=Constants!$B$3, FALSE(), FALSE())))</f>
        <v/>
      </c>
      <c r="AG383" s="99" t="str">
        <f aca="false">IF(ISBLANK(C383), "", IF(AF383, Constants!$B$4,IF(COUNTA(G383:P383)=0, Constants!$B$5, Constants!$B$7)))</f>
        <v/>
      </c>
      <c r="AH383" s="99" t="str">
        <f aca="false">IF(ISBLANK($C383), "",IF($AG383=Constants!$B$7,1,$AG383))</f>
        <v/>
      </c>
      <c r="AI383" s="99" t="str">
        <f aca="false">IF($AG383=Constants!$B$7,POWER(Constants!$B$11,X383)*POWER(Constants!$B$12,Z383),"")</f>
        <v/>
      </c>
      <c r="AJ383" s="99" t="str">
        <f aca="false">IF(AND($AG383=Constants!$B$7, U383, V383) ,IF(OR($AA383="",$AC383=""),"",MAX(0, $AC383-$AA383)),"")</f>
        <v/>
      </c>
      <c r="AK383" s="99" t="str">
        <f aca="false">IF(AND($AG383=Constants!$B$7, U383, V383),IF(OR($AA383="",$AC383=""),$AK$6,""),"")</f>
        <v/>
      </c>
      <c r="AL383" s="99" t="str">
        <f aca="false">IF($AG383=Constants!$B$7,IF(AND(U383,V383,W383,Y383),IF($AJ383="",0,IF($AJ$6=0,Constants!$B$9,Constants!$B$9*AJ383/$AJ$6)), 0),"")</f>
        <v/>
      </c>
      <c r="AM383" s="99" t="str">
        <f aca="false">IF(AL383&lt;&gt;"", AL383*AI383,"")</f>
        <v/>
      </c>
      <c r="AN383" s="99" t="str">
        <f aca="false">IF(AND($AG383=Constants!$B$7, U383, V383) ,IF($AB383="", "", IF(OR($AC383="",$AC383=0),"",MAX(0,1-ABS($AC383-$AB383)/$AC383))),"")</f>
        <v/>
      </c>
      <c r="AO383" s="99" t="str">
        <f aca="false">IF(AND($AG383=Constants!$B$7, U383, V383),IF(AND($AA383&lt;&gt;"",$AB383&lt;&gt;"",$AC383=0),$AO$6,""),"")</f>
        <v/>
      </c>
      <c r="AP383" s="99" t="str">
        <f aca="false">IF($AG383=Constants!$B$7 ,IF(AND(U383,V383,W383,Y383,ISNUMBER(AB383)),IF($AN383="",0,IF($AN$6=0,Constants!$B$10,Constants!$B$10*AN383/$AN$6)), 0),"")</f>
        <v/>
      </c>
      <c r="AQ383" s="99" t="str">
        <f aca="false">IF(AP383&lt;&gt;"", AP383*AI383,"")</f>
        <v/>
      </c>
      <c r="AR383" s="99" t="str">
        <f aca="false">IF($AG383=Constants!$B$7,IF($AD383="",0,IF($AR$6=0,Constants!$B$8,Constants!$B$8*AD383/$AR$6)),"")</f>
        <v/>
      </c>
      <c r="AS383" s="99" t="str">
        <f aca="false">IF($AG383&lt;&gt;Constants!$B$7,$AG383,IF(AK383&amp;AO383&lt;&gt;"",Constants!$B$14,AM383+AQ383+AR383))</f>
        <v/>
      </c>
      <c r="AT383" s="99" t="str">
        <f aca="false">IF(ISBLANK($C383),"",IF($AG383=Constants!$B$7,IF(ISNUMBER(AS383),RANK(AS383,$AS$8:$AS$507),Constants!$B$14),$AG383))</f>
        <v/>
      </c>
      <c r="AU383" s="99" t="str">
        <f aca="false">IF(ISBLANK($C383), "",AM383)</f>
        <v/>
      </c>
      <c r="AV383" s="99" t="str">
        <f aca="false">IF(ISBLANK($C383),"",IF($AG383=Constants!$B$7,RANK(AU383,AU$8:AU$507),$AG383))</f>
        <v/>
      </c>
      <c r="AW383" s="99" t="str">
        <f aca="false">IF(ISBLANK($C383), "",AR383)</f>
        <v/>
      </c>
      <c r="AX383" s="99" t="str">
        <f aca="false">IF(ISBLANK($C383),"",IF($AG383=Constants!$B$7,RANK(AW383,AW$8:AW$507),$AG383))</f>
        <v/>
      </c>
      <c r="AY383" s="99" t="str">
        <f aca="false">IF(ISBLANK($C383), "",AE383)</f>
        <v/>
      </c>
      <c r="AZ383" s="99" t="str">
        <f aca="false">IF(ISBLANK($C383),"",
IF($AG383=Constants!$B$7,
  IF(ISNUMBER(AT383),
    COUNTIFS($AT$8:$AT$507,"&lt;"&amp;$AT383)
    + COUNTIFS($AT$8:$AT$507,$AT383,$AV$8:$AV$507,"&lt;"&amp;$AV383)
    + COUNTIFS($AT$8:$AT$507,$AT383,$AV$8:$AV$507,$AV383,$AX$8:$AX$507,"&lt;"&amp;$AX383)
    + COUNTIFS($AT$8:$AT$507,$AT383,$AV$8:$AV$507,$AV383,$AX$8:$AX$507,$AX383,$AY$8:$AY$507,"&lt;"&amp;$AY383)
    + 1,
  Constants!$B$14),
$AG383))</f>
        <v/>
      </c>
      <c r="BA383" s="99" t="str">
        <f aca="false">IF(ISBLANK(C383),"",IF($AG383=Constants!$B$7, IF(ISNUMBER(AT383),AT383-AZ383,Constants!$B$14),$AG383))</f>
        <v/>
      </c>
      <c r="BB383" s="103"/>
      <c r="BC383" s="104" t="str">
        <f aca="false">IF(ISBLANK($C383),"",TRIM(AK383&amp;" "&amp;AO383))</f>
        <v/>
      </c>
      <c r="BD383" s="105" t="str">
        <f aca="false">IF(ISBLANK($C383),"",IF($AG383&lt;&gt;Constants!$B$7,$AG383,AR383))</f>
        <v/>
      </c>
      <c r="BE383" s="105" t="str">
        <f aca="false">IF(ISBLANK($C383),"",IF($AG383&lt;&gt;Constants!$B$7,$AG383,AM383))</f>
        <v/>
      </c>
      <c r="BF383" s="105" t="str">
        <f aca="false">IF(ISBLANK($C383),"",IF($AG383&lt;&gt;Constants!$B$7,$AG383,AQ383))</f>
        <v/>
      </c>
      <c r="BG383" s="106" t="str">
        <f aca="false">IF(ISBLANK($C383),"",IF($AG383&lt;&gt;Constants!$B$7, $AG383 ,AS383))</f>
        <v/>
      </c>
      <c r="BH383" s="107" t="str">
        <f aca="false">IF(ISBLANK($C383),"",IF($AG383&lt;&gt;Constants!$B$7, $AG383 ,AH383))</f>
        <v/>
      </c>
      <c r="BI383" s="105" t="str">
        <f aca="false">IF(ISBLANK(C383),"",BA383)</f>
        <v/>
      </c>
      <c r="BJ383" s="105" t="str">
        <f aca="false">IF(ISBLANK(C383),"",AZ383)</f>
        <v/>
      </c>
      <c r="BK383" s="108" t="str">
        <f aca="false">IF(ISBLANK(C383),"",IFERROR(_xlfn.SWITCH(BJ383, Constants!$B$4, COUNTA($C$8:$C882)+2, Constants!$B$5, COUNTA($C$8:$C882)+1, Constants!$B$6, COUNTA($C$8:$C882)),BJ383))</f>
        <v/>
      </c>
      <c r="BL383" s="5"/>
      <c r="BM383" s="109" t="n">
        <f aca="false">IF(OR(ISNUMBER(BJ383),BJ383="DQ",BJ383="P",BJ383="NS"),
    1,
    0
)</f>
        <v>0</v>
      </c>
      <c r="BN383" s="109" t="n">
        <v>376</v>
      </c>
      <c r="BO383" s="109" t="str">
        <f aca="false">IF(ISBLANK($C383),"",IF(ISNUMBER(BK383),BK383+ROW($B383)/1000,""))</f>
        <v/>
      </c>
      <c r="BP383" s="109" t="str">
        <f aca="false">IF(ISNUMBER(BO383), RANK(BO383,BO$8:BO$507,1), "")</f>
        <v/>
      </c>
      <c r="BQ383" s="109" t="str">
        <f aca="false">IF(ISBLANK($C383),
    "",
    $B383
)</f>
        <v/>
      </c>
      <c r="BR383" s="109" t="str">
        <f aca="false">IF(ISBLANK($C383),
    "",
    $C383
)</f>
        <v/>
      </c>
      <c r="BS383" s="109" t="str">
        <f aca="false">IF(ISBLANK($C383),
    "",
    $D383
)</f>
        <v/>
      </c>
      <c r="BT383" s="110" t="str">
        <f aca="false">BH383</f>
        <v/>
      </c>
      <c r="BU383" s="111" t="str">
        <f aca="false">BG383</f>
        <v/>
      </c>
      <c r="BV383" s="109" t="str">
        <f aca="false">IF(ISBLANK($C383),
    "",
    BJ383
)</f>
        <v/>
      </c>
      <c r="BW383" s="112" t="str">
        <f aca="false">IF(BN383&gt;BM$7,
    "",
    VLOOKUP(BN383,BP$8:BV882,7,FALSE())
)</f>
        <v/>
      </c>
      <c r="BX383" s="113" t="str">
        <f aca="false">IF(BN383&gt;BM$7,
    "",
    VLOOKUP(BN383,BP$8:BV882,2,FALSE())
)</f>
        <v/>
      </c>
      <c r="BY383" s="113" t="str">
        <f aca="false">IF(BN383&gt;BM$7,
    "",
    VLOOKUP(BN383,BP$8:BV882,3,FALSE())
)</f>
        <v/>
      </c>
      <c r="BZ383" s="113" t="str">
        <f aca="false">IF(BN383&gt;BM$7,
    "",
    VLOOKUP(BN383,BP$8:BV882,4,FALSE())
)</f>
        <v/>
      </c>
      <c r="CA383" s="113" t="str">
        <f aca="false">IF(BN383&gt;BM$7,
    "",
    VLOOKUP(BN383,BP$8:BV882,5,FALSE())
)</f>
        <v/>
      </c>
      <c r="CB383" s="114" t="str">
        <f aca="false">IF(BN383&gt;BM$7,
    "",
    VLOOKUP(BN383,BP$8:BV882,6,FALSE())
)</f>
        <v/>
      </c>
      <c r="CC383" s="53"/>
    </row>
    <row r="384" customFormat="false" ht="15.75" hidden="false" customHeight="false" outlineLevel="0" collapsed="false">
      <c r="A384" s="5"/>
      <c r="B384" s="125"/>
      <c r="C384" s="126"/>
      <c r="D384" s="115"/>
      <c r="E384" s="119"/>
      <c r="F384" s="119"/>
      <c r="G384" s="91"/>
      <c r="H384" s="92"/>
      <c r="I384" s="92"/>
      <c r="J384" s="128"/>
      <c r="K384" s="128"/>
      <c r="L384" s="128"/>
      <c r="M384" s="94"/>
      <c r="N384" s="94"/>
      <c r="O384" s="94"/>
      <c r="P384" s="95"/>
      <c r="Q384" s="96"/>
      <c r="R384" s="128"/>
      <c r="S384" s="98"/>
      <c r="T384" s="99"/>
      <c r="U384" s="99" t="str">
        <f aca="false">IF(ISBLANK($C384),"",IF(G384=Constants!$B$2, TRUE(), IF(G384=Constants!$B$3, FALSE(), TRUE())))</f>
        <v/>
      </c>
      <c r="V384" s="99" t="str">
        <f aca="false">IF(ISBLANK($C384),"",IF(H384=Constants!$B$2, TRUE(), IF(H384=Constants!$B$3, FALSE(), TRUE())))</f>
        <v/>
      </c>
      <c r="W384" s="99" t="str">
        <f aca="false">IF(ISBLANK($C384),"",IF(I384=Constants!$B$2, TRUE(), IF(I384=Constants!$B$3, FALSE(), TRUE())))</f>
        <v/>
      </c>
      <c r="X384" s="99" t="str">
        <f aca="false">IF(ISBLANK($C384),"",IF(AND(ISNUMBER(J384),J384&gt;0),INT(J384),0))</f>
        <v/>
      </c>
      <c r="Y384" s="99" t="str">
        <f aca="false">IF(ISBLANK($C384),"",IF(K384=Constants!$B$2, TRUE(), IF(K384=Constants!$B$3, FALSE(), TRUE())))</f>
        <v/>
      </c>
      <c r="Z384" s="100" t="str">
        <f aca="false">IF(ISBLANK($C384),"",IF(AND(ISNUMBER(L384),L384&gt;0),INT(L384),0))</f>
        <v/>
      </c>
      <c r="AA384" s="101" t="str">
        <f aca="false">IF(ISBLANK($C384),"",IF(ISNUMBER(M384), M384, ""))</f>
        <v/>
      </c>
      <c r="AB384" s="101" t="str">
        <f aca="false">IF(ISBLANK($C384),"",IF(ISNUMBER(N384), N384, ""))</f>
        <v/>
      </c>
      <c r="AC384" s="101" t="str">
        <f aca="false">IF(ISBLANK($C384),"",IF(ISNUMBER(O384), O384, ""))</f>
        <v/>
      </c>
      <c r="AD384" s="102" t="str">
        <f aca="false">IF(ISBLANK($C384),"",IF(ISNUMBER(P384), P384, ""))</f>
        <v/>
      </c>
      <c r="AE384" s="102" t="str">
        <f aca="false">IF(ISBLANK($C384),"",IF(ISNUMBER(Q384), Q384, Constants!$B$13))</f>
        <v/>
      </c>
      <c r="AF384" s="99" t="str">
        <f aca="false">IF(ISBLANK($C384),"",IF(R384=Constants!$B$2, TRUE(), IF(R384=Constants!$B$3, FALSE(), FALSE())))</f>
        <v/>
      </c>
      <c r="AG384" s="99" t="str">
        <f aca="false">IF(ISBLANK(C384), "", IF(AF384, Constants!$B$4,IF(COUNTA(G384:P384)=0, Constants!$B$5, Constants!$B$7)))</f>
        <v/>
      </c>
      <c r="AH384" s="99" t="str">
        <f aca="false">IF(ISBLANK($C384), "",IF($AG384=Constants!$B$7,1,$AG384))</f>
        <v/>
      </c>
      <c r="AI384" s="99" t="str">
        <f aca="false">IF($AG384=Constants!$B$7,POWER(Constants!$B$11,X384)*POWER(Constants!$B$12,Z384),"")</f>
        <v/>
      </c>
      <c r="AJ384" s="99" t="str">
        <f aca="false">IF(AND($AG384=Constants!$B$7, U384, V384) ,IF(OR($AA384="",$AC384=""),"",MAX(0, $AC384-$AA384)),"")</f>
        <v/>
      </c>
      <c r="AK384" s="99" t="str">
        <f aca="false">IF(AND($AG384=Constants!$B$7, U384, V384),IF(OR($AA384="",$AC384=""),$AK$6,""),"")</f>
        <v/>
      </c>
      <c r="AL384" s="99" t="str">
        <f aca="false">IF($AG384=Constants!$B$7,IF(AND(U384,V384,W384,Y384),IF($AJ384="",0,IF($AJ$6=0,Constants!$B$9,Constants!$B$9*AJ384/$AJ$6)), 0),"")</f>
        <v/>
      </c>
      <c r="AM384" s="99" t="str">
        <f aca="false">IF(AL384&lt;&gt;"", AL384*AI384,"")</f>
        <v/>
      </c>
      <c r="AN384" s="99" t="str">
        <f aca="false">IF(AND($AG384=Constants!$B$7, U384, V384) ,IF($AB384="", "", IF(OR($AC384="",$AC384=0),"",MAX(0,1-ABS($AC384-$AB384)/$AC384))),"")</f>
        <v/>
      </c>
      <c r="AO384" s="99" t="str">
        <f aca="false">IF(AND($AG384=Constants!$B$7, U384, V384),IF(AND($AA384&lt;&gt;"",$AB384&lt;&gt;"",$AC384=0),$AO$6,""),"")</f>
        <v/>
      </c>
      <c r="AP384" s="99" t="str">
        <f aca="false">IF($AG384=Constants!$B$7 ,IF(AND(U384,V384,W384,Y384,ISNUMBER(AB384)),IF($AN384="",0,IF($AN$6=0,Constants!$B$10,Constants!$B$10*AN384/$AN$6)), 0),"")</f>
        <v/>
      </c>
      <c r="AQ384" s="99" t="str">
        <f aca="false">IF(AP384&lt;&gt;"", AP384*AI384,"")</f>
        <v/>
      </c>
      <c r="AR384" s="99" t="str">
        <f aca="false">IF($AG384=Constants!$B$7,IF($AD384="",0,IF($AR$6=0,Constants!$B$8,Constants!$B$8*AD384/$AR$6)),"")</f>
        <v/>
      </c>
      <c r="AS384" s="99" t="str">
        <f aca="false">IF($AG384&lt;&gt;Constants!$B$7,$AG384,IF(AK384&amp;AO384&lt;&gt;"",Constants!$B$14,AM384+AQ384+AR384))</f>
        <v/>
      </c>
      <c r="AT384" s="99" t="str">
        <f aca="false">IF(ISBLANK($C384),"",IF($AG384=Constants!$B$7,IF(ISNUMBER(AS384),RANK(AS384,$AS$8:$AS$507),Constants!$B$14),$AG384))</f>
        <v/>
      </c>
      <c r="AU384" s="99" t="str">
        <f aca="false">IF(ISBLANK($C384), "",AM384)</f>
        <v/>
      </c>
      <c r="AV384" s="99" t="str">
        <f aca="false">IF(ISBLANK($C384),"",IF($AG384=Constants!$B$7,RANK(AU384,AU$8:AU$507),$AG384))</f>
        <v/>
      </c>
      <c r="AW384" s="99" t="str">
        <f aca="false">IF(ISBLANK($C384), "",AR384)</f>
        <v/>
      </c>
      <c r="AX384" s="99" t="str">
        <f aca="false">IF(ISBLANK($C384),"",IF($AG384=Constants!$B$7,RANK(AW384,AW$8:AW$507),$AG384))</f>
        <v/>
      </c>
      <c r="AY384" s="99" t="str">
        <f aca="false">IF(ISBLANK($C384), "",AE384)</f>
        <v/>
      </c>
      <c r="AZ384" s="99" t="str">
        <f aca="false">IF(ISBLANK($C384),"",
IF($AG384=Constants!$B$7,
  IF(ISNUMBER(AT384),
    COUNTIFS($AT$8:$AT$507,"&lt;"&amp;$AT384)
    + COUNTIFS($AT$8:$AT$507,$AT384,$AV$8:$AV$507,"&lt;"&amp;$AV384)
    + COUNTIFS($AT$8:$AT$507,$AT384,$AV$8:$AV$507,$AV384,$AX$8:$AX$507,"&lt;"&amp;$AX384)
    + COUNTIFS($AT$8:$AT$507,$AT384,$AV$8:$AV$507,$AV384,$AX$8:$AX$507,$AX384,$AY$8:$AY$507,"&lt;"&amp;$AY384)
    + 1,
  Constants!$B$14),
$AG384))</f>
        <v/>
      </c>
      <c r="BA384" s="99" t="str">
        <f aca="false">IF(ISBLANK(C384),"",IF($AG384=Constants!$B$7, IF(ISNUMBER(AT384),AT384-AZ384,Constants!$B$14),$AG384))</f>
        <v/>
      </c>
      <c r="BB384" s="103"/>
      <c r="BC384" s="104" t="str">
        <f aca="false">IF(ISBLANK($C384),"",TRIM(AK384&amp;" "&amp;AO384))</f>
        <v/>
      </c>
      <c r="BD384" s="105" t="str">
        <f aca="false">IF(ISBLANK($C384),"",IF($AG384&lt;&gt;Constants!$B$7,$AG384,AR384))</f>
        <v/>
      </c>
      <c r="BE384" s="105" t="str">
        <f aca="false">IF(ISBLANK($C384),"",IF($AG384&lt;&gt;Constants!$B$7,$AG384,AM384))</f>
        <v/>
      </c>
      <c r="BF384" s="105" t="str">
        <f aca="false">IF(ISBLANK($C384),"",IF($AG384&lt;&gt;Constants!$B$7,$AG384,AQ384))</f>
        <v/>
      </c>
      <c r="BG384" s="106" t="str">
        <f aca="false">IF(ISBLANK($C384),"",IF($AG384&lt;&gt;Constants!$B$7, $AG384 ,AS384))</f>
        <v/>
      </c>
      <c r="BH384" s="107" t="str">
        <f aca="false">IF(ISBLANK($C384),"",IF($AG384&lt;&gt;Constants!$B$7, $AG384 ,AH384))</f>
        <v/>
      </c>
      <c r="BI384" s="105" t="str">
        <f aca="false">IF(ISBLANK(C384),"",BA384)</f>
        <v/>
      </c>
      <c r="BJ384" s="105" t="str">
        <f aca="false">IF(ISBLANK(C384),"",AZ384)</f>
        <v/>
      </c>
      <c r="BK384" s="108" t="str">
        <f aca="false">IF(ISBLANK(C384),"",IFERROR(_xlfn.SWITCH(BJ384, Constants!$B$4, COUNTA($C$8:$C883)+2, Constants!$B$5, COUNTA($C$8:$C883)+1, Constants!$B$6, COUNTA($C$8:$C883)),BJ384))</f>
        <v/>
      </c>
      <c r="BL384" s="5"/>
      <c r="BM384" s="109" t="n">
        <f aca="false">IF(OR(ISNUMBER(BJ384),BJ384="DQ",BJ384="P",BJ384="NS"),
    1,
    0
)</f>
        <v>0</v>
      </c>
      <c r="BN384" s="109" t="n">
        <v>377</v>
      </c>
      <c r="BO384" s="109" t="str">
        <f aca="false">IF(ISBLANK($C384),"",IF(ISNUMBER(BK384),BK384+ROW($B384)/1000,""))</f>
        <v/>
      </c>
      <c r="BP384" s="109" t="str">
        <f aca="false">IF(ISNUMBER(BO384), RANK(BO384,BO$8:BO$507,1), "")</f>
        <v/>
      </c>
      <c r="BQ384" s="109" t="str">
        <f aca="false">IF(ISBLANK($C384),
    "",
    $B384
)</f>
        <v/>
      </c>
      <c r="BR384" s="109" t="str">
        <f aca="false">IF(ISBLANK($C384),
    "",
    $C384
)</f>
        <v/>
      </c>
      <c r="BS384" s="109" t="str">
        <f aca="false">IF(ISBLANK($C384),
    "",
    $D384
)</f>
        <v/>
      </c>
      <c r="BT384" s="110" t="str">
        <f aca="false">BH384</f>
        <v/>
      </c>
      <c r="BU384" s="111" t="str">
        <f aca="false">BG384</f>
        <v/>
      </c>
      <c r="BV384" s="109" t="str">
        <f aca="false">IF(ISBLANK($C384),
    "",
    BJ384
)</f>
        <v/>
      </c>
      <c r="BW384" s="112" t="str">
        <f aca="false">IF(BN384&gt;BM$7,
    "",
    VLOOKUP(BN384,BP$8:BV883,7,FALSE())
)</f>
        <v/>
      </c>
      <c r="BX384" s="113" t="str">
        <f aca="false">IF(BN384&gt;BM$7,
    "",
    VLOOKUP(BN384,BP$8:BV883,2,FALSE())
)</f>
        <v/>
      </c>
      <c r="BY384" s="113" t="str">
        <f aca="false">IF(BN384&gt;BM$7,
    "",
    VLOOKUP(BN384,BP$8:BV883,3,FALSE())
)</f>
        <v/>
      </c>
      <c r="BZ384" s="113" t="str">
        <f aca="false">IF(BN384&gt;BM$7,
    "",
    VLOOKUP(BN384,BP$8:BV883,4,FALSE())
)</f>
        <v/>
      </c>
      <c r="CA384" s="113" t="str">
        <f aca="false">IF(BN384&gt;BM$7,
    "",
    VLOOKUP(BN384,BP$8:BV883,5,FALSE())
)</f>
        <v/>
      </c>
      <c r="CB384" s="114" t="str">
        <f aca="false">IF(BN384&gt;BM$7,
    "",
    VLOOKUP(BN384,BP$8:BV883,6,FALSE())
)</f>
        <v/>
      </c>
      <c r="CC384" s="53"/>
    </row>
    <row r="385" customFormat="false" ht="15.75" hidden="false" customHeight="false" outlineLevel="0" collapsed="false">
      <c r="A385" s="5"/>
      <c r="B385" s="125"/>
      <c r="C385" s="126"/>
      <c r="D385" s="115"/>
      <c r="E385" s="119"/>
      <c r="F385" s="119"/>
      <c r="G385" s="91"/>
      <c r="H385" s="92"/>
      <c r="I385" s="92"/>
      <c r="J385" s="128"/>
      <c r="K385" s="128"/>
      <c r="L385" s="128"/>
      <c r="M385" s="94"/>
      <c r="N385" s="94"/>
      <c r="O385" s="94"/>
      <c r="P385" s="95"/>
      <c r="Q385" s="96"/>
      <c r="R385" s="128"/>
      <c r="S385" s="98"/>
      <c r="T385" s="99"/>
      <c r="U385" s="99" t="str">
        <f aca="false">IF(ISBLANK($C385),"",IF(G385=Constants!$B$2, TRUE(), IF(G385=Constants!$B$3, FALSE(), TRUE())))</f>
        <v/>
      </c>
      <c r="V385" s="99" t="str">
        <f aca="false">IF(ISBLANK($C385),"",IF(H385=Constants!$B$2, TRUE(), IF(H385=Constants!$B$3, FALSE(), TRUE())))</f>
        <v/>
      </c>
      <c r="W385" s="99" t="str">
        <f aca="false">IF(ISBLANK($C385),"",IF(I385=Constants!$B$2, TRUE(), IF(I385=Constants!$B$3, FALSE(), TRUE())))</f>
        <v/>
      </c>
      <c r="X385" s="99" t="str">
        <f aca="false">IF(ISBLANK($C385),"",IF(AND(ISNUMBER(J385),J385&gt;0),INT(J385),0))</f>
        <v/>
      </c>
      <c r="Y385" s="99" t="str">
        <f aca="false">IF(ISBLANK($C385),"",IF(K385=Constants!$B$2, TRUE(), IF(K385=Constants!$B$3, FALSE(), TRUE())))</f>
        <v/>
      </c>
      <c r="Z385" s="100" t="str">
        <f aca="false">IF(ISBLANK($C385),"",IF(AND(ISNUMBER(L385),L385&gt;0),INT(L385),0))</f>
        <v/>
      </c>
      <c r="AA385" s="101" t="str">
        <f aca="false">IF(ISBLANK($C385),"",IF(ISNUMBER(M385), M385, ""))</f>
        <v/>
      </c>
      <c r="AB385" s="101" t="str">
        <f aca="false">IF(ISBLANK($C385),"",IF(ISNUMBER(N385), N385, ""))</f>
        <v/>
      </c>
      <c r="AC385" s="101" t="str">
        <f aca="false">IF(ISBLANK($C385),"",IF(ISNUMBER(O385), O385, ""))</f>
        <v/>
      </c>
      <c r="AD385" s="102" t="str">
        <f aca="false">IF(ISBLANK($C385),"",IF(ISNUMBER(P385), P385, ""))</f>
        <v/>
      </c>
      <c r="AE385" s="102" t="str">
        <f aca="false">IF(ISBLANK($C385),"",IF(ISNUMBER(Q385), Q385, Constants!$B$13))</f>
        <v/>
      </c>
      <c r="AF385" s="99" t="str">
        <f aca="false">IF(ISBLANK($C385),"",IF(R385=Constants!$B$2, TRUE(), IF(R385=Constants!$B$3, FALSE(), FALSE())))</f>
        <v/>
      </c>
      <c r="AG385" s="99" t="str">
        <f aca="false">IF(ISBLANK(C385), "", IF(AF385, Constants!$B$4,IF(COUNTA(G385:P385)=0, Constants!$B$5, Constants!$B$7)))</f>
        <v/>
      </c>
      <c r="AH385" s="99" t="str">
        <f aca="false">IF(ISBLANK($C385), "",IF($AG385=Constants!$B$7,1,$AG385))</f>
        <v/>
      </c>
      <c r="AI385" s="99" t="str">
        <f aca="false">IF($AG385=Constants!$B$7,POWER(Constants!$B$11,X385)*POWER(Constants!$B$12,Z385),"")</f>
        <v/>
      </c>
      <c r="AJ385" s="99" t="str">
        <f aca="false">IF(AND($AG385=Constants!$B$7, U385, V385) ,IF(OR($AA385="",$AC385=""),"",MAX(0, $AC385-$AA385)),"")</f>
        <v/>
      </c>
      <c r="AK385" s="99" t="str">
        <f aca="false">IF(AND($AG385=Constants!$B$7, U385, V385),IF(OR($AA385="",$AC385=""),$AK$6,""),"")</f>
        <v/>
      </c>
      <c r="AL385" s="99" t="str">
        <f aca="false">IF($AG385=Constants!$B$7,IF(AND(U385,V385,W385,Y385),IF($AJ385="",0,IF($AJ$6=0,Constants!$B$9,Constants!$B$9*AJ385/$AJ$6)), 0),"")</f>
        <v/>
      </c>
      <c r="AM385" s="99" t="str">
        <f aca="false">IF(AL385&lt;&gt;"", AL385*AI385,"")</f>
        <v/>
      </c>
      <c r="AN385" s="99" t="str">
        <f aca="false">IF(AND($AG385=Constants!$B$7, U385, V385) ,IF($AB385="", "", IF(OR($AC385="",$AC385=0),"",MAX(0,1-ABS($AC385-$AB385)/$AC385))),"")</f>
        <v/>
      </c>
      <c r="AO385" s="99" t="str">
        <f aca="false">IF(AND($AG385=Constants!$B$7, U385, V385),IF(AND($AA385&lt;&gt;"",$AB385&lt;&gt;"",$AC385=0),$AO$6,""),"")</f>
        <v/>
      </c>
      <c r="AP385" s="99" t="str">
        <f aca="false">IF($AG385=Constants!$B$7 ,IF(AND(U385,V385,W385,Y385,ISNUMBER(AB385)),IF($AN385="",0,IF($AN$6=0,Constants!$B$10,Constants!$B$10*AN385/$AN$6)), 0),"")</f>
        <v/>
      </c>
      <c r="AQ385" s="99" t="str">
        <f aca="false">IF(AP385&lt;&gt;"", AP385*AI385,"")</f>
        <v/>
      </c>
      <c r="AR385" s="99" t="str">
        <f aca="false">IF($AG385=Constants!$B$7,IF($AD385="",0,IF($AR$6=0,Constants!$B$8,Constants!$B$8*AD385/$AR$6)),"")</f>
        <v/>
      </c>
      <c r="AS385" s="99" t="str">
        <f aca="false">IF($AG385&lt;&gt;Constants!$B$7,$AG385,IF(AK385&amp;AO385&lt;&gt;"",Constants!$B$14,AM385+AQ385+AR385))</f>
        <v/>
      </c>
      <c r="AT385" s="99" t="str">
        <f aca="false">IF(ISBLANK($C385),"",IF($AG385=Constants!$B$7,IF(ISNUMBER(AS385),RANK(AS385,$AS$8:$AS$507),Constants!$B$14),$AG385))</f>
        <v/>
      </c>
      <c r="AU385" s="99" t="str">
        <f aca="false">IF(ISBLANK($C385), "",AM385)</f>
        <v/>
      </c>
      <c r="AV385" s="99" t="str">
        <f aca="false">IF(ISBLANK($C385),"",IF($AG385=Constants!$B$7,RANK(AU385,AU$8:AU$507),$AG385))</f>
        <v/>
      </c>
      <c r="AW385" s="99" t="str">
        <f aca="false">IF(ISBLANK($C385), "",AR385)</f>
        <v/>
      </c>
      <c r="AX385" s="99" t="str">
        <f aca="false">IF(ISBLANK($C385),"",IF($AG385=Constants!$B$7,RANK(AW385,AW$8:AW$507),$AG385))</f>
        <v/>
      </c>
      <c r="AY385" s="99" t="str">
        <f aca="false">IF(ISBLANK($C385), "",AE385)</f>
        <v/>
      </c>
      <c r="AZ385" s="99" t="str">
        <f aca="false">IF(ISBLANK($C385),"",
IF($AG385=Constants!$B$7,
  IF(ISNUMBER(AT385),
    COUNTIFS($AT$8:$AT$507,"&lt;"&amp;$AT385)
    + COUNTIFS($AT$8:$AT$507,$AT385,$AV$8:$AV$507,"&lt;"&amp;$AV385)
    + COUNTIFS($AT$8:$AT$507,$AT385,$AV$8:$AV$507,$AV385,$AX$8:$AX$507,"&lt;"&amp;$AX385)
    + COUNTIFS($AT$8:$AT$507,$AT385,$AV$8:$AV$507,$AV385,$AX$8:$AX$507,$AX385,$AY$8:$AY$507,"&lt;"&amp;$AY385)
    + 1,
  Constants!$B$14),
$AG385))</f>
        <v/>
      </c>
      <c r="BA385" s="99" t="str">
        <f aca="false">IF(ISBLANK(C385),"",IF($AG385=Constants!$B$7, IF(ISNUMBER(AT385),AT385-AZ385,Constants!$B$14),$AG385))</f>
        <v/>
      </c>
      <c r="BB385" s="103"/>
      <c r="BC385" s="104" t="str">
        <f aca="false">IF(ISBLANK($C385),"",TRIM(AK385&amp;" "&amp;AO385))</f>
        <v/>
      </c>
      <c r="BD385" s="105" t="str">
        <f aca="false">IF(ISBLANK($C385),"",IF($AG385&lt;&gt;Constants!$B$7,$AG385,AR385))</f>
        <v/>
      </c>
      <c r="BE385" s="105" t="str">
        <f aca="false">IF(ISBLANK($C385),"",IF($AG385&lt;&gt;Constants!$B$7,$AG385,AM385))</f>
        <v/>
      </c>
      <c r="BF385" s="105" t="str">
        <f aca="false">IF(ISBLANK($C385),"",IF($AG385&lt;&gt;Constants!$B$7,$AG385,AQ385))</f>
        <v/>
      </c>
      <c r="BG385" s="106" t="str">
        <f aca="false">IF(ISBLANK($C385),"",IF($AG385&lt;&gt;Constants!$B$7, $AG385 ,AS385))</f>
        <v/>
      </c>
      <c r="BH385" s="107" t="str">
        <f aca="false">IF(ISBLANK($C385),"",IF($AG385&lt;&gt;Constants!$B$7, $AG385 ,AH385))</f>
        <v/>
      </c>
      <c r="BI385" s="105" t="str">
        <f aca="false">IF(ISBLANK(C385),"",BA385)</f>
        <v/>
      </c>
      <c r="BJ385" s="105" t="str">
        <f aca="false">IF(ISBLANK(C385),"",AZ385)</f>
        <v/>
      </c>
      <c r="BK385" s="108" t="str">
        <f aca="false">IF(ISBLANK(C385),"",IFERROR(_xlfn.SWITCH(BJ385, Constants!$B$4, COUNTA($C$8:$C884)+2, Constants!$B$5, COUNTA($C$8:$C884)+1, Constants!$B$6, COUNTA($C$8:$C884)),BJ385))</f>
        <v/>
      </c>
      <c r="BL385" s="5"/>
      <c r="BM385" s="109" t="n">
        <f aca="false">IF(OR(ISNUMBER(BJ385),BJ385="DQ",BJ385="P",BJ385="NS"),
    1,
    0
)</f>
        <v>0</v>
      </c>
      <c r="BN385" s="109" t="n">
        <v>378</v>
      </c>
      <c r="BO385" s="109" t="str">
        <f aca="false">IF(ISBLANK($C385),"",IF(ISNUMBER(BK385),BK385+ROW($B385)/1000,""))</f>
        <v/>
      </c>
      <c r="BP385" s="109" t="str">
        <f aca="false">IF(ISNUMBER(BO385), RANK(BO385,BO$8:BO$507,1), "")</f>
        <v/>
      </c>
      <c r="BQ385" s="109" t="str">
        <f aca="false">IF(ISBLANK($C385),
    "",
    $B385
)</f>
        <v/>
      </c>
      <c r="BR385" s="109" t="str">
        <f aca="false">IF(ISBLANK($C385),
    "",
    $C385
)</f>
        <v/>
      </c>
      <c r="BS385" s="109" t="str">
        <f aca="false">IF(ISBLANK($C385),
    "",
    $D385
)</f>
        <v/>
      </c>
      <c r="BT385" s="110" t="str">
        <f aca="false">BH385</f>
        <v/>
      </c>
      <c r="BU385" s="111" t="str">
        <f aca="false">BG385</f>
        <v/>
      </c>
      <c r="BV385" s="109" t="str">
        <f aca="false">IF(ISBLANK($C385),
    "",
    BJ385
)</f>
        <v/>
      </c>
      <c r="BW385" s="112" t="str">
        <f aca="false">IF(BN385&gt;BM$7,
    "",
    VLOOKUP(BN385,BP$8:BV884,7,FALSE())
)</f>
        <v/>
      </c>
      <c r="BX385" s="113" t="str">
        <f aca="false">IF(BN385&gt;BM$7,
    "",
    VLOOKUP(BN385,BP$8:BV884,2,FALSE())
)</f>
        <v/>
      </c>
      <c r="BY385" s="113" t="str">
        <f aca="false">IF(BN385&gt;BM$7,
    "",
    VLOOKUP(BN385,BP$8:BV884,3,FALSE())
)</f>
        <v/>
      </c>
      <c r="BZ385" s="113" t="str">
        <f aca="false">IF(BN385&gt;BM$7,
    "",
    VLOOKUP(BN385,BP$8:BV884,4,FALSE())
)</f>
        <v/>
      </c>
      <c r="CA385" s="113" t="str">
        <f aca="false">IF(BN385&gt;BM$7,
    "",
    VLOOKUP(BN385,BP$8:BV884,5,FALSE())
)</f>
        <v/>
      </c>
      <c r="CB385" s="114" t="str">
        <f aca="false">IF(BN385&gt;BM$7,
    "",
    VLOOKUP(BN385,BP$8:BV884,6,FALSE())
)</f>
        <v/>
      </c>
      <c r="CC385" s="53"/>
    </row>
    <row r="386" customFormat="false" ht="15.75" hidden="false" customHeight="false" outlineLevel="0" collapsed="false">
      <c r="A386" s="5"/>
      <c r="B386" s="129"/>
      <c r="C386" s="55"/>
      <c r="D386" s="56"/>
      <c r="E386" s="123"/>
      <c r="F386" s="123"/>
      <c r="G386" s="58"/>
      <c r="H386" s="59"/>
      <c r="I386" s="59"/>
      <c r="J386" s="83"/>
      <c r="K386" s="83"/>
      <c r="L386" s="83"/>
      <c r="M386" s="61"/>
      <c r="N386" s="61"/>
      <c r="O386" s="61"/>
      <c r="P386" s="62"/>
      <c r="Q386" s="63"/>
      <c r="R386" s="83"/>
      <c r="S386" s="65"/>
      <c r="T386" s="66"/>
      <c r="U386" s="66" t="str">
        <f aca="false">IF(ISBLANK($C386),"",IF(G386=Constants!$B$2, TRUE(), IF(G386=Constants!$B$3, FALSE(), TRUE())))</f>
        <v/>
      </c>
      <c r="V386" s="66" t="str">
        <f aca="false">IF(ISBLANK($C386),"",IF(H386=Constants!$B$2, TRUE(), IF(H386=Constants!$B$3, FALSE(), TRUE())))</f>
        <v/>
      </c>
      <c r="W386" s="66" t="str">
        <f aca="false">IF(ISBLANK($C386),"",IF(I386=Constants!$B$2, TRUE(), IF(I386=Constants!$B$3, FALSE(), TRUE())))</f>
        <v/>
      </c>
      <c r="X386" s="66" t="str">
        <f aca="false">IF(ISBLANK($C386),"",IF(AND(ISNUMBER(J386),J386&gt;0),INT(J386),0))</f>
        <v/>
      </c>
      <c r="Y386" s="66" t="str">
        <f aca="false">IF(ISBLANK($C386),"",IF(K386=Constants!$B$2, TRUE(), IF(K386=Constants!$B$3, FALSE(), TRUE())))</f>
        <v/>
      </c>
      <c r="Z386" s="66" t="str">
        <f aca="false">IF(ISBLANK($C386),"",IF(AND(ISNUMBER(L386),L386&gt;0),INT(L386),0))</f>
        <v/>
      </c>
      <c r="AA386" s="68" t="str">
        <f aca="false">IF(ISBLANK($C386),"",IF(ISNUMBER(M386), M386, ""))</f>
        <v/>
      </c>
      <c r="AB386" s="68" t="str">
        <f aca="false">IF(ISBLANK($C386),"",IF(ISNUMBER(N386), N386, ""))</f>
        <v/>
      </c>
      <c r="AC386" s="68" t="str">
        <f aca="false">IF(ISBLANK($C386),"",IF(ISNUMBER(O386), O386, ""))</f>
        <v/>
      </c>
      <c r="AD386" s="69" t="str">
        <f aca="false">IF(ISBLANK($C386),"",IF(ISNUMBER(P386), P386, ""))</f>
        <v/>
      </c>
      <c r="AE386" s="69" t="str">
        <f aca="false">IF(ISBLANK($C386),"",IF(ISNUMBER(Q386), Q386, Constants!$B$13))</f>
        <v/>
      </c>
      <c r="AF386" s="66" t="str">
        <f aca="false">IF(ISBLANK($C386),"",IF(R386=Constants!$B$2, TRUE(), IF(R386=Constants!$B$3, FALSE(), FALSE())))</f>
        <v/>
      </c>
      <c r="AG386" s="66" t="str">
        <f aca="false">IF(ISBLANK(C386), "", IF(AF386, Constants!$B$4,IF(COUNTA(G386:P386)=0, Constants!$B$5, Constants!$B$7)))</f>
        <v/>
      </c>
      <c r="AH386" s="66" t="str">
        <f aca="false">IF(ISBLANK($C386), "",IF($AG386=Constants!$B$7,1,$AG386))</f>
        <v/>
      </c>
      <c r="AI386" s="66" t="str">
        <f aca="false">IF($AG386=Constants!$B$7,POWER(Constants!$B$11,X386)*POWER(Constants!$B$12,Z386),"")</f>
        <v/>
      </c>
      <c r="AJ386" s="66" t="str">
        <f aca="false">IF(AND($AG386=Constants!$B$7, U386, V386) ,IF(OR($AA386="",$AC386=""),"",MAX(0, $AC386-$AA386)),"")</f>
        <v/>
      </c>
      <c r="AK386" s="66" t="str">
        <f aca="false">IF(AND($AG386=Constants!$B$7, U386, V386),IF(OR($AA386="",$AC386=""),$AK$6,""),"")</f>
        <v/>
      </c>
      <c r="AL386" s="66" t="str">
        <f aca="false">IF($AG386=Constants!$B$7,IF(AND(U386,V386,W386,Y386),IF($AJ386="",0,IF($AJ$6=0,Constants!$B$9,Constants!$B$9*AJ386/$AJ$6)), 0),"")</f>
        <v/>
      </c>
      <c r="AM386" s="66" t="str">
        <f aca="false">IF(AL386&lt;&gt;"", AL386*AI386,"")</f>
        <v/>
      </c>
      <c r="AN386" s="66" t="str">
        <f aca="false">IF(AND($AG386=Constants!$B$7, U386, V386) ,IF($AB386="", "", IF(OR($AC386="",$AC386=0),"",MAX(0,1-ABS($AC386-$AB386)/$AC386))),"")</f>
        <v/>
      </c>
      <c r="AO386" s="66" t="str">
        <f aca="false">IF(AND($AG386=Constants!$B$7, U386, V386),IF(AND($AA386&lt;&gt;"",$AB386&lt;&gt;"",$AC386=0),$AO$6,""),"")</f>
        <v/>
      </c>
      <c r="AP386" s="66" t="str">
        <f aca="false">IF($AG386=Constants!$B$7 ,IF(AND(U386,V386,W386,Y386,ISNUMBER(AB386)),IF($AN386="",0,IF($AN$6=0,Constants!$B$10,Constants!$B$10*AN386/$AN$6)), 0),"")</f>
        <v/>
      </c>
      <c r="AQ386" s="66" t="str">
        <f aca="false">IF(AP386&lt;&gt;"", AP386*AI386,"")</f>
        <v/>
      </c>
      <c r="AR386" s="66" t="str">
        <f aca="false">IF($AG386=Constants!$B$7,IF($AD386="",0,IF($AR$6=0,Constants!$B$8,Constants!$B$8*AD386/$AR$6)),"")</f>
        <v/>
      </c>
      <c r="AS386" s="66" t="str">
        <f aca="false">IF($AG386&lt;&gt;Constants!$B$7,$AG386,IF(AK386&amp;AO386&lt;&gt;"",Constants!$B$14,AM386+AQ386+AR386))</f>
        <v/>
      </c>
      <c r="AT386" s="66" t="str">
        <f aca="false">IF(ISBLANK($C386),"",IF($AG386=Constants!$B$7,IF(ISNUMBER(AS386),RANK(AS386,$AS$8:$AS$507),Constants!$B$14),$AG386))</f>
        <v/>
      </c>
      <c r="AU386" s="66" t="str">
        <f aca="false">IF(ISBLANK($C386), "",AM386)</f>
        <v/>
      </c>
      <c r="AV386" s="66" t="str">
        <f aca="false">IF(ISBLANK($C386),"",IF($AG386=Constants!$B$7,RANK(AU386,AU$8:AU$507),$AG386))</f>
        <v/>
      </c>
      <c r="AW386" s="66" t="str">
        <f aca="false">IF(ISBLANK($C386), "",AR386)</f>
        <v/>
      </c>
      <c r="AX386" s="66" t="str">
        <f aca="false">IF(ISBLANK($C386),"",IF($AG386=Constants!$B$7,RANK(AW386,AW$8:AW$507),$AG386))</f>
        <v/>
      </c>
      <c r="AY386" s="66" t="str">
        <f aca="false">IF(ISBLANK($C386), "",AE386)</f>
        <v/>
      </c>
      <c r="AZ386" s="66" t="str">
        <f aca="false">IF(ISBLANK($C386),"",
IF($AG386=Constants!$B$7,
  IF(ISNUMBER(AT386),
    COUNTIFS($AT$8:$AT$507,"&lt;"&amp;$AT386)
    + COUNTIFS($AT$8:$AT$507,$AT386,$AV$8:$AV$507,"&lt;"&amp;$AV386)
    + COUNTIFS($AT$8:$AT$507,$AT386,$AV$8:$AV$507,$AV386,$AX$8:$AX$507,"&lt;"&amp;$AX386)
    + COUNTIFS($AT$8:$AT$507,$AT386,$AV$8:$AV$507,$AV386,$AX$8:$AX$507,$AX386,$AY$8:$AY$507,"&lt;"&amp;$AY386)
    + 1,
  Constants!$B$14),
$AG386))</f>
        <v/>
      </c>
      <c r="BA386" s="66" t="str">
        <f aca="false">IF(ISBLANK(C386),"",IF($AG386=Constants!$B$7, IF(ISNUMBER(AT386),AT386-AZ386,Constants!$B$14),$AG386))</f>
        <v/>
      </c>
      <c r="BB386" s="70"/>
      <c r="BC386" s="84" t="str">
        <f aca="false">IF(ISBLANK($C386),"",TRIM(AK386&amp;" "&amp;AO386))</f>
        <v/>
      </c>
      <c r="BD386" s="72" t="str">
        <f aca="false">IF(ISBLANK($C386),"",IF($AG386&lt;&gt;Constants!$B$7,$AG386,AR386))</f>
        <v/>
      </c>
      <c r="BE386" s="72" t="str">
        <f aca="false">IF(ISBLANK($C386),"",IF($AG386&lt;&gt;Constants!$B$7,$AG386,AM386))</f>
        <v/>
      </c>
      <c r="BF386" s="72" t="str">
        <f aca="false">IF(ISBLANK($C386),"",IF($AG386&lt;&gt;Constants!$B$7,$AG386,AQ386))</f>
        <v/>
      </c>
      <c r="BG386" s="73" t="str">
        <f aca="false">IF(ISBLANK($C386),"",IF($AG386&lt;&gt;Constants!$B$7, $AG386 ,AS386))</f>
        <v/>
      </c>
      <c r="BH386" s="74" t="str">
        <f aca="false">IF(ISBLANK($C386),"",IF($AG386&lt;&gt;Constants!$B$7, $AG386 ,AH386))</f>
        <v/>
      </c>
      <c r="BI386" s="72" t="str">
        <f aca="false">IF(ISBLANK(C386),"",BA386)</f>
        <v/>
      </c>
      <c r="BJ386" s="72" t="str">
        <f aca="false">IF(ISBLANK(C386),"",AZ386)</f>
        <v/>
      </c>
      <c r="BK386" s="75" t="str">
        <f aca="false">IF(ISBLANK(C386),"",IFERROR(_xlfn.SWITCH(BJ386, Constants!$B$4, COUNTA($C$8:$C885)+2, Constants!$B$5, COUNTA($C$8:$C885)+1, Constants!$B$6, COUNTA($C$8:$C885)),BJ386))</f>
        <v/>
      </c>
      <c r="BL386" s="5"/>
      <c r="BM386" s="76" t="n">
        <f aca="false">IF(OR(ISNUMBER(BJ386),BJ386="DQ",BJ386="P",BJ386="NS"),
    1,
    0
)</f>
        <v>0</v>
      </c>
      <c r="BN386" s="76" t="n">
        <v>379</v>
      </c>
      <c r="BO386" s="76" t="str">
        <f aca="false">IF(ISBLANK($C386),"",IF(ISNUMBER(BK386),BK386+ROW($B386)/1000,""))</f>
        <v/>
      </c>
      <c r="BP386" s="76" t="str">
        <f aca="false">IF(ISNUMBER(BO386), RANK(BO386,BO$8:BO$507,1), "")</f>
        <v/>
      </c>
      <c r="BQ386" s="76" t="str">
        <f aca="false">IF(ISBLANK($C386),
    "",
    $B386
)</f>
        <v/>
      </c>
      <c r="BR386" s="76" t="str">
        <f aca="false">IF(ISBLANK($C386),
    "",
    $C386
)</f>
        <v/>
      </c>
      <c r="BS386" s="76" t="str">
        <f aca="false">IF(ISBLANK($C386),
    "",
    $D386
)</f>
        <v/>
      </c>
      <c r="BT386" s="77" t="str">
        <f aca="false">BH386</f>
        <v/>
      </c>
      <c r="BU386" s="78" t="str">
        <f aca="false">BG386</f>
        <v/>
      </c>
      <c r="BV386" s="76" t="str">
        <f aca="false">IF(ISBLANK($C386),
    "",
    BJ386
)</f>
        <v/>
      </c>
      <c r="BW386" s="79" t="str">
        <f aca="false">IF(BN386&gt;BM$7,
    "",
    VLOOKUP(BN386,BP$8:BV885,7,FALSE())
)</f>
        <v/>
      </c>
      <c r="BX386" s="80" t="str">
        <f aca="false">IF(BN386&gt;BM$7,
    "",
    VLOOKUP(BN386,BP$8:BV885,2,FALSE())
)</f>
        <v/>
      </c>
      <c r="BY386" s="80" t="str">
        <f aca="false">IF(BN386&gt;BM$7,
    "",
    VLOOKUP(BN386,BP$8:BV885,3,FALSE())
)</f>
        <v/>
      </c>
      <c r="BZ386" s="80" t="str">
        <f aca="false">IF(BN386&gt;BM$7,
    "",
    VLOOKUP(BN386,BP$8:BV885,4,FALSE())
)</f>
        <v/>
      </c>
      <c r="CA386" s="80" t="str">
        <f aca="false">IF(BN386&gt;BM$7,
    "",
    VLOOKUP(BN386,BP$8:BV885,5,FALSE())
)</f>
        <v/>
      </c>
      <c r="CB386" s="81" t="str">
        <f aca="false">IF(BN386&gt;BM$7,
    "",
    VLOOKUP(BN386,BP$8:BV885,6,FALSE())
)</f>
        <v/>
      </c>
      <c r="CC386" s="53"/>
    </row>
    <row r="387" customFormat="false" ht="15.75" hidden="false" customHeight="false" outlineLevel="0" collapsed="false">
      <c r="A387" s="5"/>
      <c r="B387" s="129"/>
      <c r="C387" s="55"/>
      <c r="D387" s="56"/>
      <c r="E387" s="123"/>
      <c r="F387" s="123"/>
      <c r="G387" s="58"/>
      <c r="H387" s="59"/>
      <c r="I387" s="59"/>
      <c r="J387" s="83"/>
      <c r="K387" s="83"/>
      <c r="L387" s="83"/>
      <c r="M387" s="61"/>
      <c r="N387" s="61"/>
      <c r="O387" s="61"/>
      <c r="P387" s="62"/>
      <c r="Q387" s="63"/>
      <c r="R387" s="83"/>
      <c r="S387" s="65"/>
      <c r="T387" s="66"/>
      <c r="U387" s="66" t="str">
        <f aca="false">IF(ISBLANK($C387),"",IF(G387=Constants!$B$2, TRUE(), IF(G387=Constants!$B$3, FALSE(), TRUE())))</f>
        <v/>
      </c>
      <c r="V387" s="66" t="str">
        <f aca="false">IF(ISBLANK($C387),"",IF(H387=Constants!$B$2, TRUE(), IF(H387=Constants!$B$3, FALSE(), TRUE())))</f>
        <v/>
      </c>
      <c r="W387" s="66" t="str">
        <f aca="false">IF(ISBLANK($C387),"",IF(I387=Constants!$B$2, TRUE(), IF(I387=Constants!$B$3, FALSE(), TRUE())))</f>
        <v/>
      </c>
      <c r="X387" s="66" t="str">
        <f aca="false">IF(ISBLANK($C387),"",IF(AND(ISNUMBER(J387),J387&gt;0),INT(J387),0))</f>
        <v/>
      </c>
      <c r="Y387" s="66" t="str">
        <f aca="false">IF(ISBLANK($C387),"",IF(K387=Constants!$B$2, TRUE(), IF(K387=Constants!$B$3, FALSE(), TRUE())))</f>
        <v/>
      </c>
      <c r="Z387" s="66" t="str">
        <f aca="false">IF(ISBLANK($C387),"",IF(AND(ISNUMBER(L387),L387&gt;0),INT(L387),0))</f>
        <v/>
      </c>
      <c r="AA387" s="68" t="str">
        <f aca="false">IF(ISBLANK($C387),"",IF(ISNUMBER(M387), M387, ""))</f>
        <v/>
      </c>
      <c r="AB387" s="68" t="str">
        <f aca="false">IF(ISBLANK($C387),"",IF(ISNUMBER(N387), N387, ""))</f>
        <v/>
      </c>
      <c r="AC387" s="68" t="str">
        <f aca="false">IF(ISBLANK($C387),"",IF(ISNUMBER(O387), O387, ""))</f>
        <v/>
      </c>
      <c r="AD387" s="69" t="str">
        <f aca="false">IF(ISBLANK($C387),"",IF(ISNUMBER(P387), P387, ""))</f>
        <v/>
      </c>
      <c r="AE387" s="69" t="str">
        <f aca="false">IF(ISBLANK($C387),"",IF(ISNUMBER(Q387), Q387, Constants!$B$13))</f>
        <v/>
      </c>
      <c r="AF387" s="66" t="str">
        <f aca="false">IF(ISBLANK($C387),"",IF(R387=Constants!$B$2, TRUE(), IF(R387=Constants!$B$3, FALSE(), FALSE())))</f>
        <v/>
      </c>
      <c r="AG387" s="66" t="str">
        <f aca="false">IF(ISBLANK(C387), "", IF(AF387, Constants!$B$4,IF(COUNTA(G387:P387)=0, Constants!$B$5, Constants!$B$7)))</f>
        <v/>
      </c>
      <c r="AH387" s="66" t="str">
        <f aca="false">IF(ISBLANK($C387), "",IF($AG387=Constants!$B$7,1,$AG387))</f>
        <v/>
      </c>
      <c r="AI387" s="66" t="str">
        <f aca="false">IF($AG387=Constants!$B$7,POWER(Constants!$B$11,X387)*POWER(Constants!$B$12,Z387),"")</f>
        <v/>
      </c>
      <c r="AJ387" s="66" t="str">
        <f aca="false">IF(AND($AG387=Constants!$B$7, U387, V387) ,IF(OR($AA387="",$AC387=""),"",MAX(0, $AC387-$AA387)),"")</f>
        <v/>
      </c>
      <c r="AK387" s="66" t="str">
        <f aca="false">IF(AND($AG387=Constants!$B$7, U387, V387),IF(OR($AA387="",$AC387=""),$AK$6,""),"")</f>
        <v/>
      </c>
      <c r="AL387" s="66" t="str">
        <f aca="false">IF($AG387=Constants!$B$7,IF(AND(U387,V387,W387,Y387),IF($AJ387="",0,IF($AJ$6=0,Constants!$B$9,Constants!$B$9*AJ387/$AJ$6)), 0),"")</f>
        <v/>
      </c>
      <c r="AM387" s="66" t="str">
        <f aca="false">IF(AL387&lt;&gt;"", AL387*AI387,"")</f>
        <v/>
      </c>
      <c r="AN387" s="66" t="str">
        <f aca="false">IF(AND($AG387=Constants!$B$7, U387, V387) ,IF($AB387="", "", IF(OR($AC387="",$AC387=0),"",MAX(0,1-ABS($AC387-$AB387)/$AC387))),"")</f>
        <v/>
      </c>
      <c r="AO387" s="66" t="str">
        <f aca="false">IF(AND($AG387=Constants!$B$7, U387, V387),IF(AND($AA387&lt;&gt;"",$AB387&lt;&gt;"",$AC387=0),$AO$6,""),"")</f>
        <v/>
      </c>
      <c r="AP387" s="66" t="str">
        <f aca="false">IF($AG387=Constants!$B$7 ,IF(AND(U387,V387,W387,Y387,ISNUMBER(AB387)),IF($AN387="",0,IF($AN$6=0,Constants!$B$10,Constants!$B$10*AN387/$AN$6)), 0),"")</f>
        <v/>
      </c>
      <c r="AQ387" s="66" t="str">
        <f aca="false">IF(AP387&lt;&gt;"", AP387*AI387,"")</f>
        <v/>
      </c>
      <c r="AR387" s="66" t="str">
        <f aca="false">IF($AG387=Constants!$B$7,IF($AD387="",0,IF($AR$6=0,Constants!$B$8,Constants!$B$8*AD387/$AR$6)),"")</f>
        <v/>
      </c>
      <c r="AS387" s="66" t="str">
        <f aca="false">IF($AG387&lt;&gt;Constants!$B$7,$AG387,IF(AK387&amp;AO387&lt;&gt;"",Constants!$B$14,AM387+AQ387+AR387))</f>
        <v/>
      </c>
      <c r="AT387" s="66" t="str">
        <f aca="false">IF(ISBLANK($C387),"",IF($AG387=Constants!$B$7,IF(ISNUMBER(AS387),RANK(AS387,$AS$8:$AS$507),Constants!$B$14),$AG387))</f>
        <v/>
      </c>
      <c r="AU387" s="66" t="str">
        <f aca="false">IF(ISBLANK($C387), "",AM387)</f>
        <v/>
      </c>
      <c r="AV387" s="66" t="str">
        <f aca="false">IF(ISBLANK($C387),"",IF($AG387=Constants!$B$7,RANK(AU387,AU$8:AU$507),$AG387))</f>
        <v/>
      </c>
      <c r="AW387" s="66" t="str">
        <f aca="false">IF(ISBLANK($C387), "",AR387)</f>
        <v/>
      </c>
      <c r="AX387" s="66" t="str">
        <f aca="false">IF(ISBLANK($C387),"",IF($AG387=Constants!$B$7,RANK(AW387,AW$8:AW$507),$AG387))</f>
        <v/>
      </c>
      <c r="AY387" s="66" t="str">
        <f aca="false">IF(ISBLANK($C387), "",AE387)</f>
        <v/>
      </c>
      <c r="AZ387" s="66" t="str">
        <f aca="false">IF(ISBLANK($C387),"",
IF($AG387=Constants!$B$7,
  IF(ISNUMBER(AT387),
    COUNTIFS($AT$8:$AT$507,"&lt;"&amp;$AT387)
    + COUNTIFS($AT$8:$AT$507,$AT387,$AV$8:$AV$507,"&lt;"&amp;$AV387)
    + COUNTIFS($AT$8:$AT$507,$AT387,$AV$8:$AV$507,$AV387,$AX$8:$AX$507,"&lt;"&amp;$AX387)
    + COUNTIFS($AT$8:$AT$507,$AT387,$AV$8:$AV$507,$AV387,$AX$8:$AX$507,$AX387,$AY$8:$AY$507,"&lt;"&amp;$AY387)
    + 1,
  Constants!$B$14),
$AG387))</f>
        <v/>
      </c>
      <c r="BA387" s="66" t="str">
        <f aca="false">IF(ISBLANK(C387),"",IF($AG387=Constants!$B$7, IF(ISNUMBER(AT387),AT387-AZ387,Constants!$B$14),$AG387))</f>
        <v/>
      </c>
      <c r="BB387" s="70"/>
      <c r="BC387" s="84" t="str">
        <f aca="false">IF(ISBLANK($C387),"",TRIM(AK387&amp;" "&amp;AO387))</f>
        <v/>
      </c>
      <c r="BD387" s="72" t="str">
        <f aca="false">IF(ISBLANK($C387),"",IF($AG387&lt;&gt;Constants!$B$7,$AG387,AR387))</f>
        <v/>
      </c>
      <c r="BE387" s="72" t="str">
        <f aca="false">IF(ISBLANK($C387),"",IF($AG387&lt;&gt;Constants!$B$7,$AG387,AM387))</f>
        <v/>
      </c>
      <c r="BF387" s="72" t="str">
        <f aca="false">IF(ISBLANK($C387),"",IF($AG387&lt;&gt;Constants!$B$7,$AG387,AQ387))</f>
        <v/>
      </c>
      <c r="BG387" s="73" t="str">
        <f aca="false">IF(ISBLANK($C387),"",IF($AG387&lt;&gt;Constants!$B$7, $AG387 ,AS387))</f>
        <v/>
      </c>
      <c r="BH387" s="74" t="str">
        <f aca="false">IF(ISBLANK($C387),"",IF($AG387&lt;&gt;Constants!$B$7, $AG387 ,AH387))</f>
        <v/>
      </c>
      <c r="BI387" s="72" t="str">
        <f aca="false">IF(ISBLANK(C387),"",BA387)</f>
        <v/>
      </c>
      <c r="BJ387" s="72" t="str">
        <f aca="false">IF(ISBLANK(C387),"",AZ387)</f>
        <v/>
      </c>
      <c r="BK387" s="75" t="str">
        <f aca="false">IF(ISBLANK(C387),"",IFERROR(_xlfn.SWITCH(BJ387, Constants!$B$4, COUNTA($C$8:$C886)+2, Constants!$B$5, COUNTA($C$8:$C886)+1, Constants!$B$6, COUNTA($C$8:$C886)),BJ387))</f>
        <v/>
      </c>
      <c r="BL387" s="5"/>
      <c r="BM387" s="76" t="n">
        <f aca="false">IF(OR(ISNUMBER(BJ387),BJ387="DQ",BJ387="P",BJ387="NS"),
    1,
    0
)</f>
        <v>0</v>
      </c>
      <c r="BN387" s="76" t="n">
        <v>380</v>
      </c>
      <c r="BO387" s="76" t="str">
        <f aca="false">IF(ISBLANK($C387),"",IF(ISNUMBER(BK387),BK387+ROW($B387)/1000,""))</f>
        <v/>
      </c>
      <c r="BP387" s="76" t="str">
        <f aca="false">IF(ISNUMBER(BO387), RANK(BO387,BO$8:BO$507,1), "")</f>
        <v/>
      </c>
      <c r="BQ387" s="76" t="str">
        <f aca="false">IF(ISBLANK($C387),
    "",
    $B387
)</f>
        <v/>
      </c>
      <c r="BR387" s="76" t="str">
        <f aca="false">IF(ISBLANK($C387),
    "",
    $C387
)</f>
        <v/>
      </c>
      <c r="BS387" s="76" t="str">
        <f aca="false">IF(ISBLANK($C387),
    "",
    $D387
)</f>
        <v/>
      </c>
      <c r="BT387" s="77" t="str">
        <f aca="false">BH387</f>
        <v/>
      </c>
      <c r="BU387" s="78" t="str">
        <f aca="false">BG387</f>
        <v/>
      </c>
      <c r="BV387" s="76" t="str">
        <f aca="false">IF(ISBLANK($C387),
    "",
    BJ387
)</f>
        <v/>
      </c>
      <c r="BW387" s="79" t="str">
        <f aca="false">IF(BN387&gt;BM$7,
    "",
    VLOOKUP(BN387,BP$8:BV886,7,FALSE())
)</f>
        <v/>
      </c>
      <c r="BX387" s="80" t="str">
        <f aca="false">IF(BN387&gt;BM$7,
    "",
    VLOOKUP(BN387,BP$8:BV886,2,FALSE())
)</f>
        <v/>
      </c>
      <c r="BY387" s="80" t="str">
        <f aca="false">IF(BN387&gt;BM$7,
    "",
    VLOOKUP(BN387,BP$8:BV886,3,FALSE())
)</f>
        <v/>
      </c>
      <c r="BZ387" s="80" t="str">
        <f aca="false">IF(BN387&gt;BM$7,
    "",
    VLOOKUP(BN387,BP$8:BV886,4,FALSE())
)</f>
        <v/>
      </c>
      <c r="CA387" s="80" t="str">
        <f aca="false">IF(BN387&gt;BM$7,
    "",
    VLOOKUP(BN387,BP$8:BV886,5,FALSE())
)</f>
        <v/>
      </c>
      <c r="CB387" s="81" t="str">
        <f aca="false">IF(BN387&gt;BM$7,
    "",
    VLOOKUP(BN387,BP$8:BV886,6,FALSE())
)</f>
        <v/>
      </c>
      <c r="CC387" s="53"/>
    </row>
    <row r="388" customFormat="false" ht="15.75" hidden="false" customHeight="false" outlineLevel="0" collapsed="false">
      <c r="A388" s="5"/>
      <c r="B388" s="129"/>
      <c r="C388" s="55"/>
      <c r="D388" s="56"/>
      <c r="E388" s="123"/>
      <c r="F388" s="123"/>
      <c r="G388" s="58"/>
      <c r="H388" s="59"/>
      <c r="I388" s="59"/>
      <c r="J388" s="83"/>
      <c r="K388" s="83"/>
      <c r="L388" s="83"/>
      <c r="M388" s="61"/>
      <c r="N388" s="61"/>
      <c r="O388" s="61"/>
      <c r="P388" s="62"/>
      <c r="Q388" s="63"/>
      <c r="R388" s="83"/>
      <c r="S388" s="65"/>
      <c r="T388" s="66"/>
      <c r="U388" s="66" t="str">
        <f aca="false">IF(ISBLANK($C388),"",IF(G388=Constants!$B$2, TRUE(), IF(G388=Constants!$B$3, FALSE(), TRUE())))</f>
        <v/>
      </c>
      <c r="V388" s="66" t="str">
        <f aca="false">IF(ISBLANK($C388),"",IF(H388=Constants!$B$2, TRUE(), IF(H388=Constants!$B$3, FALSE(), TRUE())))</f>
        <v/>
      </c>
      <c r="W388" s="66" t="str">
        <f aca="false">IF(ISBLANK($C388),"",IF(I388=Constants!$B$2, TRUE(), IF(I388=Constants!$B$3, FALSE(), TRUE())))</f>
        <v/>
      </c>
      <c r="X388" s="66" t="str">
        <f aca="false">IF(ISBLANK($C388),"",IF(AND(ISNUMBER(J388),J388&gt;0),INT(J388),0))</f>
        <v/>
      </c>
      <c r="Y388" s="66" t="str">
        <f aca="false">IF(ISBLANK($C388),"",IF(K388=Constants!$B$2, TRUE(), IF(K388=Constants!$B$3, FALSE(), TRUE())))</f>
        <v/>
      </c>
      <c r="Z388" s="66" t="str">
        <f aca="false">IF(ISBLANK($C388),"",IF(AND(ISNUMBER(L388),L388&gt;0),INT(L388),0))</f>
        <v/>
      </c>
      <c r="AA388" s="68" t="str">
        <f aca="false">IF(ISBLANK($C388),"",IF(ISNUMBER(M388), M388, ""))</f>
        <v/>
      </c>
      <c r="AB388" s="68" t="str">
        <f aca="false">IF(ISBLANK($C388),"",IF(ISNUMBER(N388), N388, ""))</f>
        <v/>
      </c>
      <c r="AC388" s="68" t="str">
        <f aca="false">IF(ISBLANK($C388),"",IF(ISNUMBER(O388), O388, ""))</f>
        <v/>
      </c>
      <c r="AD388" s="69" t="str">
        <f aca="false">IF(ISBLANK($C388),"",IF(ISNUMBER(P388), P388, ""))</f>
        <v/>
      </c>
      <c r="AE388" s="69" t="str">
        <f aca="false">IF(ISBLANK($C388),"",IF(ISNUMBER(Q388), Q388, Constants!$B$13))</f>
        <v/>
      </c>
      <c r="AF388" s="66" t="str">
        <f aca="false">IF(ISBLANK($C388),"",IF(R388=Constants!$B$2, TRUE(), IF(R388=Constants!$B$3, FALSE(), FALSE())))</f>
        <v/>
      </c>
      <c r="AG388" s="66" t="str">
        <f aca="false">IF(ISBLANK(C388), "", IF(AF388, Constants!$B$4,IF(COUNTA(G388:P388)=0, Constants!$B$5, Constants!$B$7)))</f>
        <v/>
      </c>
      <c r="AH388" s="66" t="str">
        <f aca="false">IF(ISBLANK($C388), "",IF($AG388=Constants!$B$7,1,$AG388))</f>
        <v/>
      </c>
      <c r="AI388" s="66" t="str">
        <f aca="false">IF($AG388=Constants!$B$7,POWER(Constants!$B$11,X388)*POWER(Constants!$B$12,Z388),"")</f>
        <v/>
      </c>
      <c r="AJ388" s="66" t="str">
        <f aca="false">IF(AND($AG388=Constants!$B$7, U388, V388) ,IF(OR($AA388="",$AC388=""),"",MAX(0, $AC388-$AA388)),"")</f>
        <v/>
      </c>
      <c r="AK388" s="66" t="str">
        <f aca="false">IF(AND($AG388=Constants!$B$7, U388, V388),IF(OR($AA388="",$AC388=""),$AK$6,""),"")</f>
        <v/>
      </c>
      <c r="AL388" s="66" t="str">
        <f aca="false">IF($AG388=Constants!$B$7,IF(AND(U388,V388,W388,Y388),IF($AJ388="",0,IF($AJ$6=0,Constants!$B$9,Constants!$B$9*AJ388/$AJ$6)), 0),"")</f>
        <v/>
      </c>
      <c r="AM388" s="66" t="str">
        <f aca="false">IF(AL388&lt;&gt;"", AL388*AI388,"")</f>
        <v/>
      </c>
      <c r="AN388" s="66" t="str">
        <f aca="false">IF(AND($AG388=Constants!$B$7, U388, V388) ,IF($AB388="", "", IF(OR($AC388="",$AC388=0),"",MAX(0,1-ABS($AC388-$AB388)/$AC388))),"")</f>
        <v/>
      </c>
      <c r="AO388" s="66" t="str">
        <f aca="false">IF(AND($AG388=Constants!$B$7, U388, V388),IF(AND($AA388&lt;&gt;"",$AB388&lt;&gt;"",$AC388=0),$AO$6,""),"")</f>
        <v/>
      </c>
      <c r="AP388" s="66" t="str">
        <f aca="false">IF($AG388=Constants!$B$7 ,IF(AND(U388,V388,W388,Y388,ISNUMBER(AB388)),IF($AN388="",0,IF($AN$6=0,Constants!$B$10,Constants!$B$10*AN388/$AN$6)), 0),"")</f>
        <v/>
      </c>
      <c r="AQ388" s="66" t="str">
        <f aca="false">IF(AP388&lt;&gt;"", AP388*AI388,"")</f>
        <v/>
      </c>
      <c r="AR388" s="66" t="str">
        <f aca="false">IF($AG388=Constants!$B$7,IF($AD388="",0,IF($AR$6=0,Constants!$B$8,Constants!$B$8*AD388/$AR$6)),"")</f>
        <v/>
      </c>
      <c r="AS388" s="66" t="str">
        <f aca="false">IF($AG388&lt;&gt;Constants!$B$7,$AG388,IF(AK388&amp;AO388&lt;&gt;"",Constants!$B$14,AM388+AQ388+AR388))</f>
        <v/>
      </c>
      <c r="AT388" s="66" t="str">
        <f aca="false">IF(ISBLANK($C388),"",IF($AG388=Constants!$B$7,IF(ISNUMBER(AS388),RANK(AS388,$AS$8:$AS$507),Constants!$B$14),$AG388))</f>
        <v/>
      </c>
      <c r="AU388" s="66" t="str">
        <f aca="false">IF(ISBLANK($C388), "",AM388)</f>
        <v/>
      </c>
      <c r="AV388" s="66" t="str">
        <f aca="false">IF(ISBLANK($C388),"",IF($AG388=Constants!$B$7,RANK(AU388,AU$8:AU$507),$AG388))</f>
        <v/>
      </c>
      <c r="AW388" s="66" t="str">
        <f aca="false">IF(ISBLANK($C388), "",AR388)</f>
        <v/>
      </c>
      <c r="AX388" s="66" t="str">
        <f aca="false">IF(ISBLANK($C388),"",IF($AG388=Constants!$B$7,RANK(AW388,AW$8:AW$507),$AG388))</f>
        <v/>
      </c>
      <c r="AY388" s="66" t="str">
        <f aca="false">IF(ISBLANK($C388), "",AE388)</f>
        <v/>
      </c>
      <c r="AZ388" s="66" t="str">
        <f aca="false">IF(ISBLANK($C388),"",
IF($AG388=Constants!$B$7,
  IF(ISNUMBER(AT388),
    COUNTIFS($AT$8:$AT$507,"&lt;"&amp;$AT388)
    + COUNTIFS($AT$8:$AT$507,$AT388,$AV$8:$AV$507,"&lt;"&amp;$AV388)
    + COUNTIFS($AT$8:$AT$507,$AT388,$AV$8:$AV$507,$AV388,$AX$8:$AX$507,"&lt;"&amp;$AX388)
    + COUNTIFS($AT$8:$AT$507,$AT388,$AV$8:$AV$507,$AV388,$AX$8:$AX$507,$AX388,$AY$8:$AY$507,"&lt;"&amp;$AY388)
    + 1,
  Constants!$B$14),
$AG388))</f>
        <v/>
      </c>
      <c r="BA388" s="66" t="str">
        <f aca="false">IF(ISBLANK(C388),"",IF($AG388=Constants!$B$7, IF(ISNUMBER(AT388),AT388-AZ388,Constants!$B$14),$AG388))</f>
        <v/>
      </c>
      <c r="BB388" s="70"/>
      <c r="BC388" s="84" t="str">
        <f aca="false">IF(ISBLANK($C388),"",TRIM(AK388&amp;" "&amp;AO388))</f>
        <v/>
      </c>
      <c r="BD388" s="72" t="str">
        <f aca="false">IF(ISBLANK($C388),"",IF($AG388&lt;&gt;Constants!$B$7,$AG388,AR388))</f>
        <v/>
      </c>
      <c r="BE388" s="72" t="str">
        <f aca="false">IF(ISBLANK($C388),"",IF($AG388&lt;&gt;Constants!$B$7,$AG388,AM388))</f>
        <v/>
      </c>
      <c r="BF388" s="72" t="str">
        <f aca="false">IF(ISBLANK($C388),"",IF($AG388&lt;&gt;Constants!$B$7,$AG388,AQ388))</f>
        <v/>
      </c>
      <c r="BG388" s="73" t="str">
        <f aca="false">IF(ISBLANK($C388),"",IF($AG388&lt;&gt;Constants!$B$7, $AG388 ,AS388))</f>
        <v/>
      </c>
      <c r="BH388" s="74" t="str">
        <f aca="false">IF(ISBLANK($C388),"",IF($AG388&lt;&gt;Constants!$B$7, $AG388 ,AH388))</f>
        <v/>
      </c>
      <c r="BI388" s="72" t="str">
        <f aca="false">IF(ISBLANK(C388),"",BA388)</f>
        <v/>
      </c>
      <c r="BJ388" s="72" t="str">
        <f aca="false">IF(ISBLANK(C388),"",AZ388)</f>
        <v/>
      </c>
      <c r="BK388" s="75" t="str">
        <f aca="false">IF(ISBLANK(C388),"",IFERROR(_xlfn.SWITCH(BJ388, Constants!$B$4, COUNTA($C$8:$C887)+2, Constants!$B$5, COUNTA($C$8:$C887)+1, Constants!$B$6, COUNTA($C$8:$C887)),BJ388))</f>
        <v/>
      </c>
      <c r="BL388" s="5"/>
      <c r="BM388" s="76" t="n">
        <f aca="false">IF(OR(ISNUMBER(BJ388),BJ388="DQ",BJ388="P",BJ388="NS"),
    1,
    0
)</f>
        <v>0</v>
      </c>
      <c r="BN388" s="76" t="n">
        <v>381</v>
      </c>
      <c r="BO388" s="76" t="str">
        <f aca="false">IF(ISBLANK($C388),"",IF(ISNUMBER(BK388),BK388+ROW($B388)/1000,""))</f>
        <v/>
      </c>
      <c r="BP388" s="76" t="str">
        <f aca="false">IF(ISNUMBER(BO388), RANK(BO388,BO$8:BO$507,1), "")</f>
        <v/>
      </c>
      <c r="BQ388" s="76" t="str">
        <f aca="false">IF(ISBLANK($C388),
    "",
    $B388
)</f>
        <v/>
      </c>
      <c r="BR388" s="76" t="str">
        <f aca="false">IF(ISBLANK($C388),
    "",
    $C388
)</f>
        <v/>
      </c>
      <c r="BS388" s="76" t="str">
        <f aca="false">IF(ISBLANK($C388),
    "",
    $D388
)</f>
        <v/>
      </c>
      <c r="BT388" s="77" t="str">
        <f aca="false">BH388</f>
        <v/>
      </c>
      <c r="BU388" s="78" t="str">
        <f aca="false">BG388</f>
        <v/>
      </c>
      <c r="BV388" s="76" t="str">
        <f aca="false">IF(ISBLANK($C388),
    "",
    BJ388
)</f>
        <v/>
      </c>
      <c r="BW388" s="79" t="str">
        <f aca="false">IF(BN388&gt;BM$7,
    "",
    VLOOKUP(BN388,BP$8:BV887,7,FALSE())
)</f>
        <v/>
      </c>
      <c r="BX388" s="80" t="str">
        <f aca="false">IF(BN388&gt;BM$7,
    "",
    VLOOKUP(BN388,BP$8:BV887,2,FALSE())
)</f>
        <v/>
      </c>
      <c r="BY388" s="80" t="str">
        <f aca="false">IF(BN388&gt;BM$7,
    "",
    VLOOKUP(BN388,BP$8:BV887,3,FALSE())
)</f>
        <v/>
      </c>
      <c r="BZ388" s="80" t="str">
        <f aca="false">IF(BN388&gt;BM$7,
    "",
    VLOOKUP(BN388,BP$8:BV887,4,FALSE())
)</f>
        <v/>
      </c>
      <c r="CA388" s="80" t="str">
        <f aca="false">IF(BN388&gt;BM$7,
    "",
    VLOOKUP(BN388,BP$8:BV887,5,FALSE())
)</f>
        <v/>
      </c>
      <c r="CB388" s="81" t="str">
        <f aca="false">IF(BN388&gt;BM$7,
    "",
    VLOOKUP(BN388,BP$8:BV887,6,FALSE())
)</f>
        <v/>
      </c>
      <c r="CC388" s="53"/>
    </row>
    <row r="389" customFormat="false" ht="15.75" hidden="false" customHeight="false" outlineLevel="0" collapsed="false">
      <c r="A389" s="5"/>
      <c r="B389" s="125"/>
      <c r="C389" s="126"/>
      <c r="D389" s="115"/>
      <c r="E389" s="119"/>
      <c r="F389" s="119"/>
      <c r="G389" s="91"/>
      <c r="H389" s="92"/>
      <c r="I389" s="92"/>
      <c r="J389" s="128"/>
      <c r="K389" s="128"/>
      <c r="L389" s="128"/>
      <c r="M389" s="94"/>
      <c r="N389" s="94"/>
      <c r="O389" s="94"/>
      <c r="P389" s="95"/>
      <c r="Q389" s="96"/>
      <c r="R389" s="128"/>
      <c r="S389" s="98"/>
      <c r="T389" s="99"/>
      <c r="U389" s="99" t="str">
        <f aca="false">IF(ISBLANK($C389),"",IF(G389=Constants!$B$2, TRUE(), IF(G389=Constants!$B$3, FALSE(), TRUE())))</f>
        <v/>
      </c>
      <c r="V389" s="99" t="str">
        <f aca="false">IF(ISBLANK($C389),"",IF(H389=Constants!$B$2, TRUE(), IF(H389=Constants!$B$3, FALSE(), TRUE())))</f>
        <v/>
      </c>
      <c r="W389" s="99" t="str">
        <f aca="false">IF(ISBLANK($C389),"",IF(I389=Constants!$B$2, TRUE(), IF(I389=Constants!$B$3, FALSE(), TRUE())))</f>
        <v/>
      </c>
      <c r="X389" s="99" t="str">
        <f aca="false">IF(ISBLANK($C389),"",IF(AND(ISNUMBER(J389),J389&gt;0),INT(J389),0))</f>
        <v/>
      </c>
      <c r="Y389" s="99" t="str">
        <f aca="false">IF(ISBLANK($C389),"",IF(K389=Constants!$B$2, TRUE(), IF(K389=Constants!$B$3, FALSE(), TRUE())))</f>
        <v/>
      </c>
      <c r="Z389" s="100" t="str">
        <f aca="false">IF(ISBLANK($C389),"",IF(AND(ISNUMBER(L389),L389&gt;0),INT(L389),0))</f>
        <v/>
      </c>
      <c r="AA389" s="101" t="str">
        <f aca="false">IF(ISBLANK($C389),"",IF(ISNUMBER(M389), M389, ""))</f>
        <v/>
      </c>
      <c r="AB389" s="101" t="str">
        <f aca="false">IF(ISBLANK($C389),"",IF(ISNUMBER(N389), N389, ""))</f>
        <v/>
      </c>
      <c r="AC389" s="101" t="str">
        <f aca="false">IF(ISBLANK($C389),"",IF(ISNUMBER(O389), O389, ""))</f>
        <v/>
      </c>
      <c r="AD389" s="102" t="str">
        <f aca="false">IF(ISBLANK($C389),"",IF(ISNUMBER(P389), P389, ""))</f>
        <v/>
      </c>
      <c r="AE389" s="102" t="str">
        <f aca="false">IF(ISBLANK($C389),"",IF(ISNUMBER(Q389), Q389, Constants!$B$13))</f>
        <v/>
      </c>
      <c r="AF389" s="99" t="str">
        <f aca="false">IF(ISBLANK($C389),"",IF(R389=Constants!$B$2, TRUE(), IF(R389=Constants!$B$3, FALSE(), FALSE())))</f>
        <v/>
      </c>
      <c r="AG389" s="99" t="str">
        <f aca="false">IF(ISBLANK(C389), "", IF(AF389, Constants!$B$4,IF(COUNTA(G389:P389)=0, Constants!$B$5, Constants!$B$7)))</f>
        <v/>
      </c>
      <c r="AH389" s="99" t="str">
        <f aca="false">IF(ISBLANK($C389), "",IF($AG389=Constants!$B$7,1,$AG389))</f>
        <v/>
      </c>
      <c r="AI389" s="99" t="str">
        <f aca="false">IF($AG389=Constants!$B$7,POWER(Constants!$B$11,X389)*POWER(Constants!$B$12,Z389),"")</f>
        <v/>
      </c>
      <c r="AJ389" s="99" t="str">
        <f aca="false">IF(AND($AG389=Constants!$B$7, U389, V389) ,IF(OR($AA389="",$AC389=""),"",MAX(0, $AC389-$AA389)),"")</f>
        <v/>
      </c>
      <c r="AK389" s="99" t="str">
        <f aca="false">IF(AND($AG389=Constants!$B$7, U389, V389),IF(OR($AA389="",$AC389=""),$AK$6,""),"")</f>
        <v/>
      </c>
      <c r="AL389" s="99" t="str">
        <f aca="false">IF($AG389=Constants!$B$7,IF(AND(U389,V389,W389,Y389),IF($AJ389="",0,IF($AJ$6=0,Constants!$B$9,Constants!$B$9*AJ389/$AJ$6)), 0),"")</f>
        <v/>
      </c>
      <c r="AM389" s="99" t="str">
        <f aca="false">IF(AL389&lt;&gt;"", AL389*AI389,"")</f>
        <v/>
      </c>
      <c r="AN389" s="99" t="str">
        <f aca="false">IF(AND($AG389=Constants!$B$7, U389, V389) ,IF($AB389="", "", IF(OR($AC389="",$AC389=0),"",MAX(0,1-ABS($AC389-$AB389)/$AC389))),"")</f>
        <v/>
      </c>
      <c r="AO389" s="99" t="str">
        <f aca="false">IF(AND($AG389=Constants!$B$7, U389, V389),IF(AND($AA389&lt;&gt;"",$AB389&lt;&gt;"",$AC389=0),$AO$6,""),"")</f>
        <v/>
      </c>
      <c r="AP389" s="99" t="str">
        <f aca="false">IF($AG389=Constants!$B$7 ,IF(AND(U389,V389,W389,Y389,ISNUMBER(AB389)),IF($AN389="",0,IF($AN$6=0,Constants!$B$10,Constants!$B$10*AN389/$AN$6)), 0),"")</f>
        <v/>
      </c>
      <c r="AQ389" s="99" t="str">
        <f aca="false">IF(AP389&lt;&gt;"", AP389*AI389,"")</f>
        <v/>
      </c>
      <c r="AR389" s="99" t="str">
        <f aca="false">IF($AG389=Constants!$B$7,IF($AD389="",0,IF($AR$6=0,Constants!$B$8,Constants!$B$8*AD389/$AR$6)),"")</f>
        <v/>
      </c>
      <c r="AS389" s="99" t="str">
        <f aca="false">IF($AG389&lt;&gt;Constants!$B$7,$AG389,IF(AK389&amp;AO389&lt;&gt;"",Constants!$B$14,AM389+AQ389+AR389))</f>
        <v/>
      </c>
      <c r="AT389" s="99" t="str">
        <f aca="false">IF(ISBLANK($C389),"",IF($AG389=Constants!$B$7,IF(ISNUMBER(AS389),RANK(AS389,$AS$8:$AS$507),Constants!$B$14),$AG389))</f>
        <v/>
      </c>
      <c r="AU389" s="99" t="str">
        <f aca="false">IF(ISBLANK($C389), "",AM389)</f>
        <v/>
      </c>
      <c r="AV389" s="99" t="str">
        <f aca="false">IF(ISBLANK($C389),"",IF($AG389=Constants!$B$7,RANK(AU389,AU$8:AU$507),$AG389))</f>
        <v/>
      </c>
      <c r="AW389" s="99" t="str">
        <f aca="false">IF(ISBLANK($C389), "",AR389)</f>
        <v/>
      </c>
      <c r="AX389" s="99" t="str">
        <f aca="false">IF(ISBLANK($C389),"",IF($AG389=Constants!$B$7,RANK(AW389,AW$8:AW$507),$AG389))</f>
        <v/>
      </c>
      <c r="AY389" s="99" t="str">
        <f aca="false">IF(ISBLANK($C389), "",AE389)</f>
        <v/>
      </c>
      <c r="AZ389" s="99" t="str">
        <f aca="false">IF(ISBLANK($C389),"",
IF($AG389=Constants!$B$7,
  IF(ISNUMBER(AT389),
    COUNTIFS($AT$8:$AT$507,"&lt;"&amp;$AT389)
    + COUNTIFS($AT$8:$AT$507,$AT389,$AV$8:$AV$507,"&lt;"&amp;$AV389)
    + COUNTIFS($AT$8:$AT$507,$AT389,$AV$8:$AV$507,$AV389,$AX$8:$AX$507,"&lt;"&amp;$AX389)
    + COUNTIFS($AT$8:$AT$507,$AT389,$AV$8:$AV$507,$AV389,$AX$8:$AX$507,$AX389,$AY$8:$AY$507,"&lt;"&amp;$AY389)
    + 1,
  Constants!$B$14),
$AG389))</f>
        <v/>
      </c>
      <c r="BA389" s="99" t="str">
        <f aca="false">IF(ISBLANK(C389),"",IF($AG389=Constants!$B$7, IF(ISNUMBER(AT389),AT389-AZ389,Constants!$B$14),$AG389))</f>
        <v/>
      </c>
      <c r="BB389" s="103"/>
      <c r="BC389" s="104" t="str">
        <f aca="false">IF(ISBLANK($C389),"",TRIM(AK389&amp;" "&amp;AO389))</f>
        <v/>
      </c>
      <c r="BD389" s="105" t="str">
        <f aca="false">IF(ISBLANK($C389),"",IF($AG389&lt;&gt;Constants!$B$7,$AG389,AR389))</f>
        <v/>
      </c>
      <c r="BE389" s="105" t="str">
        <f aca="false">IF(ISBLANK($C389),"",IF($AG389&lt;&gt;Constants!$B$7,$AG389,AM389))</f>
        <v/>
      </c>
      <c r="BF389" s="105" t="str">
        <f aca="false">IF(ISBLANK($C389),"",IF($AG389&lt;&gt;Constants!$B$7,$AG389,AQ389))</f>
        <v/>
      </c>
      <c r="BG389" s="106" t="str">
        <f aca="false">IF(ISBLANK($C389),"",IF($AG389&lt;&gt;Constants!$B$7, $AG389 ,AS389))</f>
        <v/>
      </c>
      <c r="BH389" s="107" t="str">
        <f aca="false">IF(ISBLANK($C389),"",IF($AG389&lt;&gt;Constants!$B$7, $AG389 ,AH389))</f>
        <v/>
      </c>
      <c r="BI389" s="105" t="str">
        <f aca="false">IF(ISBLANK(C389),"",BA389)</f>
        <v/>
      </c>
      <c r="BJ389" s="105" t="str">
        <f aca="false">IF(ISBLANK(C389),"",AZ389)</f>
        <v/>
      </c>
      <c r="BK389" s="108" t="str">
        <f aca="false">IF(ISBLANK(C389),"",IFERROR(_xlfn.SWITCH(BJ389, Constants!$B$4, COUNTA($C$8:$C888)+2, Constants!$B$5, COUNTA($C$8:$C888)+1, Constants!$B$6, COUNTA($C$8:$C888)),BJ389))</f>
        <v/>
      </c>
      <c r="BL389" s="5"/>
      <c r="BM389" s="109" t="n">
        <f aca="false">IF(OR(ISNUMBER(BJ389),BJ389="DQ",BJ389="P",BJ389="NS"),
    1,
    0
)</f>
        <v>0</v>
      </c>
      <c r="BN389" s="109" t="n">
        <v>382</v>
      </c>
      <c r="BO389" s="109" t="str">
        <f aca="false">IF(ISBLANK($C389),"",IF(ISNUMBER(BK389),BK389+ROW($B389)/1000,""))</f>
        <v/>
      </c>
      <c r="BP389" s="109" t="str">
        <f aca="false">IF(ISNUMBER(BO389), RANK(BO389,BO$8:BO$507,1), "")</f>
        <v/>
      </c>
      <c r="BQ389" s="109" t="str">
        <f aca="false">IF(ISBLANK($C389),
    "",
    $B389
)</f>
        <v/>
      </c>
      <c r="BR389" s="109" t="str">
        <f aca="false">IF(ISBLANK($C389),
    "",
    $C389
)</f>
        <v/>
      </c>
      <c r="BS389" s="109" t="str">
        <f aca="false">IF(ISBLANK($C389),
    "",
    $D389
)</f>
        <v/>
      </c>
      <c r="BT389" s="110" t="str">
        <f aca="false">BH389</f>
        <v/>
      </c>
      <c r="BU389" s="111" t="str">
        <f aca="false">BG389</f>
        <v/>
      </c>
      <c r="BV389" s="109" t="str">
        <f aca="false">IF(ISBLANK($C389),
    "",
    BJ389
)</f>
        <v/>
      </c>
      <c r="BW389" s="112" t="str">
        <f aca="false">IF(BN389&gt;BM$7,
    "",
    VLOOKUP(BN389,BP$8:BV888,7,FALSE())
)</f>
        <v/>
      </c>
      <c r="BX389" s="113" t="str">
        <f aca="false">IF(BN389&gt;BM$7,
    "",
    VLOOKUP(BN389,BP$8:BV888,2,FALSE())
)</f>
        <v/>
      </c>
      <c r="BY389" s="113" t="str">
        <f aca="false">IF(BN389&gt;BM$7,
    "",
    VLOOKUP(BN389,BP$8:BV888,3,FALSE())
)</f>
        <v/>
      </c>
      <c r="BZ389" s="113" t="str">
        <f aca="false">IF(BN389&gt;BM$7,
    "",
    VLOOKUP(BN389,BP$8:BV888,4,FALSE())
)</f>
        <v/>
      </c>
      <c r="CA389" s="113" t="str">
        <f aca="false">IF(BN389&gt;BM$7,
    "",
    VLOOKUP(BN389,BP$8:BV888,5,FALSE())
)</f>
        <v/>
      </c>
      <c r="CB389" s="114" t="str">
        <f aca="false">IF(BN389&gt;BM$7,
    "",
    VLOOKUP(BN389,BP$8:BV888,6,FALSE())
)</f>
        <v/>
      </c>
      <c r="CC389" s="53"/>
    </row>
    <row r="390" customFormat="false" ht="15.75" hidden="false" customHeight="false" outlineLevel="0" collapsed="false">
      <c r="A390" s="5"/>
      <c r="B390" s="125"/>
      <c r="C390" s="126"/>
      <c r="D390" s="115"/>
      <c r="E390" s="119"/>
      <c r="F390" s="119"/>
      <c r="G390" s="91"/>
      <c r="H390" s="92"/>
      <c r="I390" s="92"/>
      <c r="J390" s="128"/>
      <c r="K390" s="128"/>
      <c r="L390" s="128"/>
      <c r="M390" s="94"/>
      <c r="N390" s="94"/>
      <c r="O390" s="94"/>
      <c r="P390" s="95"/>
      <c r="Q390" s="96"/>
      <c r="R390" s="128"/>
      <c r="S390" s="98"/>
      <c r="T390" s="99"/>
      <c r="U390" s="99" t="str">
        <f aca="false">IF(ISBLANK($C390),"",IF(G390=Constants!$B$2, TRUE(), IF(G390=Constants!$B$3, FALSE(), TRUE())))</f>
        <v/>
      </c>
      <c r="V390" s="99" t="str">
        <f aca="false">IF(ISBLANK($C390),"",IF(H390=Constants!$B$2, TRUE(), IF(H390=Constants!$B$3, FALSE(), TRUE())))</f>
        <v/>
      </c>
      <c r="W390" s="99" t="str">
        <f aca="false">IF(ISBLANK($C390),"",IF(I390=Constants!$B$2, TRUE(), IF(I390=Constants!$B$3, FALSE(), TRUE())))</f>
        <v/>
      </c>
      <c r="X390" s="99" t="str">
        <f aca="false">IF(ISBLANK($C390),"",IF(AND(ISNUMBER(J390),J390&gt;0),INT(J390),0))</f>
        <v/>
      </c>
      <c r="Y390" s="99" t="str">
        <f aca="false">IF(ISBLANK($C390),"",IF(K390=Constants!$B$2, TRUE(), IF(K390=Constants!$B$3, FALSE(), TRUE())))</f>
        <v/>
      </c>
      <c r="Z390" s="100" t="str">
        <f aca="false">IF(ISBLANK($C390),"",IF(AND(ISNUMBER(L390),L390&gt;0),INT(L390),0))</f>
        <v/>
      </c>
      <c r="AA390" s="101" t="str">
        <f aca="false">IF(ISBLANK($C390),"",IF(ISNUMBER(M390), M390, ""))</f>
        <v/>
      </c>
      <c r="AB390" s="101" t="str">
        <f aca="false">IF(ISBLANK($C390),"",IF(ISNUMBER(N390), N390, ""))</f>
        <v/>
      </c>
      <c r="AC390" s="101" t="str">
        <f aca="false">IF(ISBLANK($C390),"",IF(ISNUMBER(O390), O390, ""))</f>
        <v/>
      </c>
      <c r="AD390" s="102" t="str">
        <f aca="false">IF(ISBLANK($C390),"",IF(ISNUMBER(P390), P390, ""))</f>
        <v/>
      </c>
      <c r="AE390" s="102" t="str">
        <f aca="false">IF(ISBLANK($C390),"",IF(ISNUMBER(Q390), Q390, Constants!$B$13))</f>
        <v/>
      </c>
      <c r="AF390" s="99" t="str">
        <f aca="false">IF(ISBLANK($C390),"",IF(R390=Constants!$B$2, TRUE(), IF(R390=Constants!$B$3, FALSE(), FALSE())))</f>
        <v/>
      </c>
      <c r="AG390" s="99" t="str">
        <f aca="false">IF(ISBLANK(C390), "", IF(AF390, Constants!$B$4,IF(COUNTA(G390:P390)=0, Constants!$B$5, Constants!$B$7)))</f>
        <v/>
      </c>
      <c r="AH390" s="99" t="str">
        <f aca="false">IF(ISBLANK($C390), "",IF($AG390=Constants!$B$7,1,$AG390))</f>
        <v/>
      </c>
      <c r="AI390" s="99" t="str">
        <f aca="false">IF($AG390=Constants!$B$7,POWER(Constants!$B$11,X390)*POWER(Constants!$B$12,Z390),"")</f>
        <v/>
      </c>
      <c r="AJ390" s="99" t="str">
        <f aca="false">IF(AND($AG390=Constants!$B$7, U390, V390) ,IF(OR($AA390="",$AC390=""),"",MAX(0, $AC390-$AA390)),"")</f>
        <v/>
      </c>
      <c r="AK390" s="99" t="str">
        <f aca="false">IF(AND($AG390=Constants!$B$7, U390, V390),IF(OR($AA390="",$AC390=""),$AK$6,""),"")</f>
        <v/>
      </c>
      <c r="AL390" s="99" t="str">
        <f aca="false">IF($AG390=Constants!$B$7,IF(AND(U390,V390,W390,Y390),IF($AJ390="",0,IF($AJ$6=0,Constants!$B$9,Constants!$B$9*AJ390/$AJ$6)), 0),"")</f>
        <v/>
      </c>
      <c r="AM390" s="99" t="str">
        <f aca="false">IF(AL390&lt;&gt;"", AL390*AI390,"")</f>
        <v/>
      </c>
      <c r="AN390" s="99" t="str">
        <f aca="false">IF(AND($AG390=Constants!$B$7, U390, V390) ,IF($AB390="", "", IF(OR($AC390="",$AC390=0),"",MAX(0,1-ABS($AC390-$AB390)/$AC390))),"")</f>
        <v/>
      </c>
      <c r="AO390" s="99" t="str">
        <f aca="false">IF(AND($AG390=Constants!$B$7, U390, V390),IF(AND($AA390&lt;&gt;"",$AB390&lt;&gt;"",$AC390=0),$AO$6,""),"")</f>
        <v/>
      </c>
      <c r="AP390" s="99" t="str">
        <f aca="false">IF($AG390=Constants!$B$7 ,IF(AND(U390,V390,W390,Y390,ISNUMBER(AB390)),IF($AN390="",0,IF($AN$6=0,Constants!$B$10,Constants!$B$10*AN390/$AN$6)), 0),"")</f>
        <v/>
      </c>
      <c r="AQ390" s="99" t="str">
        <f aca="false">IF(AP390&lt;&gt;"", AP390*AI390,"")</f>
        <v/>
      </c>
      <c r="AR390" s="99" t="str">
        <f aca="false">IF($AG390=Constants!$B$7,IF($AD390="",0,IF($AR$6=0,Constants!$B$8,Constants!$B$8*AD390/$AR$6)),"")</f>
        <v/>
      </c>
      <c r="AS390" s="99" t="str">
        <f aca="false">IF($AG390&lt;&gt;Constants!$B$7,$AG390,IF(AK390&amp;AO390&lt;&gt;"",Constants!$B$14,AM390+AQ390+AR390))</f>
        <v/>
      </c>
      <c r="AT390" s="99" t="str">
        <f aca="false">IF(ISBLANK($C390),"",IF($AG390=Constants!$B$7,IF(ISNUMBER(AS390),RANK(AS390,$AS$8:$AS$507),Constants!$B$14),$AG390))</f>
        <v/>
      </c>
      <c r="AU390" s="99" t="str">
        <f aca="false">IF(ISBLANK($C390), "",AM390)</f>
        <v/>
      </c>
      <c r="AV390" s="99" t="str">
        <f aca="false">IF(ISBLANK($C390),"",IF($AG390=Constants!$B$7,RANK(AU390,AU$8:AU$507),$AG390))</f>
        <v/>
      </c>
      <c r="AW390" s="99" t="str">
        <f aca="false">IF(ISBLANK($C390), "",AR390)</f>
        <v/>
      </c>
      <c r="AX390" s="99" t="str">
        <f aca="false">IF(ISBLANK($C390),"",IF($AG390=Constants!$B$7,RANK(AW390,AW$8:AW$507),$AG390))</f>
        <v/>
      </c>
      <c r="AY390" s="99" t="str">
        <f aca="false">IF(ISBLANK($C390), "",AE390)</f>
        <v/>
      </c>
      <c r="AZ390" s="99" t="str">
        <f aca="false">IF(ISBLANK($C390),"",
IF($AG390=Constants!$B$7,
  IF(ISNUMBER(AT390),
    COUNTIFS($AT$8:$AT$507,"&lt;"&amp;$AT390)
    + COUNTIFS($AT$8:$AT$507,$AT390,$AV$8:$AV$507,"&lt;"&amp;$AV390)
    + COUNTIFS($AT$8:$AT$507,$AT390,$AV$8:$AV$507,$AV390,$AX$8:$AX$507,"&lt;"&amp;$AX390)
    + COUNTIFS($AT$8:$AT$507,$AT390,$AV$8:$AV$507,$AV390,$AX$8:$AX$507,$AX390,$AY$8:$AY$507,"&lt;"&amp;$AY390)
    + 1,
  Constants!$B$14),
$AG390))</f>
        <v/>
      </c>
      <c r="BA390" s="99" t="str">
        <f aca="false">IF(ISBLANK(C390),"",IF($AG390=Constants!$B$7, IF(ISNUMBER(AT390),AT390-AZ390,Constants!$B$14),$AG390))</f>
        <v/>
      </c>
      <c r="BB390" s="103"/>
      <c r="BC390" s="104" t="str">
        <f aca="false">IF(ISBLANK($C390),"",TRIM(AK390&amp;" "&amp;AO390))</f>
        <v/>
      </c>
      <c r="BD390" s="105" t="str">
        <f aca="false">IF(ISBLANK($C390),"",IF($AG390&lt;&gt;Constants!$B$7,$AG390,AR390))</f>
        <v/>
      </c>
      <c r="BE390" s="105" t="str">
        <f aca="false">IF(ISBLANK($C390),"",IF($AG390&lt;&gt;Constants!$B$7,$AG390,AM390))</f>
        <v/>
      </c>
      <c r="BF390" s="105" t="str">
        <f aca="false">IF(ISBLANK($C390),"",IF($AG390&lt;&gt;Constants!$B$7,$AG390,AQ390))</f>
        <v/>
      </c>
      <c r="BG390" s="106" t="str">
        <f aca="false">IF(ISBLANK($C390),"",IF($AG390&lt;&gt;Constants!$B$7, $AG390 ,AS390))</f>
        <v/>
      </c>
      <c r="BH390" s="107" t="str">
        <f aca="false">IF(ISBLANK($C390),"",IF($AG390&lt;&gt;Constants!$B$7, $AG390 ,AH390))</f>
        <v/>
      </c>
      <c r="BI390" s="105" t="str">
        <f aca="false">IF(ISBLANK(C390),"",BA390)</f>
        <v/>
      </c>
      <c r="BJ390" s="105" t="str">
        <f aca="false">IF(ISBLANK(C390),"",AZ390)</f>
        <v/>
      </c>
      <c r="BK390" s="108" t="str">
        <f aca="false">IF(ISBLANK(C390),"",IFERROR(_xlfn.SWITCH(BJ390, Constants!$B$4, COUNTA($C$8:$C889)+2, Constants!$B$5, COUNTA($C$8:$C889)+1, Constants!$B$6, COUNTA($C$8:$C889)),BJ390))</f>
        <v/>
      </c>
      <c r="BL390" s="5"/>
      <c r="BM390" s="109" t="n">
        <f aca="false">IF(OR(ISNUMBER(BJ390),BJ390="DQ",BJ390="P",BJ390="NS"),
    1,
    0
)</f>
        <v>0</v>
      </c>
      <c r="BN390" s="109" t="n">
        <v>383</v>
      </c>
      <c r="BO390" s="109" t="str">
        <f aca="false">IF(ISBLANK($C390),"",IF(ISNUMBER(BK390),BK390+ROW($B390)/1000,""))</f>
        <v/>
      </c>
      <c r="BP390" s="109" t="str">
        <f aca="false">IF(ISNUMBER(BO390), RANK(BO390,BO$8:BO$507,1), "")</f>
        <v/>
      </c>
      <c r="BQ390" s="109" t="str">
        <f aca="false">IF(ISBLANK($C390),
    "",
    $B390
)</f>
        <v/>
      </c>
      <c r="BR390" s="109" t="str">
        <f aca="false">IF(ISBLANK($C390),
    "",
    $C390
)</f>
        <v/>
      </c>
      <c r="BS390" s="109" t="str">
        <f aca="false">IF(ISBLANK($C390),
    "",
    $D390
)</f>
        <v/>
      </c>
      <c r="BT390" s="110" t="str">
        <f aca="false">BH390</f>
        <v/>
      </c>
      <c r="BU390" s="111" t="str">
        <f aca="false">BG390</f>
        <v/>
      </c>
      <c r="BV390" s="109" t="str">
        <f aca="false">IF(ISBLANK($C390),
    "",
    BJ390
)</f>
        <v/>
      </c>
      <c r="BW390" s="112" t="str">
        <f aca="false">IF(BN390&gt;BM$7,
    "",
    VLOOKUP(BN390,BP$8:BV889,7,FALSE())
)</f>
        <v/>
      </c>
      <c r="BX390" s="113" t="str">
        <f aca="false">IF(BN390&gt;BM$7,
    "",
    VLOOKUP(BN390,BP$8:BV889,2,FALSE())
)</f>
        <v/>
      </c>
      <c r="BY390" s="113" t="str">
        <f aca="false">IF(BN390&gt;BM$7,
    "",
    VLOOKUP(BN390,BP$8:BV889,3,FALSE())
)</f>
        <v/>
      </c>
      <c r="BZ390" s="113" t="str">
        <f aca="false">IF(BN390&gt;BM$7,
    "",
    VLOOKUP(BN390,BP$8:BV889,4,FALSE())
)</f>
        <v/>
      </c>
      <c r="CA390" s="113" t="str">
        <f aca="false">IF(BN390&gt;BM$7,
    "",
    VLOOKUP(BN390,BP$8:BV889,5,FALSE())
)</f>
        <v/>
      </c>
      <c r="CB390" s="114" t="str">
        <f aca="false">IF(BN390&gt;BM$7,
    "",
    VLOOKUP(BN390,BP$8:BV889,6,FALSE())
)</f>
        <v/>
      </c>
      <c r="CC390" s="53"/>
    </row>
    <row r="391" customFormat="false" ht="15.75" hidden="false" customHeight="false" outlineLevel="0" collapsed="false">
      <c r="A391" s="5"/>
      <c r="B391" s="125"/>
      <c r="C391" s="126"/>
      <c r="D391" s="115"/>
      <c r="E391" s="119"/>
      <c r="F391" s="119"/>
      <c r="G391" s="91"/>
      <c r="H391" s="92"/>
      <c r="I391" s="92"/>
      <c r="J391" s="128"/>
      <c r="K391" s="128"/>
      <c r="L391" s="128"/>
      <c r="M391" s="94"/>
      <c r="N391" s="94"/>
      <c r="O391" s="94"/>
      <c r="P391" s="95"/>
      <c r="Q391" s="96"/>
      <c r="R391" s="128"/>
      <c r="S391" s="98"/>
      <c r="T391" s="99"/>
      <c r="U391" s="99" t="str">
        <f aca="false">IF(ISBLANK($C391),"",IF(G391=Constants!$B$2, TRUE(), IF(G391=Constants!$B$3, FALSE(), TRUE())))</f>
        <v/>
      </c>
      <c r="V391" s="99" t="str">
        <f aca="false">IF(ISBLANK($C391),"",IF(H391=Constants!$B$2, TRUE(), IF(H391=Constants!$B$3, FALSE(), TRUE())))</f>
        <v/>
      </c>
      <c r="W391" s="99" t="str">
        <f aca="false">IF(ISBLANK($C391),"",IF(I391=Constants!$B$2, TRUE(), IF(I391=Constants!$B$3, FALSE(), TRUE())))</f>
        <v/>
      </c>
      <c r="X391" s="99" t="str">
        <f aca="false">IF(ISBLANK($C391),"",IF(AND(ISNUMBER(J391),J391&gt;0),INT(J391),0))</f>
        <v/>
      </c>
      <c r="Y391" s="99" t="str">
        <f aca="false">IF(ISBLANK($C391),"",IF(K391=Constants!$B$2, TRUE(), IF(K391=Constants!$B$3, FALSE(), TRUE())))</f>
        <v/>
      </c>
      <c r="Z391" s="100" t="str">
        <f aca="false">IF(ISBLANK($C391),"",IF(AND(ISNUMBER(L391),L391&gt;0),INT(L391),0))</f>
        <v/>
      </c>
      <c r="AA391" s="101" t="str">
        <f aca="false">IF(ISBLANK($C391),"",IF(ISNUMBER(M391), M391, ""))</f>
        <v/>
      </c>
      <c r="AB391" s="101" t="str">
        <f aca="false">IF(ISBLANK($C391),"",IF(ISNUMBER(N391), N391, ""))</f>
        <v/>
      </c>
      <c r="AC391" s="101" t="str">
        <f aca="false">IF(ISBLANK($C391),"",IF(ISNUMBER(O391), O391, ""))</f>
        <v/>
      </c>
      <c r="AD391" s="102" t="str">
        <f aca="false">IF(ISBLANK($C391),"",IF(ISNUMBER(P391), P391, ""))</f>
        <v/>
      </c>
      <c r="AE391" s="102" t="str">
        <f aca="false">IF(ISBLANK($C391),"",IF(ISNUMBER(Q391), Q391, Constants!$B$13))</f>
        <v/>
      </c>
      <c r="AF391" s="99" t="str">
        <f aca="false">IF(ISBLANK($C391),"",IF(R391=Constants!$B$2, TRUE(), IF(R391=Constants!$B$3, FALSE(), FALSE())))</f>
        <v/>
      </c>
      <c r="AG391" s="99" t="str">
        <f aca="false">IF(ISBLANK(C391), "", IF(AF391, Constants!$B$4,IF(COUNTA(G391:P391)=0, Constants!$B$5, Constants!$B$7)))</f>
        <v/>
      </c>
      <c r="AH391" s="99" t="str">
        <f aca="false">IF(ISBLANK($C391), "",IF($AG391=Constants!$B$7,1,$AG391))</f>
        <v/>
      </c>
      <c r="AI391" s="99" t="str">
        <f aca="false">IF($AG391=Constants!$B$7,POWER(Constants!$B$11,X391)*POWER(Constants!$B$12,Z391),"")</f>
        <v/>
      </c>
      <c r="AJ391" s="99" t="str">
        <f aca="false">IF(AND($AG391=Constants!$B$7, U391, V391) ,IF(OR($AA391="",$AC391=""),"",MAX(0, $AC391-$AA391)),"")</f>
        <v/>
      </c>
      <c r="AK391" s="99" t="str">
        <f aca="false">IF(AND($AG391=Constants!$B$7, U391, V391),IF(OR($AA391="",$AC391=""),$AK$6,""),"")</f>
        <v/>
      </c>
      <c r="AL391" s="99" t="str">
        <f aca="false">IF($AG391=Constants!$B$7,IF(AND(U391,V391,W391,Y391),IF($AJ391="",0,IF($AJ$6=0,Constants!$B$9,Constants!$B$9*AJ391/$AJ$6)), 0),"")</f>
        <v/>
      </c>
      <c r="AM391" s="99" t="str">
        <f aca="false">IF(AL391&lt;&gt;"", AL391*AI391,"")</f>
        <v/>
      </c>
      <c r="AN391" s="99" t="str">
        <f aca="false">IF(AND($AG391=Constants!$B$7, U391, V391) ,IF($AB391="", "", IF(OR($AC391="",$AC391=0),"",MAX(0,1-ABS($AC391-$AB391)/$AC391))),"")</f>
        <v/>
      </c>
      <c r="AO391" s="99" t="str">
        <f aca="false">IF(AND($AG391=Constants!$B$7, U391, V391),IF(AND($AA391&lt;&gt;"",$AB391&lt;&gt;"",$AC391=0),$AO$6,""),"")</f>
        <v/>
      </c>
      <c r="AP391" s="99" t="str">
        <f aca="false">IF($AG391=Constants!$B$7 ,IF(AND(U391,V391,W391,Y391,ISNUMBER(AB391)),IF($AN391="",0,IF($AN$6=0,Constants!$B$10,Constants!$B$10*AN391/$AN$6)), 0),"")</f>
        <v/>
      </c>
      <c r="AQ391" s="99" t="str">
        <f aca="false">IF(AP391&lt;&gt;"", AP391*AI391,"")</f>
        <v/>
      </c>
      <c r="AR391" s="99" t="str">
        <f aca="false">IF($AG391=Constants!$B$7,IF($AD391="",0,IF($AR$6=0,Constants!$B$8,Constants!$B$8*AD391/$AR$6)),"")</f>
        <v/>
      </c>
      <c r="AS391" s="99" t="str">
        <f aca="false">IF($AG391&lt;&gt;Constants!$B$7,$AG391,IF(AK391&amp;AO391&lt;&gt;"",Constants!$B$14,AM391+AQ391+AR391))</f>
        <v/>
      </c>
      <c r="AT391" s="99" t="str">
        <f aca="false">IF(ISBLANK($C391),"",IF($AG391=Constants!$B$7,IF(ISNUMBER(AS391),RANK(AS391,$AS$8:$AS$507),Constants!$B$14),$AG391))</f>
        <v/>
      </c>
      <c r="AU391" s="99" t="str">
        <f aca="false">IF(ISBLANK($C391), "",AM391)</f>
        <v/>
      </c>
      <c r="AV391" s="99" t="str">
        <f aca="false">IF(ISBLANK($C391),"",IF($AG391=Constants!$B$7,RANK(AU391,AU$8:AU$507),$AG391))</f>
        <v/>
      </c>
      <c r="AW391" s="99" t="str">
        <f aca="false">IF(ISBLANK($C391), "",AR391)</f>
        <v/>
      </c>
      <c r="AX391" s="99" t="str">
        <f aca="false">IF(ISBLANK($C391),"",IF($AG391=Constants!$B$7,RANK(AW391,AW$8:AW$507),$AG391))</f>
        <v/>
      </c>
      <c r="AY391" s="99" t="str">
        <f aca="false">IF(ISBLANK($C391), "",AE391)</f>
        <v/>
      </c>
      <c r="AZ391" s="99" t="str">
        <f aca="false">IF(ISBLANK($C391),"",
IF($AG391=Constants!$B$7,
  IF(ISNUMBER(AT391),
    COUNTIFS($AT$8:$AT$507,"&lt;"&amp;$AT391)
    + COUNTIFS($AT$8:$AT$507,$AT391,$AV$8:$AV$507,"&lt;"&amp;$AV391)
    + COUNTIFS($AT$8:$AT$507,$AT391,$AV$8:$AV$507,$AV391,$AX$8:$AX$507,"&lt;"&amp;$AX391)
    + COUNTIFS($AT$8:$AT$507,$AT391,$AV$8:$AV$507,$AV391,$AX$8:$AX$507,$AX391,$AY$8:$AY$507,"&lt;"&amp;$AY391)
    + 1,
  Constants!$B$14),
$AG391))</f>
        <v/>
      </c>
      <c r="BA391" s="99" t="str">
        <f aca="false">IF(ISBLANK(C391),"",IF($AG391=Constants!$B$7, IF(ISNUMBER(AT391),AT391-AZ391,Constants!$B$14),$AG391))</f>
        <v/>
      </c>
      <c r="BB391" s="103"/>
      <c r="BC391" s="104" t="str">
        <f aca="false">IF(ISBLANK($C391),"",TRIM(AK391&amp;" "&amp;AO391))</f>
        <v/>
      </c>
      <c r="BD391" s="105" t="str">
        <f aca="false">IF(ISBLANK($C391),"",IF($AG391&lt;&gt;Constants!$B$7,$AG391,AR391))</f>
        <v/>
      </c>
      <c r="BE391" s="105" t="str">
        <f aca="false">IF(ISBLANK($C391),"",IF($AG391&lt;&gt;Constants!$B$7,$AG391,AM391))</f>
        <v/>
      </c>
      <c r="BF391" s="105" t="str">
        <f aca="false">IF(ISBLANK($C391),"",IF($AG391&lt;&gt;Constants!$B$7,$AG391,AQ391))</f>
        <v/>
      </c>
      <c r="BG391" s="106" t="str">
        <f aca="false">IF(ISBLANK($C391),"",IF($AG391&lt;&gt;Constants!$B$7, $AG391 ,AS391))</f>
        <v/>
      </c>
      <c r="BH391" s="107" t="str">
        <f aca="false">IF(ISBLANK($C391),"",IF($AG391&lt;&gt;Constants!$B$7, $AG391 ,AH391))</f>
        <v/>
      </c>
      <c r="BI391" s="105" t="str">
        <f aca="false">IF(ISBLANK(C391),"",BA391)</f>
        <v/>
      </c>
      <c r="BJ391" s="105" t="str">
        <f aca="false">IF(ISBLANK(C391),"",AZ391)</f>
        <v/>
      </c>
      <c r="BK391" s="108" t="str">
        <f aca="false">IF(ISBLANK(C391),"",IFERROR(_xlfn.SWITCH(BJ391, Constants!$B$4, COUNTA($C$8:$C890)+2, Constants!$B$5, COUNTA($C$8:$C890)+1, Constants!$B$6, COUNTA($C$8:$C890)),BJ391))</f>
        <v/>
      </c>
      <c r="BL391" s="5"/>
      <c r="BM391" s="109" t="n">
        <f aca="false">IF(OR(ISNUMBER(BJ391),BJ391="DQ",BJ391="P",BJ391="NS"),
    1,
    0
)</f>
        <v>0</v>
      </c>
      <c r="BN391" s="109" t="n">
        <v>384</v>
      </c>
      <c r="BO391" s="109" t="str">
        <f aca="false">IF(ISBLANK($C391),"",IF(ISNUMBER(BK391),BK391+ROW($B391)/1000,""))</f>
        <v/>
      </c>
      <c r="BP391" s="109" t="str">
        <f aca="false">IF(ISNUMBER(BO391), RANK(BO391,BO$8:BO$507,1), "")</f>
        <v/>
      </c>
      <c r="BQ391" s="109" t="str">
        <f aca="false">IF(ISBLANK($C391),
    "",
    $B391
)</f>
        <v/>
      </c>
      <c r="BR391" s="109" t="str">
        <f aca="false">IF(ISBLANK($C391),
    "",
    $C391
)</f>
        <v/>
      </c>
      <c r="BS391" s="109" t="str">
        <f aca="false">IF(ISBLANK($C391),
    "",
    $D391
)</f>
        <v/>
      </c>
      <c r="BT391" s="110" t="str">
        <f aca="false">BH391</f>
        <v/>
      </c>
      <c r="BU391" s="111" t="str">
        <f aca="false">BG391</f>
        <v/>
      </c>
      <c r="BV391" s="109" t="str">
        <f aca="false">IF(ISBLANK($C391),
    "",
    BJ391
)</f>
        <v/>
      </c>
      <c r="BW391" s="112" t="str">
        <f aca="false">IF(BN391&gt;BM$7,
    "",
    VLOOKUP(BN391,BP$8:BV890,7,FALSE())
)</f>
        <v/>
      </c>
      <c r="BX391" s="113" t="str">
        <f aca="false">IF(BN391&gt;BM$7,
    "",
    VLOOKUP(BN391,BP$8:BV890,2,FALSE())
)</f>
        <v/>
      </c>
      <c r="BY391" s="113" t="str">
        <f aca="false">IF(BN391&gt;BM$7,
    "",
    VLOOKUP(BN391,BP$8:BV890,3,FALSE())
)</f>
        <v/>
      </c>
      <c r="BZ391" s="113" t="str">
        <f aca="false">IF(BN391&gt;BM$7,
    "",
    VLOOKUP(BN391,BP$8:BV890,4,FALSE())
)</f>
        <v/>
      </c>
      <c r="CA391" s="113" t="str">
        <f aca="false">IF(BN391&gt;BM$7,
    "",
    VLOOKUP(BN391,BP$8:BV890,5,FALSE())
)</f>
        <v/>
      </c>
      <c r="CB391" s="114" t="str">
        <f aca="false">IF(BN391&gt;BM$7,
    "",
    VLOOKUP(BN391,BP$8:BV890,6,FALSE())
)</f>
        <v/>
      </c>
      <c r="CC391" s="53"/>
    </row>
    <row r="392" customFormat="false" ht="15.75" hidden="false" customHeight="false" outlineLevel="0" collapsed="false">
      <c r="A392" s="5"/>
      <c r="B392" s="129"/>
      <c r="C392" s="55"/>
      <c r="D392" s="56"/>
      <c r="E392" s="123"/>
      <c r="F392" s="123"/>
      <c r="G392" s="58"/>
      <c r="H392" s="59"/>
      <c r="I392" s="59"/>
      <c r="J392" s="83"/>
      <c r="K392" s="83"/>
      <c r="L392" s="83"/>
      <c r="M392" s="61"/>
      <c r="N392" s="61"/>
      <c r="O392" s="61"/>
      <c r="P392" s="62"/>
      <c r="Q392" s="63"/>
      <c r="R392" s="83"/>
      <c r="S392" s="65"/>
      <c r="T392" s="66"/>
      <c r="U392" s="66" t="str">
        <f aca="false">IF(ISBLANK($C392),"",IF(G392=Constants!$B$2, TRUE(), IF(G392=Constants!$B$3, FALSE(), TRUE())))</f>
        <v/>
      </c>
      <c r="V392" s="66" t="str">
        <f aca="false">IF(ISBLANK($C392),"",IF(H392=Constants!$B$2, TRUE(), IF(H392=Constants!$B$3, FALSE(), TRUE())))</f>
        <v/>
      </c>
      <c r="W392" s="66" t="str">
        <f aca="false">IF(ISBLANK($C392),"",IF(I392=Constants!$B$2, TRUE(), IF(I392=Constants!$B$3, FALSE(), TRUE())))</f>
        <v/>
      </c>
      <c r="X392" s="66" t="str">
        <f aca="false">IF(ISBLANK($C392),"",IF(AND(ISNUMBER(J392),J392&gt;0),INT(J392),0))</f>
        <v/>
      </c>
      <c r="Y392" s="66" t="str">
        <f aca="false">IF(ISBLANK($C392),"",IF(K392=Constants!$B$2, TRUE(), IF(K392=Constants!$B$3, FALSE(), TRUE())))</f>
        <v/>
      </c>
      <c r="Z392" s="66" t="str">
        <f aca="false">IF(ISBLANK($C392),"",IF(AND(ISNUMBER(L392),L392&gt;0),INT(L392),0))</f>
        <v/>
      </c>
      <c r="AA392" s="68" t="str">
        <f aca="false">IF(ISBLANK($C392),"",IF(ISNUMBER(M392), M392, ""))</f>
        <v/>
      </c>
      <c r="AB392" s="68" t="str">
        <f aca="false">IF(ISBLANK($C392),"",IF(ISNUMBER(N392), N392, ""))</f>
        <v/>
      </c>
      <c r="AC392" s="68" t="str">
        <f aca="false">IF(ISBLANK($C392),"",IF(ISNUMBER(O392), O392, ""))</f>
        <v/>
      </c>
      <c r="AD392" s="69" t="str">
        <f aca="false">IF(ISBLANK($C392),"",IF(ISNUMBER(P392), P392, ""))</f>
        <v/>
      </c>
      <c r="AE392" s="69" t="str">
        <f aca="false">IF(ISBLANK($C392),"",IF(ISNUMBER(Q392), Q392, Constants!$B$13))</f>
        <v/>
      </c>
      <c r="AF392" s="66" t="str">
        <f aca="false">IF(ISBLANK($C392),"",IF(R392=Constants!$B$2, TRUE(), IF(R392=Constants!$B$3, FALSE(), FALSE())))</f>
        <v/>
      </c>
      <c r="AG392" s="66" t="str">
        <f aca="false">IF(ISBLANK(C392), "", IF(AF392, Constants!$B$4,IF(COUNTA(G392:P392)=0, Constants!$B$5, Constants!$B$7)))</f>
        <v/>
      </c>
      <c r="AH392" s="66" t="str">
        <f aca="false">IF(ISBLANK($C392), "",IF($AG392=Constants!$B$7,1,$AG392))</f>
        <v/>
      </c>
      <c r="AI392" s="66" t="str">
        <f aca="false">IF($AG392=Constants!$B$7,POWER(Constants!$B$11,X392)*POWER(Constants!$B$12,Z392),"")</f>
        <v/>
      </c>
      <c r="AJ392" s="66" t="str">
        <f aca="false">IF(AND($AG392=Constants!$B$7, U392, V392) ,IF(OR($AA392="",$AC392=""),"",MAX(0, $AC392-$AA392)),"")</f>
        <v/>
      </c>
      <c r="AK392" s="66" t="str">
        <f aca="false">IF(AND($AG392=Constants!$B$7, U392, V392),IF(OR($AA392="",$AC392=""),$AK$6,""),"")</f>
        <v/>
      </c>
      <c r="AL392" s="66" t="str">
        <f aca="false">IF($AG392=Constants!$B$7,IF(AND(U392,V392,W392,Y392),IF($AJ392="",0,IF($AJ$6=0,Constants!$B$9,Constants!$B$9*AJ392/$AJ$6)), 0),"")</f>
        <v/>
      </c>
      <c r="AM392" s="66" t="str">
        <f aca="false">IF(AL392&lt;&gt;"", AL392*AI392,"")</f>
        <v/>
      </c>
      <c r="AN392" s="66" t="str">
        <f aca="false">IF(AND($AG392=Constants!$B$7, U392, V392) ,IF($AB392="", "", IF(OR($AC392="",$AC392=0),"",MAX(0,1-ABS($AC392-$AB392)/$AC392))),"")</f>
        <v/>
      </c>
      <c r="AO392" s="66" t="str">
        <f aca="false">IF(AND($AG392=Constants!$B$7, U392, V392),IF(AND($AA392&lt;&gt;"",$AB392&lt;&gt;"",$AC392=0),$AO$6,""),"")</f>
        <v/>
      </c>
      <c r="AP392" s="66" t="str">
        <f aca="false">IF($AG392=Constants!$B$7 ,IF(AND(U392,V392,W392,Y392,ISNUMBER(AB392)),IF($AN392="",0,IF($AN$6=0,Constants!$B$10,Constants!$B$10*AN392/$AN$6)), 0),"")</f>
        <v/>
      </c>
      <c r="AQ392" s="66" t="str">
        <f aca="false">IF(AP392&lt;&gt;"", AP392*AI392,"")</f>
        <v/>
      </c>
      <c r="AR392" s="66" t="str">
        <f aca="false">IF($AG392=Constants!$B$7,IF($AD392="",0,IF($AR$6=0,Constants!$B$8,Constants!$B$8*AD392/$AR$6)),"")</f>
        <v/>
      </c>
      <c r="AS392" s="66" t="str">
        <f aca="false">IF($AG392&lt;&gt;Constants!$B$7,$AG392,IF(AK392&amp;AO392&lt;&gt;"",Constants!$B$14,AM392+AQ392+AR392))</f>
        <v/>
      </c>
      <c r="AT392" s="66" t="str">
        <f aca="false">IF(ISBLANK($C392),"",IF($AG392=Constants!$B$7,IF(ISNUMBER(AS392),RANK(AS392,$AS$8:$AS$507),Constants!$B$14),$AG392))</f>
        <v/>
      </c>
      <c r="AU392" s="66" t="str">
        <f aca="false">IF(ISBLANK($C392), "",AM392)</f>
        <v/>
      </c>
      <c r="AV392" s="66" t="str">
        <f aca="false">IF(ISBLANK($C392),"",IF($AG392=Constants!$B$7,RANK(AU392,AU$8:AU$507),$AG392))</f>
        <v/>
      </c>
      <c r="AW392" s="66" t="str">
        <f aca="false">IF(ISBLANK($C392), "",AR392)</f>
        <v/>
      </c>
      <c r="AX392" s="66" t="str">
        <f aca="false">IF(ISBLANK($C392),"",IF($AG392=Constants!$B$7,RANK(AW392,AW$8:AW$507),$AG392))</f>
        <v/>
      </c>
      <c r="AY392" s="66" t="str">
        <f aca="false">IF(ISBLANK($C392), "",AE392)</f>
        <v/>
      </c>
      <c r="AZ392" s="66" t="str">
        <f aca="false">IF(ISBLANK($C392),"",
IF($AG392=Constants!$B$7,
  IF(ISNUMBER(AT392),
    COUNTIFS($AT$8:$AT$507,"&lt;"&amp;$AT392)
    + COUNTIFS($AT$8:$AT$507,$AT392,$AV$8:$AV$507,"&lt;"&amp;$AV392)
    + COUNTIFS($AT$8:$AT$507,$AT392,$AV$8:$AV$507,$AV392,$AX$8:$AX$507,"&lt;"&amp;$AX392)
    + COUNTIFS($AT$8:$AT$507,$AT392,$AV$8:$AV$507,$AV392,$AX$8:$AX$507,$AX392,$AY$8:$AY$507,"&lt;"&amp;$AY392)
    + 1,
  Constants!$B$14),
$AG392))</f>
        <v/>
      </c>
      <c r="BA392" s="66" t="str">
        <f aca="false">IF(ISBLANK(C392),"",IF($AG392=Constants!$B$7, IF(ISNUMBER(AT392),AT392-AZ392,Constants!$B$14),$AG392))</f>
        <v/>
      </c>
      <c r="BB392" s="70"/>
      <c r="BC392" s="84" t="str">
        <f aca="false">IF(ISBLANK($C392),"",TRIM(AK392&amp;" "&amp;AO392))</f>
        <v/>
      </c>
      <c r="BD392" s="72" t="str">
        <f aca="false">IF(ISBLANK($C392),"",IF($AG392&lt;&gt;Constants!$B$7,$AG392,AR392))</f>
        <v/>
      </c>
      <c r="BE392" s="72" t="str">
        <f aca="false">IF(ISBLANK($C392),"",IF($AG392&lt;&gt;Constants!$B$7,$AG392,AM392))</f>
        <v/>
      </c>
      <c r="BF392" s="72" t="str">
        <f aca="false">IF(ISBLANK($C392),"",IF($AG392&lt;&gt;Constants!$B$7,$AG392,AQ392))</f>
        <v/>
      </c>
      <c r="BG392" s="73" t="str">
        <f aca="false">IF(ISBLANK($C392),"",IF($AG392&lt;&gt;Constants!$B$7, $AG392 ,AS392))</f>
        <v/>
      </c>
      <c r="BH392" s="74" t="str">
        <f aca="false">IF(ISBLANK($C392),"",IF($AG392&lt;&gt;Constants!$B$7, $AG392 ,AH392))</f>
        <v/>
      </c>
      <c r="BI392" s="72" t="str">
        <f aca="false">IF(ISBLANK(C392),"",BA392)</f>
        <v/>
      </c>
      <c r="BJ392" s="72" t="str">
        <f aca="false">IF(ISBLANK(C392),"",AZ392)</f>
        <v/>
      </c>
      <c r="BK392" s="75" t="str">
        <f aca="false">IF(ISBLANK(C392),"",IFERROR(_xlfn.SWITCH(BJ392, Constants!$B$4, COUNTA($C$8:$C891)+2, Constants!$B$5, COUNTA($C$8:$C891)+1, Constants!$B$6, COUNTA($C$8:$C891)),BJ392))</f>
        <v/>
      </c>
      <c r="BL392" s="5"/>
      <c r="BM392" s="76" t="n">
        <f aca="false">IF(OR(ISNUMBER(BJ392),BJ392="DQ",BJ392="P",BJ392="NS"),
    1,
    0
)</f>
        <v>0</v>
      </c>
      <c r="BN392" s="76" t="n">
        <v>385</v>
      </c>
      <c r="BO392" s="76" t="str">
        <f aca="false">IF(ISBLANK($C392),"",IF(ISNUMBER(BK392),BK392+ROW($B392)/1000,""))</f>
        <v/>
      </c>
      <c r="BP392" s="76" t="str">
        <f aca="false">IF(ISNUMBER(BO392), RANK(BO392,BO$8:BO$507,1), "")</f>
        <v/>
      </c>
      <c r="BQ392" s="76" t="str">
        <f aca="false">IF(ISBLANK($C392),
    "",
    $B392
)</f>
        <v/>
      </c>
      <c r="BR392" s="76" t="str">
        <f aca="false">IF(ISBLANK($C392),
    "",
    $C392
)</f>
        <v/>
      </c>
      <c r="BS392" s="76" t="str">
        <f aca="false">IF(ISBLANK($C392),
    "",
    $D392
)</f>
        <v/>
      </c>
      <c r="BT392" s="77" t="str">
        <f aca="false">BH392</f>
        <v/>
      </c>
      <c r="BU392" s="78" t="str">
        <f aca="false">BG392</f>
        <v/>
      </c>
      <c r="BV392" s="76" t="str">
        <f aca="false">IF(ISBLANK($C392),
    "",
    BJ392
)</f>
        <v/>
      </c>
      <c r="BW392" s="79" t="str">
        <f aca="false">IF(BN392&gt;BM$7,
    "",
    VLOOKUP(BN392,BP$8:BV891,7,FALSE())
)</f>
        <v/>
      </c>
      <c r="BX392" s="80" t="str">
        <f aca="false">IF(BN392&gt;BM$7,
    "",
    VLOOKUP(BN392,BP$8:BV891,2,FALSE())
)</f>
        <v/>
      </c>
      <c r="BY392" s="80" t="str">
        <f aca="false">IF(BN392&gt;BM$7,
    "",
    VLOOKUP(BN392,BP$8:BV891,3,FALSE())
)</f>
        <v/>
      </c>
      <c r="BZ392" s="80" t="str">
        <f aca="false">IF(BN392&gt;BM$7,
    "",
    VLOOKUP(BN392,BP$8:BV891,4,FALSE())
)</f>
        <v/>
      </c>
      <c r="CA392" s="80" t="str">
        <f aca="false">IF(BN392&gt;BM$7,
    "",
    VLOOKUP(BN392,BP$8:BV891,5,FALSE())
)</f>
        <v/>
      </c>
      <c r="CB392" s="81" t="str">
        <f aca="false">IF(BN392&gt;BM$7,
    "",
    VLOOKUP(BN392,BP$8:BV891,6,FALSE())
)</f>
        <v/>
      </c>
      <c r="CC392" s="53"/>
    </row>
    <row r="393" customFormat="false" ht="15.75" hidden="false" customHeight="false" outlineLevel="0" collapsed="false">
      <c r="A393" s="5"/>
      <c r="B393" s="129"/>
      <c r="C393" s="55"/>
      <c r="D393" s="56"/>
      <c r="E393" s="123"/>
      <c r="F393" s="123"/>
      <c r="G393" s="58"/>
      <c r="H393" s="59"/>
      <c r="I393" s="59"/>
      <c r="J393" s="83"/>
      <c r="K393" s="83"/>
      <c r="L393" s="83"/>
      <c r="M393" s="61"/>
      <c r="N393" s="61"/>
      <c r="O393" s="61"/>
      <c r="P393" s="62"/>
      <c r="Q393" s="63"/>
      <c r="R393" s="83"/>
      <c r="S393" s="65"/>
      <c r="T393" s="66"/>
      <c r="U393" s="66" t="str">
        <f aca="false">IF(ISBLANK($C393),"",IF(G393=Constants!$B$2, TRUE(), IF(G393=Constants!$B$3, FALSE(), TRUE())))</f>
        <v/>
      </c>
      <c r="V393" s="66" t="str">
        <f aca="false">IF(ISBLANK($C393),"",IF(H393=Constants!$B$2, TRUE(), IF(H393=Constants!$B$3, FALSE(), TRUE())))</f>
        <v/>
      </c>
      <c r="W393" s="66" t="str">
        <f aca="false">IF(ISBLANK($C393),"",IF(I393=Constants!$B$2, TRUE(), IF(I393=Constants!$B$3, FALSE(), TRUE())))</f>
        <v/>
      </c>
      <c r="X393" s="66" t="str">
        <f aca="false">IF(ISBLANK($C393),"",IF(AND(ISNUMBER(J393),J393&gt;0),INT(J393),0))</f>
        <v/>
      </c>
      <c r="Y393" s="66" t="str">
        <f aca="false">IF(ISBLANK($C393),"",IF(K393=Constants!$B$2, TRUE(), IF(K393=Constants!$B$3, FALSE(), TRUE())))</f>
        <v/>
      </c>
      <c r="Z393" s="66" t="str">
        <f aca="false">IF(ISBLANK($C393),"",IF(AND(ISNUMBER(L393),L393&gt;0),INT(L393),0))</f>
        <v/>
      </c>
      <c r="AA393" s="68" t="str">
        <f aca="false">IF(ISBLANK($C393),"",IF(ISNUMBER(M393), M393, ""))</f>
        <v/>
      </c>
      <c r="AB393" s="68" t="str">
        <f aca="false">IF(ISBLANK($C393),"",IF(ISNUMBER(N393), N393, ""))</f>
        <v/>
      </c>
      <c r="AC393" s="68" t="str">
        <f aca="false">IF(ISBLANK($C393),"",IF(ISNUMBER(O393), O393, ""))</f>
        <v/>
      </c>
      <c r="AD393" s="69" t="str">
        <f aca="false">IF(ISBLANK($C393),"",IF(ISNUMBER(P393), P393, ""))</f>
        <v/>
      </c>
      <c r="AE393" s="69" t="str">
        <f aca="false">IF(ISBLANK($C393),"",IF(ISNUMBER(Q393), Q393, Constants!$B$13))</f>
        <v/>
      </c>
      <c r="AF393" s="66" t="str">
        <f aca="false">IF(ISBLANK($C393),"",IF(R393=Constants!$B$2, TRUE(), IF(R393=Constants!$B$3, FALSE(), FALSE())))</f>
        <v/>
      </c>
      <c r="AG393" s="66" t="str">
        <f aca="false">IF(ISBLANK(C393), "", IF(AF393, Constants!$B$4,IF(COUNTA(G393:P393)=0, Constants!$B$5, Constants!$B$7)))</f>
        <v/>
      </c>
      <c r="AH393" s="66" t="str">
        <f aca="false">IF(ISBLANK($C393), "",IF($AG393=Constants!$B$7,1,$AG393))</f>
        <v/>
      </c>
      <c r="AI393" s="66" t="str">
        <f aca="false">IF($AG393=Constants!$B$7,POWER(Constants!$B$11,X393)*POWER(Constants!$B$12,Z393),"")</f>
        <v/>
      </c>
      <c r="AJ393" s="66" t="str">
        <f aca="false">IF(AND($AG393=Constants!$B$7, U393, V393) ,IF(OR($AA393="",$AC393=""),"",MAX(0, $AC393-$AA393)),"")</f>
        <v/>
      </c>
      <c r="AK393" s="66" t="str">
        <f aca="false">IF(AND($AG393=Constants!$B$7, U393, V393),IF(OR($AA393="",$AC393=""),$AK$6,""),"")</f>
        <v/>
      </c>
      <c r="AL393" s="66" t="str">
        <f aca="false">IF($AG393=Constants!$B$7,IF(AND(U393,V393,W393,Y393),IF($AJ393="",0,IF($AJ$6=0,Constants!$B$9,Constants!$B$9*AJ393/$AJ$6)), 0),"")</f>
        <v/>
      </c>
      <c r="AM393" s="66" t="str">
        <f aca="false">IF(AL393&lt;&gt;"", AL393*AI393,"")</f>
        <v/>
      </c>
      <c r="AN393" s="66" t="str">
        <f aca="false">IF(AND($AG393=Constants!$B$7, U393, V393) ,IF($AB393="", "", IF(OR($AC393="",$AC393=0),"",MAX(0,1-ABS($AC393-$AB393)/$AC393))),"")</f>
        <v/>
      </c>
      <c r="AO393" s="66" t="str">
        <f aca="false">IF(AND($AG393=Constants!$B$7, U393, V393),IF(AND($AA393&lt;&gt;"",$AB393&lt;&gt;"",$AC393=0),$AO$6,""),"")</f>
        <v/>
      </c>
      <c r="AP393" s="66" t="str">
        <f aca="false">IF($AG393=Constants!$B$7 ,IF(AND(U393,V393,W393,Y393,ISNUMBER(AB393)),IF($AN393="",0,IF($AN$6=0,Constants!$B$10,Constants!$B$10*AN393/$AN$6)), 0),"")</f>
        <v/>
      </c>
      <c r="AQ393" s="66" t="str">
        <f aca="false">IF(AP393&lt;&gt;"", AP393*AI393,"")</f>
        <v/>
      </c>
      <c r="AR393" s="66" t="str">
        <f aca="false">IF($AG393=Constants!$B$7,IF($AD393="",0,IF($AR$6=0,Constants!$B$8,Constants!$B$8*AD393/$AR$6)),"")</f>
        <v/>
      </c>
      <c r="AS393" s="66" t="str">
        <f aca="false">IF($AG393&lt;&gt;Constants!$B$7,$AG393,IF(AK393&amp;AO393&lt;&gt;"",Constants!$B$14,AM393+AQ393+AR393))</f>
        <v/>
      </c>
      <c r="AT393" s="66" t="str">
        <f aca="false">IF(ISBLANK($C393),"",IF($AG393=Constants!$B$7,IF(ISNUMBER(AS393),RANK(AS393,$AS$8:$AS$507),Constants!$B$14),$AG393))</f>
        <v/>
      </c>
      <c r="AU393" s="66" t="str">
        <f aca="false">IF(ISBLANK($C393), "",AM393)</f>
        <v/>
      </c>
      <c r="AV393" s="66" t="str">
        <f aca="false">IF(ISBLANK($C393),"",IF($AG393=Constants!$B$7,RANK(AU393,AU$8:AU$507),$AG393))</f>
        <v/>
      </c>
      <c r="AW393" s="66" t="str">
        <f aca="false">IF(ISBLANK($C393), "",AR393)</f>
        <v/>
      </c>
      <c r="AX393" s="66" t="str">
        <f aca="false">IF(ISBLANK($C393),"",IF($AG393=Constants!$B$7,RANK(AW393,AW$8:AW$507),$AG393))</f>
        <v/>
      </c>
      <c r="AY393" s="66" t="str">
        <f aca="false">IF(ISBLANK($C393), "",AE393)</f>
        <v/>
      </c>
      <c r="AZ393" s="66" t="str">
        <f aca="false">IF(ISBLANK($C393),"",
IF($AG393=Constants!$B$7,
  IF(ISNUMBER(AT393),
    COUNTIFS($AT$8:$AT$507,"&lt;"&amp;$AT393)
    + COUNTIFS($AT$8:$AT$507,$AT393,$AV$8:$AV$507,"&lt;"&amp;$AV393)
    + COUNTIFS($AT$8:$AT$507,$AT393,$AV$8:$AV$507,$AV393,$AX$8:$AX$507,"&lt;"&amp;$AX393)
    + COUNTIFS($AT$8:$AT$507,$AT393,$AV$8:$AV$507,$AV393,$AX$8:$AX$507,$AX393,$AY$8:$AY$507,"&lt;"&amp;$AY393)
    + 1,
  Constants!$B$14),
$AG393))</f>
        <v/>
      </c>
      <c r="BA393" s="66" t="str">
        <f aca="false">IF(ISBLANK(C393),"",IF($AG393=Constants!$B$7, IF(ISNUMBER(AT393),AT393-AZ393,Constants!$B$14),$AG393))</f>
        <v/>
      </c>
      <c r="BB393" s="70"/>
      <c r="BC393" s="84" t="str">
        <f aca="false">IF(ISBLANK($C393),"",TRIM(AK393&amp;" "&amp;AO393))</f>
        <v/>
      </c>
      <c r="BD393" s="72" t="str">
        <f aca="false">IF(ISBLANK($C393),"",IF($AG393&lt;&gt;Constants!$B$7,$AG393,AR393))</f>
        <v/>
      </c>
      <c r="BE393" s="72" t="str">
        <f aca="false">IF(ISBLANK($C393),"",IF($AG393&lt;&gt;Constants!$B$7,$AG393,AM393))</f>
        <v/>
      </c>
      <c r="BF393" s="72" t="str">
        <f aca="false">IF(ISBLANK($C393),"",IF($AG393&lt;&gt;Constants!$B$7,$AG393,AQ393))</f>
        <v/>
      </c>
      <c r="BG393" s="73" t="str">
        <f aca="false">IF(ISBLANK($C393),"",IF($AG393&lt;&gt;Constants!$B$7, $AG393 ,AS393))</f>
        <v/>
      </c>
      <c r="BH393" s="74" t="str">
        <f aca="false">IF(ISBLANK($C393),"",IF($AG393&lt;&gt;Constants!$B$7, $AG393 ,AH393))</f>
        <v/>
      </c>
      <c r="BI393" s="72" t="str">
        <f aca="false">IF(ISBLANK(C393),"",BA393)</f>
        <v/>
      </c>
      <c r="BJ393" s="72" t="str">
        <f aca="false">IF(ISBLANK(C393),"",AZ393)</f>
        <v/>
      </c>
      <c r="BK393" s="75" t="str">
        <f aca="false">IF(ISBLANK(C393),"",IFERROR(_xlfn.SWITCH(BJ393, Constants!$B$4, COUNTA($C$8:$C892)+2, Constants!$B$5, COUNTA($C$8:$C892)+1, Constants!$B$6, COUNTA($C$8:$C892)),BJ393))</f>
        <v/>
      </c>
      <c r="BL393" s="5"/>
      <c r="BM393" s="76" t="n">
        <f aca="false">IF(OR(ISNUMBER(BJ393),BJ393="DQ",BJ393="P",BJ393="NS"),
    1,
    0
)</f>
        <v>0</v>
      </c>
      <c r="BN393" s="76" t="n">
        <v>386</v>
      </c>
      <c r="BO393" s="76" t="str">
        <f aca="false">IF(ISBLANK($C393),"",IF(ISNUMBER(BK393),BK393+ROW($B393)/1000,""))</f>
        <v/>
      </c>
      <c r="BP393" s="76" t="str">
        <f aca="false">IF(ISNUMBER(BO393), RANK(BO393,BO$8:BO$507,1), "")</f>
        <v/>
      </c>
      <c r="BQ393" s="76" t="str">
        <f aca="false">IF(ISBLANK($C393),
    "",
    $B393
)</f>
        <v/>
      </c>
      <c r="BR393" s="76" t="str">
        <f aca="false">IF(ISBLANK($C393),
    "",
    $C393
)</f>
        <v/>
      </c>
      <c r="BS393" s="76" t="str">
        <f aca="false">IF(ISBLANK($C393),
    "",
    $D393
)</f>
        <v/>
      </c>
      <c r="BT393" s="77" t="str">
        <f aca="false">BH393</f>
        <v/>
      </c>
      <c r="BU393" s="78" t="str">
        <f aca="false">BG393</f>
        <v/>
      </c>
      <c r="BV393" s="76" t="str">
        <f aca="false">IF(ISBLANK($C393),
    "",
    BJ393
)</f>
        <v/>
      </c>
      <c r="BW393" s="79" t="str">
        <f aca="false">IF(BN393&gt;BM$7,
    "",
    VLOOKUP(BN393,BP$8:BV892,7,FALSE())
)</f>
        <v/>
      </c>
      <c r="BX393" s="80" t="str">
        <f aca="false">IF(BN393&gt;BM$7,
    "",
    VLOOKUP(BN393,BP$8:BV892,2,FALSE())
)</f>
        <v/>
      </c>
      <c r="BY393" s="80" t="str">
        <f aca="false">IF(BN393&gt;BM$7,
    "",
    VLOOKUP(BN393,BP$8:BV892,3,FALSE())
)</f>
        <v/>
      </c>
      <c r="BZ393" s="80" t="str">
        <f aca="false">IF(BN393&gt;BM$7,
    "",
    VLOOKUP(BN393,BP$8:BV892,4,FALSE())
)</f>
        <v/>
      </c>
      <c r="CA393" s="80" t="str">
        <f aca="false">IF(BN393&gt;BM$7,
    "",
    VLOOKUP(BN393,BP$8:BV892,5,FALSE())
)</f>
        <v/>
      </c>
      <c r="CB393" s="81" t="str">
        <f aca="false">IF(BN393&gt;BM$7,
    "",
    VLOOKUP(BN393,BP$8:BV892,6,FALSE())
)</f>
        <v/>
      </c>
      <c r="CC393" s="53"/>
    </row>
    <row r="394" customFormat="false" ht="15.75" hidden="false" customHeight="false" outlineLevel="0" collapsed="false">
      <c r="A394" s="5"/>
      <c r="B394" s="129"/>
      <c r="C394" s="55"/>
      <c r="D394" s="56"/>
      <c r="E394" s="123"/>
      <c r="F394" s="123"/>
      <c r="G394" s="58"/>
      <c r="H394" s="59"/>
      <c r="I394" s="59"/>
      <c r="J394" s="83"/>
      <c r="K394" s="83"/>
      <c r="L394" s="83"/>
      <c r="M394" s="61"/>
      <c r="N394" s="61"/>
      <c r="O394" s="61"/>
      <c r="P394" s="62"/>
      <c r="Q394" s="63"/>
      <c r="R394" s="83"/>
      <c r="S394" s="65"/>
      <c r="T394" s="66"/>
      <c r="U394" s="66" t="str">
        <f aca="false">IF(ISBLANK($C394),"",IF(G394=Constants!$B$2, TRUE(), IF(G394=Constants!$B$3, FALSE(), TRUE())))</f>
        <v/>
      </c>
      <c r="V394" s="66" t="str">
        <f aca="false">IF(ISBLANK($C394),"",IF(H394=Constants!$B$2, TRUE(), IF(H394=Constants!$B$3, FALSE(), TRUE())))</f>
        <v/>
      </c>
      <c r="W394" s="66" t="str">
        <f aca="false">IF(ISBLANK($C394),"",IF(I394=Constants!$B$2, TRUE(), IF(I394=Constants!$B$3, FALSE(), TRUE())))</f>
        <v/>
      </c>
      <c r="X394" s="66" t="str">
        <f aca="false">IF(ISBLANK($C394),"",IF(AND(ISNUMBER(J394),J394&gt;0),INT(J394),0))</f>
        <v/>
      </c>
      <c r="Y394" s="66" t="str">
        <f aca="false">IF(ISBLANK($C394),"",IF(K394=Constants!$B$2, TRUE(), IF(K394=Constants!$B$3, FALSE(), TRUE())))</f>
        <v/>
      </c>
      <c r="Z394" s="66" t="str">
        <f aca="false">IF(ISBLANK($C394),"",IF(AND(ISNUMBER(L394),L394&gt;0),INT(L394),0))</f>
        <v/>
      </c>
      <c r="AA394" s="68" t="str">
        <f aca="false">IF(ISBLANK($C394),"",IF(ISNUMBER(M394), M394, ""))</f>
        <v/>
      </c>
      <c r="AB394" s="68" t="str">
        <f aca="false">IF(ISBLANK($C394),"",IF(ISNUMBER(N394), N394, ""))</f>
        <v/>
      </c>
      <c r="AC394" s="68" t="str">
        <f aca="false">IF(ISBLANK($C394),"",IF(ISNUMBER(O394), O394, ""))</f>
        <v/>
      </c>
      <c r="AD394" s="69" t="str">
        <f aca="false">IF(ISBLANK($C394),"",IF(ISNUMBER(P394), P394, ""))</f>
        <v/>
      </c>
      <c r="AE394" s="69" t="str">
        <f aca="false">IF(ISBLANK($C394),"",IF(ISNUMBER(Q394), Q394, Constants!$B$13))</f>
        <v/>
      </c>
      <c r="AF394" s="66" t="str">
        <f aca="false">IF(ISBLANK($C394),"",IF(R394=Constants!$B$2, TRUE(), IF(R394=Constants!$B$3, FALSE(), FALSE())))</f>
        <v/>
      </c>
      <c r="AG394" s="66" t="str">
        <f aca="false">IF(ISBLANK(C394), "", IF(AF394, Constants!$B$4,IF(COUNTA(G394:P394)=0, Constants!$B$5, Constants!$B$7)))</f>
        <v/>
      </c>
      <c r="AH394" s="66" t="str">
        <f aca="false">IF(ISBLANK($C394), "",IF($AG394=Constants!$B$7,1,$AG394))</f>
        <v/>
      </c>
      <c r="AI394" s="66" t="str">
        <f aca="false">IF($AG394=Constants!$B$7,POWER(Constants!$B$11,X394)*POWER(Constants!$B$12,Z394),"")</f>
        <v/>
      </c>
      <c r="AJ394" s="66" t="str">
        <f aca="false">IF(AND($AG394=Constants!$B$7, U394, V394) ,IF(OR($AA394="",$AC394=""),"",MAX(0, $AC394-$AA394)),"")</f>
        <v/>
      </c>
      <c r="AK394" s="66" t="str">
        <f aca="false">IF(AND($AG394=Constants!$B$7, U394, V394),IF(OR($AA394="",$AC394=""),$AK$6,""),"")</f>
        <v/>
      </c>
      <c r="AL394" s="66" t="str">
        <f aca="false">IF($AG394=Constants!$B$7,IF(AND(U394,V394,W394,Y394),IF($AJ394="",0,IF($AJ$6=0,Constants!$B$9,Constants!$B$9*AJ394/$AJ$6)), 0),"")</f>
        <v/>
      </c>
      <c r="AM394" s="66" t="str">
        <f aca="false">IF(AL394&lt;&gt;"", AL394*AI394,"")</f>
        <v/>
      </c>
      <c r="AN394" s="66" t="str">
        <f aca="false">IF(AND($AG394=Constants!$B$7, U394, V394) ,IF($AB394="", "", IF(OR($AC394="",$AC394=0),"",MAX(0,1-ABS($AC394-$AB394)/$AC394))),"")</f>
        <v/>
      </c>
      <c r="AO394" s="66" t="str">
        <f aca="false">IF(AND($AG394=Constants!$B$7, U394, V394),IF(AND($AA394&lt;&gt;"",$AB394&lt;&gt;"",$AC394=0),$AO$6,""),"")</f>
        <v/>
      </c>
      <c r="AP394" s="66" t="str">
        <f aca="false">IF($AG394=Constants!$B$7 ,IF(AND(U394,V394,W394,Y394,ISNUMBER(AB394)),IF($AN394="",0,IF($AN$6=0,Constants!$B$10,Constants!$B$10*AN394/$AN$6)), 0),"")</f>
        <v/>
      </c>
      <c r="AQ394" s="66" t="str">
        <f aca="false">IF(AP394&lt;&gt;"", AP394*AI394,"")</f>
        <v/>
      </c>
      <c r="AR394" s="66" t="str">
        <f aca="false">IF($AG394=Constants!$B$7,IF($AD394="",0,IF($AR$6=0,Constants!$B$8,Constants!$B$8*AD394/$AR$6)),"")</f>
        <v/>
      </c>
      <c r="AS394" s="66" t="str">
        <f aca="false">IF($AG394&lt;&gt;Constants!$B$7,$AG394,IF(AK394&amp;AO394&lt;&gt;"",Constants!$B$14,AM394+AQ394+AR394))</f>
        <v/>
      </c>
      <c r="AT394" s="66" t="str">
        <f aca="false">IF(ISBLANK($C394),"",IF($AG394=Constants!$B$7,IF(ISNUMBER(AS394),RANK(AS394,$AS$8:$AS$507),Constants!$B$14),$AG394))</f>
        <v/>
      </c>
      <c r="AU394" s="66" t="str">
        <f aca="false">IF(ISBLANK($C394), "",AM394)</f>
        <v/>
      </c>
      <c r="AV394" s="66" t="str">
        <f aca="false">IF(ISBLANK($C394),"",IF($AG394=Constants!$B$7,RANK(AU394,AU$8:AU$507),$AG394))</f>
        <v/>
      </c>
      <c r="AW394" s="66" t="str">
        <f aca="false">IF(ISBLANK($C394), "",AR394)</f>
        <v/>
      </c>
      <c r="AX394" s="66" t="str">
        <f aca="false">IF(ISBLANK($C394),"",IF($AG394=Constants!$B$7,RANK(AW394,AW$8:AW$507),$AG394))</f>
        <v/>
      </c>
      <c r="AY394" s="66" t="str">
        <f aca="false">IF(ISBLANK($C394), "",AE394)</f>
        <v/>
      </c>
      <c r="AZ394" s="66" t="str">
        <f aca="false">IF(ISBLANK($C394),"",
IF($AG394=Constants!$B$7,
  IF(ISNUMBER(AT394),
    COUNTIFS($AT$8:$AT$507,"&lt;"&amp;$AT394)
    + COUNTIFS($AT$8:$AT$507,$AT394,$AV$8:$AV$507,"&lt;"&amp;$AV394)
    + COUNTIFS($AT$8:$AT$507,$AT394,$AV$8:$AV$507,$AV394,$AX$8:$AX$507,"&lt;"&amp;$AX394)
    + COUNTIFS($AT$8:$AT$507,$AT394,$AV$8:$AV$507,$AV394,$AX$8:$AX$507,$AX394,$AY$8:$AY$507,"&lt;"&amp;$AY394)
    + 1,
  Constants!$B$14),
$AG394))</f>
        <v/>
      </c>
      <c r="BA394" s="66" t="str">
        <f aca="false">IF(ISBLANK(C394),"",IF($AG394=Constants!$B$7, IF(ISNUMBER(AT394),AT394-AZ394,Constants!$B$14),$AG394))</f>
        <v/>
      </c>
      <c r="BB394" s="70"/>
      <c r="BC394" s="84" t="str">
        <f aca="false">IF(ISBLANK($C394),"",TRIM(AK394&amp;" "&amp;AO394))</f>
        <v/>
      </c>
      <c r="BD394" s="72" t="str">
        <f aca="false">IF(ISBLANK($C394),"",IF($AG394&lt;&gt;Constants!$B$7,$AG394,AR394))</f>
        <v/>
      </c>
      <c r="BE394" s="72" t="str">
        <f aca="false">IF(ISBLANK($C394),"",IF($AG394&lt;&gt;Constants!$B$7,$AG394,AM394))</f>
        <v/>
      </c>
      <c r="BF394" s="72" t="str">
        <f aca="false">IF(ISBLANK($C394),"",IF($AG394&lt;&gt;Constants!$B$7,$AG394,AQ394))</f>
        <v/>
      </c>
      <c r="BG394" s="73" t="str">
        <f aca="false">IF(ISBLANK($C394),"",IF($AG394&lt;&gt;Constants!$B$7, $AG394 ,AS394))</f>
        <v/>
      </c>
      <c r="BH394" s="74" t="str">
        <f aca="false">IF(ISBLANK($C394),"",IF($AG394&lt;&gt;Constants!$B$7, $AG394 ,AH394))</f>
        <v/>
      </c>
      <c r="BI394" s="72" t="str">
        <f aca="false">IF(ISBLANK(C394),"",BA394)</f>
        <v/>
      </c>
      <c r="BJ394" s="72" t="str">
        <f aca="false">IF(ISBLANK(C394),"",AZ394)</f>
        <v/>
      </c>
      <c r="BK394" s="75" t="str">
        <f aca="false">IF(ISBLANK(C394),"",IFERROR(_xlfn.SWITCH(BJ394, Constants!$B$4, COUNTA($C$8:$C893)+2, Constants!$B$5, COUNTA($C$8:$C893)+1, Constants!$B$6, COUNTA($C$8:$C893)),BJ394))</f>
        <v/>
      </c>
      <c r="BL394" s="5"/>
      <c r="BM394" s="76" t="n">
        <f aca="false">IF(OR(ISNUMBER(BJ394),BJ394="DQ",BJ394="P",BJ394="NS"),
    1,
    0
)</f>
        <v>0</v>
      </c>
      <c r="BN394" s="76" t="n">
        <v>387</v>
      </c>
      <c r="BO394" s="76" t="str">
        <f aca="false">IF(ISBLANK($C394),"",IF(ISNUMBER(BK394),BK394+ROW($B394)/1000,""))</f>
        <v/>
      </c>
      <c r="BP394" s="76" t="str">
        <f aca="false">IF(ISNUMBER(BO394), RANK(BO394,BO$8:BO$507,1), "")</f>
        <v/>
      </c>
      <c r="BQ394" s="76" t="str">
        <f aca="false">IF(ISBLANK($C394),
    "",
    $B394
)</f>
        <v/>
      </c>
      <c r="BR394" s="76" t="str">
        <f aca="false">IF(ISBLANK($C394),
    "",
    $C394
)</f>
        <v/>
      </c>
      <c r="BS394" s="76" t="str">
        <f aca="false">IF(ISBLANK($C394),
    "",
    $D394
)</f>
        <v/>
      </c>
      <c r="BT394" s="77" t="str">
        <f aca="false">BH394</f>
        <v/>
      </c>
      <c r="BU394" s="78" t="str">
        <f aca="false">BG394</f>
        <v/>
      </c>
      <c r="BV394" s="76" t="str">
        <f aca="false">IF(ISBLANK($C394),
    "",
    BJ394
)</f>
        <v/>
      </c>
      <c r="BW394" s="79" t="str">
        <f aca="false">IF(BN394&gt;BM$7,
    "",
    VLOOKUP(BN394,BP$8:BV893,7,FALSE())
)</f>
        <v/>
      </c>
      <c r="BX394" s="80" t="str">
        <f aca="false">IF(BN394&gt;BM$7,
    "",
    VLOOKUP(BN394,BP$8:BV893,2,FALSE())
)</f>
        <v/>
      </c>
      <c r="BY394" s="80" t="str">
        <f aca="false">IF(BN394&gt;BM$7,
    "",
    VLOOKUP(BN394,BP$8:BV893,3,FALSE())
)</f>
        <v/>
      </c>
      <c r="BZ394" s="80" t="str">
        <f aca="false">IF(BN394&gt;BM$7,
    "",
    VLOOKUP(BN394,BP$8:BV893,4,FALSE())
)</f>
        <v/>
      </c>
      <c r="CA394" s="80" t="str">
        <f aca="false">IF(BN394&gt;BM$7,
    "",
    VLOOKUP(BN394,BP$8:BV893,5,FALSE())
)</f>
        <v/>
      </c>
      <c r="CB394" s="81" t="str">
        <f aca="false">IF(BN394&gt;BM$7,
    "",
    VLOOKUP(BN394,BP$8:BV893,6,FALSE())
)</f>
        <v/>
      </c>
      <c r="CC394" s="53"/>
    </row>
    <row r="395" customFormat="false" ht="15.75" hidden="false" customHeight="false" outlineLevel="0" collapsed="false">
      <c r="A395" s="5"/>
      <c r="B395" s="125"/>
      <c r="C395" s="126"/>
      <c r="D395" s="115"/>
      <c r="E395" s="119"/>
      <c r="F395" s="119"/>
      <c r="G395" s="91"/>
      <c r="H395" s="92"/>
      <c r="I395" s="92"/>
      <c r="J395" s="128"/>
      <c r="K395" s="128"/>
      <c r="L395" s="128"/>
      <c r="M395" s="94"/>
      <c r="N395" s="94"/>
      <c r="O395" s="94"/>
      <c r="P395" s="95"/>
      <c r="Q395" s="96"/>
      <c r="R395" s="128"/>
      <c r="S395" s="98"/>
      <c r="T395" s="99"/>
      <c r="U395" s="99" t="str">
        <f aca="false">IF(ISBLANK($C395),"",IF(G395=Constants!$B$2, TRUE(), IF(G395=Constants!$B$3, FALSE(), TRUE())))</f>
        <v/>
      </c>
      <c r="V395" s="99" t="str">
        <f aca="false">IF(ISBLANK($C395),"",IF(H395=Constants!$B$2, TRUE(), IF(H395=Constants!$B$3, FALSE(), TRUE())))</f>
        <v/>
      </c>
      <c r="W395" s="99" t="str">
        <f aca="false">IF(ISBLANK($C395),"",IF(I395=Constants!$B$2, TRUE(), IF(I395=Constants!$B$3, FALSE(), TRUE())))</f>
        <v/>
      </c>
      <c r="X395" s="99" t="str">
        <f aca="false">IF(ISBLANK($C395),"",IF(AND(ISNUMBER(J395),J395&gt;0),INT(J395),0))</f>
        <v/>
      </c>
      <c r="Y395" s="99" t="str">
        <f aca="false">IF(ISBLANK($C395),"",IF(K395=Constants!$B$2, TRUE(), IF(K395=Constants!$B$3, FALSE(), TRUE())))</f>
        <v/>
      </c>
      <c r="Z395" s="100" t="str">
        <f aca="false">IF(ISBLANK($C395),"",IF(AND(ISNUMBER(L395),L395&gt;0),INT(L395),0))</f>
        <v/>
      </c>
      <c r="AA395" s="101" t="str">
        <f aca="false">IF(ISBLANK($C395),"",IF(ISNUMBER(M395), M395, ""))</f>
        <v/>
      </c>
      <c r="AB395" s="101" t="str">
        <f aca="false">IF(ISBLANK($C395),"",IF(ISNUMBER(N395), N395, ""))</f>
        <v/>
      </c>
      <c r="AC395" s="101" t="str">
        <f aca="false">IF(ISBLANK($C395),"",IF(ISNUMBER(O395), O395, ""))</f>
        <v/>
      </c>
      <c r="AD395" s="102" t="str">
        <f aca="false">IF(ISBLANK($C395),"",IF(ISNUMBER(P395), P395, ""))</f>
        <v/>
      </c>
      <c r="AE395" s="102" t="str">
        <f aca="false">IF(ISBLANK($C395),"",IF(ISNUMBER(Q395), Q395, Constants!$B$13))</f>
        <v/>
      </c>
      <c r="AF395" s="99" t="str">
        <f aca="false">IF(ISBLANK($C395),"",IF(R395=Constants!$B$2, TRUE(), IF(R395=Constants!$B$3, FALSE(), FALSE())))</f>
        <v/>
      </c>
      <c r="AG395" s="99" t="str">
        <f aca="false">IF(ISBLANK(C395), "", IF(AF395, Constants!$B$4,IF(COUNTA(G395:P395)=0, Constants!$B$5, Constants!$B$7)))</f>
        <v/>
      </c>
      <c r="AH395" s="99" t="str">
        <f aca="false">IF(ISBLANK($C395), "",IF($AG395=Constants!$B$7,1,$AG395))</f>
        <v/>
      </c>
      <c r="AI395" s="99" t="str">
        <f aca="false">IF($AG395=Constants!$B$7,POWER(Constants!$B$11,X395)*POWER(Constants!$B$12,Z395),"")</f>
        <v/>
      </c>
      <c r="AJ395" s="99" t="str">
        <f aca="false">IF(AND($AG395=Constants!$B$7, U395, V395) ,IF(OR($AA395="",$AC395=""),"",MAX(0, $AC395-$AA395)),"")</f>
        <v/>
      </c>
      <c r="AK395" s="99" t="str">
        <f aca="false">IF(AND($AG395=Constants!$B$7, U395, V395),IF(OR($AA395="",$AC395=""),$AK$6,""),"")</f>
        <v/>
      </c>
      <c r="AL395" s="99" t="str">
        <f aca="false">IF($AG395=Constants!$B$7,IF(AND(U395,V395,W395,Y395),IF($AJ395="",0,IF($AJ$6=0,Constants!$B$9,Constants!$B$9*AJ395/$AJ$6)), 0),"")</f>
        <v/>
      </c>
      <c r="AM395" s="99" t="str">
        <f aca="false">IF(AL395&lt;&gt;"", AL395*AI395,"")</f>
        <v/>
      </c>
      <c r="AN395" s="99" t="str">
        <f aca="false">IF(AND($AG395=Constants!$B$7, U395, V395) ,IF($AB395="", "", IF(OR($AC395="",$AC395=0),"",MAX(0,1-ABS($AC395-$AB395)/$AC395))),"")</f>
        <v/>
      </c>
      <c r="AO395" s="99" t="str">
        <f aca="false">IF(AND($AG395=Constants!$B$7, U395, V395),IF(AND($AA395&lt;&gt;"",$AB395&lt;&gt;"",$AC395=0),$AO$6,""),"")</f>
        <v/>
      </c>
      <c r="AP395" s="99" t="str">
        <f aca="false">IF($AG395=Constants!$B$7 ,IF(AND(U395,V395,W395,Y395,ISNUMBER(AB395)),IF($AN395="",0,IF($AN$6=0,Constants!$B$10,Constants!$B$10*AN395/$AN$6)), 0),"")</f>
        <v/>
      </c>
      <c r="AQ395" s="99" t="str">
        <f aca="false">IF(AP395&lt;&gt;"", AP395*AI395,"")</f>
        <v/>
      </c>
      <c r="AR395" s="99" t="str">
        <f aca="false">IF($AG395=Constants!$B$7,IF($AD395="",0,IF($AR$6=0,Constants!$B$8,Constants!$B$8*AD395/$AR$6)),"")</f>
        <v/>
      </c>
      <c r="AS395" s="99" t="str">
        <f aca="false">IF($AG395&lt;&gt;Constants!$B$7,$AG395,IF(AK395&amp;AO395&lt;&gt;"",Constants!$B$14,AM395+AQ395+AR395))</f>
        <v/>
      </c>
      <c r="AT395" s="99" t="str">
        <f aca="false">IF(ISBLANK($C395),"",IF($AG395=Constants!$B$7,IF(ISNUMBER(AS395),RANK(AS395,$AS$8:$AS$507),Constants!$B$14),$AG395))</f>
        <v/>
      </c>
      <c r="AU395" s="99" t="str">
        <f aca="false">IF(ISBLANK($C395), "",AM395)</f>
        <v/>
      </c>
      <c r="AV395" s="99" t="str">
        <f aca="false">IF(ISBLANK($C395),"",IF($AG395=Constants!$B$7,RANK(AU395,AU$8:AU$507),$AG395))</f>
        <v/>
      </c>
      <c r="AW395" s="99" t="str">
        <f aca="false">IF(ISBLANK($C395), "",AR395)</f>
        <v/>
      </c>
      <c r="AX395" s="99" t="str">
        <f aca="false">IF(ISBLANK($C395),"",IF($AG395=Constants!$B$7,RANK(AW395,AW$8:AW$507),$AG395))</f>
        <v/>
      </c>
      <c r="AY395" s="99" t="str">
        <f aca="false">IF(ISBLANK($C395), "",AE395)</f>
        <v/>
      </c>
      <c r="AZ395" s="99" t="str">
        <f aca="false">IF(ISBLANK($C395),"",
IF($AG395=Constants!$B$7,
  IF(ISNUMBER(AT395),
    COUNTIFS($AT$8:$AT$507,"&lt;"&amp;$AT395)
    + COUNTIFS($AT$8:$AT$507,$AT395,$AV$8:$AV$507,"&lt;"&amp;$AV395)
    + COUNTIFS($AT$8:$AT$507,$AT395,$AV$8:$AV$507,$AV395,$AX$8:$AX$507,"&lt;"&amp;$AX395)
    + COUNTIFS($AT$8:$AT$507,$AT395,$AV$8:$AV$507,$AV395,$AX$8:$AX$507,$AX395,$AY$8:$AY$507,"&lt;"&amp;$AY395)
    + 1,
  Constants!$B$14),
$AG395))</f>
        <v/>
      </c>
      <c r="BA395" s="99" t="str">
        <f aca="false">IF(ISBLANK(C395),"",IF($AG395=Constants!$B$7, IF(ISNUMBER(AT395),AT395-AZ395,Constants!$B$14),$AG395))</f>
        <v/>
      </c>
      <c r="BB395" s="103"/>
      <c r="BC395" s="104" t="str">
        <f aca="false">IF(ISBLANK($C395),"",TRIM(AK395&amp;" "&amp;AO395))</f>
        <v/>
      </c>
      <c r="BD395" s="105" t="str">
        <f aca="false">IF(ISBLANK($C395),"",IF($AG395&lt;&gt;Constants!$B$7,$AG395,AR395))</f>
        <v/>
      </c>
      <c r="BE395" s="105" t="str">
        <f aca="false">IF(ISBLANK($C395),"",IF($AG395&lt;&gt;Constants!$B$7,$AG395,AM395))</f>
        <v/>
      </c>
      <c r="BF395" s="105" t="str">
        <f aca="false">IF(ISBLANK($C395),"",IF($AG395&lt;&gt;Constants!$B$7,$AG395,AQ395))</f>
        <v/>
      </c>
      <c r="BG395" s="106" t="str">
        <f aca="false">IF(ISBLANK($C395),"",IF($AG395&lt;&gt;Constants!$B$7, $AG395 ,AS395))</f>
        <v/>
      </c>
      <c r="BH395" s="107" t="str">
        <f aca="false">IF(ISBLANK($C395),"",IF($AG395&lt;&gt;Constants!$B$7, $AG395 ,AH395))</f>
        <v/>
      </c>
      <c r="BI395" s="105" t="str">
        <f aca="false">IF(ISBLANK(C395),"",BA395)</f>
        <v/>
      </c>
      <c r="BJ395" s="105" t="str">
        <f aca="false">IF(ISBLANK(C395),"",AZ395)</f>
        <v/>
      </c>
      <c r="BK395" s="108" t="str">
        <f aca="false">IF(ISBLANK(C395),"",IFERROR(_xlfn.SWITCH(BJ395, Constants!$B$4, COUNTA($C$8:$C894)+2, Constants!$B$5, COUNTA($C$8:$C894)+1, Constants!$B$6, COUNTA($C$8:$C894)),BJ395))</f>
        <v/>
      </c>
      <c r="BL395" s="5"/>
      <c r="BM395" s="109" t="n">
        <f aca="false">IF(OR(ISNUMBER(BJ395),BJ395="DQ",BJ395="P",BJ395="NS"),
    1,
    0
)</f>
        <v>0</v>
      </c>
      <c r="BN395" s="109" t="n">
        <v>388</v>
      </c>
      <c r="BO395" s="109" t="str">
        <f aca="false">IF(ISBLANK($C395),"",IF(ISNUMBER(BK395),BK395+ROW($B395)/1000,""))</f>
        <v/>
      </c>
      <c r="BP395" s="109" t="str">
        <f aca="false">IF(ISNUMBER(BO395), RANK(BO395,BO$8:BO$507,1), "")</f>
        <v/>
      </c>
      <c r="BQ395" s="109" t="str">
        <f aca="false">IF(ISBLANK($C395),
    "",
    $B395
)</f>
        <v/>
      </c>
      <c r="BR395" s="109" t="str">
        <f aca="false">IF(ISBLANK($C395),
    "",
    $C395
)</f>
        <v/>
      </c>
      <c r="BS395" s="109" t="str">
        <f aca="false">IF(ISBLANK($C395),
    "",
    $D395
)</f>
        <v/>
      </c>
      <c r="BT395" s="110" t="str">
        <f aca="false">BH395</f>
        <v/>
      </c>
      <c r="BU395" s="111" t="str">
        <f aca="false">BG395</f>
        <v/>
      </c>
      <c r="BV395" s="109" t="str">
        <f aca="false">IF(ISBLANK($C395),
    "",
    BJ395
)</f>
        <v/>
      </c>
      <c r="BW395" s="112" t="str">
        <f aca="false">IF(BN395&gt;BM$7,
    "",
    VLOOKUP(BN395,BP$8:BV894,7,FALSE())
)</f>
        <v/>
      </c>
      <c r="BX395" s="113" t="str">
        <f aca="false">IF(BN395&gt;BM$7,
    "",
    VLOOKUP(BN395,BP$8:BV894,2,FALSE())
)</f>
        <v/>
      </c>
      <c r="BY395" s="113" t="str">
        <f aca="false">IF(BN395&gt;BM$7,
    "",
    VLOOKUP(BN395,BP$8:BV894,3,FALSE())
)</f>
        <v/>
      </c>
      <c r="BZ395" s="113" t="str">
        <f aca="false">IF(BN395&gt;BM$7,
    "",
    VLOOKUP(BN395,BP$8:BV894,4,FALSE())
)</f>
        <v/>
      </c>
      <c r="CA395" s="113" t="str">
        <f aca="false">IF(BN395&gt;BM$7,
    "",
    VLOOKUP(BN395,BP$8:BV894,5,FALSE())
)</f>
        <v/>
      </c>
      <c r="CB395" s="114" t="str">
        <f aca="false">IF(BN395&gt;BM$7,
    "",
    VLOOKUP(BN395,BP$8:BV894,6,FALSE())
)</f>
        <v/>
      </c>
      <c r="CC395" s="53"/>
    </row>
    <row r="396" customFormat="false" ht="15.75" hidden="false" customHeight="false" outlineLevel="0" collapsed="false">
      <c r="A396" s="5"/>
      <c r="B396" s="125"/>
      <c r="C396" s="126"/>
      <c r="D396" s="115"/>
      <c r="E396" s="119"/>
      <c r="F396" s="119"/>
      <c r="G396" s="91"/>
      <c r="H396" s="92"/>
      <c r="I396" s="92"/>
      <c r="J396" s="128"/>
      <c r="K396" s="128"/>
      <c r="L396" s="128"/>
      <c r="M396" s="94"/>
      <c r="N396" s="94"/>
      <c r="O396" s="94"/>
      <c r="P396" s="95"/>
      <c r="Q396" s="96"/>
      <c r="R396" s="128"/>
      <c r="S396" s="98"/>
      <c r="T396" s="99"/>
      <c r="U396" s="99" t="str">
        <f aca="false">IF(ISBLANK($C396),"",IF(G396=Constants!$B$2, TRUE(), IF(G396=Constants!$B$3, FALSE(), TRUE())))</f>
        <v/>
      </c>
      <c r="V396" s="99" t="str">
        <f aca="false">IF(ISBLANK($C396),"",IF(H396=Constants!$B$2, TRUE(), IF(H396=Constants!$B$3, FALSE(), TRUE())))</f>
        <v/>
      </c>
      <c r="W396" s="99" t="str">
        <f aca="false">IF(ISBLANK($C396),"",IF(I396=Constants!$B$2, TRUE(), IF(I396=Constants!$B$3, FALSE(), TRUE())))</f>
        <v/>
      </c>
      <c r="X396" s="99" t="str">
        <f aca="false">IF(ISBLANK($C396),"",IF(AND(ISNUMBER(J396),J396&gt;0),INT(J396),0))</f>
        <v/>
      </c>
      <c r="Y396" s="99" t="str">
        <f aca="false">IF(ISBLANK($C396),"",IF(K396=Constants!$B$2, TRUE(), IF(K396=Constants!$B$3, FALSE(), TRUE())))</f>
        <v/>
      </c>
      <c r="Z396" s="100" t="str">
        <f aca="false">IF(ISBLANK($C396),"",IF(AND(ISNUMBER(L396),L396&gt;0),INT(L396),0))</f>
        <v/>
      </c>
      <c r="AA396" s="101" t="str">
        <f aca="false">IF(ISBLANK($C396),"",IF(ISNUMBER(M396), M396, ""))</f>
        <v/>
      </c>
      <c r="AB396" s="101" t="str">
        <f aca="false">IF(ISBLANK($C396),"",IF(ISNUMBER(N396), N396, ""))</f>
        <v/>
      </c>
      <c r="AC396" s="101" t="str">
        <f aca="false">IF(ISBLANK($C396),"",IF(ISNUMBER(O396), O396, ""))</f>
        <v/>
      </c>
      <c r="AD396" s="102" t="str">
        <f aca="false">IF(ISBLANK($C396),"",IF(ISNUMBER(P396), P396, ""))</f>
        <v/>
      </c>
      <c r="AE396" s="102" t="str">
        <f aca="false">IF(ISBLANK($C396),"",IF(ISNUMBER(Q396), Q396, Constants!$B$13))</f>
        <v/>
      </c>
      <c r="AF396" s="99" t="str">
        <f aca="false">IF(ISBLANK($C396),"",IF(R396=Constants!$B$2, TRUE(), IF(R396=Constants!$B$3, FALSE(), FALSE())))</f>
        <v/>
      </c>
      <c r="AG396" s="99" t="str">
        <f aca="false">IF(ISBLANK(C396), "", IF(AF396, Constants!$B$4,IF(COUNTA(G396:P396)=0, Constants!$B$5, Constants!$B$7)))</f>
        <v/>
      </c>
      <c r="AH396" s="99" t="str">
        <f aca="false">IF(ISBLANK($C396), "",IF($AG396=Constants!$B$7,1,$AG396))</f>
        <v/>
      </c>
      <c r="AI396" s="99" t="str">
        <f aca="false">IF($AG396=Constants!$B$7,POWER(Constants!$B$11,X396)*POWER(Constants!$B$12,Z396),"")</f>
        <v/>
      </c>
      <c r="AJ396" s="99" t="str">
        <f aca="false">IF(AND($AG396=Constants!$B$7, U396, V396) ,IF(OR($AA396="",$AC396=""),"",MAX(0, $AC396-$AA396)),"")</f>
        <v/>
      </c>
      <c r="AK396" s="99" t="str">
        <f aca="false">IF(AND($AG396=Constants!$B$7, U396, V396),IF(OR($AA396="",$AC396=""),$AK$6,""),"")</f>
        <v/>
      </c>
      <c r="AL396" s="99" t="str">
        <f aca="false">IF($AG396=Constants!$B$7,IF(AND(U396,V396,W396,Y396),IF($AJ396="",0,IF($AJ$6=0,Constants!$B$9,Constants!$B$9*AJ396/$AJ$6)), 0),"")</f>
        <v/>
      </c>
      <c r="AM396" s="99" t="str">
        <f aca="false">IF(AL396&lt;&gt;"", AL396*AI396,"")</f>
        <v/>
      </c>
      <c r="AN396" s="99" t="str">
        <f aca="false">IF(AND($AG396=Constants!$B$7, U396, V396) ,IF($AB396="", "", IF(OR($AC396="",$AC396=0),"",MAX(0,1-ABS($AC396-$AB396)/$AC396))),"")</f>
        <v/>
      </c>
      <c r="AO396" s="99" t="str">
        <f aca="false">IF(AND($AG396=Constants!$B$7, U396, V396),IF(AND($AA396&lt;&gt;"",$AB396&lt;&gt;"",$AC396=0),$AO$6,""),"")</f>
        <v/>
      </c>
      <c r="AP396" s="99" t="str">
        <f aca="false">IF($AG396=Constants!$B$7 ,IF(AND(U396,V396,W396,Y396,ISNUMBER(AB396)),IF($AN396="",0,IF($AN$6=0,Constants!$B$10,Constants!$B$10*AN396/$AN$6)), 0),"")</f>
        <v/>
      </c>
      <c r="AQ396" s="99" t="str">
        <f aca="false">IF(AP396&lt;&gt;"", AP396*AI396,"")</f>
        <v/>
      </c>
      <c r="AR396" s="99" t="str">
        <f aca="false">IF($AG396=Constants!$B$7,IF($AD396="",0,IF($AR$6=0,Constants!$B$8,Constants!$B$8*AD396/$AR$6)),"")</f>
        <v/>
      </c>
      <c r="AS396" s="99" t="str">
        <f aca="false">IF($AG396&lt;&gt;Constants!$B$7,$AG396,IF(AK396&amp;AO396&lt;&gt;"",Constants!$B$14,AM396+AQ396+AR396))</f>
        <v/>
      </c>
      <c r="AT396" s="99" t="str">
        <f aca="false">IF(ISBLANK($C396),"",IF($AG396=Constants!$B$7,IF(ISNUMBER(AS396),RANK(AS396,$AS$8:$AS$507),Constants!$B$14),$AG396))</f>
        <v/>
      </c>
      <c r="AU396" s="99" t="str">
        <f aca="false">IF(ISBLANK($C396), "",AM396)</f>
        <v/>
      </c>
      <c r="AV396" s="99" t="str">
        <f aca="false">IF(ISBLANK($C396),"",IF($AG396=Constants!$B$7,RANK(AU396,AU$8:AU$507),$AG396))</f>
        <v/>
      </c>
      <c r="AW396" s="99" t="str">
        <f aca="false">IF(ISBLANK($C396), "",AR396)</f>
        <v/>
      </c>
      <c r="AX396" s="99" t="str">
        <f aca="false">IF(ISBLANK($C396),"",IF($AG396=Constants!$B$7,RANK(AW396,AW$8:AW$507),$AG396))</f>
        <v/>
      </c>
      <c r="AY396" s="99" t="str">
        <f aca="false">IF(ISBLANK($C396), "",AE396)</f>
        <v/>
      </c>
      <c r="AZ396" s="99" t="str">
        <f aca="false">IF(ISBLANK($C396),"",
IF($AG396=Constants!$B$7,
  IF(ISNUMBER(AT396),
    COUNTIFS($AT$8:$AT$507,"&lt;"&amp;$AT396)
    + COUNTIFS($AT$8:$AT$507,$AT396,$AV$8:$AV$507,"&lt;"&amp;$AV396)
    + COUNTIFS($AT$8:$AT$507,$AT396,$AV$8:$AV$507,$AV396,$AX$8:$AX$507,"&lt;"&amp;$AX396)
    + COUNTIFS($AT$8:$AT$507,$AT396,$AV$8:$AV$507,$AV396,$AX$8:$AX$507,$AX396,$AY$8:$AY$507,"&lt;"&amp;$AY396)
    + 1,
  Constants!$B$14),
$AG396))</f>
        <v/>
      </c>
      <c r="BA396" s="99" t="str">
        <f aca="false">IF(ISBLANK(C396),"",IF($AG396=Constants!$B$7, IF(ISNUMBER(AT396),AT396-AZ396,Constants!$B$14),$AG396))</f>
        <v/>
      </c>
      <c r="BB396" s="103"/>
      <c r="BC396" s="104" t="str">
        <f aca="false">IF(ISBLANK($C396),"",TRIM(AK396&amp;" "&amp;AO396))</f>
        <v/>
      </c>
      <c r="BD396" s="105" t="str">
        <f aca="false">IF(ISBLANK($C396),"",IF($AG396&lt;&gt;Constants!$B$7,$AG396,AR396))</f>
        <v/>
      </c>
      <c r="BE396" s="105" t="str">
        <f aca="false">IF(ISBLANK($C396),"",IF($AG396&lt;&gt;Constants!$B$7,$AG396,AM396))</f>
        <v/>
      </c>
      <c r="BF396" s="105" t="str">
        <f aca="false">IF(ISBLANK($C396),"",IF($AG396&lt;&gt;Constants!$B$7,$AG396,AQ396))</f>
        <v/>
      </c>
      <c r="BG396" s="106" t="str">
        <f aca="false">IF(ISBLANK($C396),"",IF($AG396&lt;&gt;Constants!$B$7, $AG396 ,AS396))</f>
        <v/>
      </c>
      <c r="BH396" s="107" t="str">
        <f aca="false">IF(ISBLANK($C396),"",IF($AG396&lt;&gt;Constants!$B$7, $AG396 ,AH396))</f>
        <v/>
      </c>
      <c r="BI396" s="105" t="str">
        <f aca="false">IF(ISBLANK(C396),"",BA396)</f>
        <v/>
      </c>
      <c r="BJ396" s="105" t="str">
        <f aca="false">IF(ISBLANK(C396),"",AZ396)</f>
        <v/>
      </c>
      <c r="BK396" s="108" t="str">
        <f aca="false">IF(ISBLANK(C396),"",IFERROR(_xlfn.SWITCH(BJ396, Constants!$B$4, COUNTA($C$8:$C895)+2, Constants!$B$5, COUNTA($C$8:$C895)+1, Constants!$B$6, COUNTA($C$8:$C895)),BJ396))</f>
        <v/>
      </c>
      <c r="BL396" s="5"/>
      <c r="BM396" s="109" t="n">
        <f aca="false">IF(OR(ISNUMBER(BJ396),BJ396="DQ",BJ396="P",BJ396="NS"),
    1,
    0
)</f>
        <v>0</v>
      </c>
      <c r="BN396" s="109" t="n">
        <v>389</v>
      </c>
      <c r="BO396" s="109" t="str">
        <f aca="false">IF(ISBLANK($C396),"",IF(ISNUMBER(BK396),BK396+ROW($B396)/1000,""))</f>
        <v/>
      </c>
      <c r="BP396" s="109" t="str">
        <f aca="false">IF(ISNUMBER(BO396), RANK(BO396,BO$8:BO$507,1), "")</f>
        <v/>
      </c>
      <c r="BQ396" s="109" t="str">
        <f aca="false">IF(ISBLANK($C396),
    "",
    $B396
)</f>
        <v/>
      </c>
      <c r="BR396" s="109" t="str">
        <f aca="false">IF(ISBLANK($C396),
    "",
    $C396
)</f>
        <v/>
      </c>
      <c r="BS396" s="109" t="str">
        <f aca="false">IF(ISBLANK($C396),
    "",
    $D396
)</f>
        <v/>
      </c>
      <c r="BT396" s="110" t="str">
        <f aca="false">BH396</f>
        <v/>
      </c>
      <c r="BU396" s="111" t="str">
        <f aca="false">BG396</f>
        <v/>
      </c>
      <c r="BV396" s="109" t="str">
        <f aca="false">IF(ISBLANK($C396),
    "",
    BJ396
)</f>
        <v/>
      </c>
      <c r="BW396" s="112" t="str">
        <f aca="false">IF(BN396&gt;BM$7,
    "",
    VLOOKUP(BN396,BP$8:BV895,7,FALSE())
)</f>
        <v/>
      </c>
      <c r="BX396" s="113" t="str">
        <f aca="false">IF(BN396&gt;BM$7,
    "",
    VLOOKUP(BN396,BP$8:BV895,2,FALSE())
)</f>
        <v/>
      </c>
      <c r="BY396" s="113" t="str">
        <f aca="false">IF(BN396&gt;BM$7,
    "",
    VLOOKUP(BN396,BP$8:BV895,3,FALSE())
)</f>
        <v/>
      </c>
      <c r="BZ396" s="113" t="str">
        <f aca="false">IF(BN396&gt;BM$7,
    "",
    VLOOKUP(BN396,BP$8:BV895,4,FALSE())
)</f>
        <v/>
      </c>
      <c r="CA396" s="113" t="str">
        <f aca="false">IF(BN396&gt;BM$7,
    "",
    VLOOKUP(BN396,BP$8:BV895,5,FALSE())
)</f>
        <v/>
      </c>
      <c r="CB396" s="114" t="str">
        <f aca="false">IF(BN396&gt;BM$7,
    "",
    VLOOKUP(BN396,BP$8:BV895,6,FALSE())
)</f>
        <v/>
      </c>
      <c r="CC396" s="53"/>
    </row>
    <row r="397" customFormat="false" ht="15.75" hidden="false" customHeight="false" outlineLevel="0" collapsed="false">
      <c r="A397" s="5"/>
      <c r="B397" s="125"/>
      <c r="C397" s="126"/>
      <c r="D397" s="115"/>
      <c r="E397" s="119"/>
      <c r="F397" s="119"/>
      <c r="G397" s="91"/>
      <c r="H397" s="92"/>
      <c r="I397" s="92"/>
      <c r="J397" s="128"/>
      <c r="K397" s="128"/>
      <c r="L397" s="128"/>
      <c r="M397" s="94"/>
      <c r="N397" s="94"/>
      <c r="O397" s="94"/>
      <c r="P397" s="95"/>
      <c r="Q397" s="96"/>
      <c r="R397" s="128"/>
      <c r="S397" s="98"/>
      <c r="T397" s="99"/>
      <c r="U397" s="99" t="str">
        <f aca="false">IF(ISBLANK($C397),"",IF(G397=Constants!$B$2, TRUE(), IF(G397=Constants!$B$3, FALSE(), TRUE())))</f>
        <v/>
      </c>
      <c r="V397" s="99" t="str">
        <f aca="false">IF(ISBLANK($C397),"",IF(H397=Constants!$B$2, TRUE(), IF(H397=Constants!$B$3, FALSE(), TRUE())))</f>
        <v/>
      </c>
      <c r="W397" s="99" t="str">
        <f aca="false">IF(ISBLANK($C397),"",IF(I397=Constants!$B$2, TRUE(), IF(I397=Constants!$B$3, FALSE(), TRUE())))</f>
        <v/>
      </c>
      <c r="X397" s="99" t="str">
        <f aca="false">IF(ISBLANK($C397),"",IF(AND(ISNUMBER(J397),J397&gt;0),INT(J397),0))</f>
        <v/>
      </c>
      <c r="Y397" s="99" t="str">
        <f aca="false">IF(ISBLANK($C397),"",IF(K397=Constants!$B$2, TRUE(), IF(K397=Constants!$B$3, FALSE(), TRUE())))</f>
        <v/>
      </c>
      <c r="Z397" s="100" t="str">
        <f aca="false">IF(ISBLANK($C397),"",IF(AND(ISNUMBER(L397),L397&gt;0),INT(L397),0))</f>
        <v/>
      </c>
      <c r="AA397" s="101" t="str">
        <f aca="false">IF(ISBLANK($C397),"",IF(ISNUMBER(M397), M397, ""))</f>
        <v/>
      </c>
      <c r="AB397" s="101" t="str">
        <f aca="false">IF(ISBLANK($C397),"",IF(ISNUMBER(N397), N397, ""))</f>
        <v/>
      </c>
      <c r="AC397" s="101" t="str">
        <f aca="false">IF(ISBLANK($C397),"",IF(ISNUMBER(O397), O397, ""))</f>
        <v/>
      </c>
      <c r="AD397" s="102" t="str">
        <f aca="false">IF(ISBLANK($C397),"",IF(ISNUMBER(P397), P397, ""))</f>
        <v/>
      </c>
      <c r="AE397" s="102" t="str">
        <f aca="false">IF(ISBLANK($C397),"",IF(ISNUMBER(Q397), Q397, Constants!$B$13))</f>
        <v/>
      </c>
      <c r="AF397" s="99" t="str">
        <f aca="false">IF(ISBLANK($C397),"",IF(R397=Constants!$B$2, TRUE(), IF(R397=Constants!$B$3, FALSE(), FALSE())))</f>
        <v/>
      </c>
      <c r="AG397" s="99" t="str">
        <f aca="false">IF(ISBLANK(C397), "", IF(AF397, Constants!$B$4,IF(COUNTA(G397:P397)=0, Constants!$B$5, Constants!$B$7)))</f>
        <v/>
      </c>
      <c r="AH397" s="99" t="str">
        <f aca="false">IF(ISBLANK($C397), "",IF($AG397=Constants!$B$7,1,$AG397))</f>
        <v/>
      </c>
      <c r="AI397" s="99" t="str">
        <f aca="false">IF($AG397=Constants!$B$7,POWER(Constants!$B$11,X397)*POWER(Constants!$B$12,Z397),"")</f>
        <v/>
      </c>
      <c r="AJ397" s="99" t="str">
        <f aca="false">IF(AND($AG397=Constants!$B$7, U397, V397) ,IF(OR($AA397="",$AC397=""),"",MAX(0, $AC397-$AA397)),"")</f>
        <v/>
      </c>
      <c r="AK397" s="99" t="str">
        <f aca="false">IF(AND($AG397=Constants!$B$7, U397, V397),IF(OR($AA397="",$AC397=""),$AK$6,""),"")</f>
        <v/>
      </c>
      <c r="AL397" s="99" t="str">
        <f aca="false">IF($AG397=Constants!$B$7,IF(AND(U397,V397,W397,Y397),IF($AJ397="",0,IF($AJ$6=0,Constants!$B$9,Constants!$B$9*AJ397/$AJ$6)), 0),"")</f>
        <v/>
      </c>
      <c r="AM397" s="99" t="str">
        <f aca="false">IF(AL397&lt;&gt;"", AL397*AI397,"")</f>
        <v/>
      </c>
      <c r="AN397" s="99" t="str">
        <f aca="false">IF(AND($AG397=Constants!$B$7, U397, V397) ,IF($AB397="", "", IF(OR($AC397="",$AC397=0),"",MAX(0,1-ABS($AC397-$AB397)/$AC397))),"")</f>
        <v/>
      </c>
      <c r="AO397" s="99" t="str">
        <f aca="false">IF(AND($AG397=Constants!$B$7, U397, V397),IF(AND($AA397&lt;&gt;"",$AB397&lt;&gt;"",$AC397=0),$AO$6,""),"")</f>
        <v/>
      </c>
      <c r="AP397" s="99" t="str">
        <f aca="false">IF($AG397=Constants!$B$7 ,IF(AND(U397,V397,W397,Y397,ISNUMBER(AB397)),IF($AN397="",0,IF($AN$6=0,Constants!$B$10,Constants!$B$10*AN397/$AN$6)), 0),"")</f>
        <v/>
      </c>
      <c r="AQ397" s="99" t="str">
        <f aca="false">IF(AP397&lt;&gt;"", AP397*AI397,"")</f>
        <v/>
      </c>
      <c r="AR397" s="99" t="str">
        <f aca="false">IF($AG397=Constants!$B$7,IF($AD397="",0,IF($AR$6=0,Constants!$B$8,Constants!$B$8*AD397/$AR$6)),"")</f>
        <v/>
      </c>
      <c r="AS397" s="99" t="str">
        <f aca="false">IF($AG397&lt;&gt;Constants!$B$7,$AG397,IF(AK397&amp;AO397&lt;&gt;"",Constants!$B$14,AM397+AQ397+AR397))</f>
        <v/>
      </c>
      <c r="AT397" s="99" t="str">
        <f aca="false">IF(ISBLANK($C397),"",IF($AG397=Constants!$B$7,IF(ISNUMBER(AS397),RANK(AS397,$AS$8:$AS$507),Constants!$B$14),$AG397))</f>
        <v/>
      </c>
      <c r="AU397" s="99" t="str">
        <f aca="false">IF(ISBLANK($C397), "",AM397)</f>
        <v/>
      </c>
      <c r="AV397" s="99" t="str">
        <f aca="false">IF(ISBLANK($C397),"",IF($AG397=Constants!$B$7,RANK(AU397,AU$8:AU$507),$AG397))</f>
        <v/>
      </c>
      <c r="AW397" s="99" t="str">
        <f aca="false">IF(ISBLANK($C397), "",AR397)</f>
        <v/>
      </c>
      <c r="AX397" s="99" t="str">
        <f aca="false">IF(ISBLANK($C397),"",IF($AG397=Constants!$B$7,RANK(AW397,AW$8:AW$507),$AG397))</f>
        <v/>
      </c>
      <c r="AY397" s="99" t="str">
        <f aca="false">IF(ISBLANK($C397), "",AE397)</f>
        <v/>
      </c>
      <c r="AZ397" s="99" t="str">
        <f aca="false">IF(ISBLANK($C397),"",
IF($AG397=Constants!$B$7,
  IF(ISNUMBER(AT397),
    COUNTIFS($AT$8:$AT$507,"&lt;"&amp;$AT397)
    + COUNTIFS($AT$8:$AT$507,$AT397,$AV$8:$AV$507,"&lt;"&amp;$AV397)
    + COUNTIFS($AT$8:$AT$507,$AT397,$AV$8:$AV$507,$AV397,$AX$8:$AX$507,"&lt;"&amp;$AX397)
    + COUNTIFS($AT$8:$AT$507,$AT397,$AV$8:$AV$507,$AV397,$AX$8:$AX$507,$AX397,$AY$8:$AY$507,"&lt;"&amp;$AY397)
    + 1,
  Constants!$B$14),
$AG397))</f>
        <v/>
      </c>
      <c r="BA397" s="99" t="str">
        <f aca="false">IF(ISBLANK(C397),"",IF($AG397=Constants!$B$7, IF(ISNUMBER(AT397),AT397-AZ397,Constants!$B$14),$AG397))</f>
        <v/>
      </c>
      <c r="BB397" s="103"/>
      <c r="BC397" s="104" t="str">
        <f aca="false">IF(ISBLANK($C397),"",TRIM(AK397&amp;" "&amp;AO397))</f>
        <v/>
      </c>
      <c r="BD397" s="105" t="str">
        <f aca="false">IF(ISBLANK($C397),"",IF($AG397&lt;&gt;Constants!$B$7,$AG397,AR397))</f>
        <v/>
      </c>
      <c r="BE397" s="105" t="str">
        <f aca="false">IF(ISBLANK($C397),"",IF($AG397&lt;&gt;Constants!$B$7,$AG397,AM397))</f>
        <v/>
      </c>
      <c r="BF397" s="105" t="str">
        <f aca="false">IF(ISBLANK($C397),"",IF($AG397&lt;&gt;Constants!$B$7,$AG397,AQ397))</f>
        <v/>
      </c>
      <c r="BG397" s="106" t="str">
        <f aca="false">IF(ISBLANK($C397),"",IF($AG397&lt;&gt;Constants!$B$7, $AG397 ,AS397))</f>
        <v/>
      </c>
      <c r="BH397" s="107" t="str">
        <f aca="false">IF(ISBLANK($C397),"",IF($AG397&lt;&gt;Constants!$B$7, $AG397 ,AH397))</f>
        <v/>
      </c>
      <c r="BI397" s="105" t="str">
        <f aca="false">IF(ISBLANK(C397),"",BA397)</f>
        <v/>
      </c>
      <c r="BJ397" s="105" t="str">
        <f aca="false">IF(ISBLANK(C397),"",AZ397)</f>
        <v/>
      </c>
      <c r="BK397" s="108" t="str">
        <f aca="false">IF(ISBLANK(C397),"",IFERROR(_xlfn.SWITCH(BJ397, Constants!$B$4, COUNTA($C$8:$C896)+2, Constants!$B$5, COUNTA($C$8:$C896)+1, Constants!$B$6, COUNTA($C$8:$C896)),BJ397))</f>
        <v/>
      </c>
      <c r="BL397" s="5"/>
      <c r="BM397" s="109" t="n">
        <f aca="false">IF(OR(ISNUMBER(BJ397),BJ397="DQ",BJ397="P",BJ397="NS"),
    1,
    0
)</f>
        <v>0</v>
      </c>
      <c r="BN397" s="109" t="n">
        <v>390</v>
      </c>
      <c r="BO397" s="109" t="str">
        <f aca="false">IF(ISBLANK($C397),"",IF(ISNUMBER(BK397),BK397+ROW($B397)/1000,""))</f>
        <v/>
      </c>
      <c r="BP397" s="109" t="str">
        <f aca="false">IF(ISNUMBER(BO397), RANK(BO397,BO$8:BO$507,1), "")</f>
        <v/>
      </c>
      <c r="BQ397" s="109" t="str">
        <f aca="false">IF(ISBLANK($C397),
    "",
    $B397
)</f>
        <v/>
      </c>
      <c r="BR397" s="109" t="str">
        <f aca="false">IF(ISBLANK($C397),
    "",
    $C397
)</f>
        <v/>
      </c>
      <c r="BS397" s="109" t="str">
        <f aca="false">IF(ISBLANK($C397),
    "",
    $D397
)</f>
        <v/>
      </c>
      <c r="BT397" s="110" t="str">
        <f aca="false">BH397</f>
        <v/>
      </c>
      <c r="BU397" s="111" t="str">
        <f aca="false">BG397</f>
        <v/>
      </c>
      <c r="BV397" s="109" t="str">
        <f aca="false">IF(ISBLANK($C397),
    "",
    BJ397
)</f>
        <v/>
      </c>
      <c r="BW397" s="112" t="str">
        <f aca="false">IF(BN397&gt;BM$7,
    "",
    VLOOKUP(BN397,BP$8:BV896,7,FALSE())
)</f>
        <v/>
      </c>
      <c r="BX397" s="113" t="str">
        <f aca="false">IF(BN397&gt;BM$7,
    "",
    VLOOKUP(BN397,BP$8:BV896,2,FALSE())
)</f>
        <v/>
      </c>
      <c r="BY397" s="113" t="str">
        <f aca="false">IF(BN397&gt;BM$7,
    "",
    VLOOKUP(BN397,BP$8:BV896,3,FALSE())
)</f>
        <v/>
      </c>
      <c r="BZ397" s="113" t="str">
        <f aca="false">IF(BN397&gt;BM$7,
    "",
    VLOOKUP(BN397,BP$8:BV896,4,FALSE())
)</f>
        <v/>
      </c>
      <c r="CA397" s="113" t="str">
        <f aca="false">IF(BN397&gt;BM$7,
    "",
    VLOOKUP(BN397,BP$8:BV896,5,FALSE())
)</f>
        <v/>
      </c>
      <c r="CB397" s="114" t="str">
        <f aca="false">IF(BN397&gt;BM$7,
    "",
    VLOOKUP(BN397,BP$8:BV896,6,FALSE())
)</f>
        <v/>
      </c>
      <c r="CC397" s="53"/>
    </row>
    <row r="398" customFormat="false" ht="15.75" hidden="false" customHeight="false" outlineLevel="0" collapsed="false">
      <c r="A398" s="5"/>
      <c r="B398" s="129"/>
      <c r="C398" s="55"/>
      <c r="D398" s="56"/>
      <c r="E398" s="123"/>
      <c r="F398" s="123"/>
      <c r="G398" s="58"/>
      <c r="H398" s="59"/>
      <c r="I398" s="59"/>
      <c r="J398" s="83"/>
      <c r="K398" s="83"/>
      <c r="L398" s="83"/>
      <c r="M398" s="61"/>
      <c r="N398" s="61"/>
      <c r="O398" s="61"/>
      <c r="P398" s="62"/>
      <c r="Q398" s="63"/>
      <c r="R398" s="83"/>
      <c r="S398" s="65"/>
      <c r="T398" s="66"/>
      <c r="U398" s="66" t="str">
        <f aca="false">IF(ISBLANK($C398),"",IF(G398=Constants!$B$2, TRUE(), IF(G398=Constants!$B$3, FALSE(), TRUE())))</f>
        <v/>
      </c>
      <c r="V398" s="66" t="str">
        <f aca="false">IF(ISBLANK($C398),"",IF(H398=Constants!$B$2, TRUE(), IF(H398=Constants!$B$3, FALSE(), TRUE())))</f>
        <v/>
      </c>
      <c r="W398" s="66" t="str">
        <f aca="false">IF(ISBLANK($C398),"",IF(I398=Constants!$B$2, TRUE(), IF(I398=Constants!$B$3, FALSE(), TRUE())))</f>
        <v/>
      </c>
      <c r="X398" s="66" t="str">
        <f aca="false">IF(ISBLANK($C398),"",IF(AND(ISNUMBER(J398),J398&gt;0),INT(J398),0))</f>
        <v/>
      </c>
      <c r="Y398" s="66" t="str">
        <f aca="false">IF(ISBLANK($C398),"",IF(K398=Constants!$B$2, TRUE(), IF(K398=Constants!$B$3, FALSE(), TRUE())))</f>
        <v/>
      </c>
      <c r="Z398" s="66" t="str">
        <f aca="false">IF(ISBLANK($C398),"",IF(AND(ISNUMBER(L398),L398&gt;0),INT(L398),0))</f>
        <v/>
      </c>
      <c r="AA398" s="68" t="str">
        <f aca="false">IF(ISBLANK($C398),"",IF(ISNUMBER(M398), M398, ""))</f>
        <v/>
      </c>
      <c r="AB398" s="68" t="str">
        <f aca="false">IF(ISBLANK($C398),"",IF(ISNUMBER(N398), N398, ""))</f>
        <v/>
      </c>
      <c r="AC398" s="68" t="str">
        <f aca="false">IF(ISBLANK($C398),"",IF(ISNUMBER(O398), O398, ""))</f>
        <v/>
      </c>
      <c r="AD398" s="69" t="str">
        <f aca="false">IF(ISBLANK($C398),"",IF(ISNUMBER(P398), P398, ""))</f>
        <v/>
      </c>
      <c r="AE398" s="69" t="str">
        <f aca="false">IF(ISBLANK($C398),"",IF(ISNUMBER(Q398), Q398, Constants!$B$13))</f>
        <v/>
      </c>
      <c r="AF398" s="66" t="str">
        <f aca="false">IF(ISBLANK($C398),"",IF(R398=Constants!$B$2, TRUE(), IF(R398=Constants!$B$3, FALSE(), FALSE())))</f>
        <v/>
      </c>
      <c r="AG398" s="66" t="str">
        <f aca="false">IF(ISBLANK(C398), "", IF(AF398, Constants!$B$4,IF(COUNTA(G398:P398)=0, Constants!$B$5, Constants!$B$7)))</f>
        <v/>
      </c>
      <c r="AH398" s="66" t="str">
        <f aca="false">IF(ISBLANK($C398), "",IF($AG398=Constants!$B$7,1,$AG398))</f>
        <v/>
      </c>
      <c r="AI398" s="66" t="str">
        <f aca="false">IF($AG398=Constants!$B$7,POWER(Constants!$B$11,X398)*POWER(Constants!$B$12,Z398),"")</f>
        <v/>
      </c>
      <c r="AJ398" s="66" t="str">
        <f aca="false">IF(AND($AG398=Constants!$B$7, U398, V398) ,IF(OR($AA398="",$AC398=""),"",MAX(0, $AC398-$AA398)),"")</f>
        <v/>
      </c>
      <c r="AK398" s="66" t="str">
        <f aca="false">IF(AND($AG398=Constants!$B$7, U398, V398),IF(OR($AA398="",$AC398=""),$AK$6,""),"")</f>
        <v/>
      </c>
      <c r="AL398" s="66" t="str">
        <f aca="false">IF($AG398=Constants!$B$7,IF(AND(U398,V398,W398,Y398),IF($AJ398="",0,IF($AJ$6=0,Constants!$B$9,Constants!$B$9*AJ398/$AJ$6)), 0),"")</f>
        <v/>
      </c>
      <c r="AM398" s="66" t="str">
        <f aca="false">IF(AL398&lt;&gt;"", AL398*AI398,"")</f>
        <v/>
      </c>
      <c r="AN398" s="66" t="str">
        <f aca="false">IF(AND($AG398=Constants!$B$7, U398, V398) ,IF($AB398="", "", IF(OR($AC398="",$AC398=0),"",MAX(0,1-ABS($AC398-$AB398)/$AC398))),"")</f>
        <v/>
      </c>
      <c r="AO398" s="66" t="str">
        <f aca="false">IF(AND($AG398=Constants!$B$7, U398, V398),IF(AND($AA398&lt;&gt;"",$AB398&lt;&gt;"",$AC398=0),$AO$6,""),"")</f>
        <v/>
      </c>
      <c r="AP398" s="66" t="str">
        <f aca="false">IF($AG398=Constants!$B$7 ,IF(AND(U398,V398,W398,Y398,ISNUMBER(AB398)),IF($AN398="",0,IF($AN$6=0,Constants!$B$10,Constants!$B$10*AN398/$AN$6)), 0),"")</f>
        <v/>
      </c>
      <c r="AQ398" s="66" t="str">
        <f aca="false">IF(AP398&lt;&gt;"", AP398*AI398,"")</f>
        <v/>
      </c>
      <c r="AR398" s="66" t="str">
        <f aca="false">IF($AG398=Constants!$B$7,IF($AD398="",0,IF($AR$6=0,Constants!$B$8,Constants!$B$8*AD398/$AR$6)),"")</f>
        <v/>
      </c>
      <c r="AS398" s="66" t="str">
        <f aca="false">IF($AG398&lt;&gt;Constants!$B$7,$AG398,IF(AK398&amp;AO398&lt;&gt;"",Constants!$B$14,AM398+AQ398+AR398))</f>
        <v/>
      </c>
      <c r="AT398" s="66" t="str">
        <f aca="false">IF(ISBLANK($C398),"",IF($AG398=Constants!$B$7,IF(ISNUMBER(AS398),RANK(AS398,$AS$8:$AS$507),Constants!$B$14),$AG398))</f>
        <v/>
      </c>
      <c r="AU398" s="66" t="str">
        <f aca="false">IF(ISBLANK($C398), "",AM398)</f>
        <v/>
      </c>
      <c r="AV398" s="66" t="str">
        <f aca="false">IF(ISBLANK($C398),"",IF($AG398=Constants!$B$7,RANK(AU398,AU$8:AU$507),$AG398))</f>
        <v/>
      </c>
      <c r="AW398" s="66" t="str">
        <f aca="false">IF(ISBLANK($C398), "",AR398)</f>
        <v/>
      </c>
      <c r="AX398" s="66" t="str">
        <f aca="false">IF(ISBLANK($C398),"",IF($AG398=Constants!$B$7,RANK(AW398,AW$8:AW$507),$AG398))</f>
        <v/>
      </c>
      <c r="AY398" s="66" t="str">
        <f aca="false">IF(ISBLANK($C398), "",AE398)</f>
        <v/>
      </c>
      <c r="AZ398" s="66" t="str">
        <f aca="false">IF(ISBLANK($C398),"",
IF($AG398=Constants!$B$7,
  IF(ISNUMBER(AT398),
    COUNTIFS($AT$8:$AT$507,"&lt;"&amp;$AT398)
    + COUNTIFS($AT$8:$AT$507,$AT398,$AV$8:$AV$507,"&lt;"&amp;$AV398)
    + COUNTIFS($AT$8:$AT$507,$AT398,$AV$8:$AV$507,$AV398,$AX$8:$AX$507,"&lt;"&amp;$AX398)
    + COUNTIFS($AT$8:$AT$507,$AT398,$AV$8:$AV$507,$AV398,$AX$8:$AX$507,$AX398,$AY$8:$AY$507,"&lt;"&amp;$AY398)
    + 1,
  Constants!$B$14),
$AG398))</f>
        <v/>
      </c>
      <c r="BA398" s="66" t="str">
        <f aca="false">IF(ISBLANK(C398),"",IF($AG398=Constants!$B$7, IF(ISNUMBER(AT398),AT398-AZ398,Constants!$B$14),$AG398))</f>
        <v/>
      </c>
      <c r="BB398" s="70"/>
      <c r="BC398" s="84" t="str">
        <f aca="false">IF(ISBLANK($C398),"",TRIM(AK398&amp;" "&amp;AO398))</f>
        <v/>
      </c>
      <c r="BD398" s="72" t="str">
        <f aca="false">IF(ISBLANK($C398),"",IF($AG398&lt;&gt;Constants!$B$7,$AG398,AR398))</f>
        <v/>
      </c>
      <c r="BE398" s="72" t="str">
        <f aca="false">IF(ISBLANK($C398),"",IF($AG398&lt;&gt;Constants!$B$7,$AG398,AM398))</f>
        <v/>
      </c>
      <c r="BF398" s="72" t="str">
        <f aca="false">IF(ISBLANK($C398),"",IF($AG398&lt;&gt;Constants!$B$7,$AG398,AQ398))</f>
        <v/>
      </c>
      <c r="BG398" s="73" t="str">
        <f aca="false">IF(ISBLANK($C398),"",IF($AG398&lt;&gt;Constants!$B$7, $AG398 ,AS398))</f>
        <v/>
      </c>
      <c r="BH398" s="74" t="str">
        <f aca="false">IF(ISBLANK($C398),"",IF($AG398&lt;&gt;Constants!$B$7, $AG398 ,AH398))</f>
        <v/>
      </c>
      <c r="BI398" s="72" t="str">
        <f aca="false">IF(ISBLANK(C398),"",BA398)</f>
        <v/>
      </c>
      <c r="BJ398" s="72" t="str">
        <f aca="false">IF(ISBLANK(C398),"",AZ398)</f>
        <v/>
      </c>
      <c r="BK398" s="75" t="str">
        <f aca="false">IF(ISBLANK(C398),"",IFERROR(_xlfn.SWITCH(BJ398, Constants!$B$4, COUNTA($C$8:$C897)+2, Constants!$B$5, COUNTA($C$8:$C897)+1, Constants!$B$6, COUNTA($C$8:$C897)),BJ398))</f>
        <v/>
      </c>
      <c r="BL398" s="5"/>
      <c r="BM398" s="76" t="n">
        <f aca="false">IF(OR(ISNUMBER(BJ398),BJ398="DQ",BJ398="P",BJ398="NS"),
    1,
    0
)</f>
        <v>0</v>
      </c>
      <c r="BN398" s="76" t="n">
        <v>391</v>
      </c>
      <c r="BO398" s="76" t="str">
        <f aca="false">IF(ISBLANK($C398),"",IF(ISNUMBER(BK398),BK398+ROW($B398)/1000,""))</f>
        <v/>
      </c>
      <c r="BP398" s="76" t="str">
        <f aca="false">IF(ISNUMBER(BO398), RANK(BO398,BO$8:BO$507,1), "")</f>
        <v/>
      </c>
      <c r="BQ398" s="76" t="str">
        <f aca="false">IF(ISBLANK($C398),
    "",
    $B398
)</f>
        <v/>
      </c>
      <c r="BR398" s="76" t="str">
        <f aca="false">IF(ISBLANK($C398),
    "",
    $C398
)</f>
        <v/>
      </c>
      <c r="BS398" s="76" t="str">
        <f aca="false">IF(ISBLANK($C398),
    "",
    $D398
)</f>
        <v/>
      </c>
      <c r="BT398" s="77" t="str">
        <f aca="false">BH398</f>
        <v/>
      </c>
      <c r="BU398" s="78" t="str">
        <f aca="false">BG398</f>
        <v/>
      </c>
      <c r="BV398" s="76" t="str">
        <f aca="false">IF(ISBLANK($C398),
    "",
    BJ398
)</f>
        <v/>
      </c>
      <c r="BW398" s="79" t="str">
        <f aca="false">IF(BN398&gt;BM$7,
    "",
    VLOOKUP(BN398,BP$8:BV897,7,FALSE())
)</f>
        <v/>
      </c>
      <c r="BX398" s="80" t="str">
        <f aca="false">IF(BN398&gt;BM$7,
    "",
    VLOOKUP(BN398,BP$8:BV897,2,FALSE())
)</f>
        <v/>
      </c>
      <c r="BY398" s="80" t="str">
        <f aca="false">IF(BN398&gt;BM$7,
    "",
    VLOOKUP(BN398,BP$8:BV897,3,FALSE())
)</f>
        <v/>
      </c>
      <c r="BZ398" s="80" t="str">
        <f aca="false">IF(BN398&gt;BM$7,
    "",
    VLOOKUP(BN398,BP$8:BV897,4,FALSE())
)</f>
        <v/>
      </c>
      <c r="CA398" s="80" t="str">
        <f aca="false">IF(BN398&gt;BM$7,
    "",
    VLOOKUP(BN398,BP$8:BV897,5,FALSE())
)</f>
        <v/>
      </c>
      <c r="CB398" s="81" t="str">
        <f aca="false">IF(BN398&gt;BM$7,
    "",
    VLOOKUP(BN398,BP$8:BV897,6,FALSE())
)</f>
        <v/>
      </c>
      <c r="CC398" s="53"/>
    </row>
    <row r="399" customFormat="false" ht="15.75" hidden="false" customHeight="false" outlineLevel="0" collapsed="false">
      <c r="A399" s="5"/>
      <c r="B399" s="129"/>
      <c r="C399" s="55"/>
      <c r="D399" s="56"/>
      <c r="E399" s="123"/>
      <c r="F399" s="123"/>
      <c r="G399" s="58"/>
      <c r="H399" s="59"/>
      <c r="I399" s="59"/>
      <c r="J399" s="83"/>
      <c r="K399" s="83"/>
      <c r="L399" s="83"/>
      <c r="M399" s="61"/>
      <c r="N399" s="61"/>
      <c r="O399" s="61"/>
      <c r="P399" s="62"/>
      <c r="Q399" s="63"/>
      <c r="R399" s="83"/>
      <c r="S399" s="65"/>
      <c r="T399" s="66"/>
      <c r="U399" s="66" t="str">
        <f aca="false">IF(ISBLANK($C399),"",IF(G399=Constants!$B$2, TRUE(), IF(G399=Constants!$B$3, FALSE(), TRUE())))</f>
        <v/>
      </c>
      <c r="V399" s="66" t="str">
        <f aca="false">IF(ISBLANK($C399),"",IF(H399=Constants!$B$2, TRUE(), IF(H399=Constants!$B$3, FALSE(), TRUE())))</f>
        <v/>
      </c>
      <c r="W399" s="66" t="str">
        <f aca="false">IF(ISBLANK($C399),"",IF(I399=Constants!$B$2, TRUE(), IF(I399=Constants!$B$3, FALSE(), TRUE())))</f>
        <v/>
      </c>
      <c r="X399" s="66" t="str">
        <f aca="false">IF(ISBLANK($C399),"",IF(AND(ISNUMBER(J399),J399&gt;0),INT(J399),0))</f>
        <v/>
      </c>
      <c r="Y399" s="66" t="str">
        <f aca="false">IF(ISBLANK($C399),"",IF(K399=Constants!$B$2, TRUE(), IF(K399=Constants!$B$3, FALSE(), TRUE())))</f>
        <v/>
      </c>
      <c r="Z399" s="66" t="str">
        <f aca="false">IF(ISBLANK($C399),"",IF(AND(ISNUMBER(L399),L399&gt;0),INT(L399),0))</f>
        <v/>
      </c>
      <c r="AA399" s="68" t="str">
        <f aca="false">IF(ISBLANK($C399),"",IF(ISNUMBER(M399), M399, ""))</f>
        <v/>
      </c>
      <c r="AB399" s="68" t="str">
        <f aca="false">IF(ISBLANK($C399),"",IF(ISNUMBER(N399), N399, ""))</f>
        <v/>
      </c>
      <c r="AC399" s="68" t="str">
        <f aca="false">IF(ISBLANK($C399),"",IF(ISNUMBER(O399), O399, ""))</f>
        <v/>
      </c>
      <c r="AD399" s="69" t="str">
        <f aca="false">IF(ISBLANK($C399),"",IF(ISNUMBER(P399), P399, ""))</f>
        <v/>
      </c>
      <c r="AE399" s="69" t="str">
        <f aca="false">IF(ISBLANK($C399),"",IF(ISNUMBER(Q399), Q399, Constants!$B$13))</f>
        <v/>
      </c>
      <c r="AF399" s="66" t="str">
        <f aca="false">IF(ISBLANK($C399),"",IF(R399=Constants!$B$2, TRUE(), IF(R399=Constants!$B$3, FALSE(), FALSE())))</f>
        <v/>
      </c>
      <c r="AG399" s="66" t="str">
        <f aca="false">IF(ISBLANK(C399), "", IF(AF399, Constants!$B$4,IF(COUNTA(G399:P399)=0, Constants!$B$5, Constants!$B$7)))</f>
        <v/>
      </c>
      <c r="AH399" s="66" t="str">
        <f aca="false">IF(ISBLANK($C399), "",IF($AG399=Constants!$B$7,1,$AG399))</f>
        <v/>
      </c>
      <c r="AI399" s="66" t="str">
        <f aca="false">IF($AG399=Constants!$B$7,POWER(Constants!$B$11,X399)*POWER(Constants!$B$12,Z399),"")</f>
        <v/>
      </c>
      <c r="AJ399" s="66" t="str">
        <f aca="false">IF(AND($AG399=Constants!$B$7, U399, V399) ,IF(OR($AA399="",$AC399=""),"",MAX(0, $AC399-$AA399)),"")</f>
        <v/>
      </c>
      <c r="AK399" s="66" t="str">
        <f aca="false">IF(AND($AG399=Constants!$B$7, U399, V399),IF(OR($AA399="",$AC399=""),$AK$6,""),"")</f>
        <v/>
      </c>
      <c r="AL399" s="66" t="str">
        <f aca="false">IF($AG399=Constants!$B$7,IF(AND(U399,V399,W399,Y399),IF($AJ399="",0,IF($AJ$6=0,Constants!$B$9,Constants!$B$9*AJ399/$AJ$6)), 0),"")</f>
        <v/>
      </c>
      <c r="AM399" s="66" t="str">
        <f aca="false">IF(AL399&lt;&gt;"", AL399*AI399,"")</f>
        <v/>
      </c>
      <c r="AN399" s="66" t="str">
        <f aca="false">IF(AND($AG399=Constants!$B$7, U399, V399) ,IF($AB399="", "", IF(OR($AC399="",$AC399=0),"",MAX(0,1-ABS($AC399-$AB399)/$AC399))),"")</f>
        <v/>
      </c>
      <c r="AO399" s="66" t="str">
        <f aca="false">IF(AND($AG399=Constants!$B$7, U399, V399),IF(AND($AA399&lt;&gt;"",$AB399&lt;&gt;"",$AC399=0),$AO$6,""),"")</f>
        <v/>
      </c>
      <c r="AP399" s="66" t="str">
        <f aca="false">IF($AG399=Constants!$B$7 ,IF(AND(U399,V399,W399,Y399,ISNUMBER(AB399)),IF($AN399="",0,IF($AN$6=0,Constants!$B$10,Constants!$B$10*AN399/$AN$6)), 0),"")</f>
        <v/>
      </c>
      <c r="AQ399" s="66" t="str">
        <f aca="false">IF(AP399&lt;&gt;"", AP399*AI399,"")</f>
        <v/>
      </c>
      <c r="AR399" s="66" t="str">
        <f aca="false">IF($AG399=Constants!$B$7,IF($AD399="",0,IF($AR$6=0,Constants!$B$8,Constants!$B$8*AD399/$AR$6)),"")</f>
        <v/>
      </c>
      <c r="AS399" s="66" t="str">
        <f aca="false">IF($AG399&lt;&gt;Constants!$B$7,$AG399,IF(AK399&amp;AO399&lt;&gt;"",Constants!$B$14,AM399+AQ399+AR399))</f>
        <v/>
      </c>
      <c r="AT399" s="66" t="str">
        <f aca="false">IF(ISBLANK($C399),"",IF($AG399=Constants!$B$7,IF(ISNUMBER(AS399),RANK(AS399,$AS$8:$AS$507),Constants!$B$14),$AG399))</f>
        <v/>
      </c>
      <c r="AU399" s="66" t="str">
        <f aca="false">IF(ISBLANK($C399), "",AM399)</f>
        <v/>
      </c>
      <c r="AV399" s="66" t="str">
        <f aca="false">IF(ISBLANK($C399),"",IF($AG399=Constants!$B$7,RANK(AU399,AU$8:AU$507),$AG399))</f>
        <v/>
      </c>
      <c r="AW399" s="66" t="str">
        <f aca="false">IF(ISBLANK($C399), "",AR399)</f>
        <v/>
      </c>
      <c r="AX399" s="66" t="str">
        <f aca="false">IF(ISBLANK($C399),"",IF($AG399=Constants!$B$7,RANK(AW399,AW$8:AW$507),$AG399))</f>
        <v/>
      </c>
      <c r="AY399" s="66" t="str">
        <f aca="false">IF(ISBLANK($C399), "",AE399)</f>
        <v/>
      </c>
      <c r="AZ399" s="66" t="str">
        <f aca="false">IF(ISBLANK($C399),"",
IF($AG399=Constants!$B$7,
  IF(ISNUMBER(AT399),
    COUNTIFS($AT$8:$AT$507,"&lt;"&amp;$AT399)
    + COUNTIFS($AT$8:$AT$507,$AT399,$AV$8:$AV$507,"&lt;"&amp;$AV399)
    + COUNTIFS($AT$8:$AT$507,$AT399,$AV$8:$AV$507,$AV399,$AX$8:$AX$507,"&lt;"&amp;$AX399)
    + COUNTIFS($AT$8:$AT$507,$AT399,$AV$8:$AV$507,$AV399,$AX$8:$AX$507,$AX399,$AY$8:$AY$507,"&lt;"&amp;$AY399)
    + 1,
  Constants!$B$14),
$AG399))</f>
        <v/>
      </c>
      <c r="BA399" s="66" t="str">
        <f aca="false">IF(ISBLANK(C399),"",IF($AG399=Constants!$B$7, IF(ISNUMBER(AT399),AT399-AZ399,Constants!$B$14),$AG399))</f>
        <v/>
      </c>
      <c r="BB399" s="70"/>
      <c r="BC399" s="84" t="str">
        <f aca="false">IF(ISBLANK($C399),"",TRIM(AK399&amp;" "&amp;AO399))</f>
        <v/>
      </c>
      <c r="BD399" s="72" t="str">
        <f aca="false">IF(ISBLANK($C399),"",IF($AG399&lt;&gt;Constants!$B$7,$AG399,AR399))</f>
        <v/>
      </c>
      <c r="BE399" s="72" t="str">
        <f aca="false">IF(ISBLANK($C399),"",IF($AG399&lt;&gt;Constants!$B$7,$AG399,AM399))</f>
        <v/>
      </c>
      <c r="BF399" s="72" t="str">
        <f aca="false">IF(ISBLANK($C399),"",IF($AG399&lt;&gt;Constants!$B$7,$AG399,AQ399))</f>
        <v/>
      </c>
      <c r="BG399" s="73" t="str">
        <f aca="false">IF(ISBLANK($C399),"",IF($AG399&lt;&gt;Constants!$B$7, $AG399 ,AS399))</f>
        <v/>
      </c>
      <c r="BH399" s="74" t="str">
        <f aca="false">IF(ISBLANK($C399),"",IF($AG399&lt;&gt;Constants!$B$7, $AG399 ,AH399))</f>
        <v/>
      </c>
      <c r="BI399" s="72" t="str">
        <f aca="false">IF(ISBLANK(C399),"",BA399)</f>
        <v/>
      </c>
      <c r="BJ399" s="72" t="str">
        <f aca="false">IF(ISBLANK(C399),"",AZ399)</f>
        <v/>
      </c>
      <c r="BK399" s="75" t="str">
        <f aca="false">IF(ISBLANK(C399),"",IFERROR(_xlfn.SWITCH(BJ399, Constants!$B$4, COUNTA($C$8:$C898)+2, Constants!$B$5, COUNTA($C$8:$C898)+1, Constants!$B$6, COUNTA($C$8:$C898)),BJ399))</f>
        <v/>
      </c>
      <c r="BL399" s="5"/>
      <c r="BM399" s="76" t="n">
        <f aca="false">IF(OR(ISNUMBER(BJ399),BJ399="DQ",BJ399="P",BJ399="NS"),
    1,
    0
)</f>
        <v>0</v>
      </c>
      <c r="BN399" s="76" t="n">
        <v>392</v>
      </c>
      <c r="BO399" s="76" t="str">
        <f aca="false">IF(ISBLANK($C399),"",IF(ISNUMBER(BK399),BK399+ROW($B399)/1000,""))</f>
        <v/>
      </c>
      <c r="BP399" s="76" t="str">
        <f aca="false">IF(ISNUMBER(BO399), RANK(BO399,BO$8:BO$507,1), "")</f>
        <v/>
      </c>
      <c r="BQ399" s="76" t="str">
        <f aca="false">IF(ISBLANK($C399),
    "",
    $B399
)</f>
        <v/>
      </c>
      <c r="BR399" s="76" t="str">
        <f aca="false">IF(ISBLANK($C399),
    "",
    $C399
)</f>
        <v/>
      </c>
      <c r="BS399" s="76" t="str">
        <f aca="false">IF(ISBLANK($C399),
    "",
    $D399
)</f>
        <v/>
      </c>
      <c r="BT399" s="77" t="str">
        <f aca="false">BH399</f>
        <v/>
      </c>
      <c r="BU399" s="78" t="str">
        <f aca="false">BG399</f>
        <v/>
      </c>
      <c r="BV399" s="76" t="str">
        <f aca="false">IF(ISBLANK($C399),
    "",
    BJ399
)</f>
        <v/>
      </c>
      <c r="BW399" s="79" t="str">
        <f aca="false">IF(BN399&gt;BM$7,
    "",
    VLOOKUP(BN399,BP$8:BV898,7,FALSE())
)</f>
        <v/>
      </c>
      <c r="BX399" s="80" t="str">
        <f aca="false">IF(BN399&gt;BM$7,
    "",
    VLOOKUP(BN399,BP$8:BV898,2,FALSE())
)</f>
        <v/>
      </c>
      <c r="BY399" s="80" t="str">
        <f aca="false">IF(BN399&gt;BM$7,
    "",
    VLOOKUP(BN399,BP$8:BV898,3,FALSE())
)</f>
        <v/>
      </c>
      <c r="BZ399" s="80" t="str">
        <f aca="false">IF(BN399&gt;BM$7,
    "",
    VLOOKUP(BN399,BP$8:BV898,4,FALSE())
)</f>
        <v/>
      </c>
      <c r="CA399" s="80" t="str">
        <f aca="false">IF(BN399&gt;BM$7,
    "",
    VLOOKUP(BN399,BP$8:BV898,5,FALSE())
)</f>
        <v/>
      </c>
      <c r="CB399" s="81" t="str">
        <f aca="false">IF(BN399&gt;BM$7,
    "",
    VLOOKUP(BN399,BP$8:BV898,6,FALSE())
)</f>
        <v/>
      </c>
      <c r="CC399" s="53"/>
    </row>
    <row r="400" customFormat="false" ht="15.75" hidden="false" customHeight="false" outlineLevel="0" collapsed="false">
      <c r="A400" s="5"/>
      <c r="B400" s="129"/>
      <c r="C400" s="55"/>
      <c r="D400" s="56"/>
      <c r="E400" s="123"/>
      <c r="F400" s="123"/>
      <c r="G400" s="58"/>
      <c r="H400" s="59"/>
      <c r="I400" s="59"/>
      <c r="J400" s="83"/>
      <c r="K400" s="83"/>
      <c r="L400" s="83"/>
      <c r="M400" s="61"/>
      <c r="N400" s="61"/>
      <c r="O400" s="61"/>
      <c r="P400" s="62"/>
      <c r="Q400" s="63"/>
      <c r="R400" s="83"/>
      <c r="S400" s="65"/>
      <c r="T400" s="66"/>
      <c r="U400" s="66" t="str">
        <f aca="false">IF(ISBLANK($C400),"",IF(G400=Constants!$B$2, TRUE(), IF(G400=Constants!$B$3, FALSE(), TRUE())))</f>
        <v/>
      </c>
      <c r="V400" s="66" t="str">
        <f aca="false">IF(ISBLANK($C400),"",IF(H400=Constants!$B$2, TRUE(), IF(H400=Constants!$B$3, FALSE(), TRUE())))</f>
        <v/>
      </c>
      <c r="W400" s="66" t="str">
        <f aca="false">IF(ISBLANK($C400),"",IF(I400=Constants!$B$2, TRUE(), IF(I400=Constants!$B$3, FALSE(), TRUE())))</f>
        <v/>
      </c>
      <c r="X400" s="66" t="str">
        <f aca="false">IF(ISBLANK($C400),"",IF(AND(ISNUMBER(J400),J400&gt;0),INT(J400),0))</f>
        <v/>
      </c>
      <c r="Y400" s="66" t="str">
        <f aca="false">IF(ISBLANK($C400),"",IF(K400=Constants!$B$2, TRUE(), IF(K400=Constants!$B$3, FALSE(), TRUE())))</f>
        <v/>
      </c>
      <c r="Z400" s="66" t="str">
        <f aca="false">IF(ISBLANK($C400),"",IF(AND(ISNUMBER(L400),L400&gt;0),INT(L400),0))</f>
        <v/>
      </c>
      <c r="AA400" s="68" t="str">
        <f aca="false">IF(ISBLANK($C400),"",IF(ISNUMBER(M400), M400, ""))</f>
        <v/>
      </c>
      <c r="AB400" s="68" t="str">
        <f aca="false">IF(ISBLANK($C400),"",IF(ISNUMBER(N400), N400, ""))</f>
        <v/>
      </c>
      <c r="AC400" s="68" t="str">
        <f aca="false">IF(ISBLANK($C400),"",IF(ISNUMBER(O400), O400, ""))</f>
        <v/>
      </c>
      <c r="AD400" s="69" t="str">
        <f aca="false">IF(ISBLANK($C400),"",IF(ISNUMBER(P400), P400, ""))</f>
        <v/>
      </c>
      <c r="AE400" s="69" t="str">
        <f aca="false">IF(ISBLANK($C400),"",IF(ISNUMBER(Q400), Q400, Constants!$B$13))</f>
        <v/>
      </c>
      <c r="AF400" s="66" t="str">
        <f aca="false">IF(ISBLANK($C400),"",IF(R400=Constants!$B$2, TRUE(), IF(R400=Constants!$B$3, FALSE(), FALSE())))</f>
        <v/>
      </c>
      <c r="AG400" s="66" t="str">
        <f aca="false">IF(ISBLANK(C400), "", IF(AF400, Constants!$B$4,IF(COUNTA(G400:P400)=0, Constants!$B$5, Constants!$B$7)))</f>
        <v/>
      </c>
      <c r="AH400" s="66" t="str">
        <f aca="false">IF(ISBLANK($C400), "",IF($AG400=Constants!$B$7,1,$AG400))</f>
        <v/>
      </c>
      <c r="AI400" s="66" t="str">
        <f aca="false">IF($AG400=Constants!$B$7,POWER(Constants!$B$11,X400)*POWER(Constants!$B$12,Z400),"")</f>
        <v/>
      </c>
      <c r="AJ400" s="66" t="str">
        <f aca="false">IF(AND($AG400=Constants!$B$7, U400, V400) ,IF(OR($AA400="",$AC400=""),"",MAX(0, $AC400-$AA400)),"")</f>
        <v/>
      </c>
      <c r="AK400" s="66" t="str">
        <f aca="false">IF(AND($AG400=Constants!$B$7, U400, V400),IF(OR($AA400="",$AC400=""),$AK$6,""),"")</f>
        <v/>
      </c>
      <c r="AL400" s="66" t="str">
        <f aca="false">IF($AG400=Constants!$B$7,IF(AND(U400,V400,W400,Y400),IF($AJ400="",0,IF($AJ$6=0,Constants!$B$9,Constants!$B$9*AJ400/$AJ$6)), 0),"")</f>
        <v/>
      </c>
      <c r="AM400" s="66" t="str">
        <f aca="false">IF(AL400&lt;&gt;"", AL400*AI400,"")</f>
        <v/>
      </c>
      <c r="AN400" s="66" t="str">
        <f aca="false">IF(AND($AG400=Constants!$B$7, U400, V400) ,IF($AB400="", "", IF(OR($AC400="",$AC400=0),"",MAX(0,1-ABS($AC400-$AB400)/$AC400))),"")</f>
        <v/>
      </c>
      <c r="AO400" s="66" t="str">
        <f aca="false">IF(AND($AG400=Constants!$B$7, U400, V400),IF(AND($AA400&lt;&gt;"",$AB400&lt;&gt;"",$AC400=0),$AO$6,""),"")</f>
        <v/>
      </c>
      <c r="AP400" s="66" t="str">
        <f aca="false">IF($AG400=Constants!$B$7 ,IF(AND(U400,V400,W400,Y400,ISNUMBER(AB400)),IF($AN400="",0,IF($AN$6=0,Constants!$B$10,Constants!$B$10*AN400/$AN$6)), 0),"")</f>
        <v/>
      </c>
      <c r="AQ400" s="66" t="str">
        <f aca="false">IF(AP400&lt;&gt;"", AP400*AI400,"")</f>
        <v/>
      </c>
      <c r="AR400" s="66" t="str">
        <f aca="false">IF($AG400=Constants!$B$7,IF($AD400="",0,IF($AR$6=0,Constants!$B$8,Constants!$B$8*AD400/$AR$6)),"")</f>
        <v/>
      </c>
      <c r="AS400" s="66" t="str">
        <f aca="false">IF($AG400&lt;&gt;Constants!$B$7,$AG400,IF(AK400&amp;AO400&lt;&gt;"",Constants!$B$14,AM400+AQ400+AR400))</f>
        <v/>
      </c>
      <c r="AT400" s="66" t="str">
        <f aca="false">IF(ISBLANK($C400),"",IF($AG400=Constants!$B$7,IF(ISNUMBER(AS400),RANK(AS400,$AS$8:$AS$507),Constants!$B$14),$AG400))</f>
        <v/>
      </c>
      <c r="AU400" s="66" t="str">
        <f aca="false">IF(ISBLANK($C400), "",AM400)</f>
        <v/>
      </c>
      <c r="AV400" s="66" t="str">
        <f aca="false">IF(ISBLANK($C400),"",IF($AG400=Constants!$B$7,RANK(AU400,AU$8:AU$507),$AG400))</f>
        <v/>
      </c>
      <c r="AW400" s="66" t="str">
        <f aca="false">IF(ISBLANK($C400), "",AR400)</f>
        <v/>
      </c>
      <c r="AX400" s="66" t="str">
        <f aca="false">IF(ISBLANK($C400),"",IF($AG400=Constants!$B$7,RANK(AW400,AW$8:AW$507),$AG400))</f>
        <v/>
      </c>
      <c r="AY400" s="66" t="str">
        <f aca="false">IF(ISBLANK($C400), "",AE400)</f>
        <v/>
      </c>
      <c r="AZ400" s="66" t="str">
        <f aca="false">IF(ISBLANK($C400),"",
IF($AG400=Constants!$B$7,
  IF(ISNUMBER(AT400),
    COUNTIFS($AT$8:$AT$507,"&lt;"&amp;$AT400)
    + COUNTIFS($AT$8:$AT$507,$AT400,$AV$8:$AV$507,"&lt;"&amp;$AV400)
    + COUNTIFS($AT$8:$AT$507,$AT400,$AV$8:$AV$507,$AV400,$AX$8:$AX$507,"&lt;"&amp;$AX400)
    + COUNTIFS($AT$8:$AT$507,$AT400,$AV$8:$AV$507,$AV400,$AX$8:$AX$507,$AX400,$AY$8:$AY$507,"&lt;"&amp;$AY400)
    + 1,
  Constants!$B$14),
$AG400))</f>
        <v/>
      </c>
      <c r="BA400" s="66" t="str">
        <f aca="false">IF(ISBLANK(C400),"",IF($AG400=Constants!$B$7, IF(ISNUMBER(AT400),AT400-AZ400,Constants!$B$14),$AG400))</f>
        <v/>
      </c>
      <c r="BB400" s="70"/>
      <c r="BC400" s="84" t="str">
        <f aca="false">IF(ISBLANK($C400),"",TRIM(AK400&amp;" "&amp;AO400))</f>
        <v/>
      </c>
      <c r="BD400" s="72" t="str">
        <f aca="false">IF(ISBLANK($C400),"",IF($AG400&lt;&gt;Constants!$B$7,$AG400,AR400))</f>
        <v/>
      </c>
      <c r="BE400" s="72" t="str">
        <f aca="false">IF(ISBLANK($C400),"",IF($AG400&lt;&gt;Constants!$B$7,$AG400,AM400))</f>
        <v/>
      </c>
      <c r="BF400" s="72" t="str">
        <f aca="false">IF(ISBLANK($C400),"",IF($AG400&lt;&gt;Constants!$B$7,$AG400,AQ400))</f>
        <v/>
      </c>
      <c r="BG400" s="73" t="str">
        <f aca="false">IF(ISBLANK($C400),"",IF($AG400&lt;&gt;Constants!$B$7, $AG400 ,AS400))</f>
        <v/>
      </c>
      <c r="BH400" s="74" t="str">
        <f aca="false">IF(ISBLANK($C400),"",IF($AG400&lt;&gt;Constants!$B$7, $AG400 ,AH400))</f>
        <v/>
      </c>
      <c r="BI400" s="72" t="str">
        <f aca="false">IF(ISBLANK(C400),"",BA400)</f>
        <v/>
      </c>
      <c r="BJ400" s="72" t="str">
        <f aca="false">IF(ISBLANK(C400),"",AZ400)</f>
        <v/>
      </c>
      <c r="BK400" s="75" t="str">
        <f aca="false">IF(ISBLANK(C400),"",IFERROR(_xlfn.SWITCH(BJ400, Constants!$B$4, COUNTA($C$8:$C899)+2, Constants!$B$5, COUNTA($C$8:$C899)+1, Constants!$B$6, COUNTA($C$8:$C899)),BJ400))</f>
        <v/>
      </c>
      <c r="BL400" s="5"/>
      <c r="BM400" s="76" t="n">
        <f aca="false">IF(OR(ISNUMBER(BJ400),BJ400="DQ",BJ400="P",BJ400="NS"),
    1,
    0
)</f>
        <v>0</v>
      </c>
      <c r="BN400" s="76" t="n">
        <v>393</v>
      </c>
      <c r="BO400" s="76" t="str">
        <f aca="false">IF(ISBLANK($C400),"",IF(ISNUMBER(BK400),BK400+ROW($B400)/1000,""))</f>
        <v/>
      </c>
      <c r="BP400" s="76" t="str">
        <f aca="false">IF(ISNUMBER(BO400), RANK(BO400,BO$8:BO$507,1), "")</f>
        <v/>
      </c>
      <c r="BQ400" s="76" t="str">
        <f aca="false">IF(ISBLANK($C400),
    "",
    $B400
)</f>
        <v/>
      </c>
      <c r="BR400" s="76" t="str">
        <f aca="false">IF(ISBLANK($C400),
    "",
    $C400
)</f>
        <v/>
      </c>
      <c r="BS400" s="76" t="str">
        <f aca="false">IF(ISBLANK($C400),
    "",
    $D400
)</f>
        <v/>
      </c>
      <c r="BT400" s="77" t="str">
        <f aca="false">BH400</f>
        <v/>
      </c>
      <c r="BU400" s="78" t="str">
        <f aca="false">BG400</f>
        <v/>
      </c>
      <c r="BV400" s="76" t="str">
        <f aca="false">IF(ISBLANK($C400),
    "",
    BJ400
)</f>
        <v/>
      </c>
      <c r="BW400" s="79" t="str">
        <f aca="false">IF(BN400&gt;BM$7,
    "",
    VLOOKUP(BN400,BP$8:BV899,7,FALSE())
)</f>
        <v/>
      </c>
      <c r="BX400" s="80" t="str">
        <f aca="false">IF(BN400&gt;BM$7,
    "",
    VLOOKUP(BN400,BP$8:BV899,2,FALSE())
)</f>
        <v/>
      </c>
      <c r="BY400" s="80" t="str">
        <f aca="false">IF(BN400&gt;BM$7,
    "",
    VLOOKUP(BN400,BP$8:BV899,3,FALSE())
)</f>
        <v/>
      </c>
      <c r="BZ400" s="80" t="str">
        <f aca="false">IF(BN400&gt;BM$7,
    "",
    VLOOKUP(BN400,BP$8:BV899,4,FALSE())
)</f>
        <v/>
      </c>
      <c r="CA400" s="80" t="str">
        <f aca="false">IF(BN400&gt;BM$7,
    "",
    VLOOKUP(BN400,BP$8:BV899,5,FALSE())
)</f>
        <v/>
      </c>
      <c r="CB400" s="81" t="str">
        <f aca="false">IF(BN400&gt;BM$7,
    "",
    VLOOKUP(BN400,BP$8:BV899,6,FALSE())
)</f>
        <v/>
      </c>
      <c r="CC400" s="53"/>
    </row>
    <row r="401" customFormat="false" ht="15.75" hidden="false" customHeight="false" outlineLevel="0" collapsed="false">
      <c r="A401" s="5"/>
      <c r="B401" s="125"/>
      <c r="C401" s="126"/>
      <c r="D401" s="115"/>
      <c r="E401" s="119"/>
      <c r="F401" s="119"/>
      <c r="G401" s="91"/>
      <c r="H401" s="92"/>
      <c r="I401" s="92"/>
      <c r="J401" s="128"/>
      <c r="K401" s="128"/>
      <c r="L401" s="128"/>
      <c r="M401" s="94"/>
      <c r="N401" s="94"/>
      <c r="O401" s="94"/>
      <c r="P401" s="95"/>
      <c r="Q401" s="96"/>
      <c r="R401" s="128"/>
      <c r="S401" s="98"/>
      <c r="T401" s="99"/>
      <c r="U401" s="99" t="str">
        <f aca="false">IF(ISBLANK($C401),"",IF(G401=Constants!$B$2, TRUE(), IF(G401=Constants!$B$3, FALSE(), TRUE())))</f>
        <v/>
      </c>
      <c r="V401" s="99" t="str">
        <f aca="false">IF(ISBLANK($C401),"",IF(H401=Constants!$B$2, TRUE(), IF(H401=Constants!$B$3, FALSE(), TRUE())))</f>
        <v/>
      </c>
      <c r="W401" s="99" t="str">
        <f aca="false">IF(ISBLANK($C401),"",IF(I401=Constants!$B$2, TRUE(), IF(I401=Constants!$B$3, FALSE(), TRUE())))</f>
        <v/>
      </c>
      <c r="X401" s="99" t="str">
        <f aca="false">IF(ISBLANK($C401),"",IF(AND(ISNUMBER(J401),J401&gt;0),INT(J401),0))</f>
        <v/>
      </c>
      <c r="Y401" s="99" t="str">
        <f aca="false">IF(ISBLANK($C401),"",IF(K401=Constants!$B$2, TRUE(), IF(K401=Constants!$B$3, FALSE(), TRUE())))</f>
        <v/>
      </c>
      <c r="Z401" s="100" t="str">
        <f aca="false">IF(ISBLANK($C401),"",IF(AND(ISNUMBER(L401),L401&gt;0),INT(L401),0))</f>
        <v/>
      </c>
      <c r="AA401" s="101" t="str">
        <f aca="false">IF(ISBLANK($C401),"",IF(ISNUMBER(M401), M401, ""))</f>
        <v/>
      </c>
      <c r="AB401" s="101" t="str">
        <f aca="false">IF(ISBLANK($C401),"",IF(ISNUMBER(N401), N401, ""))</f>
        <v/>
      </c>
      <c r="AC401" s="101" t="str">
        <f aca="false">IF(ISBLANK($C401),"",IF(ISNUMBER(O401), O401, ""))</f>
        <v/>
      </c>
      <c r="AD401" s="102" t="str">
        <f aca="false">IF(ISBLANK($C401),"",IF(ISNUMBER(P401), P401, ""))</f>
        <v/>
      </c>
      <c r="AE401" s="102" t="str">
        <f aca="false">IF(ISBLANK($C401),"",IF(ISNUMBER(Q401), Q401, Constants!$B$13))</f>
        <v/>
      </c>
      <c r="AF401" s="99" t="str">
        <f aca="false">IF(ISBLANK($C401),"",IF(R401=Constants!$B$2, TRUE(), IF(R401=Constants!$B$3, FALSE(), FALSE())))</f>
        <v/>
      </c>
      <c r="AG401" s="99" t="str">
        <f aca="false">IF(ISBLANK(C401), "", IF(AF401, Constants!$B$4,IF(COUNTA(G401:P401)=0, Constants!$B$5, Constants!$B$7)))</f>
        <v/>
      </c>
      <c r="AH401" s="99" t="str">
        <f aca="false">IF(ISBLANK($C401), "",IF($AG401=Constants!$B$7,1,$AG401))</f>
        <v/>
      </c>
      <c r="AI401" s="99" t="str">
        <f aca="false">IF($AG401=Constants!$B$7,POWER(Constants!$B$11,X401)*POWER(Constants!$B$12,Z401),"")</f>
        <v/>
      </c>
      <c r="AJ401" s="99" t="str">
        <f aca="false">IF(AND($AG401=Constants!$B$7, U401, V401) ,IF(OR($AA401="",$AC401=""),"",MAX(0, $AC401-$AA401)),"")</f>
        <v/>
      </c>
      <c r="AK401" s="99" t="str">
        <f aca="false">IF(AND($AG401=Constants!$B$7, U401, V401),IF(OR($AA401="",$AC401=""),$AK$6,""),"")</f>
        <v/>
      </c>
      <c r="AL401" s="99" t="str">
        <f aca="false">IF($AG401=Constants!$B$7,IF(AND(U401,V401,W401,Y401),IF($AJ401="",0,IF($AJ$6=0,Constants!$B$9,Constants!$B$9*AJ401/$AJ$6)), 0),"")</f>
        <v/>
      </c>
      <c r="AM401" s="99" t="str">
        <f aca="false">IF(AL401&lt;&gt;"", AL401*AI401,"")</f>
        <v/>
      </c>
      <c r="AN401" s="99" t="str">
        <f aca="false">IF(AND($AG401=Constants!$B$7, U401, V401) ,IF($AB401="", "", IF(OR($AC401="",$AC401=0),"",MAX(0,1-ABS($AC401-$AB401)/$AC401))),"")</f>
        <v/>
      </c>
      <c r="AO401" s="99" t="str">
        <f aca="false">IF(AND($AG401=Constants!$B$7, U401, V401),IF(AND($AA401&lt;&gt;"",$AB401&lt;&gt;"",$AC401=0),$AO$6,""),"")</f>
        <v/>
      </c>
      <c r="AP401" s="99" t="str">
        <f aca="false">IF($AG401=Constants!$B$7 ,IF(AND(U401,V401,W401,Y401,ISNUMBER(AB401)),IF($AN401="",0,IF($AN$6=0,Constants!$B$10,Constants!$B$10*AN401/$AN$6)), 0),"")</f>
        <v/>
      </c>
      <c r="AQ401" s="99" t="str">
        <f aca="false">IF(AP401&lt;&gt;"", AP401*AI401,"")</f>
        <v/>
      </c>
      <c r="AR401" s="99" t="str">
        <f aca="false">IF($AG401=Constants!$B$7,IF($AD401="",0,IF($AR$6=0,Constants!$B$8,Constants!$B$8*AD401/$AR$6)),"")</f>
        <v/>
      </c>
      <c r="AS401" s="99" t="str">
        <f aca="false">IF($AG401&lt;&gt;Constants!$B$7,$AG401,IF(AK401&amp;AO401&lt;&gt;"",Constants!$B$14,AM401+AQ401+AR401))</f>
        <v/>
      </c>
      <c r="AT401" s="99" t="str">
        <f aca="false">IF(ISBLANK($C401),"",IF($AG401=Constants!$B$7,IF(ISNUMBER(AS401),RANK(AS401,$AS$8:$AS$507),Constants!$B$14),$AG401))</f>
        <v/>
      </c>
      <c r="AU401" s="99" t="str">
        <f aca="false">IF(ISBLANK($C401), "",AM401)</f>
        <v/>
      </c>
      <c r="AV401" s="99" t="str">
        <f aca="false">IF(ISBLANK($C401),"",IF($AG401=Constants!$B$7,RANK(AU401,AU$8:AU$507),$AG401))</f>
        <v/>
      </c>
      <c r="AW401" s="99" t="str">
        <f aca="false">IF(ISBLANK($C401), "",AR401)</f>
        <v/>
      </c>
      <c r="AX401" s="99" t="str">
        <f aca="false">IF(ISBLANK($C401),"",IF($AG401=Constants!$B$7,RANK(AW401,AW$8:AW$507),$AG401))</f>
        <v/>
      </c>
      <c r="AY401" s="99" t="str">
        <f aca="false">IF(ISBLANK($C401), "",AE401)</f>
        <v/>
      </c>
      <c r="AZ401" s="99" t="str">
        <f aca="false">IF(ISBLANK($C401),"",
IF($AG401=Constants!$B$7,
  IF(ISNUMBER(AT401),
    COUNTIFS($AT$8:$AT$507,"&lt;"&amp;$AT401)
    + COUNTIFS($AT$8:$AT$507,$AT401,$AV$8:$AV$507,"&lt;"&amp;$AV401)
    + COUNTIFS($AT$8:$AT$507,$AT401,$AV$8:$AV$507,$AV401,$AX$8:$AX$507,"&lt;"&amp;$AX401)
    + COUNTIFS($AT$8:$AT$507,$AT401,$AV$8:$AV$507,$AV401,$AX$8:$AX$507,$AX401,$AY$8:$AY$507,"&lt;"&amp;$AY401)
    + 1,
  Constants!$B$14),
$AG401))</f>
        <v/>
      </c>
      <c r="BA401" s="99" t="str">
        <f aca="false">IF(ISBLANK(C401),"",IF($AG401=Constants!$B$7, IF(ISNUMBER(AT401),AT401-AZ401,Constants!$B$14),$AG401))</f>
        <v/>
      </c>
      <c r="BB401" s="103"/>
      <c r="BC401" s="104" t="str">
        <f aca="false">IF(ISBLANK($C401),"",TRIM(AK401&amp;" "&amp;AO401))</f>
        <v/>
      </c>
      <c r="BD401" s="105" t="str">
        <f aca="false">IF(ISBLANK($C401),"",IF($AG401&lt;&gt;Constants!$B$7,$AG401,AR401))</f>
        <v/>
      </c>
      <c r="BE401" s="105" t="str">
        <f aca="false">IF(ISBLANK($C401),"",IF($AG401&lt;&gt;Constants!$B$7,$AG401,AM401))</f>
        <v/>
      </c>
      <c r="BF401" s="105" t="str">
        <f aca="false">IF(ISBLANK($C401),"",IF($AG401&lt;&gt;Constants!$B$7,$AG401,AQ401))</f>
        <v/>
      </c>
      <c r="BG401" s="106" t="str">
        <f aca="false">IF(ISBLANK($C401),"",IF($AG401&lt;&gt;Constants!$B$7, $AG401 ,AS401))</f>
        <v/>
      </c>
      <c r="BH401" s="107" t="str">
        <f aca="false">IF(ISBLANK($C401),"",IF($AG401&lt;&gt;Constants!$B$7, $AG401 ,AH401))</f>
        <v/>
      </c>
      <c r="BI401" s="105" t="str">
        <f aca="false">IF(ISBLANK(C401),"",BA401)</f>
        <v/>
      </c>
      <c r="BJ401" s="105" t="str">
        <f aca="false">IF(ISBLANK(C401),"",AZ401)</f>
        <v/>
      </c>
      <c r="BK401" s="108" t="str">
        <f aca="false">IF(ISBLANK(C401),"",IFERROR(_xlfn.SWITCH(BJ401, Constants!$B$4, COUNTA($C$8:$C900)+2, Constants!$B$5, COUNTA($C$8:$C900)+1, Constants!$B$6, COUNTA($C$8:$C900)),BJ401))</f>
        <v/>
      </c>
      <c r="BL401" s="5"/>
      <c r="BM401" s="109" t="n">
        <f aca="false">IF(OR(ISNUMBER(BJ401),BJ401="DQ",BJ401="P",BJ401="NS"),
    1,
    0
)</f>
        <v>0</v>
      </c>
      <c r="BN401" s="109" t="n">
        <v>394</v>
      </c>
      <c r="BO401" s="109" t="str">
        <f aca="false">IF(ISBLANK($C401),"",IF(ISNUMBER(BK401),BK401+ROW($B401)/1000,""))</f>
        <v/>
      </c>
      <c r="BP401" s="109" t="str">
        <f aca="false">IF(ISNUMBER(BO401), RANK(BO401,BO$8:BO$507,1), "")</f>
        <v/>
      </c>
      <c r="BQ401" s="109" t="str">
        <f aca="false">IF(ISBLANK($C401),
    "",
    $B401
)</f>
        <v/>
      </c>
      <c r="BR401" s="109" t="str">
        <f aca="false">IF(ISBLANK($C401),
    "",
    $C401
)</f>
        <v/>
      </c>
      <c r="BS401" s="109" t="str">
        <f aca="false">IF(ISBLANK($C401),
    "",
    $D401
)</f>
        <v/>
      </c>
      <c r="BT401" s="110" t="str">
        <f aca="false">BH401</f>
        <v/>
      </c>
      <c r="BU401" s="111" t="str">
        <f aca="false">BG401</f>
        <v/>
      </c>
      <c r="BV401" s="109" t="str">
        <f aca="false">IF(ISBLANK($C401),
    "",
    BJ401
)</f>
        <v/>
      </c>
      <c r="BW401" s="112" t="str">
        <f aca="false">IF(BN401&gt;BM$7,
    "",
    VLOOKUP(BN401,BP$8:BV900,7,FALSE())
)</f>
        <v/>
      </c>
      <c r="BX401" s="113" t="str">
        <f aca="false">IF(BN401&gt;BM$7,
    "",
    VLOOKUP(BN401,BP$8:BV900,2,FALSE())
)</f>
        <v/>
      </c>
      <c r="BY401" s="113" t="str">
        <f aca="false">IF(BN401&gt;BM$7,
    "",
    VLOOKUP(BN401,BP$8:BV900,3,FALSE())
)</f>
        <v/>
      </c>
      <c r="BZ401" s="113" t="str">
        <f aca="false">IF(BN401&gt;BM$7,
    "",
    VLOOKUP(BN401,BP$8:BV900,4,FALSE())
)</f>
        <v/>
      </c>
      <c r="CA401" s="113" t="str">
        <f aca="false">IF(BN401&gt;BM$7,
    "",
    VLOOKUP(BN401,BP$8:BV900,5,FALSE())
)</f>
        <v/>
      </c>
      <c r="CB401" s="114" t="str">
        <f aca="false">IF(BN401&gt;BM$7,
    "",
    VLOOKUP(BN401,BP$8:BV900,6,FALSE())
)</f>
        <v/>
      </c>
      <c r="CC401" s="53"/>
    </row>
    <row r="402" customFormat="false" ht="15.75" hidden="false" customHeight="false" outlineLevel="0" collapsed="false">
      <c r="A402" s="5"/>
      <c r="B402" s="125"/>
      <c r="C402" s="126"/>
      <c r="D402" s="115"/>
      <c r="E402" s="119"/>
      <c r="F402" s="119"/>
      <c r="G402" s="91"/>
      <c r="H402" s="92"/>
      <c r="I402" s="92"/>
      <c r="J402" s="128"/>
      <c r="K402" s="128"/>
      <c r="L402" s="128"/>
      <c r="M402" s="94"/>
      <c r="N402" s="94"/>
      <c r="O402" s="94"/>
      <c r="P402" s="95"/>
      <c r="Q402" s="96"/>
      <c r="R402" s="128"/>
      <c r="S402" s="98"/>
      <c r="T402" s="99"/>
      <c r="U402" s="99" t="str">
        <f aca="false">IF(ISBLANK($C402),"",IF(G402=Constants!$B$2, TRUE(), IF(G402=Constants!$B$3, FALSE(), TRUE())))</f>
        <v/>
      </c>
      <c r="V402" s="99" t="str">
        <f aca="false">IF(ISBLANK($C402),"",IF(H402=Constants!$B$2, TRUE(), IF(H402=Constants!$B$3, FALSE(), TRUE())))</f>
        <v/>
      </c>
      <c r="W402" s="99" t="str">
        <f aca="false">IF(ISBLANK($C402),"",IF(I402=Constants!$B$2, TRUE(), IF(I402=Constants!$B$3, FALSE(), TRUE())))</f>
        <v/>
      </c>
      <c r="X402" s="99" t="str">
        <f aca="false">IF(ISBLANK($C402),"",IF(AND(ISNUMBER(J402),J402&gt;0),INT(J402),0))</f>
        <v/>
      </c>
      <c r="Y402" s="99" t="str">
        <f aca="false">IF(ISBLANK($C402),"",IF(K402=Constants!$B$2, TRUE(), IF(K402=Constants!$B$3, FALSE(), TRUE())))</f>
        <v/>
      </c>
      <c r="Z402" s="100" t="str">
        <f aca="false">IF(ISBLANK($C402),"",IF(AND(ISNUMBER(L402),L402&gt;0),INT(L402),0))</f>
        <v/>
      </c>
      <c r="AA402" s="101" t="str">
        <f aca="false">IF(ISBLANK($C402),"",IF(ISNUMBER(M402), M402, ""))</f>
        <v/>
      </c>
      <c r="AB402" s="101" t="str">
        <f aca="false">IF(ISBLANK($C402),"",IF(ISNUMBER(N402), N402, ""))</f>
        <v/>
      </c>
      <c r="AC402" s="101" t="str">
        <f aca="false">IF(ISBLANK($C402),"",IF(ISNUMBER(O402), O402, ""))</f>
        <v/>
      </c>
      <c r="AD402" s="102" t="str">
        <f aca="false">IF(ISBLANK($C402),"",IF(ISNUMBER(P402), P402, ""))</f>
        <v/>
      </c>
      <c r="AE402" s="102" t="str">
        <f aca="false">IF(ISBLANK($C402),"",IF(ISNUMBER(Q402), Q402, Constants!$B$13))</f>
        <v/>
      </c>
      <c r="AF402" s="99" t="str">
        <f aca="false">IF(ISBLANK($C402),"",IF(R402=Constants!$B$2, TRUE(), IF(R402=Constants!$B$3, FALSE(), FALSE())))</f>
        <v/>
      </c>
      <c r="AG402" s="99" t="str">
        <f aca="false">IF(ISBLANK(C402), "", IF(AF402, Constants!$B$4,IF(COUNTA(G402:P402)=0, Constants!$B$5, Constants!$B$7)))</f>
        <v/>
      </c>
      <c r="AH402" s="99" t="str">
        <f aca="false">IF(ISBLANK($C402), "",IF($AG402=Constants!$B$7,1,$AG402))</f>
        <v/>
      </c>
      <c r="AI402" s="99" t="str">
        <f aca="false">IF($AG402=Constants!$B$7,POWER(Constants!$B$11,X402)*POWER(Constants!$B$12,Z402),"")</f>
        <v/>
      </c>
      <c r="AJ402" s="99" t="str">
        <f aca="false">IF(AND($AG402=Constants!$B$7, U402, V402) ,IF(OR($AA402="",$AC402=""),"",MAX(0, $AC402-$AA402)),"")</f>
        <v/>
      </c>
      <c r="AK402" s="99" t="str">
        <f aca="false">IF(AND($AG402=Constants!$B$7, U402, V402),IF(OR($AA402="",$AC402=""),$AK$6,""),"")</f>
        <v/>
      </c>
      <c r="AL402" s="99" t="str">
        <f aca="false">IF($AG402=Constants!$B$7,IF(AND(U402,V402,W402,Y402),IF($AJ402="",0,IF($AJ$6=0,Constants!$B$9,Constants!$B$9*AJ402/$AJ$6)), 0),"")</f>
        <v/>
      </c>
      <c r="AM402" s="99" t="str">
        <f aca="false">IF(AL402&lt;&gt;"", AL402*AI402,"")</f>
        <v/>
      </c>
      <c r="AN402" s="99" t="str">
        <f aca="false">IF(AND($AG402=Constants!$B$7, U402, V402) ,IF($AB402="", "", IF(OR($AC402="",$AC402=0),"",MAX(0,1-ABS($AC402-$AB402)/$AC402))),"")</f>
        <v/>
      </c>
      <c r="AO402" s="99" t="str">
        <f aca="false">IF(AND($AG402=Constants!$B$7, U402, V402),IF(AND($AA402&lt;&gt;"",$AB402&lt;&gt;"",$AC402=0),$AO$6,""),"")</f>
        <v/>
      </c>
      <c r="AP402" s="99" t="str">
        <f aca="false">IF($AG402=Constants!$B$7 ,IF(AND(U402,V402,W402,Y402,ISNUMBER(AB402)),IF($AN402="",0,IF($AN$6=0,Constants!$B$10,Constants!$B$10*AN402/$AN$6)), 0),"")</f>
        <v/>
      </c>
      <c r="AQ402" s="99" t="str">
        <f aca="false">IF(AP402&lt;&gt;"", AP402*AI402,"")</f>
        <v/>
      </c>
      <c r="AR402" s="99" t="str">
        <f aca="false">IF($AG402=Constants!$B$7,IF($AD402="",0,IF($AR$6=0,Constants!$B$8,Constants!$B$8*AD402/$AR$6)),"")</f>
        <v/>
      </c>
      <c r="AS402" s="99" t="str">
        <f aca="false">IF($AG402&lt;&gt;Constants!$B$7,$AG402,IF(AK402&amp;AO402&lt;&gt;"",Constants!$B$14,AM402+AQ402+AR402))</f>
        <v/>
      </c>
      <c r="AT402" s="99" t="str">
        <f aca="false">IF(ISBLANK($C402),"",IF($AG402=Constants!$B$7,IF(ISNUMBER(AS402),RANK(AS402,$AS$8:$AS$507),Constants!$B$14),$AG402))</f>
        <v/>
      </c>
      <c r="AU402" s="99" t="str">
        <f aca="false">IF(ISBLANK($C402), "",AM402)</f>
        <v/>
      </c>
      <c r="AV402" s="99" t="str">
        <f aca="false">IF(ISBLANK($C402),"",IF($AG402=Constants!$B$7,RANK(AU402,AU$8:AU$507),$AG402))</f>
        <v/>
      </c>
      <c r="AW402" s="99" t="str">
        <f aca="false">IF(ISBLANK($C402), "",AR402)</f>
        <v/>
      </c>
      <c r="AX402" s="99" t="str">
        <f aca="false">IF(ISBLANK($C402),"",IF($AG402=Constants!$B$7,RANK(AW402,AW$8:AW$507),$AG402))</f>
        <v/>
      </c>
      <c r="AY402" s="99" t="str">
        <f aca="false">IF(ISBLANK($C402), "",AE402)</f>
        <v/>
      </c>
      <c r="AZ402" s="99" t="str">
        <f aca="false">IF(ISBLANK($C402),"",
IF($AG402=Constants!$B$7,
  IF(ISNUMBER(AT402),
    COUNTIFS($AT$8:$AT$507,"&lt;"&amp;$AT402)
    + COUNTIFS($AT$8:$AT$507,$AT402,$AV$8:$AV$507,"&lt;"&amp;$AV402)
    + COUNTIFS($AT$8:$AT$507,$AT402,$AV$8:$AV$507,$AV402,$AX$8:$AX$507,"&lt;"&amp;$AX402)
    + COUNTIFS($AT$8:$AT$507,$AT402,$AV$8:$AV$507,$AV402,$AX$8:$AX$507,$AX402,$AY$8:$AY$507,"&lt;"&amp;$AY402)
    + 1,
  Constants!$B$14),
$AG402))</f>
        <v/>
      </c>
      <c r="BA402" s="99" t="str">
        <f aca="false">IF(ISBLANK(C402),"",IF($AG402=Constants!$B$7, IF(ISNUMBER(AT402),AT402-AZ402,Constants!$B$14),$AG402))</f>
        <v/>
      </c>
      <c r="BB402" s="103"/>
      <c r="BC402" s="104" t="str">
        <f aca="false">IF(ISBLANK($C402),"",TRIM(AK402&amp;" "&amp;AO402))</f>
        <v/>
      </c>
      <c r="BD402" s="105" t="str">
        <f aca="false">IF(ISBLANK($C402),"",IF($AG402&lt;&gt;Constants!$B$7,$AG402,AR402))</f>
        <v/>
      </c>
      <c r="BE402" s="105" t="str">
        <f aca="false">IF(ISBLANK($C402),"",IF($AG402&lt;&gt;Constants!$B$7,$AG402,AM402))</f>
        <v/>
      </c>
      <c r="BF402" s="105" t="str">
        <f aca="false">IF(ISBLANK($C402),"",IF($AG402&lt;&gt;Constants!$B$7,$AG402,AQ402))</f>
        <v/>
      </c>
      <c r="BG402" s="106" t="str">
        <f aca="false">IF(ISBLANK($C402),"",IF($AG402&lt;&gt;Constants!$B$7, $AG402 ,AS402))</f>
        <v/>
      </c>
      <c r="BH402" s="107" t="str">
        <f aca="false">IF(ISBLANK($C402),"",IF($AG402&lt;&gt;Constants!$B$7, $AG402 ,AH402))</f>
        <v/>
      </c>
      <c r="BI402" s="105" t="str">
        <f aca="false">IF(ISBLANK(C402),"",BA402)</f>
        <v/>
      </c>
      <c r="BJ402" s="105" t="str">
        <f aca="false">IF(ISBLANK(C402),"",AZ402)</f>
        <v/>
      </c>
      <c r="BK402" s="108" t="str">
        <f aca="false">IF(ISBLANK(C402),"",IFERROR(_xlfn.SWITCH(BJ402, Constants!$B$4, COUNTA($C$8:$C901)+2, Constants!$B$5, COUNTA($C$8:$C901)+1, Constants!$B$6, COUNTA($C$8:$C901)),BJ402))</f>
        <v/>
      </c>
      <c r="BL402" s="5"/>
      <c r="BM402" s="109" t="n">
        <f aca="false">IF(OR(ISNUMBER(BJ402),BJ402="DQ",BJ402="P",BJ402="NS"),
    1,
    0
)</f>
        <v>0</v>
      </c>
      <c r="BN402" s="109" t="n">
        <v>395</v>
      </c>
      <c r="BO402" s="109" t="str">
        <f aca="false">IF(ISBLANK($C402),"",IF(ISNUMBER(BK402),BK402+ROW($B402)/1000,""))</f>
        <v/>
      </c>
      <c r="BP402" s="109" t="str">
        <f aca="false">IF(ISNUMBER(BO402), RANK(BO402,BO$8:BO$507,1), "")</f>
        <v/>
      </c>
      <c r="BQ402" s="109" t="str">
        <f aca="false">IF(ISBLANK($C402),
    "",
    $B402
)</f>
        <v/>
      </c>
      <c r="BR402" s="109" t="str">
        <f aca="false">IF(ISBLANK($C402),
    "",
    $C402
)</f>
        <v/>
      </c>
      <c r="BS402" s="109" t="str">
        <f aca="false">IF(ISBLANK($C402),
    "",
    $D402
)</f>
        <v/>
      </c>
      <c r="BT402" s="110" t="str">
        <f aca="false">BH402</f>
        <v/>
      </c>
      <c r="BU402" s="111" t="str">
        <f aca="false">BG402</f>
        <v/>
      </c>
      <c r="BV402" s="109" t="str">
        <f aca="false">IF(ISBLANK($C402),
    "",
    BJ402
)</f>
        <v/>
      </c>
      <c r="BW402" s="112" t="str">
        <f aca="false">IF(BN402&gt;BM$7,
    "",
    VLOOKUP(BN402,BP$8:BV901,7,FALSE())
)</f>
        <v/>
      </c>
      <c r="BX402" s="113" t="str">
        <f aca="false">IF(BN402&gt;BM$7,
    "",
    VLOOKUP(BN402,BP$8:BV901,2,FALSE())
)</f>
        <v/>
      </c>
      <c r="BY402" s="113" t="str">
        <f aca="false">IF(BN402&gt;BM$7,
    "",
    VLOOKUP(BN402,BP$8:BV901,3,FALSE())
)</f>
        <v/>
      </c>
      <c r="BZ402" s="113" t="str">
        <f aca="false">IF(BN402&gt;BM$7,
    "",
    VLOOKUP(BN402,BP$8:BV901,4,FALSE())
)</f>
        <v/>
      </c>
      <c r="CA402" s="113" t="str">
        <f aca="false">IF(BN402&gt;BM$7,
    "",
    VLOOKUP(BN402,BP$8:BV901,5,FALSE())
)</f>
        <v/>
      </c>
      <c r="CB402" s="114" t="str">
        <f aca="false">IF(BN402&gt;BM$7,
    "",
    VLOOKUP(BN402,BP$8:BV901,6,FALSE())
)</f>
        <v/>
      </c>
      <c r="CC402" s="53"/>
    </row>
    <row r="403" customFormat="false" ht="15.75" hidden="false" customHeight="false" outlineLevel="0" collapsed="false">
      <c r="A403" s="5"/>
      <c r="B403" s="125"/>
      <c r="C403" s="126"/>
      <c r="D403" s="115"/>
      <c r="E403" s="119"/>
      <c r="F403" s="119"/>
      <c r="G403" s="91"/>
      <c r="H403" s="92"/>
      <c r="I403" s="92"/>
      <c r="J403" s="128"/>
      <c r="K403" s="128"/>
      <c r="L403" s="128"/>
      <c r="M403" s="94"/>
      <c r="N403" s="94"/>
      <c r="O403" s="94"/>
      <c r="P403" s="95"/>
      <c r="Q403" s="96"/>
      <c r="R403" s="128"/>
      <c r="S403" s="98"/>
      <c r="T403" s="99"/>
      <c r="U403" s="99" t="str">
        <f aca="false">IF(ISBLANK($C403),"",IF(G403=Constants!$B$2, TRUE(), IF(G403=Constants!$B$3, FALSE(), TRUE())))</f>
        <v/>
      </c>
      <c r="V403" s="99" t="str">
        <f aca="false">IF(ISBLANK($C403),"",IF(H403=Constants!$B$2, TRUE(), IF(H403=Constants!$B$3, FALSE(), TRUE())))</f>
        <v/>
      </c>
      <c r="W403" s="99" t="str">
        <f aca="false">IF(ISBLANK($C403),"",IF(I403=Constants!$B$2, TRUE(), IF(I403=Constants!$B$3, FALSE(), TRUE())))</f>
        <v/>
      </c>
      <c r="X403" s="99" t="str">
        <f aca="false">IF(ISBLANK($C403),"",IF(AND(ISNUMBER(J403),J403&gt;0),INT(J403),0))</f>
        <v/>
      </c>
      <c r="Y403" s="99" t="str">
        <f aca="false">IF(ISBLANK($C403),"",IF(K403=Constants!$B$2, TRUE(), IF(K403=Constants!$B$3, FALSE(), TRUE())))</f>
        <v/>
      </c>
      <c r="Z403" s="100" t="str">
        <f aca="false">IF(ISBLANK($C403),"",IF(AND(ISNUMBER(L403),L403&gt;0),INT(L403),0))</f>
        <v/>
      </c>
      <c r="AA403" s="101" t="str">
        <f aca="false">IF(ISBLANK($C403),"",IF(ISNUMBER(M403), M403, ""))</f>
        <v/>
      </c>
      <c r="AB403" s="101" t="str">
        <f aca="false">IF(ISBLANK($C403),"",IF(ISNUMBER(N403), N403, ""))</f>
        <v/>
      </c>
      <c r="AC403" s="101" t="str">
        <f aca="false">IF(ISBLANK($C403),"",IF(ISNUMBER(O403), O403, ""))</f>
        <v/>
      </c>
      <c r="AD403" s="102" t="str">
        <f aca="false">IF(ISBLANK($C403),"",IF(ISNUMBER(P403), P403, ""))</f>
        <v/>
      </c>
      <c r="AE403" s="102" t="str">
        <f aca="false">IF(ISBLANK($C403),"",IF(ISNUMBER(Q403), Q403, Constants!$B$13))</f>
        <v/>
      </c>
      <c r="AF403" s="99" t="str">
        <f aca="false">IF(ISBLANK($C403),"",IF(R403=Constants!$B$2, TRUE(), IF(R403=Constants!$B$3, FALSE(), FALSE())))</f>
        <v/>
      </c>
      <c r="AG403" s="99" t="str">
        <f aca="false">IF(ISBLANK(C403), "", IF(AF403, Constants!$B$4,IF(COUNTA(G403:P403)=0, Constants!$B$5, Constants!$B$7)))</f>
        <v/>
      </c>
      <c r="AH403" s="99" t="str">
        <f aca="false">IF(ISBLANK($C403), "",IF($AG403=Constants!$B$7,1,$AG403))</f>
        <v/>
      </c>
      <c r="AI403" s="99" t="str">
        <f aca="false">IF($AG403=Constants!$B$7,POWER(Constants!$B$11,X403)*POWER(Constants!$B$12,Z403),"")</f>
        <v/>
      </c>
      <c r="AJ403" s="99" t="str">
        <f aca="false">IF(AND($AG403=Constants!$B$7, U403, V403) ,IF(OR($AA403="",$AC403=""),"",MAX(0, $AC403-$AA403)),"")</f>
        <v/>
      </c>
      <c r="AK403" s="99" t="str">
        <f aca="false">IF(AND($AG403=Constants!$B$7, U403, V403),IF(OR($AA403="",$AC403=""),$AK$6,""),"")</f>
        <v/>
      </c>
      <c r="AL403" s="99" t="str">
        <f aca="false">IF($AG403=Constants!$B$7,IF(AND(U403,V403,W403,Y403),IF($AJ403="",0,IF($AJ$6=0,Constants!$B$9,Constants!$B$9*AJ403/$AJ$6)), 0),"")</f>
        <v/>
      </c>
      <c r="AM403" s="99" t="str">
        <f aca="false">IF(AL403&lt;&gt;"", AL403*AI403,"")</f>
        <v/>
      </c>
      <c r="AN403" s="99" t="str">
        <f aca="false">IF(AND($AG403=Constants!$B$7, U403, V403) ,IF($AB403="", "", IF(OR($AC403="",$AC403=0),"",MAX(0,1-ABS($AC403-$AB403)/$AC403))),"")</f>
        <v/>
      </c>
      <c r="AO403" s="99" t="str">
        <f aca="false">IF(AND($AG403=Constants!$B$7, U403, V403),IF(AND($AA403&lt;&gt;"",$AB403&lt;&gt;"",$AC403=0),$AO$6,""),"")</f>
        <v/>
      </c>
      <c r="AP403" s="99" t="str">
        <f aca="false">IF($AG403=Constants!$B$7 ,IF(AND(U403,V403,W403,Y403,ISNUMBER(AB403)),IF($AN403="",0,IF($AN$6=0,Constants!$B$10,Constants!$B$10*AN403/$AN$6)), 0),"")</f>
        <v/>
      </c>
      <c r="AQ403" s="99" t="str">
        <f aca="false">IF(AP403&lt;&gt;"", AP403*AI403,"")</f>
        <v/>
      </c>
      <c r="AR403" s="99" t="str">
        <f aca="false">IF($AG403=Constants!$B$7,IF($AD403="",0,IF($AR$6=0,Constants!$B$8,Constants!$B$8*AD403/$AR$6)),"")</f>
        <v/>
      </c>
      <c r="AS403" s="99" t="str">
        <f aca="false">IF($AG403&lt;&gt;Constants!$B$7,$AG403,IF(AK403&amp;AO403&lt;&gt;"",Constants!$B$14,AM403+AQ403+AR403))</f>
        <v/>
      </c>
      <c r="AT403" s="99" t="str">
        <f aca="false">IF(ISBLANK($C403),"",IF($AG403=Constants!$B$7,IF(ISNUMBER(AS403),RANK(AS403,$AS$8:$AS$507),Constants!$B$14),$AG403))</f>
        <v/>
      </c>
      <c r="AU403" s="99" t="str">
        <f aca="false">IF(ISBLANK($C403), "",AM403)</f>
        <v/>
      </c>
      <c r="AV403" s="99" t="str">
        <f aca="false">IF(ISBLANK($C403),"",IF($AG403=Constants!$B$7,RANK(AU403,AU$8:AU$507),$AG403))</f>
        <v/>
      </c>
      <c r="AW403" s="99" t="str">
        <f aca="false">IF(ISBLANK($C403), "",AR403)</f>
        <v/>
      </c>
      <c r="AX403" s="99" t="str">
        <f aca="false">IF(ISBLANK($C403),"",IF($AG403=Constants!$B$7,RANK(AW403,AW$8:AW$507),$AG403))</f>
        <v/>
      </c>
      <c r="AY403" s="99" t="str">
        <f aca="false">IF(ISBLANK($C403), "",AE403)</f>
        <v/>
      </c>
      <c r="AZ403" s="99" t="str">
        <f aca="false">IF(ISBLANK($C403),"",
IF($AG403=Constants!$B$7,
  IF(ISNUMBER(AT403),
    COUNTIFS($AT$8:$AT$507,"&lt;"&amp;$AT403)
    + COUNTIFS($AT$8:$AT$507,$AT403,$AV$8:$AV$507,"&lt;"&amp;$AV403)
    + COUNTIFS($AT$8:$AT$507,$AT403,$AV$8:$AV$507,$AV403,$AX$8:$AX$507,"&lt;"&amp;$AX403)
    + COUNTIFS($AT$8:$AT$507,$AT403,$AV$8:$AV$507,$AV403,$AX$8:$AX$507,$AX403,$AY$8:$AY$507,"&lt;"&amp;$AY403)
    + 1,
  Constants!$B$14),
$AG403))</f>
        <v/>
      </c>
      <c r="BA403" s="99" t="str">
        <f aca="false">IF(ISBLANK(C403),"",IF($AG403=Constants!$B$7, IF(ISNUMBER(AT403),AT403-AZ403,Constants!$B$14),$AG403))</f>
        <v/>
      </c>
      <c r="BB403" s="103"/>
      <c r="BC403" s="104" t="str">
        <f aca="false">IF(ISBLANK($C403),"",TRIM(AK403&amp;" "&amp;AO403))</f>
        <v/>
      </c>
      <c r="BD403" s="105" t="str">
        <f aca="false">IF(ISBLANK($C403),"",IF($AG403&lt;&gt;Constants!$B$7,$AG403,AR403))</f>
        <v/>
      </c>
      <c r="BE403" s="105" t="str">
        <f aca="false">IF(ISBLANK($C403),"",IF($AG403&lt;&gt;Constants!$B$7,$AG403,AM403))</f>
        <v/>
      </c>
      <c r="BF403" s="105" t="str">
        <f aca="false">IF(ISBLANK($C403),"",IF($AG403&lt;&gt;Constants!$B$7,$AG403,AQ403))</f>
        <v/>
      </c>
      <c r="BG403" s="106" t="str">
        <f aca="false">IF(ISBLANK($C403),"",IF($AG403&lt;&gt;Constants!$B$7, $AG403 ,AS403))</f>
        <v/>
      </c>
      <c r="BH403" s="107" t="str">
        <f aca="false">IF(ISBLANK($C403),"",IF($AG403&lt;&gt;Constants!$B$7, $AG403 ,AH403))</f>
        <v/>
      </c>
      <c r="BI403" s="105" t="str">
        <f aca="false">IF(ISBLANK(C403),"",BA403)</f>
        <v/>
      </c>
      <c r="BJ403" s="105" t="str">
        <f aca="false">IF(ISBLANK(C403),"",AZ403)</f>
        <v/>
      </c>
      <c r="BK403" s="108" t="str">
        <f aca="false">IF(ISBLANK(C403),"",IFERROR(_xlfn.SWITCH(BJ403, Constants!$B$4, COUNTA($C$8:$C902)+2, Constants!$B$5, COUNTA($C$8:$C902)+1, Constants!$B$6, COUNTA($C$8:$C902)),BJ403))</f>
        <v/>
      </c>
      <c r="BL403" s="5"/>
      <c r="BM403" s="109" t="n">
        <f aca="false">IF(OR(ISNUMBER(BJ403),BJ403="DQ",BJ403="P",BJ403="NS"),
    1,
    0
)</f>
        <v>0</v>
      </c>
      <c r="BN403" s="109" t="n">
        <v>396</v>
      </c>
      <c r="BO403" s="109" t="str">
        <f aca="false">IF(ISBLANK($C403),"",IF(ISNUMBER(BK403),BK403+ROW($B403)/1000,""))</f>
        <v/>
      </c>
      <c r="BP403" s="109" t="str">
        <f aca="false">IF(ISNUMBER(BO403), RANK(BO403,BO$8:BO$507,1), "")</f>
        <v/>
      </c>
      <c r="BQ403" s="109" t="str">
        <f aca="false">IF(ISBLANK($C403),
    "",
    $B403
)</f>
        <v/>
      </c>
      <c r="BR403" s="109" t="str">
        <f aca="false">IF(ISBLANK($C403),
    "",
    $C403
)</f>
        <v/>
      </c>
      <c r="BS403" s="109" t="str">
        <f aca="false">IF(ISBLANK($C403),
    "",
    $D403
)</f>
        <v/>
      </c>
      <c r="BT403" s="110" t="str">
        <f aca="false">BH403</f>
        <v/>
      </c>
      <c r="BU403" s="111" t="str">
        <f aca="false">BG403</f>
        <v/>
      </c>
      <c r="BV403" s="109" t="str">
        <f aca="false">IF(ISBLANK($C403),
    "",
    BJ403
)</f>
        <v/>
      </c>
      <c r="BW403" s="112" t="str">
        <f aca="false">IF(BN403&gt;BM$7,
    "",
    VLOOKUP(BN403,BP$8:BV902,7,FALSE())
)</f>
        <v/>
      </c>
      <c r="BX403" s="113" t="str">
        <f aca="false">IF(BN403&gt;BM$7,
    "",
    VLOOKUP(BN403,BP$8:BV902,2,FALSE())
)</f>
        <v/>
      </c>
      <c r="BY403" s="113" t="str">
        <f aca="false">IF(BN403&gt;BM$7,
    "",
    VLOOKUP(BN403,BP$8:BV902,3,FALSE())
)</f>
        <v/>
      </c>
      <c r="BZ403" s="113" t="str">
        <f aca="false">IF(BN403&gt;BM$7,
    "",
    VLOOKUP(BN403,BP$8:BV902,4,FALSE())
)</f>
        <v/>
      </c>
      <c r="CA403" s="113" t="str">
        <f aca="false">IF(BN403&gt;BM$7,
    "",
    VLOOKUP(BN403,BP$8:BV902,5,FALSE())
)</f>
        <v/>
      </c>
      <c r="CB403" s="114" t="str">
        <f aca="false">IF(BN403&gt;BM$7,
    "",
    VLOOKUP(BN403,BP$8:BV902,6,FALSE())
)</f>
        <v/>
      </c>
      <c r="CC403" s="53"/>
    </row>
    <row r="404" customFormat="false" ht="15.75" hidden="false" customHeight="false" outlineLevel="0" collapsed="false">
      <c r="A404" s="5"/>
      <c r="B404" s="129"/>
      <c r="C404" s="55"/>
      <c r="D404" s="56"/>
      <c r="E404" s="123"/>
      <c r="F404" s="123"/>
      <c r="G404" s="58"/>
      <c r="H404" s="59"/>
      <c r="I404" s="59"/>
      <c r="J404" s="83"/>
      <c r="K404" s="83"/>
      <c r="L404" s="83"/>
      <c r="M404" s="61"/>
      <c r="N404" s="61"/>
      <c r="O404" s="61"/>
      <c r="P404" s="62"/>
      <c r="Q404" s="63"/>
      <c r="R404" s="83"/>
      <c r="S404" s="65"/>
      <c r="T404" s="66"/>
      <c r="U404" s="66" t="str">
        <f aca="false">IF(ISBLANK($C404),"",IF(G404=Constants!$B$2, TRUE(), IF(G404=Constants!$B$3, FALSE(), TRUE())))</f>
        <v/>
      </c>
      <c r="V404" s="66" t="str">
        <f aca="false">IF(ISBLANK($C404),"",IF(H404=Constants!$B$2, TRUE(), IF(H404=Constants!$B$3, FALSE(), TRUE())))</f>
        <v/>
      </c>
      <c r="W404" s="66" t="str">
        <f aca="false">IF(ISBLANK($C404),"",IF(I404=Constants!$B$2, TRUE(), IF(I404=Constants!$B$3, FALSE(), TRUE())))</f>
        <v/>
      </c>
      <c r="X404" s="66" t="str">
        <f aca="false">IF(ISBLANK($C404),"",IF(AND(ISNUMBER(J404),J404&gt;0),INT(J404),0))</f>
        <v/>
      </c>
      <c r="Y404" s="66" t="str">
        <f aca="false">IF(ISBLANK($C404),"",IF(K404=Constants!$B$2, TRUE(), IF(K404=Constants!$B$3, FALSE(), TRUE())))</f>
        <v/>
      </c>
      <c r="Z404" s="66" t="str">
        <f aca="false">IF(ISBLANK($C404),"",IF(AND(ISNUMBER(L404),L404&gt;0),INT(L404),0))</f>
        <v/>
      </c>
      <c r="AA404" s="68" t="str">
        <f aca="false">IF(ISBLANK($C404),"",IF(ISNUMBER(M404), M404, ""))</f>
        <v/>
      </c>
      <c r="AB404" s="68" t="str">
        <f aca="false">IF(ISBLANK($C404),"",IF(ISNUMBER(N404), N404, ""))</f>
        <v/>
      </c>
      <c r="AC404" s="68" t="str">
        <f aca="false">IF(ISBLANK($C404),"",IF(ISNUMBER(O404), O404, ""))</f>
        <v/>
      </c>
      <c r="AD404" s="69" t="str">
        <f aca="false">IF(ISBLANK($C404),"",IF(ISNUMBER(P404), P404, ""))</f>
        <v/>
      </c>
      <c r="AE404" s="69" t="str">
        <f aca="false">IF(ISBLANK($C404),"",IF(ISNUMBER(Q404), Q404, Constants!$B$13))</f>
        <v/>
      </c>
      <c r="AF404" s="66" t="str">
        <f aca="false">IF(ISBLANK($C404),"",IF(R404=Constants!$B$2, TRUE(), IF(R404=Constants!$B$3, FALSE(), FALSE())))</f>
        <v/>
      </c>
      <c r="AG404" s="66" t="str">
        <f aca="false">IF(ISBLANK(C404), "", IF(AF404, Constants!$B$4,IF(COUNTA(G404:P404)=0, Constants!$B$5, Constants!$B$7)))</f>
        <v/>
      </c>
      <c r="AH404" s="66" t="str">
        <f aca="false">IF(ISBLANK($C404), "",IF($AG404=Constants!$B$7,1,$AG404))</f>
        <v/>
      </c>
      <c r="AI404" s="66" t="str">
        <f aca="false">IF($AG404=Constants!$B$7,POWER(Constants!$B$11,X404)*POWER(Constants!$B$12,Z404),"")</f>
        <v/>
      </c>
      <c r="AJ404" s="66" t="str">
        <f aca="false">IF(AND($AG404=Constants!$B$7, U404, V404) ,IF(OR($AA404="",$AC404=""),"",MAX(0, $AC404-$AA404)),"")</f>
        <v/>
      </c>
      <c r="AK404" s="66" t="str">
        <f aca="false">IF(AND($AG404=Constants!$B$7, U404, V404),IF(OR($AA404="",$AC404=""),$AK$6,""),"")</f>
        <v/>
      </c>
      <c r="AL404" s="66" t="str">
        <f aca="false">IF($AG404=Constants!$B$7,IF(AND(U404,V404,W404,Y404),IF($AJ404="",0,IF($AJ$6=0,Constants!$B$9,Constants!$B$9*AJ404/$AJ$6)), 0),"")</f>
        <v/>
      </c>
      <c r="AM404" s="66" t="str">
        <f aca="false">IF(AL404&lt;&gt;"", AL404*AI404,"")</f>
        <v/>
      </c>
      <c r="AN404" s="66" t="str">
        <f aca="false">IF(AND($AG404=Constants!$B$7, U404, V404) ,IF($AB404="", "", IF(OR($AC404="",$AC404=0),"",MAX(0,1-ABS($AC404-$AB404)/$AC404))),"")</f>
        <v/>
      </c>
      <c r="AO404" s="66" t="str">
        <f aca="false">IF(AND($AG404=Constants!$B$7, U404, V404),IF(AND($AA404&lt;&gt;"",$AB404&lt;&gt;"",$AC404=0),$AO$6,""),"")</f>
        <v/>
      </c>
      <c r="AP404" s="66" t="str">
        <f aca="false">IF($AG404=Constants!$B$7 ,IF(AND(U404,V404,W404,Y404,ISNUMBER(AB404)),IF($AN404="",0,IF($AN$6=0,Constants!$B$10,Constants!$B$10*AN404/$AN$6)), 0),"")</f>
        <v/>
      </c>
      <c r="AQ404" s="66" t="str">
        <f aca="false">IF(AP404&lt;&gt;"", AP404*AI404,"")</f>
        <v/>
      </c>
      <c r="AR404" s="66" t="str">
        <f aca="false">IF($AG404=Constants!$B$7,IF($AD404="",0,IF($AR$6=0,Constants!$B$8,Constants!$B$8*AD404/$AR$6)),"")</f>
        <v/>
      </c>
      <c r="AS404" s="66" t="str">
        <f aca="false">IF($AG404&lt;&gt;Constants!$B$7,$AG404,IF(AK404&amp;AO404&lt;&gt;"",Constants!$B$14,AM404+AQ404+AR404))</f>
        <v/>
      </c>
      <c r="AT404" s="66" t="str">
        <f aca="false">IF(ISBLANK($C404),"",IF($AG404=Constants!$B$7,IF(ISNUMBER(AS404),RANK(AS404,$AS$8:$AS$507),Constants!$B$14),$AG404))</f>
        <v/>
      </c>
      <c r="AU404" s="66" t="str">
        <f aca="false">IF(ISBLANK($C404), "",AM404)</f>
        <v/>
      </c>
      <c r="AV404" s="66" t="str">
        <f aca="false">IF(ISBLANK($C404),"",IF($AG404=Constants!$B$7,RANK(AU404,AU$8:AU$507),$AG404))</f>
        <v/>
      </c>
      <c r="AW404" s="66" t="str">
        <f aca="false">IF(ISBLANK($C404), "",AR404)</f>
        <v/>
      </c>
      <c r="AX404" s="66" t="str">
        <f aca="false">IF(ISBLANK($C404),"",IF($AG404=Constants!$B$7,RANK(AW404,AW$8:AW$507),$AG404))</f>
        <v/>
      </c>
      <c r="AY404" s="66" t="str">
        <f aca="false">IF(ISBLANK($C404), "",AE404)</f>
        <v/>
      </c>
      <c r="AZ404" s="66" t="str">
        <f aca="false">IF(ISBLANK($C404),"",
IF($AG404=Constants!$B$7,
  IF(ISNUMBER(AT404),
    COUNTIFS($AT$8:$AT$507,"&lt;"&amp;$AT404)
    + COUNTIFS($AT$8:$AT$507,$AT404,$AV$8:$AV$507,"&lt;"&amp;$AV404)
    + COUNTIFS($AT$8:$AT$507,$AT404,$AV$8:$AV$507,$AV404,$AX$8:$AX$507,"&lt;"&amp;$AX404)
    + COUNTIFS($AT$8:$AT$507,$AT404,$AV$8:$AV$507,$AV404,$AX$8:$AX$507,$AX404,$AY$8:$AY$507,"&lt;"&amp;$AY404)
    + 1,
  Constants!$B$14),
$AG404))</f>
        <v/>
      </c>
      <c r="BA404" s="66" t="str">
        <f aca="false">IF(ISBLANK(C404),"",IF($AG404=Constants!$B$7, IF(ISNUMBER(AT404),AT404-AZ404,Constants!$B$14),$AG404))</f>
        <v/>
      </c>
      <c r="BB404" s="70"/>
      <c r="BC404" s="84" t="str">
        <f aca="false">IF(ISBLANK($C404),"",TRIM(AK404&amp;" "&amp;AO404))</f>
        <v/>
      </c>
      <c r="BD404" s="72" t="str">
        <f aca="false">IF(ISBLANK($C404),"",IF($AG404&lt;&gt;Constants!$B$7,$AG404,AR404))</f>
        <v/>
      </c>
      <c r="BE404" s="72" t="str">
        <f aca="false">IF(ISBLANK($C404),"",IF($AG404&lt;&gt;Constants!$B$7,$AG404,AM404))</f>
        <v/>
      </c>
      <c r="BF404" s="72" t="str">
        <f aca="false">IF(ISBLANK($C404),"",IF($AG404&lt;&gt;Constants!$B$7,$AG404,AQ404))</f>
        <v/>
      </c>
      <c r="BG404" s="73" t="str">
        <f aca="false">IF(ISBLANK($C404),"",IF($AG404&lt;&gt;Constants!$B$7, $AG404 ,AS404))</f>
        <v/>
      </c>
      <c r="BH404" s="74" t="str">
        <f aca="false">IF(ISBLANK($C404),"",IF($AG404&lt;&gt;Constants!$B$7, $AG404 ,AH404))</f>
        <v/>
      </c>
      <c r="BI404" s="72" t="str">
        <f aca="false">IF(ISBLANK(C404),"",BA404)</f>
        <v/>
      </c>
      <c r="BJ404" s="72" t="str">
        <f aca="false">IF(ISBLANK(C404),"",AZ404)</f>
        <v/>
      </c>
      <c r="BK404" s="75" t="str">
        <f aca="false">IF(ISBLANK(C404),"",IFERROR(_xlfn.SWITCH(BJ404, Constants!$B$4, COUNTA($C$8:$C903)+2, Constants!$B$5, COUNTA($C$8:$C903)+1, Constants!$B$6, COUNTA($C$8:$C903)),BJ404))</f>
        <v/>
      </c>
      <c r="BL404" s="5"/>
      <c r="BM404" s="76" t="n">
        <f aca="false">IF(OR(ISNUMBER(BJ404),BJ404="DQ",BJ404="P",BJ404="NS"),
    1,
    0
)</f>
        <v>0</v>
      </c>
      <c r="BN404" s="76" t="n">
        <v>397</v>
      </c>
      <c r="BO404" s="76" t="str">
        <f aca="false">IF(ISBLANK($C404),"",IF(ISNUMBER(BK404),BK404+ROW($B404)/1000,""))</f>
        <v/>
      </c>
      <c r="BP404" s="76" t="str">
        <f aca="false">IF(ISNUMBER(BO404), RANK(BO404,BO$8:BO$507,1), "")</f>
        <v/>
      </c>
      <c r="BQ404" s="76" t="str">
        <f aca="false">IF(ISBLANK($C404),
    "",
    $B404
)</f>
        <v/>
      </c>
      <c r="BR404" s="76" t="str">
        <f aca="false">IF(ISBLANK($C404),
    "",
    $C404
)</f>
        <v/>
      </c>
      <c r="BS404" s="76" t="str">
        <f aca="false">IF(ISBLANK($C404),
    "",
    $D404
)</f>
        <v/>
      </c>
      <c r="BT404" s="77" t="str">
        <f aca="false">BH404</f>
        <v/>
      </c>
      <c r="BU404" s="78" t="str">
        <f aca="false">BG404</f>
        <v/>
      </c>
      <c r="BV404" s="76" t="str">
        <f aca="false">IF(ISBLANK($C404),
    "",
    BJ404
)</f>
        <v/>
      </c>
      <c r="BW404" s="79" t="str">
        <f aca="false">IF(BN404&gt;BM$7,
    "",
    VLOOKUP(BN404,BP$8:BV903,7,FALSE())
)</f>
        <v/>
      </c>
      <c r="BX404" s="80" t="str">
        <f aca="false">IF(BN404&gt;BM$7,
    "",
    VLOOKUP(BN404,BP$8:BV903,2,FALSE())
)</f>
        <v/>
      </c>
      <c r="BY404" s="80" t="str">
        <f aca="false">IF(BN404&gt;BM$7,
    "",
    VLOOKUP(BN404,BP$8:BV903,3,FALSE())
)</f>
        <v/>
      </c>
      <c r="BZ404" s="80" t="str">
        <f aca="false">IF(BN404&gt;BM$7,
    "",
    VLOOKUP(BN404,BP$8:BV903,4,FALSE())
)</f>
        <v/>
      </c>
      <c r="CA404" s="80" t="str">
        <f aca="false">IF(BN404&gt;BM$7,
    "",
    VLOOKUP(BN404,BP$8:BV903,5,FALSE())
)</f>
        <v/>
      </c>
      <c r="CB404" s="81" t="str">
        <f aca="false">IF(BN404&gt;BM$7,
    "",
    VLOOKUP(BN404,BP$8:BV903,6,FALSE())
)</f>
        <v/>
      </c>
      <c r="CC404" s="53"/>
    </row>
    <row r="405" customFormat="false" ht="15.75" hidden="false" customHeight="false" outlineLevel="0" collapsed="false">
      <c r="A405" s="5"/>
      <c r="B405" s="129"/>
      <c r="C405" s="55"/>
      <c r="D405" s="56"/>
      <c r="E405" s="123"/>
      <c r="F405" s="123"/>
      <c r="G405" s="58"/>
      <c r="H405" s="59"/>
      <c r="I405" s="59"/>
      <c r="J405" s="83"/>
      <c r="K405" s="83"/>
      <c r="L405" s="83"/>
      <c r="M405" s="61"/>
      <c r="N405" s="61"/>
      <c r="O405" s="61"/>
      <c r="P405" s="62"/>
      <c r="Q405" s="63"/>
      <c r="R405" s="83"/>
      <c r="S405" s="65"/>
      <c r="T405" s="66"/>
      <c r="U405" s="66" t="str">
        <f aca="false">IF(ISBLANK($C405),"",IF(G405=Constants!$B$2, TRUE(), IF(G405=Constants!$B$3, FALSE(), TRUE())))</f>
        <v/>
      </c>
      <c r="V405" s="66" t="str">
        <f aca="false">IF(ISBLANK($C405),"",IF(H405=Constants!$B$2, TRUE(), IF(H405=Constants!$B$3, FALSE(), TRUE())))</f>
        <v/>
      </c>
      <c r="W405" s="66" t="str">
        <f aca="false">IF(ISBLANK($C405),"",IF(I405=Constants!$B$2, TRUE(), IF(I405=Constants!$B$3, FALSE(), TRUE())))</f>
        <v/>
      </c>
      <c r="X405" s="66" t="str">
        <f aca="false">IF(ISBLANK($C405),"",IF(AND(ISNUMBER(J405),J405&gt;0),INT(J405),0))</f>
        <v/>
      </c>
      <c r="Y405" s="66" t="str">
        <f aca="false">IF(ISBLANK($C405),"",IF(K405=Constants!$B$2, TRUE(), IF(K405=Constants!$B$3, FALSE(), TRUE())))</f>
        <v/>
      </c>
      <c r="Z405" s="66" t="str">
        <f aca="false">IF(ISBLANK($C405),"",IF(AND(ISNUMBER(L405),L405&gt;0),INT(L405),0))</f>
        <v/>
      </c>
      <c r="AA405" s="68" t="str">
        <f aca="false">IF(ISBLANK($C405),"",IF(ISNUMBER(M405), M405, ""))</f>
        <v/>
      </c>
      <c r="AB405" s="68" t="str">
        <f aca="false">IF(ISBLANK($C405),"",IF(ISNUMBER(N405), N405, ""))</f>
        <v/>
      </c>
      <c r="AC405" s="68" t="str">
        <f aca="false">IF(ISBLANK($C405),"",IF(ISNUMBER(O405), O405, ""))</f>
        <v/>
      </c>
      <c r="AD405" s="69" t="str">
        <f aca="false">IF(ISBLANK($C405),"",IF(ISNUMBER(P405), P405, ""))</f>
        <v/>
      </c>
      <c r="AE405" s="69" t="str">
        <f aca="false">IF(ISBLANK($C405),"",IF(ISNUMBER(Q405), Q405, Constants!$B$13))</f>
        <v/>
      </c>
      <c r="AF405" s="66" t="str">
        <f aca="false">IF(ISBLANK($C405),"",IF(R405=Constants!$B$2, TRUE(), IF(R405=Constants!$B$3, FALSE(), FALSE())))</f>
        <v/>
      </c>
      <c r="AG405" s="66" t="str">
        <f aca="false">IF(ISBLANK(C405), "", IF(AF405, Constants!$B$4,IF(COUNTA(G405:P405)=0, Constants!$B$5, Constants!$B$7)))</f>
        <v/>
      </c>
      <c r="AH405" s="66" t="str">
        <f aca="false">IF(ISBLANK($C405), "",IF($AG405=Constants!$B$7,1,$AG405))</f>
        <v/>
      </c>
      <c r="AI405" s="66" t="str">
        <f aca="false">IF($AG405=Constants!$B$7,POWER(Constants!$B$11,X405)*POWER(Constants!$B$12,Z405),"")</f>
        <v/>
      </c>
      <c r="AJ405" s="66" t="str">
        <f aca="false">IF(AND($AG405=Constants!$B$7, U405, V405) ,IF(OR($AA405="",$AC405=""),"",MAX(0, $AC405-$AA405)),"")</f>
        <v/>
      </c>
      <c r="AK405" s="66" t="str">
        <f aca="false">IF(AND($AG405=Constants!$B$7, U405, V405),IF(OR($AA405="",$AC405=""),$AK$6,""),"")</f>
        <v/>
      </c>
      <c r="AL405" s="66" t="str">
        <f aca="false">IF($AG405=Constants!$B$7,IF(AND(U405,V405,W405,Y405),IF($AJ405="",0,IF($AJ$6=0,Constants!$B$9,Constants!$B$9*AJ405/$AJ$6)), 0),"")</f>
        <v/>
      </c>
      <c r="AM405" s="66" t="str">
        <f aca="false">IF(AL405&lt;&gt;"", AL405*AI405,"")</f>
        <v/>
      </c>
      <c r="AN405" s="66" t="str">
        <f aca="false">IF(AND($AG405=Constants!$B$7, U405, V405) ,IF($AB405="", "", IF(OR($AC405="",$AC405=0),"",MAX(0,1-ABS($AC405-$AB405)/$AC405))),"")</f>
        <v/>
      </c>
      <c r="AO405" s="66" t="str">
        <f aca="false">IF(AND($AG405=Constants!$B$7, U405, V405),IF(AND($AA405&lt;&gt;"",$AB405&lt;&gt;"",$AC405=0),$AO$6,""),"")</f>
        <v/>
      </c>
      <c r="AP405" s="66" t="str">
        <f aca="false">IF($AG405=Constants!$B$7 ,IF(AND(U405,V405,W405,Y405,ISNUMBER(AB405)),IF($AN405="",0,IF($AN$6=0,Constants!$B$10,Constants!$B$10*AN405/$AN$6)), 0),"")</f>
        <v/>
      </c>
      <c r="AQ405" s="66" t="str">
        <f aca="false">IF(AP405&lt;&gt;"", AP405*AI405,"")</f>
        <v/>
      </c>
      <c r="AR405" s="66" t="str">
        <f aca="false">IF($AG405=Constants!$B$7,IF($AD405="",0,IF($AR$6=0,Constants!$B$8,Constants!$B$8*AD405/$AR$6)),"")</f>
        <v/>
      </c>
      <c r="AS405" s="66" t="str">
        <f aca="false">IF($AG405&lt;&gt;Constants!$B$7,$AG405,IF(AK405&amp;AO405&lt;&gt;"",Constants!$B$14,AM405+AQ405+AR405))</f>
        <v/>
      </c>
      <c r="AT405" s="66" t="str">
        <f aca="false">IF(ISBLANK($C405),"",IF($AG405=Constants!$B$7,IF(ISNUMBER(AS405),RANK(AS405,$AS$8:$AS$507),Constants!$B$14),$AG405))</f>
        <v/>
      </c>
      <c r="AU405" s="66" t="str">
        <f aca="false">IF(ISBLANK($C405), "",AM405)</f>
        <v/>
      </c>
      <c r="AV405" s="66" t="str">
        <f aca="false">IF(ISBLANK($C405),"",IF($AG405=Constants!$B$7,RANK(AU405,AU$8:AU$507),$AG405))</f>
        <v/>
      </c>
      <c r="AW405" s="66" t="str">
        <f aca="false">IF(ISBLANK($C405), "",AR405)</f>
        <v/>
      </c>
      <c r="AX405" s="66" t="str">
        <f aca="false">IF(ISBLANK($C405),"",IF($AG405=Constants!$B$7,RANK(AW405,AW$8:AW$507),$AG405))</f>
        <v/>
      </c>
      <c r="AY405" s="66" t="str">
        <f aca="false">IF(ISBLANK($C405), "",AE405)</f>
        <v/>
      </c>
      <c r="AZ405" s="66" t="str">
        <f aca="false">IF(ISBLANK($C405),"",
IF($AG405=Constants!$B$7,
  IF(ISNUMBER(AT405),
    COUNTIFS($AT$8:$AT$507,"&lt;"&amp;$AT405)
    + COUNTIFS($AT$8:$AT$507,$AT405,$AV$8:$AV$507,"&lt;"&amp;$AV405)
    + COUNTIFS($AT$8:$AT$507,$AT405,$AV$8:$AV$507,$AV405,$AX$8:$AX$507,"&lt;"&amp;$AX405)
    + COUNTIFS($AT$8:$AT$507,$AT405,$AV$8:$AV$507,$AV405,$AX$8:$AX$507,$AX405,$AY$8:$AY$507,"&lt;"&amp;$AY405)
    + 1,
  Constants!$B$14),
$AG405))</f>
        <v/>
      </c>
      <c r="BA405" s="66" t="str">
        <f aca="false">IF(ISBLANK(C405),"",IF($AG405=Constants!$B$7, IF(ISNUMBER(AT405),AT405-AZ405,Constants!$B$14),$AG405))</f>
        <v/>
      </c>
      <c r="BB405" s="70"/>
      <c r="BC405" s="84" t="str">
        <f aca="false">IF(ISBLANK($C405),"",TRIM(AK405&amp;" "&amp;AO405))</f>
        <v/>
      </c>
      <c r="BD405" s="72" t="str">
        <f aca="false">IF(ISBLANK($C405),"",IF($AG405&lt;&gt;Constants!$B$7,$AG405,AR405))</f>
        <v/>
      </c>
      <c r="BE405" s="72" t="str">
        <f aca="false">IF(ISBLANK($C405),"",IF($AG405&lt;&gt;Constants!$B$7,$AG405,AM405))</f>
        <v/>
      </c>
      <c r="BF405" s="72" t="str">
        <f aca="false">IF(ISBLANK($C405),"",IF($AG405&lt;&gt;Constants!$B$7,$AG405,AQ405))</f>
        <v/>
      </c>
      <c r="BG405" s="73" t="str">
        <f aca="false">IF(ISBLANK($C405),"",IF($AG405&lt;&gt;Constants!$B$7, $AG405 ,AS405))</f>
        <v/>
      </c>
      <c r="BH405" s="74" t="str">
        <f aca="false">IF(ISBLANK($C405),"",IF($AG405&lt;&gt;Constants!$B$7, $AG405 ,AH405))</f>
        <v/>
      </c>
      <c r="BI405" s="72" t="str">
        <f aca="false">IF(ISBLANK(C405),"",BA405)</f>
        <v/>
      </c>
      <c r="BJ405" s="72" t="str">
        <f aca="false">IF(ISBLANK(C405),"",AZ405)</f>
        <v/>
      </c>
      <c r="BK405" s="75" t="str">
        <f aca="false">IF(ISBLANK(C405),"",IFERROR(_xlfn.SWITCH(BJ405, Constants!$B$4, COUNTA($C$8:$C904)+2, Constants!$B$5, COUNTA($C$8:$C904)+1, Constants!$B$6, COUNTA($C$8:$C904)),BJ405))</f>
        <v/>
      </c>
      <c r="BL405" s="5"/>
      <c r="BM405" s="76" t="n">
        <f aca="false">IF(OR(ISNUMBER(BJ405),BJ405="DQ",BJ405="P",BJ405="NS"),
    1,
    0
)</f>
        <v>0</v>
      </c>
      <c r="BN405" s="76" t="n">
        <v>398</v>
      </c>
      <c r="BO405" s="76" t="str">
        <f aca="false">IF(ISBLANK($C405),"",IF(ISNUMBER(BK405),BK405+ROW($B405)/1000,""))</f>
        <v/>
      </c>
      <c r="BP405" s="76" t="str">
        <f aca="false">IF(ISNUMBER(BO405), RANK(BO405,BO$8:BO$507,1), "")</f>
        <v/>
      </c>
      <c r="BQ405" s="76" t="str">
        <f aca="false">IF(ISBLANK($C405),
    "",
    $B405
)</f>
        <v/>
      </c>
      <c r="BR405" s="76" t="str">
        <f aca="false">IF(ISBLANK($C405),
    "",
    $C405
)</f>
        <v/>
      </c>
      <c r="BS405" s="76" t="str">
        <f aca="false">IF(ISBLANK($C405),
    "",
    $D405
)</f>
        <v/>
      </c>
      <c r="BT405" s="77" t="str">
        <f aca="false">BH405</f>
        <v/>
      </c>
      <c r="BU405" s="78" t="str">
        <f aca="false">BG405</f>
        <v/>
      </c>
      <c r="BV405" s="76" t="str">
        <f aca="false">IF(ISBLANK($C405),
    "",
    BJ405
)</f>
        <v/>
      </c>
      <c r="BW405" s="79" t="str">
        <f aca="false">IF(BN405&gt;BM$7,
    "",
    VLOOKUP(BN405,BP$8:BV904,7,FALSE())
)</f>
        <v/>
      </c>
      <c r="BX405" s="80" t="str">
        <f aca="false">IF(BN405&gt;BM$7,
    "",
    VLOOKUP(BN405,BP$8:BV904,2,FALSE())
)</f>
        <v/>
      </c>
      <c r="BY405" s="80" t="str">
        <f aca="false">IF(BN405&gt;BM$7,
    "",
    VLOOKUP(BN405,BP$8:BV904,3,FALSE())
)</f>
        <v/>
      </c>
      <c r="BZ405" s="80" t="str">
        <f aca="false">IF(BN405&gt;BM$7,
    "",
    VLOOKUP(BN405,BP$8:BV904,4,FALSE())
)</f>
        <v/>
      </c>
      <c r="CA405" s="80" t="str">
        <f aca="false">IF(BN405&gt;BM$7,
    "",
    VLOOKUP(BN405,BP$8:BV904,5,FALSE())
)</f>
        <v/>
      </c>
      <c r="CB405" s="81" t="str">
        <f aca="false">IF(BN405&gt;BM$7,
    "",
    VLOOKUP(BN405,BP$8:BV904,6,FALSE())
)</f>
        <v/>
      </c>
      <c r="CC405" s="53"/>
    </row>
    <row r="406" customFormat="false" ht="15.75" hidden="false" customHeight="false" outlineLevel="0" collapsed="false">
      <c r="A406" s="5"/>
      <c r="B406" s="129"/>
      <c r="C406" s="55"/>
      <c r="D406" s="56"/>
      <c r="E406" s="123"/>
      <c r="F406" s="123"/>
      <c r="G406" s="58"/>
      <c r="H406" s="59"/>
      <c r="I406" s="59"/>
      <c r="J406" s="83"/>
      <c r="K406" s="83"/>
      <c r="L406" s="83"/>
      <c r="M406" s="61"/>
      <c r="N406" s="61"/>
      <c r="O406" s="61"/>
      <c r="P406" s="62"/>
      <c r="Q406" s="63"/>
      <c r="R406" s="83"/>
      <c r="S406" s="65"/>
      <c r="T406" s="66"/>
      <c r="U406" s="66" t="str">
        <f aca="false">IF(ISBLANK($C406),"",IF(G406=Constants!$B$2, TRUE(), IF(G406=Constants!$B$3, FALSE(), TRUE())))</f>
        <v/>
      </c>
      <c r="V406" s="66" t="str">
        <f aca="false">IF(ISBLANK($C406),"",IF(H406=Constants!$B$2, TRUE(), IF(H406=Constants!$B$3, FALSE(), TRUE())))</f>
        <v/>
      </c>
      <c r="W406" s="66" t="str">
        <f aca="false">IF(ISBLANK($C406),"",IF(I406=Constants!$B$2, TRUE(), IF(I406=Constants!$B$3, FALSE(), TRUE())))</f>
        <v/>
      </c>
      <c r="X406" s="66" t="str">
        <f aca="false">IF(ISBLANK($C406),"",IF(AND(ISNUMBER(J406),J406&gt;0),INT(J406),0))</f>
        <v/>
      </c>
      <c r="Y406" s="66" t="str">
        <f aca="false">IF(ISBLANK($C406),"",IF(K406=Constants!$B$2, TRUE(), IF(K406=Constants!$B$3, FALSE(), TRUE())))</f>
        <v/>
      </c>
      <c r="Z406" s="66" t="str">
        <f aca="false">IF(ISBLANK($C406),"",IF(AND(ISNUMBER(L406),L406&gt;0),INT(L406),0))</f>
        <v/>
      </c>
      <c r="AA406" s="68" t="str">
        <f aca="false">IF(ISBLANK($C406),"",IF(ISNUMBER(M406), M406, ""))</f>
        <v/>
      </c>
      <c r="AB406" s="68" t="str">
        <f aca="false">IF(ISBLANK($C406),"",IF(ISNUMBER(N406), N406, ""))</f>
        <v/>
      </c>
      <c r="AC406" s="68" t="str">
        <f aca="false">IF(ISBLANK($C406),"",IF(ISNUMBER(O406), O406, ""))</f>
        <v/>
      </c>
      <c r="AD406" s="69" t="str">
        <f aca="false">IF(ISBLANK($C406),"",IF(ISNUMBER(P406), P406, ""))</f>
        <v/>
      </c>
      <c r="AE406" s="69" t="str">
        <f aca="false">IF(ISBLANK($C406),"",IF(ISNUMBER(Q406), Q406, Constants!$B$13))</f>
        <v/>
      </c>
      <c r="AF406" s="66" t="str">
        <f aca="false">IF(ISBLANK($C406),"",IF(R406=Constants!$B$2, TRUE(), IF(R406=Constants!$B$3, FALSE(), FALSE())))</f>
        <v/>
      </c>
      <c r="AG406" s="66" t="str">
        <f aca="false">IF(ISBLANK(C406), "", IF(AF406, Constants!$B$4,IF(COUNTA(G406:P406)=0, Constants!$B$5, Constants!$B$7)))</f>
        <v/>
      </c>
      <c r="AH406" s="66" t="str">
        <f aca="false">IF(ISBLANK($C406), "",IF($AG406=Constants!$B$7,1,$AG406))</f>
        <v/>
      </c>
      <c r="AI406" s="66" t="str">
        <f aca="false">IF($AG406=Constants!$B$7,POWER(Constants!$B$11,X406)*POWER(Constants!$B$12,Z406),"")</f>
        <v/>
      </c>
      <c r="AJ406" s="66" t="str">
        <f aca="false">IF(AND($AG406=Constants!$B$7, U406, V406) ,IF(OR($AA406="",$AC406=""),"",MAX(0, $AC406-$AA406)),"")</f>
        <v/>
      </c>
      <c r="AK406" s="66" t="str">
        <f aca="false">IF(AND($AG406=Constants!$B$7, U406, V406),IF(OR($AA406="",$AC406=""),$AK$6,""),"")</f>
        <v/>
      </c>
      <c r="AL406" s="66" t="str">
        <f aca="false">IF($AG406=Constants!$B$7,IF(AND(U406,V406,W406,Y406),IF($AJ406="",0,IF($AJ$6=0,Constants!$B$9,Constants!$B$9*AJ406/$AJ$6)), 0),"")</f>
        <v/>
      </c>
      <c r="AM406" s="66" t="str">
        <f aca="false">IF(AL406&lt;&gt;"", AL406*AI406,"")</f>
        <v/>
      </c>
      <c r="AN406" s="66" t="str">
        <f aca="false">IF(AND($AG406=Constants!$B$7, U406, V406) ,IF($AB406="", "", IF(OR($AC406="",$AC406=0),"",MAX(0,1-ABS($AC406-$AB406)/$AC406))),"")</f>
        <v/>
      </c>
      <c r="AO406" s="66" t="str">
        <f aca="false">IF(AND($AG406=Constants!$B$7, U406, V406),IF(AND($AA406&lt;&gt;"",$AB406&lt;&gt;"",$AC406=0),$AO$6,""),"")</f>
        <v/>
      </c>
      <c r="AP406" s="66" t="str">
        <f aca="false">IF($AG406=Constants!$B$7 ,IF(AND(U406,V406,W406,Y406,ISNUMBER(AB406)),IF($AN406="",0,IF($AN$6=0,Constants!$B$10,Constants!$B$10*AN406/$AN$6)), 0),"")</f>
        <v/>
      </c>
      <c r="AQ406" s="66" t="str">
        <f aca="false">IF(AP406&lt;&gt;"", AP406*AI406,"")</f>
        <v/>
      </c>
      <c r="AR406" s="66" t="str">
        <f aca="false">IF($AG406=Constants!$B$7,IF($AD406="",0,IF($AR$6=0,Constants!$B$8,Constants!$B$8*AD406/$AR$6)),"")</f>
        <v/>
      </c>
      <c r="AS406" s="66" t="str">
        <f aca="false">IF($AG406&lt;&gt;Constants!$B$7,$AG406,IF(AK406&amp;AO406&lt;&gt;"",Constants!$B$14,AM406+AQ406+AR406))</f>
        <v/>
      </c>
      <c r="AT406" s="66" t="str">
        <f aca="false">IF(ISBLANK($C406),"",IF($AG406=Constants!$B$7,IF(ISNUMBER(AS406),RANK(AS406,$AS$8:$AS$507),Constants!$B$14),$AG406))</f>
        <v/>
      </c>
      <c r="AU406" s="66" t="str">
        <f aca="false">IF(ISBLANK($C406), "",AM406)</f>
        <v/>
      </c>
      <c r="AV406" s="66" t="str">
        <f aca="false">IF(ISBLANK($C406),"",IF($AG406=Constants!$B$7,RANK(AU406,AU$8:AU$507),$AG406))</f>
        <v/>
      </c>
      <c r="AW406" s="66" t="str">
        <f aca="false">IF(ISBLANK($C406), "",AR406)</f>
        <v/>
      </c>
      <c r="AX406" s="66" t="str">
        <f aca="false">IF(ISBLANK($C406),"",IF($AG406=Constants!$B$7,RANK(AW406,AW$8:AW$507),$AG406))</f>
        <v/>
      </c>
      <c r="AY406" s="66" t="str">
        <f aca="false">IF(ISBLANK($C406), "",AE406)</f>
        <v/>
      </c>
      <c r="AZ406" s="66" t="str">
        <f aca="false">IF(ISBLANK($C406),"",
IF($AG406=Constants!$B$7,
  IF(ISNUMBER(AT406),
    COUNTIFS($AT$8:$AT$507,"&lt;"&amp;$AT406)
    + COUNTIFS($AT$8:$AT$507,$AT406,$AV$8:$AV$507,"&lt;"&amp;$AV406)
    + COUNTIFS($AT$8:$AT$507,$AT406,$AV$8:$AV$507,$AV406,$AX$8:$AX$507,"&lt;"&amp;$AX406)
    + COUNTIFS($AT$8:$AT$507,$AT406,$AV$8:$AV$507,$AV406,$AX$8:$AX$507,$AX406,$AY$8:$AY$507,"&lt;"&amp;$AY406)
    + 1,
  Constants!$B$14),
$AG406))</f>
        <v/>
      </c>
      <c r="BA406" s="66" t="str">
        <f aca="false">IF(ISBLANK(C406),"",IF($AG406=Constants!$B$7, IF(ISNUMBER(AT406),AT406-AZ406,Constants!$B$14),$AG406))</f>
        <v/>
      </c>
      <c r="BB406" s="70"/>
      <c r="BC406" s="84" t="str">
        <f aca="false">IF(ISBLANK($C406),"",TRIM(AK406&amp;" "&amp;AO406))</f>
        <v/>
      </c>
      <c r="BD406" s="72" t="str">
        <f aca="false">IF(ISBLANK($C406),"",IF($AG406&lt;&gt;Constants!$B$7,$AG406,AR406))</f>
        <v/>
      </c>
      <c r="BE406" s="72" t="str">
        <f aca="false">IF(ISBLANK($C406),"",IF($AG406&lt;&gt;Constants!$B$7,$AG406,AM406))</f>
        <v/>
      </c>
      <c r="BF406" s="72" t="str">
        <f aca="false">IF(ISBLANK($C406),"",IF($AG406&lt;&gt;Constants!$B$7,$AG406,AQ406))</f>
        <v/>
      </c>
      <c r="BG406" s="73" t="str">
        <f aca="false">IF(ISBLANK($C406),"",IF($AG406&lt;&gt;Constants!$B$7, $AG406 ,AS406))</f>
        <v/>
      </c>
      <c r="BH406" s="74" t="str">
        <f aca="false">IF(ISBLANK($C406),"",IF($AG406&lt;&gt;Constants!$B$7, $AG406 ,AH406))</f>
        <v/>
      </c>
      <c r="BI406" s="72" t="str">
        <f aca="false">IF(ISBLANK(C406),"",BA406)</f>
        <v/>
      </c>
      <c r="BJ406" s="72" t="str">
        <f aca="false">IF(ISBLANK(C406),"",AZ406)</f>
        <v/>
      </c>
      <c r="BK406" s="75" t="str">
        <f aca="false">IF(ISBLANK(C406),"",IFERROR(_xlfn.SWITCH(BJ406, Constants!$B$4, COUNTA($C$8:$C905)+2, Constants!$B$5, COUNTA($C$8:$C905)+1, Constants!$B$6, COUNTA($C$8:$C905)),BJ406))</f>
        <v/>
      </c>
      <c r="BL406" s="5"/>
      <c r="BM406" s="76" t="n">
        <f aca="false">IF(OR(ISNUMBER(BJ406),BJ406="DQ",BJ406="P",BJ406="NS"),
    1,
    0
)</f>
        <v>0</v>
      </c>
      <c r="BN406" s="76" t="n">
        <v>399</v>
      </c>
      <c r="BO406" s="76" t="str">
        <f aca="false">IF(ISBLANK($C406),"",IF(ISNUMBER(BK406),BK406+ROW($B406)/1000,""))</f>
        <v/>
      </c>
      <c r="BP406" s="76" t="str">
        <f aca="false">IF(ISNUMBER(BO406), RANK(BO406,BO$8:BO$507,1), "")</f>
        <v/>
      </c>
      <c r="BQ406" s="76" t="str">
        <f aca="false">IF(ISBLANK($C406),
    "",
    $B406
)</f>
        <v/>
      </c>
      <c r="BR406" s="76" t="str">
        <f aca="false">IF(ISBLANK($C406),
    "",
    $C406
)</f>
        <v/>
      </c>
      <c r="BS406" s="76" t="str">
        <f aca="false">IF(ISBLANK($C406),
    "",
    $D406
)</f>
        <v/>
      </c>
      <c r="BT406" s="77" t="str">
        <f aca="false">BH406</f>
        <v/>
      </c>
      <c r="BU406" s="78" t="str">
        <f aca="false">BG406</f>
        <v/>
      </c>
      <c r="BV406" s="76" t="str">
        <f aca="false">IF(ISBLANK($C406),
    "",
    BJ406
)</f>
        <v/>
      </c>
      <c r="BW406" s="79" t="str">
        <f aca="false">IF(BN406&gt;BM$7,
    "",
    VLOOKUP(BN406,BP$8:BV905,7,FALSE())
)</f>
        <v/>
      </c>
      <c r="BX406" s="80" t="str">
        <f aca="false">IF(BN406&gt;BM$7,
    "",
    VLOOKUP(BN406,BP$8:BV905,2,FALSE())
)</f>
        <v/>
      </c>
      <c r="BY406" s="80" t="str">
        <f aca="false">IF(BN406&gt;BM$7,
    "",
    VLOOKUP(BN406,BP$8:BV905,3,FALSE())
)</f>
        <v/>
      </c>
      <c r="BZ406" s="80" t="str">
        <f aca="false">IF(BN406&gt;BM$7,
    "",
    VLOOKUP(BN406,BP$8:BV905,4,FALSE())
)</f>
        <v/>
      </c>
      <c r="CA406" s="80" t="str">
        <f aca="false">IF(BN406&gt;BM$7,
    "",
    VLOOKUP(BN406,BP$8:BV905,5,FALSE())
)</f>
        <v/>
      </c>
      <c r="CB406" s="81" t="str">
        <f aca="false">IF(BN406&gt;BM$7,
    "",
    VLOOKUP(BN406,BP$8:BV905,6,FALSE())
)</f>
        <v/>
      </c>
      <c r="CC406" s="53"/>
    </row>
    <row r="407" customFormat="false" ht="15.75" hidden="false" customHeight="false" outlineLevel="0" collapsed="false">
      <c r="A407" s="5"/>
      <c r="B407" s="125"/>
      <c r="C407" s="126"/>
      <c r="D407" s="115"/>
      <c r="E407" s="119"/>
      <c r="F407" s="119"/>
      <c r="G407" s="91"/>
      <c r="H407" s="92"/>
      <c r="I407" s="92"/>
      <c r="J407" s="128"/>
      <c r="K407" s="128"/>
      <c r="L407" s="128"/>
      <c r="M407" s="94"/>
      <c r="N407" s="94"/>
      <c r="O407" s="94"/>
      <c r="P407" s="95"/>
      <c r="Q407" s="96"/>
      <c r="R407" s="128"/>
      <c r="S407" s="98"/>
      <c r="T407" s="99"/>
      <c r="U407" s="99" t="str">
        <f aca="false">IF(ISBLANK($C407),"",IF(G407=Constants!$B$2, TRUE(), IF(G407=Constants!$B$3, FALSE(), TRUE())))</f>
        <v/>
      </c>
      <c r="V407" s="99" t="str">
        <f aca="false">IF(ISBLANK($C407),"",IF(H407=Constants!$B$2, TRUE(), IF(H407=Constants!$B$3, FALSE(), TRUE())))</f>
        <v/>
      </c>
      <c r="W407" s="99" t="str">
        <f aca="false">IF(ISBLANK($C407),"",IF(I407=Constants!$B$2, TRUE(), IF(I407=Constants!$B$3, FALSE(), TRUE())))</f>
        <v/>
      </c>
      <c r="X407" s="99" t="str">
        <f aca="false">IF(ISBLANK($C407),"",IF(AND(ISNUMBER(J407),J407&gt;0),INT(J407),0))</f>
        <v/>
      </c>
      <c r="Y407" s="99" t="str">
        <f aca="false">IF(ISBLANK($C407),"",IF(K407=Constants!$B$2, TRUE(), IF(K407=Constants!$B$3, FALSE(), TRUE())))</f>
        <v/>
      </c>
      <c r="Z407" s="100" t="str">
        <f aca="false">IF(ISBLANK($C407),"",IF(AND(ISNUMBER(L407),L407&gt;0),INT(L407),0))</f>
        <v/>
      </c>
      <c r="AA407" s="101" t="str">
        <f aca="false">IF(ISBLANK($C407),"",IF(ISNUMBER(M407), M407, ""))</f>
        <v/>
      </c>
      <c r="AB407" s="101" t="str">
        <f aca="false">IF(ISBLANK($C407),"",IF(ISNUMBER(N407), N407, ""))</f>
        <v/>
      </c>
      <c r="AC407" s="101" t="str">
        <f aca="false">IF(ISBLANK($C407),"",IF(ISNUMBER(O407), O407, ""))</f>
        <v/>
      </c>
      <c r="AD407" s="102" t="str">
        <f aca="false">IF(ISBLANK($C407),"",IF(ISNUMBER(P407), P407, ""))</f>
        <v/>
      </c>
      <c r="AE407" s="102" t="str">
        <f aca="false">IF(ISBLANK($C407),"",IF(ISNUMBER(Q407), Q407, Constants!$B$13))</f>
        <v/>
      </c>
      <c r="AF407" s="99" t="str">
        <f aca="false">IF(ISBLANK($C407),"",IF(R407=Constants!$B$2, TRUE(), IF(R407=Constants!$B$3, FALSE(), FALSE())))</f>
        <v/>
      </c>
      <c r="AG407" s="99" t="str">
        <f aca="false">IF(ISBLANK(C407), "", IF(AF407, Constants!$B$4,IF(COUNTA(G407:P407)=0, Constants!$B$5, Constants!$B$7)))</f>
        <v/>
      </c>
      <c r="AH407" s="99" t="str">
        <f aca="false">IF(ISBLANK($C407), "",IF($AG407=Constants!$B$7,1,$AG407))</f>
        <v/>
      </c>
      <c r="AI407" s="99" t="str">
        <f aca="false">IF($AG407=Constants!$B$7,POWER(Constants!$B$11,X407)*POWER(Constants!$B$12,Z407),"")</f>
        <v/>
      </c>
      <c r="AJ407" s="99" t="str">
        <f aca="false">IF(AND($AG407=Constants!$B$7, U407, V407) ,IF(OR($AA407="",$AC407=""),"",MAX(0, $AC407-$AA407)),"")</f>
        <v/>
      </c>
      <c r="AK407" s="99" t="str">
        <f aca="false">IF(AND($AG407=Constants!$B$7, U407, V407),IF(OR($AA407="",$AC407=""),$AK$6,""),"")</f>
        <v/>
      </c>
      <c r="AL407" s="99" t="str">
        <f aca="false">IF($AG407=Constants!$B$7,IF(AND(U407,V407,W407,Y407),IF($AJ407="",0,IF($AJ$6=0,Constants!$B$9,Constants!$B$9*AJ407/$AJ$6)), 0),"")</f>
        <v/>
      </c>
      <c r="AM407" s="99" t="str">
        <f aca="false">IF(AL407&lt;&gt;"", AL407*AI407,"")</f>
        <v/>
      </c>
      <c r="AN407" s="99" t="str">
        <f aca="false">IF(AND($AG407=Constants!$B$7, U407, V407) ,IF($AB407="", "", IF(OR($AC407="",$AC407=0),"",MAX(0,1-ABS($AC407-$AB407)/$AC407))),"")</f>
        <v/>
      </c>
      <c r="AO407" s="99" t="str">
        <f aca="false">IF(AND($AG407=Constants!$B$7, U407, V407),IF(AND($AA407&lt;&gt;"",$AB407&lt;&gt;"",$AC407=0),$AO$6,""),"")</f>
        <v/>
      </c>
      <c r="AP407" s="99" t="str">
        <f aca="false">IF($AG407=Constants!$B$7 ,IF(AND(U407,V407,W407,Y407,ISNUMBER(AB407)),IF($AN407="",0,IF($AN$6=0,Constants!$B$10,Constants!$B$10*AN407/$AN$6)), 0),"")</f>
        <v/>
      </c>
      <c r="AQ407" s="99" t="str">
        <f aca="false">IF(AP407&lt;&gt;"", AP407*AI407,"")</f>
        <v/>
      </c>
      <c r="AR407" s="99" t="str">
        <f aca="false">IF($AG407=Constants!$B$7,IF($AD407="",0,IF($AR$6=0,Constants!$B$8,Constants!$B$8*AD407/$AR$6)),"")</f>
        <v/>
      </c>
      <c r="AS407" s="99" t="str">
        <f aca="false">IF($AG407&lt;&gt;Constants!$B$7,$AG407,IF(AK407&amp;AO407&lt;&gt;"",Constants!$B$14,AM407+AQ407+AR407))</f>
        <v/>
      </c>
      <c r="AT407" s="99" t="str">
        <f aca="false">IF(ISBLANK($C407),"",IF($AG407=Constants!$B$7,IF(ISNUMBER(AS407),RANK(AS407,$AS$8:$AS$507),Constants!$B$14),$AG407))</f>
        <v/>
      </c>
      <c r="AU407" s="99" t="str">
        <f aca="false">IF(ISBLANK($C407), "",AM407)</f>
        <v/>
      </c>
      <c r="AV407" s="99" t="str">
        <f aca="false">IF(ISBLANK($C407),"",IF($AG407=Constants!$B$7,RANK(AU407,AU$8:AU$507),$AG407))</f>
        <v/>
      </c>
      <c r="AW407" s="99" t="str">
        <f aca="false">IF(ISBLANK($C407), "",AR407)</f>
        <v/>
      </c>
      <c r="AX407" s="99" t="str">
        <f aca="false">IF(ISBLANK($C407),"",IF($AG407=Constants!$B$7,RANK(AW407,AW$8:AW$507),$AG407))</f>
        <v/>
      </c>
      <c r="AY407" s="99" t="str">
        <f aca="false">IF(ISBLANK($C407), "",AE407)</f>
        <v/>
      </c>
      <c r="AZ407" s="99" t="str">
        <f aca="false">IF(ISBLANK($C407),"",
IF($AG407=Constants!$B$7,
  IF(ISNUMBER(AT407),
    COUNTIFS($AT$8:$AT$507,"&lt;"&amp;$AT407)
    + COUNTIFS($AT$8:$AT$507,$AT407,$AV$8:$AV$507,"&lt;"&amp;$AV407)
    + COUNTIFS($AT$8:$AT$507,$AT407,$AV$8:$AV$507,$AV407,$AX$8:$AX$507,"&lt;"&amp;$AX407)
    + COUNTIFS($AT$8:$AT$507,$AT407,$AV$8:$AV$507,$AV407,$AX$8:$AX$507,$AX407,$AY$8:$AY$507,"&lt;"&amp;$AY407)
    + 1,
  Constants!$B$14),
$AG407))</f>
        <v/>
      </c>
      <c r="BA407" s="99" t="str">
        <f aca="false">IF(ISBLANK(C407),"",IF($AG407=Constants!$B$7, IF(ISNUMBER(AT407),AT407-AZ407,Constants!$B$14),$AG407))</f>
        <v/>
      </c>
      <c r="BB407" s="103"/>
      <c r="BC407" s="104" t="str">
        <f aca="false">IF(ISBLANK($C407),"",TRIM(AK407&amp;" "&amp;AO407))</f>
        <v/>
      </c>
      <c r="BD407" s="105" t="str">
        <f aca="false">IF(ISBLANK($C407),"",IF($AG407&lt;&gt;Constants!$B$7,$AG407,AR407))</f>
        <v/>
      </c>
      <c r="BE407" s="105" t="str">
        <f aca="false">IF(ISBLANK($C407),"",IF($AG407&lt;&gt;Constants!$B$7,$AG407,AM407))</f>
        <v/>
      </c>
      <c r="BF407" s="105" t="str">
        <f aca="false">IF(ISBLANK($C407),"",IF($AG407&lt;&gt;Constants!$B$7,$AG407,AQ407))</f>
        <v/>
      </c>
      <c r="BG407" s="106" t="str">
        <f aca="false">IF(ISBLANK($C407),"",IF($AG407&lt;&gt;Constants!$B$7, $AG407 ,AS407))</f>
        <v/>
      </c>
      <c r="BH407" s="107" t="str">
        <f aca="false">IF(ISBLANK($C407),"",IF($AG407&lt;&gt;Constants!$B$7, $AG407 ,AH407))</f>
        <v/>
      </c>
      <c r="BI407" s="105" t="str">
        <f aca="false">IF(ISBLANK(C407),"",BA407)</f>
        <v/>
      </c>
      <c r="BJ407" s="105" t="str">
        <f aca="false">IF(ISBLANK(C407),"",AZ407)</f>
        <v/>
      </c>
      <c r="BK407" s="108" t="str">
        <f aca="false">IF(ISBLANK(C407),"",IFERROR(_xlfn.SWITCH(BJ407, Constants!$B$4, COUNTA($C$8:$C906)+2, Constants!$B$5, COUNTA($C$8:$C906)+1, Constants!$B$6, COUNTA($C$8:$C906)),BJ407))</f>
        <v/>
      </c>
      <c r="BL407" s="5"/>
      <c r="BM407" s="109" t="n">
        <f aca="false">IF(OR(ISNUMBER(BJ407),BJ407="DQ",BJ407="P",BJ407="NS"),
    1,
    0
)</f>
        <v>0</v>
      </c>
      <c r="BN407" s="109" t="n">
        <v>400</v>
      </c>
      <c r="BO407" s="109" t="str">
        <f aca="false">IF(ISBLANK($C407),"",IF(ISNUMBER(BK407),BK407+ROW($B407)/1000,""))</f>
        <v/>
      </c>
      <c r="BP407" s="109" t="str">
        <f aca="false">IF(ISNUMBER(BO407), RANK(BO407,BO$8:BO$507,1), "")</f>
        <v/>
      </c>
      <c r="BQ407" s="109" t="str">
        <f aca="false">IF(ISBLANK($C407),
    "",
    $B407
)</f>
        <v/>
      </c>
      <c r="BR407" s="109" t="str">
        <f aca="false">IF(ISBLANK($C407),
    "",
    $C407
)</f>
        <v/>
      </c>
      <c r="BS407" s="109" t="str">
        <f aca="false">IF(ISBLANK($C407),
    "",
    $D407
)</f>
        <v/>
      </c>
      <c r="BT407" s="110" t="str">
        <f aca="false">BH407</f>
        <v/>
      </c>
      <c r="BU407" s="111" t="str">
        <f aca="false">BG407</f>
        <v/>
      </c>
      <c r="BV407" s="109" t="str">
        <f aca="false">IF(ISBLANK($C407),
    "",
    BJ407
)</f>
        <v/>
      </c>
      <c r="BW407" s="112" t="str">
        <f aca="false">IF(BN407&gt;BM$7,
    "",
    VLOOKUP(BN407,BP$8:BV906,7,FALSE())
)</f>
        <v/>
      </c>
      <c r="BX407" s="113" t="str">
        <f aca="false">IF(BN407&gt;BM$7,
    "",
    VLOOKUP(BN407,BP$8:BV906,2,FALSE())
)</f>
        <v/>
      </c>
      <c r="BY407" s="113" t="str">
        <f aca="false">IF(BN407&gt;BM$7,
    "",
    VLOOKUP(BN407,BP$8:BV906,3,FALSE())
)</f>
        <v/>
      </c>
      <c r="BZ407" s="113" t="str">
        <f aca="false">IF(BN407&gt;BM$7,
    "",
    VLOOKUP(BN407,BP$8:BV906,4,FALSE())
)</f>
        <v/>
      </c>
      <c r="CA407" s="113" t="str">
        <f aca="false">IF(BN407&gt;BM$7,
    "",
    VLOOKUP(BN407,BP$8:BV906,5,FALSE())
)</f>
        <v/>
      </c>
      <c r="CB407" s="114" t="str">
        <f aca="false">IF(BN407&gt;BM$7,
    "",
    VLOOKUP(BN407,BP$8:BV906,6,FALSE())
)</f>
        <v/>
      </c>
      <c r="CC407" s="53"/>
    </row>
    <row r="408" customFormat="false" ht="15.75" hidden="false" customHeight="false" outlineLevel="0" collapsed="false">
      <c r="A408" s="5"/>
      <c r="B408" s="125"/>
      <c r="C408" s="126"/>
      <c r="D408" s="115"/>
      <c r="E408" s="119"/>
      <c r="F408" s="119"/>
      <c r="G408" s="91"/>
      <c r="H408" s="92"/>
      <c r="I408" s="92"/>
      <c r="J408" s="128"/>
      <c r="K408" s="128"/>
      <c r="L408" s="128"/>
      <c r="M408" s="94"/>
      <c r="N408" s="94"/>
      <c r="O408" s="94"/>
      <c r="P408" s="95"/>
      <c r="Q408" s="96"/>
      <c r="R408" s="128"/>
      <c r="S408" s="98"/>
      <c r="T408" s="99"/>
      <c r="U408" s="99" t="str">
        <f aca="false">IF(ISBLANK($C408),"",IF(G408=Constants!$B$2, TRUE(), IF(G408=Constants!$B$3, FALSE(), TRUE())))</f>
        <v/>
      </c>
      <c r="V408" s="99" t="str">
        <f aca="false">IF(ISBLANK($C408),"",IF(H408=Constants!$B$2, TRUE(), IF(H408=Constants!$B$3, FALSE(), TRUE())))</f>
        <v/>
      </c>
      <c r="W408" s="99" t="str">
        <f aca="false">IF(ISBLANK($C408),"",IF(I408=Constants!$B$2, TRUE(), IF(I408=Constants!$B$3, FALSE(), TRUE())))</f>
        <v/>
      </c>
      <c r="X408" s="99" t="str">
        <f aca="false">IF(ISBLANK($C408),"",IF(AND(ISNUMBER(J408),J408&gt;0),INT(J408),0))</f>
        <v/>
      </c>
      <c r="Y408" s="99" t="str">
        <f aca="false">IF(ISBLANK($C408),"",IF(K408=Constants!$B$2, TRUE(), IF(K408=Constants!$B$3, FALSE(), TRUE())))</f>
        <v/>
      </c>
      <c r="Z408" s="100" t="str">
        <f aca="false">IF(ISBLANK($C408),"",IF(AND(ISNUMBER(L408),L408&gt;0),INT(L408),0))</f>
        <v/>
      </c>
      <c r="AA408" s="101" t="str">
        <f aca="false">IF(ISBLANK($C408),"",IF(ISNUMBER(M408), M408, ""))</f>
        <v/>
      </c>
      <c r="AB408" s="101" t="str">
        <f aca="false">IF(ISBLANK($C408),"",IF(ISNUMBER(N408), N408, ""))</f>
        <v/>
      </c>
      <c r="AC408" s="101" t="str">
        <f aca="false">IF(ISBLANK($C408),"",IF(ISNUMBER(O408), O408, ""))</f>
        <v/>
      </c>
      <c r="AD408" s="102" t="str">
        <f aca="false">IF(ISBLANK($C408),"",IF(ISNUMBER(P408), P408, ""))</f>
        <v/>
      </c>
      <c r="AE408" s="102" t="str">
        <f aca="false">IF(ISBLANK($C408),"",IF(ISNUMBER(Q408), Q408, Constants!$B$13))</f>
        <v/>
      </c>
      <c r="AF408" s="99" t="str">
        <f aca="false">IF(ISBLANK($C408),"",IF(R408=Constants!$B$2, TRUE(), IF(R408=Constants!$B$3, FALSE(), FALSE())))</f>
        <v/>
      </c>
      <c r="AG408" s="99" t="str">
        <f aca="false">IF(ISBLANK(C408), "", IF(AF408, Constants!$B$4,IF(COUNTA(G408:P408)=0, Constants!$B$5, Constants!$B$7)))</f>
        <v/>
      </c>
      <c r="AH408" s="99" t="str">
        <f aca="false">IF(ISBLANK($C408), "",IF($AG408=Constants!$B$7,1,$AG408))</f>
        <v/>
      </c>
      <c r="AI408" s="99" t="str">
        <f aca="false">IF($AG408=Constants!$B$7,POWER(Constants!$B$11,X408)*POWER(Constants!$B$12,Z408),"")</f>
        <v/>
      </c>
      <c r="AJ408" s="99" t="str">
        <f aca="false">IF(AND($AG408=Constants!$B$7, U408, V408) ,IF(OR($AA408="",$AC408=""),"",MAX(0, $AC408-$AA408)),"")</f>
        <v/>
      </c>
      <c r="AK408" s="99" t="str">
        <f aca="false">IF(AND($AG408=Constants!$B$7, U408, V408),IF(OR($AA408="",$AC408=""),$AK$6,""),"")</f>
        <v/>
      </c>
      <c r="AL408" s="99" t="str">
        <f aca="false">IF($AG408=Constants!$B$7,IF(AND(U408,V408,W408,Y408),IF($AJ408="",0,IF($AJ$6=0,Constants!$B$9,Constants!$B$9*AJ408/$AJ$6)), 0),"")</f>
        <v/>
      </c>
      <c r="AM408" s="99" t="str">
        <f aca="false">IF(AL408&lt;&gt;"", AL408*AI408,"")</f>
        <v/>
      </c>
      <c r="AN408" s="99" t="str">
        <f aca="false">IF(AND($AG408=Constants!$B$7, U408, V408) ,IF($AB408="", "", IF(OR($AC408="",$AC408=0),"",MAX(0,1-ABS($AC408-$AB408)/$AC408))),"")</f>
        <v/>
      </c>
      <c r="AO408" s="99" t="str">
        <f aca="false">IF(AND($AG408=Constants!$B$7, U408, V408),IF(AND($AA408&lt;&gt;"",$AB408&lt;&gt;"",$AC408=0),$AO$6,""),"")</f>
        <v/>
      </c>
      <c r="AP408" s="99" t="str">
        <f aca="false">IF($AG408=Constants!$B$7 ,IF(AND(U408,V408,W408,Y408,ISNUMBER(AB408)),IF($AN408="",0,IF($AN$6=0,Constants!$B$10,Constants!$B$10*AN408/$AN$6)), 0),"")</f>
        <v/>
      </c>
      <c r="AQ408" s="99" t="str">
        <f aca="false">IF(AP408&lt;&gt;"", AP408*AI408,"")</f>
        <v/>
      </c>
      <c r="AR408" s="99" t="str">
        <f aca="false">IF($AG408=Constants!$B$7,IF($AD408="",0,IF($AR$6=0,Constants!$B$8,Constants!$B$8*AD408/$AR$6)),"")</f>
        <v/>
      </c>
      <c r="AS408" s="99" t="str">
        <f aca="false">IF($AG408&lt;&gt;Constants!$B$7,$AG408,IF(AK408&amp;AO408&lt;&gt;"",Constants!$B$14,AM408+AQ408+AR408))</f>
        <v/>
      </c>
      <c r="AT408" s="99" t="str">
        <f aca="false">IF(ISBLANK($C408),"",IF($AG408=Constants!$B$7,IF(ISNUMBER(AS408),RANK(AS408,$AS$8:$AS$507),Constants!$B$14),$AG408))</f>
        <v/>
      </c>
      <c r="AU408" s="99" t="str">
        <f aca="false">IF(ISBLANK($C408), "",AM408)</f>
        <v/>
      </c>
      <c r="AV408" s="99" t="str">
        <f aca="false">IF(ISBLANK($C408),"",IF($AG408=Constants!$B$7,RANK(AU408,AU$8:AU$507),$AG408))</f>
        <v/>
      </c>
      <c r="AW408" s="99" t="str">
        <f aca="false">IF(ISBLANK($C408), "",AR408)</f>
        <v/>
      </c>
      <c r="AX408" s="99" t="str">
        <f aca="false">IF(ISBLANK($C408),"",IF($AG408=Constants!$B$7,RANK(AW408,AW$8:AW$507),$AG408))</f>
        <v/>
      </c>
      <c r="AY408" s="99" t="str">
        <f aca="false">IF(ISBLANK($C408), "",AE408)</f>
        <v/>
      </c>
      <c r="AZ408" s="99" t="str">
        <f aca="false">IF(ISBLANK($C408),"",
IF($AG408=Constants!$B$7,
  IF(ISNUMBER(AT408),
    COUNTIFS($AT$8:$AT$507,"&lt;"&amp;$AT408)
    + COUNTIFS($AT$8:$AT$507,$AT408,$AV$8:$AV$507,"&lt;"&amp;$AV408)
    + COUNTIFS($AT$8:$AT$507,$AT408,$AV$8:$AV$507,$AV408,$AX$8:$AX$507,"&lt;"&amp;$AX408)
    + COUNTIFS($AT$8:$AT$507,$AT408,$AV$8:$AV$507,$AV408,$AX$8:$AX$507,$AX408,$AY$8:$AY$507,"&lt;"&amp;$AY408)
    + 1,
  Constants!$B$14),
$AG408))</f>
        <v/>
      </c>
      <c r="BA408" s="99" t="str">
        <f aca="false">IF(ISBLANK(C408),"",IF($AG408=Constants!$B$7, IF(ISNUMBER(AT408),AT408-AZ408,Constants!$B$14),$AG408))</f>
        <v/>
      </c>
      <c r="BB408" s="103"/>
      <c r="BC408" s="104" t="str">
        <f aca="false">IF(ISBLANK($C408),"",TRIM(AK408&amp;" "&amp;AO408))</f>
        <v/>
      </c>
      <c r="BD408" s="105" t="str">
        <f aca="false">IF(ISBLANK($C408),"",IF($AG408&lt;&gt;Constants!$B$7,$AG408,AR408))</f>
        <v/>
      </c>
      <c r="BE408" s="105" t="str">
        <f aca="false">IF(ISBLANK($C408),"",IF($AG408&lt;&gt;Constants!$B$7,$AG408,AM408))</f>
        <v/>
      </c>
      <c r="BF408" s="105" t="str">
        <f aca="false">IF(ISBLANK($C408),"",IF($AG408&lt;&gt;Constants!$B$7,$AG408,AQ408))</f>
        <v/>
      </c>
      <c r="BG408" s="106" t="str">
        <f aca="false">IF(ISBLANK($C408),"",IF($AG408&lt;&gt;Constants!$B$7, $AG408 ,AS408))</f>
        <v/>
      </c>
      <c r="BH408" s="107" t="str">
        <f aca="false">IF(ISBLANK($C408),"",IF($AG408&lt;&gt;Constants!$B$7, $AG408 ,AH408))</f>
        <v/>
      </c>
      <c r="BI408" s="105" t="str">
        <f aca="false">IF(ISBLANK(C408),"",BA408)</f>
        <v/>
      </c>
      <c r="BJ408" s="105" t="str">
        <f aca="false">IF(ISBLANK(C408),"",AZ408)</f>
        <v/>
      </c>
      <c r="BK408" s="108" t="str">
        <f aca="false">IF(ISBLANK(C408),"",IFERROR(_xlfn.SWITCH(BJ408, Constants!$B$4, COUNTA($C$8:$C907)+2, Constants!$B$5, COUNTA($C$8:$C907)+1, Constants!$B$6, COUNTA($C$8:$C907)),BJ408))</f>
        <v/>
      </c>
      <c r="BL408" s="5"/>
      <c r="BM408" s="109" t="n">
        <f aca="false">IF(OR(ISNUMBER(BJ408),BJ408="DQ",BJ408="P",BJ408="NS"),
    1,
    0
)</f>
        <v>0</v>
      </c>
      <c r="BN408" s="109" t="n">
        <v>401</v>
      </c>
      <c r="BO408" s="109" t="str">
        <f aca="false">IF(ISBLANK($C408),"",IF(ISNUMBER(BK408),BK408+ROW($B408)/1000,""))</f>
        <v/>
      </c>
      <c r="BP408" s="109" t="str">
        <f aca="false">IF(ISNUMBER(BO408), RANK(BO408,BO$8:BO$507,1), "")</f>
        <v/>
      </c>
      <c r="BQ408" s="109" t="str">
        <f aca="false">IF(ISBLANK($C408),
    "",
    $B408
)</f>
        <v/>
      </c>
      <c r="BR408" s="109" t="str">
        <f aca="false">IF(ISBLANK($C408),
    "",
    $C408
)</f>
        <v/>
      </c>
      <c r="BS408" s="109" t="str">
        <f aca="false">IF(ISBLANK($C408),
    "",
    $D408
)</f>
        <v/>
      </c>
      <c r="BT408" s="110" t="str">
        <f aca="false">BH408</f>
        <v/>
      </c>
      <c r="BU408" s="111" t="str">
        <f aca="false">BG408</f>
        <v/>
      </c>
      <c r="BV408" s="109" t="str">
        <f aca="false">IF(ISBLANK($C408),
    "",
    BJ408
)</f>
        <v/>
      </c>
      <c r="BW408" s="112" t="str">
        <f aca="false">IF(BN408&gt;BM$7,
    "",
    VLOOKUP(BN408,BP$8:BV907,7,FALSE())
)</f>
        <v/>
      </c>
      <c r="BX408" s="113" t="str">
        <f aca="false">IF(BN408&gt;BM$7,
    "",
    VLOOKUP(BN408,BP$8:BV907,2,FALSE())
)</f>
        <v/>
      </c>
      <c r="BY408" s="113" t="str">
        <f aca="false">IF(BN408&gt;BM$7,
    "",
    VLOOKUP(BN408,BP$8:BV907,3,FALSE())
)</f>
        <v/>
      </c>
      <c r="BZ408" s="113" t="str">
        <f aca="false">IF(BN408&gt;BM$7,
    "",
    VLOOKUP(BN408,BP$8:BV907,4,FALSE())
)</f>
        <v/>
      </c>
      <c r="CA408" s="113" t="str">
        <f aca="false">IF(BN408&gt;BM$7,
    "",
    VLOOKUP(BN408,BP$8:BV907,5,FALSE())
)</f>
        <v/>
      </c>
      <c r="CB408" s="114" t="str">
        <f aca="false">IF(BN408&gt;BM$7,
    "",
    VLOOKUP(BN408,BP$8:BV907,6,FALSE())
)</f>
        <v/>
      </c>
      <c r="CC408" s="53"/>
    </row>
    <row r="409" customFormat="false" ht="15.75" hidden="false" customHeight="false" outlineLevel="0" collapsed="false">
      <c r="A409" s="5"/>
      <c r="B409" s="125"/>
      <c r="C409" s="126"/>
      <c r="D409" s="115"/>
      <c r="E409" s="119"/>
      <c r="F409" s="119"/>
      <c r="G409" s="91"/>
      <c r="H409" s="92"/>
      <c r="I409" s="92"/>
      <c r="J409" s="128"/>
      <c r="K409" s="128"/>
      <c r="L409" s="128"/>
      <c r="M409" s="94"/>
      <c r="N409" s="94"/>
      <c r="O409" s="94"/>
      <c r="P409" s="95"/>
      <c r="Q409" s="96"/>
      <c r="R409" s="128"/>
      <c r="S409" s="98"/>
      <c r="T409" s="99"/>
      <c r="U409" s="99" t="str">
        <f aca="false">IF(ISBLANK($C409),"",IF(G409=Constants!$B$2, TRUE(), IF(G409=Constants!$B$3, FALSE(), TRUE())))</f>
        <v/>
      </c>
      <c r="V409" s="99" t="str">
        <f aca="false">IF(ISBLANK($C409),"",IF(H409=Constants!$B$2, TRUE(), IF(H409=Constants!$B$3, FALSE(), TRUE())))</f>
        <v/>
      </c>
      <c r="W409" s="99" t="str">
        <f aca="false">IF(ISBLANK($C409),"",IF(I409=Constants!$B$2, TRUE(), IF(I409=Constants!$B$3, FALSE(), TRUE())))</f>
        <v/>
      </c>
      <c r="X409" s="99" t="str">
        <f aca="false">IF(ISBLANK($C409),"",IF(AND(ISNUMBER(J409),J409&gt;0),INT(J409),0))</f>
        <v/>
      </c>
      <c r="Y409" s="99" t="str">
        <f aca="false">IF(ISBLANK($C409),"",IF(K409=Constants!$B$2, TRUE(), IF(K409=Constants!$B$3, FALSE(), TRUE())))</f>
        <v/>
      </c>
      <c r="Z409" s="100" t="str">
        <f aca="false">IF(ISBLANK($C409),"",IF(AND(ISNUMBER(L409),L409&gt;0),INT(L409),0))</f>
        <v/>
      </c>
      <c r="AA409" s="101" t="str">
        <f aca="false">IF(ISBLANK($C409),"",IF(ISNUMBER(M409), M409, ""))</f>
        <v/>
      </c>
      <c r="AB409" s="101" t="str">
        <f aca="false">IF(ISBLANK($C409),"",IF(ISNUMBER(N409), N409, ""))</f>
        <v/>
      </c>
      <c r="AC409" s="101" t="str">
        <f aca="false">IF(ISBLANK($C409),"",IF(ISNUMBER(O409), O409, ""))</f>
        <v/>
      </c>
      <c r="AD409" s="102" t="str">
        <f aca="false">IF(ISBLANK($C409),"",IF(ISNUMBER(P409), P409, ""))</f>
        <v/>
      </c>
      <c r="AE409" s="102" t="str">
        <f aca="false">IF(ISBLANK($C409),"",IF(ISNUMBER(Q409), Q409, Constants!$B$13))</f>
        <v/>
      </c>
      <c r="AF409" s="99" t="str">
        <f aca="false">IF(ISBLANK($C409),"",IF(R409=Constants!$B$2, TRUE(), IF(R409=Constants!$B$3, FALSE(), FALSE())))</f>
        <v/>
      </c>
      <c r="AG409" s="99" t="str">
        <f aca="false">IF(ISBLANK(C409), "", IF(AF409, Constants!$B$4,IF(COUNTA(G409:P409)=0, Constants!$B$5, Constants!$B$7)))</f>
        <v/>
      </c>
      <c r="AH409" s="99" t="str">
        <f aca="false">IF(ISBLANK($C409), "",IF($AG409=Constants!$B$7,1,$AG409))</f>
        <v/>
      </c>
      <c r="AI409" s="99" t="str">
        <f aca="false">IF($AG409=Constants!$B$7,POWER(Constants!$B$11,X409)*POWER(Constants!$B$12,Z409),"")</f>
        <v/>
      </c>
      <c r="AJ409" s="99" t="str">
        <f aca="false">IF(AND($AG409=Constants!$B$7, U409, V409) ,IF(OR($AA409="",$AC409=""),"",MAX(0, $AC409-$AA409)),"")</f>
        <v/>
      </c>
      <c r="AK409" s="99" t="str">
        <f aca="false">IF(AND($AG409=Constants!$B$7, U409, V409),IF(OR($AA409="",$AC409=""),$AK$6,""),"")</f>
        <v/>
      </c>
      <c r="AL409" s="99" t="str">
        <f aca="false">IF($AG409=Constants!$B$7,IF(AND(U409,V409,W409,Y409),IF($AJ409="",0,IF($AJ$6=0,Constants!$B$9,Constants!$B$9*AJ409/$AJ$6)), 0),"")</f>
        <v/>
      </c>
      <c r="AM409" s="99" t="str">
        <f aca="false">IF(AL409&lt;&gt;"", AL409*AI409,"")</f>
        <v/>
      </c>
      <c r="AN409" s="99" t="str">
        <f aca="false">IF(AND($AG409=Constants!$B$7, U409, V409) ,IF($AB409="", "", IF(OR($AC409="",$AC409=0),"",MAX(0,1-ABS($AC409-$AB409)/$AC409))),"")</f>
        <v/>
      </c>
      <c r="AO409" s="99" t="str">
        <f aca="false">IF(AND($AG409=Constants!$B$7, U409, V409),IF(AND($AA409&lt;&gt;"",$AB409&lt;&gt;"",$AC409=0),$AO$6,""),"")</f>
        <v/>
      </c>
      <c r="AP409" s="99" t="str">
        <f aca="false">IF($AG409=Constants!$B$7 ,IF(AND(U409,V409,W409,Y409,ISNUMBER(AB409)),IF($AN409="",0,IF($AN$6=0,Constants!$B$10,Constants!$B$10*AN409/$AN$6)), 0),"")</f>
        <v/>
      </c>
      <c r="AQ409" s="99" t="str">
        <f aca="false">IF(AP409&lt;&gt;"", AP409*AI409,"")</f>
        <v/>
      </c>
      <c r="AR409" s="99" t="str">
        <f aca="false">IF($AG409=Constants!$B$7,IF($AD409="",0,IF($AR$6=0,Constants!$B$8,Constants!$B$8*AD409/$AR$6)),"")</f>
        <v/>
      </c>
      <c r="AS409" s="99" t="str">
        <f aca="false">IF($AG409&lt;&gt;Constants!$B$7,$AG409,IF(AK409&amp;AO409&lt;&gt;"",Constants!$B$14,AM409+AQ409+AR409))</f>
        <v/>
      </c>
      <c r="AT409" s="99" t="str">
        <f aca="false">IF(ISBLANK($C409),"",IF($AG409=Constants!$B$7,IF(ISNUMBER(AS409),RANK(AS409,$AS$8:$AS$507),Constants!$B$14),$AG409))</f>
        <v/>
      </c>
      <c r="AU409" s="99" t="str">
        <f aca="false">IF(ISBLANK($C409), "",AM409)</f>
        <v/>
      </c>
      <c r="AV409" s="99" t="str">
        <f aca="false">IF(ISBLANK($C409),"",IF($AG409=Constants!$B$7,RANK(AU409,AU$8:AU$507),$AG409))</f>
        <v/>
      </c>
      <c r="AW409" s="99" t="str">
        <f aca="false">IF(ISBLANK($C409), "",AR409)</f>
        <v/>
      </c>
      <c r="AX409" s="99" t="str">
        <f aca="false">IF(ISBLANK($C409),"",IF($AG409=Constants!$B$7,RANK(AW409,AW$8:AW$507),$AG409))</f>
        <v/>
      </c>
      <c r="AY409" s="99" t="str">
        <f aca="false">IF(ISBLANK($C409), "",AE409)</f>
        <v/>
      </c>
      <c r="AZ409" s="99" t="str">
        <f aca="false">IF(ISBLANK($C409),"",
IF($AG409=Constants!$B$7,
  IF(ISNUMBER(AT409),
    COUNTIFS($AT$8:$AT$507,"&lt;"&amp;$AT409)
    + COUNTIFS($AT$8:$AT$507,$AT409,$AV$8:$AV$507,"&lt;"&amp;$AV409)
    + COUNTIFS($AT$8:$AT$507,$AT409,$AV$8:$AV$507,$AV409,$AX$8:$AX$507,"&lt;"&amp;$AX409)
    + COUNTIFS($AT$8:$AT$507,$AT409,$AV$8:$AV$507,$AV409,$AX$8:$AX$507,$AX409,$AY$8:$AY$507,"&lt;"&amp;$AY409)
    + 1,
  Constants!$B$14),
$AG409))</f>
        <v/>
      </c>
      <c r="BA409" s="99" t="str">
        <f aca="false">IF(ISBLANK(C409),"",IF($AG409=Constants!$B$7, IF(ISNUMBER(AT409),AT409-AZ409,Constants!$B$14),$AG409))</f>
        <v/>
      </c>
      <c r="BB409" s="103"/>
      <c r="BC409" s="104" t="str">
        <f aca="false">IF(ISBLANK($C409),"",TRIM(AK409&amp;" "&amp;AO409))</f>
        <v/>
      </c>
      <c r="BD409" s="105" t="str">
        <f aca="false">IF(ISBLANK($C409),"",IF($AG409&lt;&gt;Constants!$B$7,$AG409,AR409))</f>
        <v/>
      </c>
      <c r="BE409" s="105" t="str">
        <f aca="false">IF(ISBLANK($C409),"",IF($AG409&lt;&gt;Constants!$B$7,$AG409,AM409))</f>
        <v/>
      </c>
      <c r="BF409" s="105" t="str">
        <f aca="false">IF(ISBLANK($C409),"",IF($AG409&lt;&gt;Constants!$B$7,$AG409,AQ409))</f>
        <v/>
      </c>
      <c r="BG409" s="106" t="str">
        <f aca="false">IF(ISBLANK($C409),"",IF($AG409&lt;&gt;Constants!$B$7, $AG409 ,AS409))</f>
        <v/>
      </c>
      <c r="BH409" s="107" t="str">
        <f aca="false">IF(ISBLANK($C409),"",IF($AG409&lt;&gt;Constants!$B$7, $AG409 ,AH409))</f>
        <v/>
      </c>
      <c r="BI409" s="105" t="str">
        <f aca="false">IF(ISBLANK(C409),"",BA409)</f>
        <v/>
      </c>
      <c r="BJ409" s="105" t="str">
        <f aca="false">IF(ISBLANK(C409),"",AZ409)</f>
        <v/>
      </c>
      <c r="BK409" s="108" t="str">
        <f aca="false">IF(ISBLANK(C409),"",IFERROR(_xlfn.SWITCH(BJ409, Constants!$B$4, COUNTA($C$8:$C908)+2, Constants!$B$5, COUNTA($C$8:$C908)+1, Constants!$B$6, COUNTA($C$8:$C908)),BJ409))</f>
        <v/>
      </c>
      <c r="BL409" s="5"/>
      <c r="BM409" s="109" t="n">
        <f aca="false">IF(OR(ISNUMBER(BJ409),BJ409="DQ",BJ409="P",BJ409="NS"),
    1,
    0
)</f>
        <v>0</v>
      </c>
      <c r="BN409" s="109" t="n">
        <v>402</v>
      </c>
      <c r="BO409" s="109" t="str">
        <f aca="false">IF(ISBLANK($C409),"",IF(ISNUMBER(BK409),BK409+ROW($B409)/1000,""))</f>
        <v/>
      </c>
      <c r="BP409" s="109" t="str">
        <f aca="false">IF(ISNUMBER(BO409), RANK(BO409,BO$8:BO$507,1), "")</f>
        <v/>
      </c>
      <c r="BQ409" s="109" t="str">
        <f aca="false">IF(ISBLANK($C409),
    "",
    $B409
)</f>
        <v/>
      </c>
      <c r="BR409" s="109" t="str">
        <f aca="false">IF(ISBLANK($C409),
    "",
    $C409
)</f>
        <v/>
      </c>
      <c r="BS409" s="109" t="str">
        <f aca="false">IF(ISBLANK($C409),
    "",
    $D409
)</f>
        <v/>
      </c>
      <c r="BT409" s="110" t="str">
        <f aca="false">BH409</f>
        <v/>
      </c>
      <c r="BU409" s="111" t="str">
        <f aca="false">BG409</f>
        <v/>
      </c>
      <c r="BV409" s="109" t="str">
        <f aca="false">IF(ISBLANK($C409),
    "",
    BJ409
)</f>
        <v/>
      </c>
      <c r="BW409" s="112" t="str">
        <f aca="false">IF(BN409&gt;BM$7,
    "",
    VLOOKUP(BN409,BP$8:BV908,7,FALSE())
)</f>
        <v/>
      </c>
      <c r="BX409" s="113" t="str">
        <f aca="false">IF(BN409&gt;BM$7,
    "",
    VLOOKUP(BN409,BP$8:BV908,2,FALSE())
)</f>
        <v/>
      </c>
      <c r="BY409" s="113" t="str">
        <f aca="false">IF(BN409&gt;BM$7,
    "",
    VLOOKUP(BN409,BP$8:BV908,3,FALSE())
)</f>
        <v/>
      </c>
      <c r="BZ409" s="113" t="str">
        <f aca="false">IF(BN409&gt;BM$7,
    "",
    VLOOKUP(BN409,BP$8:BV908,4,FALSE())
)</f>
        <v/>
      </c>
      <c r="CA409" s="113" t="str">
        <f aca="false">IF(BN409&gt;BM$7,
    "",
    VLOOKUP(BN409,BP$8:BV908,5,FALSE())
)</f>
        <v/>
      </c>
      <c r="CB409" s="114" t="str">
        <f aca="false">IF(BN409&gt;BM$7,
    "",
    VLOOKUP(BN409,BP$8:BV908,6,FALSE())
)</f>
        <v/>
      </c>
      <c r="CC409" s="53"/>
    </row>
    <row r="410" customFormat="false" ht="15.75" hidden="false" customHeight="false" outlineLevel="0" collapsed="false">
      <c r="A410" s="5"/>
      <c r="B410" s="129"/>
      <c r="C410" s="55"/>
      <c r="D410" s="56"/>
      <c r="E410" s="123"/>
      <c r="F410" s="123"/>
      <c r="G410" s="58"/>
      <c r="H410" s="59"/>
      <c r="I410" s="59"/>
      <c r="J410" s="83"/>
      <c r="K410" s="83"/>
      <c r="L410" s="83"/>
      <c r="M410" s="61"/>
      <c r="N410" s="61"/>
      <c r="O410" s="61"/>
      <c r="P410" s="62"/>
      <c r="Q410" s="63"/>
      <c r="R410" s="83"/>
      <c r="S410" s="65"/>
      <c r="T410" s="66"/>
      <c r="U410" s="66" t="str">
        <f aca="false">IF(ISBLANK($C410),"",IF(G410=Constants!$B$2, TRUE(), IF(G410=Constants!$B$3, FALSE(), TRUE())))</f>
        <v/>
      </c>
      <c r="V410" s="66" t="str">
        <f aca="false">IF(ISBLANK($C410),"",IF(H410=Constants!$B$2, TRUE(), IF(H410=Constants!$B$3, FALSE(), TRUE())))</f>
        <v/>
      </c>
      <c r="W410" s="66" t="str">
        <f aca="false">IF(ISBLANK($C410),"",IF(I410=Constants!$B$2, TRUE(), IF(I410=Constants!$B$3, FALSE(), TRUE())))</f>
        <v/>
      </c>
      <c r="X410" s="66" t="str">
        <f aca="false">IF(ISBLANK($C410),"",IF(AND(ISNUMBER(J410),J410&gt;0),INT(J410),0))</f>
        <v/>
      </c>
      <c r="Y410" s="66" t="str">
        <f aca="false">IF(ISBLANK($C410),"",IF(K410=Constants!$B$2, TRUE(), IF(K410=Constants!$B$3, FALSE(), TRUE())))</f>
        <v/>
      </c>
      <c r="Z410" s="66" t="str">
        <f aca="false">IF(ISBLANK($C410),"",IF(AND(ISNUMBER(L410),L410&gt;0),INT(L410),0))</f>
        <v/>
      </c>
      <c r="AA410" s="68" t="str">
        <f aca="false">IF(ISBLANK($C410),"",IF(ISNUMBER(M410), M410, ""))</f>
        <v/>
      </c>
      <c r="AB410" s="68" t="str">
        <f aca="false">IF(ISBLANK($C410),"",IF(ISNUMBER(N410), N410, ""))</f>
        <v/>
      </c>
      <c r="AC410" s="68" t="str">
        <f aca="false">IF(ISBLANK($C410),"",IF(ISNUMBER(O410), O410, ""))</f>
        <v/>
      </c>
      <c r="AD410" s="69" t="str">
        <f aca="false">IF(ISBLANK($C410),"",IF(ISNUMBER(P410), P410, ""))</f>
        <v/>
      </c>
      <c r="AE410" s="69" t="str">
        <f aca="false">IF(ISBLANK($C410),"",IF(ISNUMBER(Q410), Q410, Constants!$B$13))</f>
        <v/>
      </c>
      <c r="AF410" s="66" t="str">
        <f aca="false">IF(ISBLANK($C410),"",IF(R410=Constants!$B$2, TRUE(), IF(R410=Constants!$B$3, FALSE(), FALSE())))</f>
        <v/>
      </c>
      <c r="AG410" s="66" t="str">
        <f aca="false">IF(ISBLANK(C410), "", IF(AF410, Constants!$B$4,IF(COUNTA(G410:P410)=0, Constants!$B$5, Constants!$B$7)))</f>
        <v/>
      </c>
      <c r="AH410" s="66" t="str">
        <f aca="false">IF(ISBLANK($C410), "",IF($AG410=Constants!$B$7,1,$AG410))</f>
        <v/>
      </c>
      <c r="AI410" s="66" t="str">
        <f aca="false">IF($AG410=Constants!$B$7,POWER(Constants!$B$11,X410)*POWER(Constants!$B$12,Z410),"")</f>
        <v/>
      </c>
      <c r="AJ410" s="66" t="str">
        <f aca="false">IF(AND($AG410=Constants!$B$7, U410, V410) ,IF(OR($AA410="",$AC410=""),"",MAX(0, $AC410-$AA410)),"")</f>
        <v/>
      </c>
      <c r="AK410" s="66" t="str">
        <f aca="false">IF(AND($AG410=Constants!$B$7, U410, V410),IF(OR($AA410="",$AC410=""),$AK$6,""),"")</f>
        <v/>
      </c>
      <c r="AL410" s="66" t="str">
        <f aca="false">IF($AG410=Constants!$B$7,IF(AND(U410,V410,W410,Y410),IF($AJ410="",0,IF($AJ$6=0,Constants!$B$9,Constants!$B$9*AJ410/$AJ$6)), 0),"")</f>
        <v/>
      </c>
      <c r="AM410" s="66" t="str">
        <f aca="false">IF(AL410&lt;&gt;"", AL410*AI410,"")</f>
        <v/>
      </c>
      <c r="AN410" s="66" t="str">
        <f aca="false">IF(AND($AG410=Constants!$B$7, U410, V410) ,IF($AB410="", "", IF(OR($AC410="",$AC410=0),"",MAX(0,1-ABS($AC410-$AB410)/$AC410))),"")</f>
        <v/>
      </c>
      <c r="AO410" s="66" t="str">
        <f aca="false">IF(AND($AG410=Constants!$B$7, U410, V410),IF(AND($AA410&lt;&gt;"",$AB410&lt;&gt;"",$AC410=0),$AO$6,""),"")</f>
        <v/>
      </c>
      <c r="AP410" s="66" t="str">
        <f aca="false">IF($AG410=Constants!$B$7 ,IF(AND(U410,V410,W410,Y410,ISNUMBER(AB410)),IF($AN410="",0,IF($AN$6=0,Constants!$B$10,Constants!$B$10*AN410/$AN$6)), 0),"")</f>
        <v/>
      </c>
      <c r="AQ410" s="66" t="str">
        <f aca="false">IF(AP410&lt;&gt;"", AP410*AI410,"")</f>
        <v/>
      </c>
      <c r="AR410" s="66" t="str">
        <f aca="false">IF($AG410=Constants!$B$7,IF($AD410="",0,IF($AR$6=0,Constants!$B$8,Constants!$B$8*AD410/$AR$6)),"")</f>
        <v/>
      </c>
      <c r="AS410" s="66" t="str">
        <f aca="false">IF($AG410&lt;&gt;Constants!$B$7,$AG410,IF(AK410&amp;AO410&lt;&gt;"",Constants!$B$14,AM410+AQ410+AR410))</f>
        <v/>
      </c>
      <c r="AT410" s="66" t="str">
        <f aca="false">IF(ISBLANK($C410),"",IF($AG410=Constants!$B$7,IF(ISNUMBER(AS410),RANK(AS410,$AS$8:$AS$507),Constants!$B$14),$AG410))</f>
        <v/>
      </c>
      <c r="AU410" s="66" t="str">
        <f aca="false">IF(ISBLANK($C410), "",AM410)</f>
        <v/>
      </c>
      <c r="AV410" s="66" t="str">
        <f aca="false">IF(ISBLANK($C410),"",IF($AG410=Constants!$B$7,RANK(AU410,AU$8:AU$507),$AG410))</f>
        <v/>
      </c>
      <c r="AW410" s="66" t="str">
        <f aca="false">IF(ISBLANK($C410), "",AR410)</f>
        <v/>
      </c>
      <c r="AX410" s="66" t="str">
        <f aca="false">IF(ISBLANK($C410),"",IF($AG410=Constants!$B$7,RANK(AW410,AW$8:AW$507),$AG410))</f>
        <v/>
      </c>
      <c r="AY410" s="66" t="str">
        <f aca="false">IF(ISBLANK($C410), "",AE410)</f>
        <v/>
      </c>
      <c r="AZ410" s="66" t="str">
        <f aca="false">IF(ISBLANK($C410),"",
IF($AG410=Constants!$B$7,
  IF(ISNUMBER(AT410),
    COUNTIFS($AT$8:$AT$507,"&lt;"&amp;$AT410)
    + COUNTIFS($AT$8:$AT$507,$AT410,$AV$8:$AV$507,"&lt;"&amp;$AV410)
    + COUNTIFS($AT$8:$AT$507,$AT410,$AV$8:$AV$507,$AV410,$AX$8:$AX$507,"&lt;"&amp;$AX410)
    + COUNTIFS($AT$8:$AT$507,$AT410,$AV$8:$AV$507,$AV410,$AX$8:$AX$507,$AX410,$AY$8:$AY$507,"&lt;"&amp;$AY410)
    + 1,
  Constants!$B$14),
$AG410))</f>
        <v/>
      </c>
      <c r="BA410" s="66" t="str">
        <f aca="false">IF(ISBLANK(C410),"",IF($AG410=Constants!$B$7, IF(ISNUMBER(AT410),AT410-AZ410,Constants!$B$14),$AG410))</f>
        <v/>
      </c>
      <c r="BB410" s="70"/>
      <c r="BC410" s="84" t="str">
        <f aca="false">IF(ISBLANK($C410),"",TRIM(AK410&amp;" "&amp;AO410))</f>
        <v/>
      </c>
      <c r="BD410" s="72" t="str">
        <f aca="false">IF(ISBLANK($C410),"",IF($AG410&lt;&gt;Constants!$B$7,$AG410,AR410))</f>
        <v/>
      </c>
      <c r="BE410" s="72" t="str">
        <f aca="false">IF(ISBLANK($C410),"",IF($AG410&lt;&gt;Constants!$B$7,$AG410,AM410))</f>
        <v/>
      </c>
      <c r="BF410" s="72" t="str">
        <f aca="false">IF(ISBLANK($C410),"",IF($AG410&lt;&gt;Constants!$B$7,$AG410,AQ410))</f>
        <v/>
      </c>
      <c r="BG410" s="73" t="str">
        <f aca="false">IF(ISBLANK($C410),"",IF($AG410&lt;&gt;Constants!$B$7, $AG410 ,AS410))</f>
        <v/>
      </c>
      <c r="BH410" s="74" t="str">
        <f aca="false">IF(ISBLANK($C410),"",IF($AG410&lt;&gt;Constants!$B$7, $AG410 ,AH410))</f>
        <v/>
      </c>
      <c r="BI410" s="72" t="str">
        <f aca="false">IF(ISBLANK(C410),"",BA410)</f>
        <v/>
      </c>
      <c r="BJ410" s="72" t="str">
        <f aca="false">IF(ISBLANK(C410),"",AZ410)</f>
        <v/>
      </c>
      <c r="BK410" s="75" t="str">
        <f aca="false">IF(ISBLANK(C410),"",IFERROR(_xlfn.SWITCH(BJ410, Constants!$B$4, COUNTA($C$8:$C909)+2, Constants!$B$5, COUNTA($C$8:$C909)+1, Constants!$B$6, COUNTA($C$8:$C909)),BJ410))</f>
        <v/>
      </c>
      <c r="BL410" s="5"/>
      <c r="BM410" s="76" t="n">
        <f aca="false">IF(OR(ISNUMBER(BJ410),BJ410="DQ",BJ410="P",BJ410="NS"),
    1,
    0
)</f>
        <v>0</v>
      </c>
      <c r="BN410" s="76" t="n">
        <v>403</v>
      </c>
      <c r="BO410" s="76" t="str">
        <f aca="false">IF(ISBLANK($C410),"",IF(ISNUMBER(BK410),BK410+ROW($B410)/1000,""))</f>
        <v/>
      </c>
      <c r="BP410" s="76" t="str">
        <f aca="false">IF(ISNUMBER(BO410), RANK(BO410,BO$8:BO$507,1), "")</f>
        <v/>
      </c>
      <c r="BQ410" s="76" t="str">
        <f aca="false">IF(ISBLANK($C410),
    "",
    $B410
)</f>
        <v/>
      </c>
      <c r="BR410" s="76" t="str">
        <f aca="false">IF(ISBLANK($C410),
    "",
    $C410
)</f>
        <v/>
      </c>
      <c r="BS410" s="76" t="str">
        <f aca="false">IF(ISBLANK($C410),
    "",
    $D410
)</f>
        <v/>
      </c>
      <c r="BT410" s="77" t="str">
        <f aca="false">BH410</f>
        <v/>
      </c>
      <c r="BU410" s="78" t="str">
        <f aca="false">BG410</f>
        <v/>
      </c>
      <c r="BV410" s="76" t="str">
        <f aca="false">IF(ISBLANK($C410),
    "",
    BJ410
)</f>
        <v/>
      </c>
      <c r="BW410" s="79" t="str">
        <f aca="false">IF(BN410&gt;BM$7,
    "",
    VLOOKUP(BN410,BP$8:BV909,7,FALSE())
)</f>
        <v/>
      </c>
      <c r="BX410" s="80" t="str">
        <f aca="false">IF(BN410&gt;BM$7,
    "",
    VLOOKUP(BN410,BP$8:BV909,2,FALSE())
)</f>
        <v/>
      </c>
      <c r="BY410" s="80" t="str">
        <f aca="false">IF(BN410&gt;BM$7,
    "",
    VLOOKUP(BN410,BP$8:BV909,3,FALSE())
)</f>
        <v/>
      </c>
      <c r="BZ410" s="80" t="str">
        <f aca="false">IF(BN410&gt;BM$7,
    "",
    VLOOKUP(BN410,BP$8:BV909,4,FALSE())
)</f>
        <v/>
      </c>
      <c r="CA410" s="80" t="str">
        <f aca="false">IF(BN410&gt;BM$7,
    "",
    VLOOKUP(BN410,BP$8:BV909,5,FALSE())
)</f>
        <v/>
      </c>
      <c r="CB410" s="81" t="str">
        <f aca="false">IF(BN410&gt;BM$7,
    "",
    VLOOKUP(BN410,BP$8:BV909,6,FALSE())
)</f>
        <v/>
      </c>
      <c r="CC410" s="53"/>
    </row>
    <row r="411" customFormat="false" ht="15.75" hidden="false" customHeight="false" outlineLevel="0" collapsed="false">
      <c r="A411" s="5"/>
      <c r="B411" s="129"/>
      <c r="C411" s="55"/>
      <c r="D411" s="56"/>
      <c r="E411" s="123"/>
      <c r="F411" s="123"/>
      <c r="G411" s="58"/>
      <c r="H411" s="59"/>
      <c r="I411" s="59"/>
      <c r="J411" s="83"/>
      <c r="K411" s="83"/>
      <c r="L411" s="83"/>
      <c r="M411" s="61"/>
      <c r="N411" s="61"/>
      <c r="O411" s="61"/>
      <c r="P411" s="62"/>
      <c r="Q411" s="63"/>
      <c r="R411" s="83"/>
      <c r="S411" s="65"/>
      <c r="T411" s="66"/>
      <c r="U411" s="66" t="str">
        <f aca="false">IF(ISBLANK($C411),"",IF(G411=Constants!$B$2, TRUE(), IF(G411=Constants!$B$3, FALSE(), TRUE())))</f>
        <v/>
      </c>
      <c r="V411" s="66" t="str">
        <f aca="false">IF(ISBLANK($C411),"",IF(H411=Constants!$B$2, TRUE(), IF(H411=Constants!$B$3, FALSE(), TRUE())))</f>
        <v/>
      </c>
      <c r="W411" s="66" t="str">
        <f aca="false">IF(ISBLANK($C411),"",IF(I411=Constants!$B$2, TRUE(), IF(I411=Constants!$B$3, FALSE(), TRUE())))</f>
        <v/>
      </c>
      <c r="X411" s="66" t="str">
        <f aca="false">IF(ISBLANK($C411),"",IF(AND(ISNUMBER(J411),J411&gt;0),INT(J411),0))</f>
        <v/>
      </c>
      <c r="Y411" s="66" t="str">
        <f aca="false">IF(ISBLANK($C411),"",IF(K411=Constants!$B$2, TRUE(), IF(K411=Constants!$B$3, FALSE(), TRUE())))</f>
        <v/>
      </c>
      <c r="Z411" s="66" t="str">
        <f aca="false">IF(ISBLANK($C411),"",IF(AND(ISNUMBER(L411),L411&gt;0),INT(L411),0))</f>
        <v/>
      </c>
      <c r="AA411" s="68" t="str">
        <f aca="false">IF(ISBLANK($C411),"",IF(ISNUMBER(M411), M411, ""))</f>
        <v/>
      </c>
      <c r="AB411" s="68" t="str">
        <f aca="false">IF(ISBLANK($C411),"",IF(ISNUMBER(N411), N411, ""))</f>
        <v/>
      </c>
      <c r="AC411" s="68" t="str">
        <f aca="false">IF(ISBLANK($C411),"",IF(ISNUMBER(O411), O411, ""))</f>
        <v/>
      </c>
      <c r="AD411" s="69" t="str">
        <f aca="false">IF(ISBLANK($C411),"",IF(ISNUMBER(P411), P411, ""))</f>
        <v/>
      </c>
      <c r="AE411" s="69" t="str">
        <f aca="false">IF(ISBLANK($C411),"",IF(ISNUMBER(Q411), Q411, Constants!$B$13))</f>
        <v/>
      </c>
      <c r="AF411" s="66" t="str">
        <f aca="false">IF(ISBLANK($C411),"",IF(R411=Constants!$B$2, TRUE(), IF(R411=Constants!$B$3, FALSE(), FALSE())))</f>
        <v/>
      </c>
      <c r="AG411" s="66" t="str">
        <f aca="false">IF(ISBLANK(C411), "", IF(AF411, Constants!$B$4,IF(COUNTA(G411:P411)=0, Constants!$B$5, Constants!$B$7)))</f>
        <v/>
      </c>
      <c r="AH411" s="66" t="str">
        <f aca="false">IF(ISBLANK($C411), "",IF($AG411=Constants!$B$7,1,$AG411))</f>
        <v/>
      </c>
      <c r="AI411" s="66" t="str">
        <f aca="false">IF($AG411=Constants!$B$7,POWER(Constants!$B$11,X411)*POWER(Constants!$B$12,Z411),"")</f>
        <v/>
      </c>
      <c r="AJ411" s="66" t="str">
        <f aca="false">IF(AND($AG411=Constants!$B$7, U411, V411) ,IF(OR($AA411="",$AC411=""),"",MAX(0, $AC411-$AA411)),"")</f>
        <v/>
      </c>
      <c r="AK411" s="66" t="str">
        <f aca="false">IF(AND($AG411=Constants!$B$7, U411, V411),IF(OR($AA411="",$AC411=""),$AK$6,""),"")</f>
        <v/>
      </c>
      <c r="AL411" s="66" t="str">
        <f aca="false">IF($AG411=Constants!$B$7,IF(AND(U411,V411,W411,Y411),IF($AJ411="",0,IF($AJ$6=0,Constants!$B$9,Constants!$B$9*AJ411/$AJ$6)), 0),"")</f>
        <v/>
      </c>
      <c r="AM411" s="66" t="str">
        <f aca="false">IF(AL411&lt;&gt;"", AL411*AI411,"")</f>
        <v/>
      </c>
      <c r="AN411" s="66" t="str">
        <f aca="false">IF(AND($AG411=Constants!$B$7, U411, V411) ,IF($AB411="", "", IF(OR($AC411="",$AC411=0),"",MAX(0,1-ABS($AC411-$AB411)/$AC411))),"")</f>
        <v/>
      </c>
      <c r="AO411" s="66" t="str">
        <f aca="false">IF(AND($AG411=Constants!$B$7, U411, V411),IF(AND($AA411&lt;&gt;"",$AB411&lt;&gt;"",$AC411=0),$AO$6,""),"")</f>
        <v/>
      </c>
      <c r="AP411" s="66" t="str">
        <f aca="false">IF($AG411=Constants!$B$7 ,IF(AND(U411,V411,W411,Y411,ISNUMBER(AB411)),IF($AN411="",0,IF($AN$6=0,Constants!$B$10,Constants!$B$10*AN411/$AN$6)), 0),"")</f>
        <v/>
      </c>
      <c r="AQ411" s="66" t="str">
        <f aca="false">IF(AP411&lt;&gt;"", AP411*AI411,"")</f>
        <v/>
      </c>
      <c r="AR411" s="66" t="str">
        <f aca="false">IF($AG411=Constants!$B$7,IF($AD411="",0,IF($AR$6=0,Constants!$B$8,Constants!$B$8*AD411/$AR$6)),"")</f>
        <v/>
      </c>
      <c r="AS411" s="66" t="str">
        <f aca="false">IF($AG411&lt;&gt;Constants!$B$7,$AG411,IF(AK411&amp;AO411&lt;&gt;"",Constants!$B$14,AM411+AQ411+AR411))</f>
        <v/>
      </c>
      <c r="AT411" s="66" t="str">
        <f aca="false">IF(ISBLANK($C411),"",IF($AG411=Constants!$B$7,IF(ISNUMBER(AS411),RANK(AS411,$AS$8:$AS$507),Constants!$B$14),$AG411))</f>
        <v/>
      </c>
      <c r="AU411" s="66" t="str">
        <f aca="false">IF(ISBLANK($C411), "",AM411)</f>
        <v/>
      </c>
      <c r="AV411" s="66" t="str">
        <f aca="false">IF(ISBLANK($C411),"",IF($AG411=Constants!$B$7,RANK(AU411,AU$8:AU$507),$AG411))</f>
        <v/>
      </c>
      <c r="AW411" s="66" t="str">
        <f aca="false">IF(ISBLANK($C411), "",AR411)</f>
        <v/>
      </c>
      <c r="AX411" s="66" t="str">
        <f aca="false">IF(ISBLANK($C411),"",IF($AG411=Constants!$B$7,RANK(AW411,AW$8:AW$507),$AG411))</f>
        <v/>
      </c>
      <c r="AY411" s="66" t="str">
        <f aca="false">IF(ISBLANK($C411), "",AE411)</f>
        <v/>
      </c>
      <c r="AZ411" s="66" t="str">
        <f aca="false">IF(ISBLANK($C411),"",
IF($AG411=Constants!$B$7,
  IF(ISNUMBER(AT411),
    COUNTIFS($AT$8:$AT$507,"&lt;"&amp;$AT411)
    + COUNTIFS($AT$8:$AT$507,$AT411,$AV$8:$AV$507,"&lt;"&amp;$AV411)
    + COUNTIFS($AT$8:$AT$507,$AT411,$AV$8:$AV$507,$AV411,$AX$8:$AX$507,"&lt;"&amp;$AX411)
    + COUNTIFS($AT$8:$AT$507,$AT411,$AV$8:$AV$507,$AV411,$AX$8:$AX$507,$AX411,$AY$8:$AY$507,"&lt;"&amp;$AY411)
    + 1,
  Constants!$B$14),
$AG411))</f>
        <v/>
      </c>
      <c r="BA411" s="66" t="str">
        <f aca="false">IF(ISBLANK(C411),"",IF($AG411=Constants!$B$7, IF(ISNUMBER(AT411),AT411-AZ411,Constants!$B$14),$AG411))</f>
        <v/>
      </c>
      <c r="BB411" s="70"/>
      <c r="BC411" s="84" t="str">
        <f aca="false">IF(ISBLANK($C411),"",TRIM(AK411&amp;" "&amp;AO411))</f>
        <v/>
      </c>
      <c r="BD411" s="72" t="str">
        <f aca="false">IF(ISBLANK($C411),"",IF($AG411&lt;&gt;Constants!$B$7,$AG411,AR411))</f>
        <v/>
      </c>
      <c r="BE411" s="72" t="str">
        <f aca="false">IF(ISBLANK($C411),"",IF($AG411&lt;&gt;Constants!$B$7,$AG411,AM411))</f>
        <v/>
      </c>
      <c r="BF411" s="72" t="str">
        <f aca="false">IF(ISBLANK($C411),"",IF($AG411&lt;&gt;Constants!$B$7,$AG411,AQ411))</f>
        <v/>
      </c>
      <c r="BG411" s="73" t="str">
        <f aca="false">IF(ISBLANK($C411),"",IF($AG411&lt;&gt;Constants!$B$7, $AG411 ,AS411))</f>
        <v/>
      </c>
      <c r="BH411" s="74" t="str">
        <f aca="false">IF(ISBLANK($C411),"",IF($AG411&lt;&gt;Constants!$B$7, $AG411 ,AH411))</f>
        <v/>
      </c>
      <c r="BI411" s="72" t="str">
        <f aca="false">IF(ISBLANK(C411),"",BA411)</f>
        <v/>
      </c>
      <c r="BJ411" s="72" t="str">
        <f aca="false">IF(ISBLANK(C411),"",AZ411)</f>
        <v/>
      </c>
      <c r="BK411" s="75" t="str">
        <f aca="false">IF(ISBLANK(C411),"",IFERROR(_xlfn.SWITCH(BJ411, Constants!$B$4, COUNTA($C$8:$C910)+2, Constants!$B$5, COUNTA($C$8:$C910)+1, Constants!$B$6, COUNTA($C$8:$C910)),BJ411))</f>
        <v/>
      </c>
      <c r="BL411" s="5"/>
      <c r="BM411" s="76" t="n">
        <f aca="false">IF(OR(ISNUMBER(BJ411),BJ411="DQ",BJ411="P",BJ411="NS"),
    1,
    0
)</f>
        <v>0</v>
      </c>
      <c r="BN411" s="76" t="n">
        <v>404</v>
      </c>
      <c r="BO411" s="76" t="str">
        <f aca="false">IF(ISBLANK($C411),"",IF(ISNUMBER(BK411),BK411+ROW($B411)/1000,""))</f>
        <v/>
      </c>
      <c r="BP411" s="76" t="str">
        <f aca="false">IF(ISNUMBER(BO411), RANK(BO411,BO$8:BO$507,1), "")</f>
        <v/>
      </c>
      <c r="BQ411" s="76" t="str">
        <f aca="false">IF(ISBLANK($C411),
    "",
    $B411
)</f>
        <v/>
      </c>
      <c r="BR411" s="76" t="str">
        <f aca="false">IF(ISBLANK($C411),
    "",
    $C411
)</f>
        <v/>
      </c>
      <c r="BS411" s="76" t="str">
        <f aca="false">IF(ISBLANK($C411),
    "",
    $D411
)</f>
        <v/>
      </c>
      <c r="BT411" s="77" t="str">
        <f aca="false">BH411</f>
        <v/>
      </c>
      <c r="BU411" s="78" t="str">
        <f aca="false">BG411</f>
        <v/>
      </c>
      <c r="BV411" s="76" t="str">
        <f aca="false">IF(ISBLANK($C411),
    "",
    BJ411
)</f>
        <v/>
      </c>
      <c r="BW411" s="79" t="str">
        <f aca="false">IF(BN411&gt;BM$7,
    "",
    VLOOKUP(BN411,BP$8:BV910,7,FALSE())
)</f>
        <v/>
      </c>
      <c r="BX411" s="80" t="str">
        <f aca="false">IF(BN411&gt;BM$7,
    "",
    VLOOKUP(BN411,BP$8:BV910,2,FALSE())
)</f>
        <v/>
      </c>
      <c r="BY411" s="80" t="str">
        <f aca="false">IF(BN411&gt;BM$7,
    "",
    VLOOKUP(BN411,BP$8:BV910,3,FALSE())
)</f>
        <v/>
      </c>
      <c r="BZ411" s="80" t="str">
        <f aca="false">IF(BN411&gt;BM$7,
    "",
    VLOOKUP(BN411,BP$8:BV910,4,FALSE())
)</f>
        <v/>
      </c>
      <c r="CA411" s="80" t="str">
        <f aca="false">IF(BN411&gt;BM$7,
    "",
    VLOOKUP(BN411,BP$8:BV910,5,FALSE())
)</f>
        <v/>
      </c>
      <c r="CB411" s="81" t="str">
        <f aca="false">IF(BN411&gt;BM$7,
    "",
    VLOOKUP(BN411,BP$8:BV910,6,FALSE())
)</f>
        <v/>
      </c>
      <c r="CC411" s="53"/>
    </row>
    <row r="412" customFormat="false" ht="15.75" hidden="false" customHeight="false" outlineLevel="0" collapsed="false">
      <c r="A412" s="5"/>
      <c r="B412" s="129"/>
      <c r="C412" s="55"/>
      <c r="D412" s="56"/>
      <c r="E412" s="123"/>
      <c r="F412" s="123"/>
      <c r="G412" s="58"/>
      <c r="H412" s="59"/>
      <c r="I412" s="59"/>
      <c r="J412" s="83"/>
      <c r="K412" s="83"/>
      <c r="L412" s="83"/>
      <c r="M412" s="61"/>
      <c r="N412" s="61"/>
      <c r="O412" s="61"/>
      <c r="P412" s="62"/>
      <c r="Q412" s="63"/>
      <c r="R412" s="83"/>
      <c r="S412" s="65"/>
      <c r="T412" s="66"/>
      <c r="U412" s="66" t="str">
        <f aca="false">IF(ISBLANK($C412),"",IF(G412=Constants!$B$2, TRUE(), IF(G412=Constants!$B$3, FALSE(), TRUE())))</f>
        <v/>
      </c>
      <c r="V412" s="66" t="str">
        <f aca="false">IF(ISBLANK($C412),"",IF(H412=Constants!$B$2, TRUE(), IF(H412=Constants!$B$3, FALSE(), TRUE())))</f>
        <v/>
      </c>
      <c r="W412" s="66" t="str">
        <f aca="false">IF(ISBLANK($C412),"",IF(I412=Constants!$B$2, TRUE(), IF(I412=Constants!$B$3, FALSE(), TRUE())))</f>
        <v/>
      </c>
      <c r="X412" s="66" t="str">
        <f aca="false">IF(ISBLANK($C412),"",IF(AND(ISNUMBER(J412),J412&gt;0),INT(J412),0))</f>
        <v/>
      </c>
      <c r="Y412" s="66" t="str">
        <f aca="false">IF(ISBLANK($C412),"",IF(K412=Constants!$B$2, TRUE(), IF(K412=Constants!$B$3, FALSE(), TRUE())))</f>
        <v/>
      </c>
      <c r="Z412" s="66" t="str">
        <f aca="false">IF(ISBLANK($C412),"",IF(AND(ISNUMBER(L412),L412&gt;0),INT(L412),0))</f>
        <v/>
      </c>
      <c r="AA412" s="68" t="str">
        <f aca="false">IF(ISBLANK($C412),"",IF(ISNUMBER(M412), M412, ""))</f>
        <v/>
      </c>
      <c r="AB412" s="68" t="str">
        <f aca="false">IF(ISBLANK($C412),"",IF(ISNUMBER(N412), N412, ""))</f>
        <v/>
      </c>
      <c r="AC412" s="68" t="str">
        <f aca="false">IF(ISBLANK($C412),"",IF(ISNUMBER(O412), O412, ""))</f>
        <v/>
      </c>
      <c r="AD412" s="69" t="str">
        <f aca="false">IF(ISBLANK($C412),"",IF(ISNUMBER(P412), P412, ""))</f>
        <v/>
      </c>
      <c r="AE412" s="69" t="str">
        <f aca="false">IF(ISBLANK($C412),"",IF(ISNUMBER(Q412), Q412, Constants!$B$13))</f>
        <v/>
      </c>
      <c r="AF412" s="66" t="str">
        <f aca="false">IF(ISBLANK($C412),"",IF(R412=Constants!$B$2, TRUE(), IF(R412=Constants!$B$3, FALSE(), FALSE())))</f>
        <v/>
      </c>
      <c r="AG412" s="66" t="str">
        <f aca="false">IF(ISBLANK(C412), "", IF(AF412, Constants!$B$4,IF(COUNTA(G412:P412)=0, Constants!$B$5, Constants!$B$7)))</f>
        <v/>
      </c>
      <c r="AH412" s="66" t="str">
        <f aca="false">IF(ISBLANK($C412), "",IF($AG412=Constants!$B$7,1,$AG412))</f>
        <v/>
      </c>
      <c r="AI412" s="66" t="str">
        <f aca="false">IF($AG412=Constants!$B$7,POWER(Constants!$B$11,X412)*POWER(Constants!$B$12,Z412),"")</f>
        <v/>
      </c>
      <c r="AJ412" s="66" t="str">
        <f aca="false">IF(AND($AG412=Constants!$B$7, U412, V412) ,IF(OR($AA412="",$AC412=""),"",MAX(0, $AC412-$AA412)),"")</f>
        <v/>
      </c>
      <c r="AK412" s="66" t="str">
        <f aca="false">IF(AND($AG412=Constants!$B$7, U412, V412),IF(OR($AA412="",$AC412=""),$AK$6,""),"")</f>
        <v/>
      </c>
      <c r="AL412" s="66" t="str">
        <f aca="false">IF($AG412=Constants!$B$7,IF(AND(U412,V412,W412,Y412),IF($AJ412="",0,IF($AJ$6=0,Constants!$B$9,Constants!$B$9*AJ412/$AJ$6)), 0),"")</f>
        <v/>
      </c>
      <c r="AM412" s="66" t="str">
        <f aca="false">IF(AL412&lt;&gt;"", AL412*AI412,"")</f>
        <v/>
      </c>
      <c r="AN412" s="66" t="str">
        <f aca="false">IF(AND($AG412=Constants!$B$7, U412, V412) ,IF($AB412="", "", IF(OR($AC412="",$AC412=0),"",MAX(0,1-ABS($AC412-$AB412)/$AC412))),"")</f>
        <v/>
      </c>
      <c r="AO412" s="66" t="str">
        <f aca="false">IF(AND($AG412=Constants!$B$7, U412, V412),IF(AND($AA412&lt;&gt;"",$AB412&lt;&gt;"",$AC412=0),$AO$6,""),"")</f>
        <v/>
      </c>
      <c r="AP412" s="66" t="str">
        <f aca="false">IF($AG412=Constants!$B$7 ,IF(AND(U412,V412,W412,Y412,ISNUMBER(AB412)),IF($AN412="",0,IF($AN$6=0,Constants!$B$10,Constants!$B$10*AN412/$AN$6)), 0),"")</f>
        <v/>
      </c>
      <c r="AQ412" s="66" t="str">
        <f aca="false">IF(AP412&lt;&gt;"", AP412*AI412,"")</f>
        <v/>
      </c>
      <c r="AR412" s="66" t="str">
        <f aca="false">IF($AG412=Constants!$B$7,IF($AD412="",0,IF($AR$6=0,Constants!$B$8,Constants!$B$8*AD412/$AR$6)),"")</f>
        <v/>
      </c>
      <c r="AS412" s="66" t="str">
        <f aca="false">IF($AG412&lt;&gt;Constants!$B$7,$AG412,IF(AK412&amp;AO412&lt;&gt;"",Constants!$B$14,AM412+AQ412+AR412))</f>
        <v/>
      </c>
      <c r="AT412" s="66" t="str">
        <f aca="false">IF(ISBLANK($C412),"",IF($AG412=Constants!$B$7,IF(ISNUMBER(AS412),RANK(AS412,$AS$8:$AS$507),Constants!$B$14),$AG412))</f>
        <v/>
      </c>
      <c r="AU412" s="66" t="str">
        <f aca="false">IF(ISBLANK($C412), "",AM412)</f>
        <v/>
      </c>
      <c r="AV412" s="66" t="str">
        <f aca="false">IF(ISBLANK($C412),"",IF($AG412=Constants!$B$7,RANK(AU412,AU$8:AU$507),$AG412))</f>
        <v/>
      </c>
      <c r="AW412" s="66" t="str">
        <f aca="false">IF(ISBLANK($C412), "",AR412)</f>
        <v/>
      </c>
      <c r="AX412" s="66" t="str">
        <f aca="false">IF(ISBLANK($C412),"",IF($AG412=Constants!$B$7,RANK(AW412,AW$8:AW$507),$AG412))</f>
        <v/>
      </c>
      <c r="AY412" s="66" t="str">
        <f aca="false">IF(ISBLANK($C412), "",AE412)</f>
        <v/>
      </c>
      <c r="AZ412" s="66" t="str">
        <f aca="false">IF(ISBLANK($C412),"",
IF($AG412=Constants!$B$7,
  IF(ISNUMBER(AT412),
    COUNTIFS($AT$8:$AT$507,"&lt;"&amp;$AT412)
    + COUNTIFS($AT$8:$AT$507,$AT412,$AV$8:$AV$507,"&lt;"&amp;$AV412)
    + COUNTIFS($AT$8:$AT$507,$AT412,$AV$8:$AV$507,$AV412,$AX$8:$AX$507,"&lt;"&amp;$AX412)
    + COUNTIFS($AT$8:$AT$507,$AT412,$AV$8:$AV$507,$AV412,$AX$8:$AX$507,$AX412,$AY$8:$AY$507,"&lt;"&amp;$AY412)
    + 1,
  Constants!$B$14),
$AG412))</f>
        <v/>
      </c>
      <c r="BA412" s="66" t="str">
        <f aca="false">IF(ISBLANK(C412),"",IF($AG412=Constants!$B$7, IF(ISNUMBER(AT412),AT412-AZ412,Constants!$B$14),$AG412))</f>
        <v/>
      </c>
      <c r="BB412" s="70"/>
      <c r="BC412" s="84" t="str">
        <f aca="false">IF(ISBLANK($C412),"",TRIM(AK412&amp;" "&amp;AO412))</f>
        <v/>
      </c>
      <c r="BD412" s="72" t="str">
        <f aca="false">IF(ISBLANK($C412),"",IF($AG412&lt;&gt;Constants!$B$7,$AG412,AR412))</f>
        <v/>
      </c>
      <c r="BE412" s="72" t="str">
        <f aca="false">IF(ISBLANK($C412),"",IF($AG412&lt;&gt;Constants!$B$7,$AG412,AM412))</f>
        <v/>
      </c>
      <c r="BF412" s="72" t="str">
        <f aca="false">IF(ISBLANK($C412),"",IF($AG412&lt;&gt;Constants!$B$7,$AG412,AQ412))</f>
        <v/>
      </c>
      <c r="BG412" s="73" t="str">
        <f aca="false">IF(ISBLANK($C412),"",IF($AG412&lt;&gt;Constants!$B$7, $AG412 ,AS412))</f>
        <v/>
      </c>
      <c r="BH412" s="74" t="str">
        <f aca="false">IF(ISBLANK($C412),"",IF($AG412&lt;&gt;Constants!$B$7, $AG412 ,AH412))</f>
        <v/>
      </c>
      <c r="BI412" s="72" t="str">
        <f aca="false">IF(ISBLANK(C412),"",BA412)</f>
        <v/>
      </c>
      <c r="BJ412" s="72" t="str">
        <f aca="false">IF(ISBLANK(C412),"",AZ412)</f>
        <v/>
      </c>
      <c r="BK412" s="75" t="str">
        <f aca="false">IF(ISBLANK(C412),"",IFERROR(_xlfn.SWITCH(BJ412, Constants!$B$4, COUNTA($C$8:$C911)+2, Constants!$B$5, COUNTA($C$8:$C911)+1, Constants!$B$6, COUNTA($C$8:$C911)),BJ412))</f>
        <v/>
      </c>
      <c r="BL412" s="5"/>
      <c r="BM412" s="76" t="n">
        <f aca="false">IF(OR(ISNUMBER(BJ412),BJ412="DQ",BJ412="P",BJ412="NS"),
    1,
    0
)</f>
        <v>0</v>
      </c>
      <c r="BN412" s="76" t="n">
        <v>405</v>
      </c>
      <c r="BO412" s="76" t="str">
        <f aca="false">IF(ISBLANK($C412),"",IF(ISNUMBER(BK412),BK412+ROW($B412)/1000,""))</f>
        <v/>
      </c>
      <c r="BP412" s="76" t="str">
        <f aca="false">IF(ISNUMBER(BO412), RANK(BO412,BO$8:BO$507,1), "")</f>
        <v/>
      </c>
      <c r="BQ412" s="76" t="str">
        <f aca="false">IF(ISBLANK($C412),
    "",
    $B412
)</f>
        <v/>
      </c>
      <c r="BR412" s="76" t="str">
        <f aca="false">IF(ISBLANK($C412),
    "",
    $C412
)</f>
        <v/>
      </c>
      <c r="BS412" s="76" t="str">
        <f aca="false">IF(ISBLANK($C412),
    "",
    $D412
)</f>
        <v/>
      </c>
      <c r="BT412" s="77" t="str">
        <f aca="false">BH412</f>
        <v/>
      </c>
      <c r="BU412" s="78" t="str">
        <f aca="false">BG412</f>
        <v/>
      </c>
      <c r="BV412" s="76" t="str">
        <f aca="false">IF(ISBLANK($C412),
    "",
    BJ412
)</f>
        <v/>
      </c>
      <c r="BW412" s="79" t="str">
        <f aca="false">IF(BN412&gt;BM$7,
    "",
    VLOOKUP(BN412,BP$8:BV911,7,FALSE())
)</f>
        <v/>
      </c>
      <c r="BX412" s="80" t="str">
        <f aca="false">IF(BN412&gt;BM$7,
    "",
    VLOOKUP(BN412,BP$8:BV911,2,FALSE())
)</f>
        <v/>
      </c>
      <c r="BY412" s="80" t="str">
        <f aca="false">IF(BN412&gt;BM$7,
    "",
    VLOOKUP(BN412,BP$8:BV911,3,FALSE())
)</f>
        <v/>
      </c>
      <c r="BZ412" s="80" t="str">
        <f aca="false">IF(BN412&gt;BM$7,
    "",
    VLOOKUP(BN412,BP$8:BV911,4,FALSE())
)</f>
        <v/>
      </c>
      <c r="CA412" s="80" t="str">
        <f aca="false">IF(BN412&gt;BM$7,
    "",
    VLOOKUP(BN412,BP$8:BV911,5,FALSE())
)</f>
        <v/>
      </c>
      <c r="CB412" s="81" t="str">
        <f aca="false">IF(BN412&gt;BM$7,
    "",
    VLOOKUP(BN412,BP$8:BV911,6,FALSE())
)</f>
        <v/>
      </c>
      <c r="CC412" s="53"/>
    </row>
    <row r="413" customFormat="false" ht="15.75" hidden="false" customHeight="false" outlineLevel="0" collapsed="false">
      <c r="A413" s="5"/>
      <c r="B413" s="125"/>
      <c r="C413" s="126"/>
      <c r="D413" s="115"/>
      <c r="E413" s="119"/>
      <c r="F413" s="119"/>
      <c r="G413" s="91"/>
      <c r="H413" s="92"/>
      <c r="I413" s="92"/>
      <c r="J413" s="128"/>
      <c r="K413" s="128"/>
      <c r="L413" s="128"/>
      <c r="M413" s="94"/>
      <c r="N413" s="94"/>
      <c r="O413" s="94"/>
      <c r="P413" s="95"/>
      <c r="Q413" s="96"/>
      <c r="R413" s="128"/>
      <c r="S413" s="98"/>
      <c r="T413" s="99"/>
      <c r="U413" s="99" t="str">
        <f aca="false">IF(ISBLANK($C413),"",IF(G413=Constants!$B$2, TRUE(), IF(G413=Constants!$B$3, FALSE(), TRUE())))</f>
        <v/>
      </c>
      <c r="V413" s="99" t="str">
        <f aca="false">IF(ISBLANK($C413),"",IF(H413=Constants!$B$2, TRUE(), IF(H413=Constants!$B$3, FALSE(), TRUE())))</f>
        <v/>
      </c>
      <c r="W413" s="99" t="str">
        <f aca="false">IF(ISBLANK($C413),"",IF(I413=Constants!$B$2, TRUE(), IF(I413=Constants!$B$3, FALSE(), TRUE())))</f>
        <v/>
      </c>
      <c r="X413" s="99" t="str">
        <f aca="false">IF(ISBLANK($C413),"",IF(AND(ISNUMBER(J413),J413&gt;0),INT(J413),0))</f>
        <v/>
      </c>
      <c r="Y413" s="99" t="str">
        <f aca="false">IF(ISBLANK($C413),"",IF(K413=Constants!$B$2, TRUE(), IF(K413=Constants!$B$3, FALSE(), TRUE())))</f>
        <v/>
      </c>
      <c r="Z413" s="100" t="str">
        <f aca="false">IF(ISBLANK($C413),"",IF(AND(ISNUMBER(L413),L413&gt;0),INT(L413),0))</f>
        <v/>
      </c>
      <c r="AA413" s="101" t="str">
        <f aca="false">IF(ISBLANK($C413),"",IF(ISNUMBER(M413), M413, ""))</f>
        <v/>
      </c>
      <c r="AB413" s="101" t="str">
        <f aca="false">IF(ISBLANK($C413),"",IF(ISNUMBER(N413), N413, ""))</f>
        <v/>
      </c>
      <c r="AC413" s="101" t="str">
        <f aca="false">IF(ISBLANK($C413),"",IF(ISNUMBER(O413), O413, ""))</f>
        <v/>
      </c>
      <c r="AD413" s="102" t="str">
        <f aca="false">IF(ISBLANK($C413),"",IF(ISNUMBER(P413), P413, ""))</f>
        <v/>
      </c>
      <c r="AE413" s="102" t="str">
        <f aca="false">IF(ISBLANK($C413),"",IF(ISNUMBER(Q413), Q413, Constants!$B$13))</f>
        <v/>
      </c>
      <c r="AF413" s="99" t="str">
        <f aca="false">IF(ISBLANK($C413),"",IF(R413=Constants!$B$2, TRUE(), IF(R413=Constants!$B$3, FALSE(), FALSE())))</f>
        <v/>
      </c>
      <c r="AG413" s="99" t="str">
        <f aca="false">IF(ISBLANK(C413), "", IF(AF413, Constants!$B$4,IF(COUNTA(G413:P413)=0, Constants!$B$5, Constants!$B$7)))</f>
        <v/>
      </c>
      <c r="AH413" s="99" t="str">
        <f aca="false">IF(ISBLANK($C413), "",IF($AG413=Constants!$B$7,1,$AG413))</f>
        <v/>
      </c>
      <c r="AI413" s="99" t="str">
        <f aca="false">IF($AG413=Constants!$B$7,POWER(Constants!$B$11,X413)*POWER(Constants!$B$12,Z413),"")</f>
        <v/>
      </c>
      <c r="AJ413" s="99" t="str">
        <f aca="false">IF(AND($AG413=Constants!$B$7, U413, V413) ,IF(OR($AA413="",$AC413=""),"",MAX(0, $AC413-$AA413)),"")</f>
        <v/>
      </c>
      <c r="AK413" s="99" t="str">
        <f aca="false">IF(AND($AG413=Constants!$B$7, U413, V413),IF(OR($AA413="",$AC413=""),$AK$6,""),"")</f>
        <v/>
      </c>
      <c r="AL413" s="99" t="str">
        <f aca="false">IF($AG413=Constants!$B$7,IF(AND(U413,V413,W413,Y413),IF($AJ413="",0,IF($AJ$6=0,Constants!$B$9,Constants!$B$9*AJ413/$AJ$6)), 0),"")</f>
        <v/>
      </c>
      <c r="AM413" s="99" t="str">
        <f aca="false">IF(AL413&lt;&gt;"", AL413*AI413,"")</f>
        <v/>
      </c>
      <c r="AN413" s="99" t="str">
        <f aca="false">IF(AND($AG413=Constants!$B$7, U413, V413) ,IF($AB413="", "", IF(OR($AC413="",$AC413=0),"",MAX(0,1-ABS($AC413-$AB413)/$AC413))),"")</f>
        <v/>
      </c>
      <c r="AO413" s="99" t="str">
        <f aca="false">IF(AND($AG413=Constants!$B$7, U413, V413),IF(AND($AA413&lt;&gt;"",$AB413&lt;&gt;"",$AC413=0),$AO$6,""),"")</f>
        <v/>
      </c>
      <c r="AP413" s="99" t="str">
        <f aca="false">IF($AG413=Constants!$B$7 ,IF(AND(U413,V413,W413,Y413,ISNUMBER(AB413)),IF($AN413="",0,IF($AN$6=0,Constants!$B$10,Constants!$B$10*AN413/$AN$6)), 0),"")</f>
        <v/>
      </c>
      <c r="AQ413" s="99" t="str">
        <f aca="false">IF(AP413&lt;&gt;"", AP413*AI413,"")</f>
        <v/>
      </c>
      <c r="AR413" s="99" t="str">
        <f aca="false">IF($AG413=Constants!$B$7,IF($AD413="",0,IF($AR$6=0,Constants!$B$8,Constants!$B$8*AD413/$AR$6)),"")</f>
        <v/>
      </c>
      <c r="AS413" s="99" t="str">
        <f aca="false">IF($AG413&lt;&gt;Constants!$B$7,$AG413,IF(AK413&amp;AO413&lt;&gt;"",Constants!$B$14,AM413+AQ413+AR413))</f>
        <v/>
      </c>
      <c r="AT413" s="99" t="str">
        <f aca="false">IF(ISBLANK($C413),"",IF($AG413=Constants!$B$7,IF(ISNUMBER(AS413),RANK(AS413,$AS$8:$AS$507),Constants!$B$14),$AG413))</f>
        <v/>
      </c>
      <c r="AU413" s="99" t="str">
        <f aca="false">IF(ISBLANK($C413), "",AM413)</f>
        <v/>
      </c>
      <c r="AV413" s="99" t="str">
        <f aca="false">IF(ISBLANK($C413),"",IF($AG413=Constants!$B$7,RANK(AU413,AU$8:AU$507),$AG413))</f>
        <v/>
      </c>
      <c r="AW413" s="99" t="str">
        <f aca="false">IF(ISBLANK($C413), "",AR413)</f>
        <v/>
      </c>
      <c r="AX413" s="99" t="str">
        <f aca="false">IF(ISBLANK($C413),"",IF($AG413=Constants!$B$7,RANK(AW413,AW$8:AW$507),$AG413))</f>
        <v/>
      </c>
      <c r="AY413" s="99" t="str">
        <f aca="false">IF(ISBLANK($C413), "",AE413)</f>
        <v/>
      </c>
      <c r="AZ413" s="99" t="str">
        <f aca="false">IF(ISBLANK($C413),"",
IF($AG413=Constants!$B$7,
  IF(ISNUMBER(AT413),
    COUNTIFS($AT$8:$AT$507,"&lt;"&amp;$AT413)
    + COUNTIFS($AT$8:$AT$507,$AT413,$AV$8:$AV$507,"&lt;"&amp;$AV413)
    + COUNTIFS($AT$8:$AT$507,$AT413,$AV$8:$AV$507,$AV413,$AX$8:$AX$507,"&lt;"&amp;$AX413)
    + COUNTIFS($AT$8:$AT$507,$AT413,$AV$8:$AV$507,$AV413,$AX$8:$AX$507,$AX413,$AY$8:$AY$507,"&lt;"&amp;$AY413)
    + 1,
  Constants!$B$14),
$AG413))</f>
        <v/>
      </c>
      <c r="BA413" s="99" t="str">
        <f aca="false">IF(ISBLANK(C413),"",IF($AG413=Constants!$B$7, IF(ISNUMBER(AT413),AT413-AZ413,Constants!$B$14),$AG413))</f>
        <v/>
      </c>
      <c r="BB413" s="103"/>
      <c r="BC413" s="104" t="str">
        <f aca="false">IF(ISBLANK($C413),"",TRIM(AK413&amp;" "&amp;AO413))</f>
        <v/>
      </c>
      <c r="BD413" s="105" t="str">
        <f aca="false">IF(ISBLANK($C413),"",IF($AG413&lt;&gt;Constants!$B$7,$AG413,AR413))</f>
        <v/>
      </c>
      <c r="BE413" s="105" t="str">
        <f aca="false">IF(ISBLANK($C413),"",IF($AG413&lt;&gt;Constants!$B$7,$AG413,AM413))</f>
        <v/>
      </c>
      <c r="BF413" s="105" t="str">
        <f aca="false">IF(ISBLANK($C413),"",IF($AG413&lt;&gt;Constants!$B$7,$AG413,AQ413))</f>
        <v/>
      </c>
      <c r="BG413" s="106" t="str">
        <f aca="false">IF(ISBLANK($C413),"",IF($AG413&lt;&gt;Constants!$B$7, $AG413 ,AS413))</f>
        <v/>
      </c>
      <c r="BH413" s="107" t="str">
        <f aca="false">IF(ISBLANK($C413),"",IF($AG413&lt;&gt;Constants!$B$7, $AG413 ,AH413))</f>
        <v/>
      </c>
      <c r="BI413" s="105" t="str">
        <f aca="false">IF(ISBLANK(C413),"",BA413)</f>
        <v/>
      </c>
      <c r="BJ413" s="105" t="str">
        <f aca="false">IF(ISBLANK(C413),"",AZ413)</f>
        <v/>
      </c>
      <c r="BK413" s="108" t="str">
        <f aca="false">IF(ISBLANK(C413),"",IFERROR(_xlfn.SWITCH(BJ413, Constants!$B$4, COUNTA($C$8:$C912)+2, Constants!$B$5, COUNTA($C$8:$C912)+1, Constants!$B$6, COUNTA($C$8:$C912)),BJ413))</f>
        <v/>
      </c>
      <c r="BL413" s="5"/>
      <c r="BM413" s="109" t="n">
        <f aca="false">IF(OR(ISNUMBER(BJ413),BJ413="DQ",BJ413="P",BJ413="NS"),
    1,
    0
)</f>
        <v>0</v>
      </c>
      <c r="BN413" s="109" t="n">
        <v>406</v>
      </c>
      <c r="BO413" s="109" t="str">
        <f aca="false">IF(ISBLANK($C413),"",IF(ISNUMBER(BK413),BK413+ROW($B413)/1000,""))</f>
        <v/>
      </c>
      <c r="BP413" s="109" t="str">
        <f aca="false">IF(ISNUMBER(BO413), RANK(BO413,BO$8:BO$507,1), "")</f>
        <v/>
      </c>
      <c r="BQ413" s="109" t="str">
        <f aca="false">IF(ISBLANK($C413),
    "",
    $B413
)</f>
        <v/>
      </c>
      <c r="BR413" s="109" t="str">
        <f aca="false">IF(ISBLANK($C413),
    "",
    $C413
)</f>
        <v/>
      </c>
      <c r="BS413" s="109" t="str">
        <f aca="false">IF(ISBLANK($C413),
    "",
    $D413
)</f>
        <v/>
      </c>
      <c r="BT413" s="110" t="str">
        <f aca="false">BH413</f>
        <v/>
      </c>
      <c r="BU413" s="111" t="str">
        <f aca="false">BG413</f>
        <v/>
      </c>
      <c r="BV413" s="109" t="str">
        <f aca="false">IF(ISBLANK($C413),
    "",
    BJ413
)</f>
        <v/>
      </c>
      <c r="BW413" s="112" t="str">
        <f aca="false">IF(BN413&gt;BM$7,
    "",
    VLOOKUP(BN413,BP$8:BV912,7,FALSE())
)</f>
        <v/>
      </c>
      <c r="BX413" s="113" t="str">
        <f aca="false">IF(BN413&gt;BM$7,
    "",
    VLOOKUP(BN413,BP$8:BV912,2,FALSE())
)</f>
        <v/>
      </c>
      <c r="BY413" s="113" t="str">
        <f aca="false">IF(BN413&gt;BM$7,
    "",
    VLOOKUP(BN413,BP$8:BV912,3,FALSE())
)</f>
        <v/>
      </c>
      <c r="BZ413" s="113" t="str">
        <f aca="false">IF(BN413&gt;BM$7,
    "",
    VLOOKUP(BN413,BP$8:BV912,4,FALSE())
)</f>
        <v/>
      </c>
      <c r="CA413" s="113" t="str">
        <f aca="false">IF(BN413&gt;BM$7,
    "",
    VLOOKUP(BN413,BP$8:BV912,5,FALSE())
)</f>
        <v/>
      </c>
      <c r="CB413" s="114" t="str">
        <f aca="false">IF(BN413&gt;BM$7,
    "",
    VLOOKUP(BN413,BP$8:BV912,6,FALSE())
)</f>
        <v/>
      </c>
      <c r="CC413" s="53"/>
    </row>
    <row r="414" customFormat="false" ht="15.75" hidden="false" customHeight="false" outlineLevel="0" collapsed="false">
      <c r="A414" s="5"/>
      <c r="B414" s="125"/>
      <c r="C414" s="126"/>
      <c r="D414" s="115"/>
      <c r="E414" s="119"/>
      <c r="F414" s="119"/>
      <c r="G414" s="91"/>
      <c r="H414" s="92"/>
      <c r="I414" s="92"/>
      <c r="J414" s="128"/>
      <c r="K414" s="128"/>
      <c r="L414" s="128"/>
      <c r="M414" s="94"/>
      <c r="N414" s="94"/>
      <c r="O414" s="94"/>
      <c r="P414" s="95"/>
      <c r="Q414" s="96"/>
      <c r="R414" s="128"/>
      <c r="S414" s="98"/>
      <c r="T414" s="99"/>
      <c r="U414" s="99" t="str">
        <f aca="false">IF(ISBLANK($C414),"",IF(G414=Constants!$B$2, TRUE(), IF(G414=Constants!$B$3, FALSE(), TRUE())))</f>
        <v/>
      </c>
      <c r="V414" s="99" t="str">
        <f aca="false">IF(ISBLANK($C414),"",IF(H414=Constants!$B$2, TRUE(), IF(H414=Constants!$B$3, FALSE(), TRUE())))</f>
        <v/>
      </c>
      <c r="W414" s="99" t="str">
        <f aca="false">IF(ISBLANK($C414),"",IF(I414=Constants!$B$2, TRUE(), IF(I414=Constants!$B$3, FALSE(), TRUE())))</f>
        <v/>
      </c>
      <c r="X414" s="99" t="str">
        <f aca="false">IF(ISBLANK($C414),"",IF(AND(ISNUMBER(J414),J414&gt;0),INT(J414),0))</f>
        <v/>
      </c>
      <c r="Y414" s="99" t="str">
        <f aca="false">IF(ISBLANK($C414),"",IF(K414=Constants!$B$2, TRUE(), IF(K414=Constants!$B$3, FALSE(), TRUE())))</f>
        <v/>
      </c>
      <c r="Z414" s="100" t="str">
        <f aca="false">IF(ISBLANK($C414),"",IF(AND(ISNUMBER(L414),L414&gt;0),INT(L414),0))</f>
        <v/>
      </c>
      <c r="AA414" s="101" t="str">
        <f aca="false">IF(ISBLANK($C414),"",IF(ISNUMBER(M414), M414, ""))</f>
        <v/>
      </c>
      <c r="AB414" s="101" t="str">
        <f aca="false">IF(ISBLANK($C414),"",IF(ISNUMBER(N414), N414, ""))</f>
        <v/>
      </c>
      <c r="AC414" s="101" t="str">
        <f aca="false">IF(ISBLANK($C414),"",IF(ISNUMBER(O414), O414, ""))</f>
        <v/>
      </c>
      <c r="AD414" s="102" t="str">
        <f aca="false">IF(ISBLANK($C414),"",IF(ISNUMBER(P414), P414, ""))</f>
        <v/>
      </c>
      <c r="AE414" s="102" t="str">
        <f aca="false">IF(ISBLANK($C414),"",IF(ISNUMBER(Q414), Q414, Constants!$B$13))</f>
        <v/>
      </c>
      <c r="AF414" s="99" t="str">
        <f aca="false">IF(ISBLANK($C414),"",IF(R414=Constants!$B$2, TRUE(), IF(R414=Constants!$B$3, FALSE(), FALSE())))</f>
        <v/>
      </c>
      <c r="AG414" s="99" t="str">
        <f aca="false">IF(ISBLANK(C414), "", IF(AF414, Constants!$B$4,IF(COUNTA(G414:P414)=0, Constants!$B$5, Constants!$B$7)))</f>
        <v/>
      </c>
      <c r="AH414" s="99" t="str">
        <f aca="false">IF(ISBLANK($C414), "",IF($AG414=Constants!$B$7,1,$AG414))</f>
        <v/>
      </c>
      <c r="AI414" s="99" t="str">
        <f aca="false">IF($AG414=Constants!$B$7,POWER(Constants!$B$11,X414)*POWER(Constants!$B$12,Z414),"")</f>
        <v/>
      </c>
      <c r="AJ414" s="99" t="str">
        <f aca="false">IF(AND($AG414=Constants!$B$7, U414, V414) ,IF(OR($AA414="",$AC414=""),"",MAX(0, $AC414-$AA414)),"")</f>
        <v/>
      </c>
      <c r="AK414" s="99" t="str">
        <f aca="false">IF(AND($AG414=Constants!$B$7, U414, V414),IF(OR($AA414="",$AC414=""),$AK$6,""),"")</f>
        <v/>
      </c>
      <c r="AL414" s="99" t="str">
        <f aca="false">IF($AG414=Constants!$B$7,IF(AND(U414,V414,W414,Y414),IF($AJ414="",0,IF($AJ$6=0,Constants!$B$9,Constants!$B$9*AJ414/$AJ$6)), 0),"")</f>
        <v/>
      </c>
      <c r="AM414" s="99" t="str">
        <f aca="false">IF(AL414&lt;&gt;"", AL414*AI414,"")</f>
        <v/>
      </c>
      <c r="AN414" s="99" t="str">
        <f aca="false">IF(AND($AG414=Constants!$B$7, U414, V414) ,IF($AB414="", "", IF(OR($AC414="",$AC414=0),"",MAX(0,1-ABS($AC414-$AB414)/$AC414))),"")</f>
        <v/>
      </c>
      <c r="AO414" s="99" t="str">
        <f aca="false">IF(AND($AG414=Constants!$B$7, U414, V414),IF(AND($AA414&lt;&gt;"",$AB414&lt;&gt;"",$AC414=0),$AO$6,""),"")</f>
        <v/>
      </c>
      <c r="AP414" s="99" t="str">
        <f aca="false">IF($AG414=Constants!$B$7 ,IF(AND(U414,V414,W414,Y414,ISNUMBER(AB414)),IF($AN414="",0,IF($AN$6=0,Constants!$B$10,Constants!$B$10*AN414/$AN$6)), 0),"")</f>
        <v/>
      </c>
      <c r="AQ414" s="99" t="str">
        <f aca="false">IF(AP414&lt;&gt;"", AP414*AI414,"")</f>
        <v/>
      </c>
      <c r="AR414" s="99" t="str">
        <f aca="false">IF($AG414=Constants!$B$7,IF($AD414="",0,IF($AR$6=0,Constants!$B$8,Constants!$B$8*AD414/$AR$6)),"")</f>
        <v/>
      </c>
      <c r="AS414" s="99" t="str">
        <f aca="false">IF($AG414&lt;&gt;Constants!$B$7,$AG414,IF(AK414&amp;AO414&lt;&gt;"",Constants!$B$14,AM414+AQ414+AR414))</f>
        <v/>
      </c>
      <c r="AT414" s="99" t="str">
        <f aca="false">IF(ISBLANK($C414),"",IF($AG414=Constants!$B$7,IF(ISNUMBER(AS414),RANK(AS414,$AS$8:$AS$507),Constants!$B$14),$AG414))</f>
        <v/>
      </c>
      <c r="AU414" s="99" t="str">
        <f aca="false">IF(ISBLANK($C414), "",AM414)</f>
        <v/>
      </c>
      <c r="AV414" s="99" t="str">
        <f aca="false">IF(ISBLANK($C414),"",IF($AG414=Constants!$B$7,RANK(AU414,AU$8:AU$507),$AG414))</f>
        <v/>
      </c>
      <c r="AW414" s="99" t="str">
        <f aca="false">IF(ISBLANK($C414), "",AR414)</f>
        <v/>
      </c>
      <c r="AX414" s="99" t="str">
        <f aca="false">IF(ISBLANK($C414),"",IF($AG414=Constants!$B$7,RANK(AW414,AW$8:AW$507),$AG414))</f>
        <v/>
      </c>
      <c r="AY414" s="99" t="str">
        <f aca="false">IF(ISBLANK($C414), "",AE414)</f>
        <v/>
      </c>
      <c r="AZ414" s="99" t="str">
        <f aca="false">IF(ISBLANK($C414),"",
IF($AG414=Constants!$B$7,
  IF(ISNUMBER(AT414),
    COUNTIFS($AT$8:$AT$507,"&lt;"&amp;$AT414)
    + COUNTIFS($AT$8:$AT$507,$AT414,$AV$8:$AV$507,"&lt;"&amp;$AV414)
    + COUNTIFS($AT$8:$AT$507,$AT414,$AV$8:$AV$507,$AV414,$AX$8:$AX$507,"&lt;"&amp;$AX414)
    + COUNTIFS($AT$8:$AT$507,$AT414,$AV$8:$AV$507,$AV414,$AX$8:$AX$507,$AX414,$AY$8:$AY$507,"&lt;"&amp;$AY414)
    + 1,
  Constants!$B$14),
$AG414))</f>
        <v/>
      </c>
      <c r="BA414" s="99" t="str">
        <f aca="false">IF(ISBLANK(C414),"",IF($AG414=Constants!$B$7, IF(ISNUMBER(AT414),AT414-AZ414,Constants!$B$14),$AG414))</f>
        <v/>
      </c>
      <c r="BB414" s="103"/>
      <c r="BC414" s="104" t="str">
        <f aca="false">IF(ISBLANK($C414),"",TRIM(AK414&amp;" "&amp;AO414))</f>
        <v/>
      </c>
      <c r="BD414" s="105" t="str">
        <f aca="false">IF(ISBLANK($C414),"",IF($AG414&lt;&gt;Constants!$B$7,$AG414,AR414))</f>
        <v/>
      </c>
      <c r="BE414" s="105" t="str">
        <f aca="false">IF(ISBLANK($C414),"",IF($AG414&lt;&gt;Constants!$B$7,$AG414,AM414))</f>
        <v/>
      </c>
      <c r="BF414" s="105" t="str">
        <f aca="false">IF(ISBLANK($C414),"",IF($AG414&lt;&gt;Constants!$B$7,$AG414,AQ414))</f>
        <v/>
      </c>
      <c r="BG414" s="106" t="str">
        <f aca="false">IF(ISBLANK($C414),"",IF($AG414&lt;&gt;Constants!$B$7, $AG414 ,AS414))</f>
        <v/>
      </c>
      <c r="BH414" s="107" t="str">
        <f aca="false">IF(ISBLANK($C414),"",IF($AG414&lt;&gt;Constants!$B$7, $AG414 ,AH414))</f>
        <v/>
      </c>
      <c r="BI414" s="105" t="str">
        <f aca="false">IF(ISBLANK(C414),"",BA414)</f>
        <v/>
      </c>
      <c r="BJ414" s="105" t="str">
        <f aca="false">IF(ISBLANK(C414),"",AZ414)</f>
        <v/>
      </c>
      <c r="BK414" s="108" t="str">
        <f aca="false">IF(ISBLANK(C414),"",IFERROR(_xlfn.SWITCH(BJ414, Constants!$B$4, COUNTA($C$8:$C913)+2, Constants!$B$5, COUNTA($C$8:$C913)+1, Constants!$B$6, COUNTA($C$8:$C913)),BJ414))</f>
        <v/>
      </c>
      <c r="BL414" s="5"/>
      <c r="BM414" s="109" t="n">
        <f aca="false">IF(OR(ISNUMBER(BJ414),BJ414="DQ",BJ414="P",BJ414="NS"),
    1,
    0
)</f>
        <v>0</v>
      </c>
      <c r="BN414" s="109" t="n">
        <v>407</v>
      </c>
      <c r="BO414" s="109" t="str">
        <f aca="false">IF(ISBLANK($C414),"",IF(ISNUMBER(BK414),BK414+ROW($B414)/1000,""))</f>
        <v/>
      </c>
      <c r="BP414" s="109" t="str">
        <f aca="false">IF(ISNUMBER(BO414), RANK(BO414,BO$8:BO$507,1), "")</f>
        <v/>
      </c>
      <c r="BQ414" s="109" t="str">
        <f aca="false">IF(ISBLANK($C414),
    "",
    $B414
)</f>
        <v/>
      </c>
      <c r="BR414" s="109" t="str">
        <f aca="false">IF(ISBLANK($C414),
    "",
    $C414
)</f>
        <v/>
      </c>
      <c r="BS414" s="109" t="str">
        <f aca="false">IF(ISBLANK($C414),
    "",
    $D414
)</f>
        <v/>
      </c>
      <c r="BT414" s="110" t="str">
        <f aca="false">BH414</f>
        <v/>
      </c>
      <c r="BU414" s="111" t="str">
        <f aca="false">BG414</f>
        <v/>
      </c>
      <c r="BV414" s="109" t="str">
        <f aca="false">IF(ISBLANK($C414),
    "",
    BJ414
)</f>
        <v/>
      </c>
      <c r="BW414" s="112" t="str">
        <f aca="false">IF(BN414&gt;BM$7,
    "",
    VLOOKUP(BN414,BP$8:BV913,7,FALSE())
)</f>
        <v/>
      </c>
      <c r="BX414" s="113" t="str">
        <f aca="false">IF(BN414&gt;BM$7,
    "",
    VLOOKUP(BN414,BP$8:BV913,2,FALSE())
)</f>
        <v/>
      </c>
      <c r="BY414" s="113" t="str">
        <f aca="false">IF(BN414&gt;BM$7,
    "",
    VLOOKUP(BN414,BP$8:BV913,3,FALSE())
)</f>
        <v/>
      </c>
      <c r="BZ414" s="113" t="str">
        <f aca="false">IF(BN414&gt;BM$7,
    "",
    VLOOKUP(BN414,BP$8:BV913,4,FALSE())
)</f>
        <v/>
      </c>
      <c r="CA414" s="113" t="str">
        <f aca="false">IF(BN414&gt;BM$7,
    "",
    VLOOKUP(BN414,BP$8:BV913,5,FALSE())
)</f>
        <v/>
      </c>
      <c r="CB414" s="114" t="str">
        <f aca="false">IF(BN414&gt;BM$7,
    "",
    VLOOKUP(BN414,BP$8:BV913,6,FALSE())
)</f>
        <v/>
      </c>
      <c r="CC414" s="53"/>
    </row>
    <row r="415" customFormat="false" ht="15.75" hidden="false" customHeight="false" outlineLevel="0" collapsed="false">
      <c r="A415" s="5"/>
      <c r="B415" s="125"/>
      <c r="C415" s="126"/>
      <c r="D415" s="115"/>
      <c r="E415" s="119"/>
      <c r="F415" s="119"/>
      <c r="G415" s="91"/>
      <c r="H415" s="92"/>
      <c r="I415" s="92"/>
      <c r="J415" s="128"/>
      <c r="K415" s="128"/>
      <c r="L415" s="128"/>
      <c r="M415" s="94"/>
      <c r="N415" s="94"/>
      <c r="O415" s="94"/>
      <c r="P415" s="95"/>
      <c r="Q415" s="96"/>
      <c r="R415" s="128"/>
      <c r="S415" s="98"/>
      <c r="T415" s="99"/>
      <c r="U415" s="99" t="str">
        <f aca="false">IF(ISBLANK($C415),"",IF(G415=Constants!$B$2, TRUE(), IF(G415=Constants!$B$3, FALSE(), TRUE())))</f>
        <v/>
      </c>
      <c r="V415" s="99" t="str">
        <f aca="false">IF(ISBLANK($C415),"",IF(H415=Constants!$B$2, TRUE(), IF(H415=Constants!$B$3, FALSE(), TRUE())))</f>
        <v/>
      </c>
      <c r="W415" s="99" t="str">
        <f aca="false">IF(ISBLANK($C415),"",IF(I415=Constants!$B$2, TRUE(), IF(I415=Constants!$B$3, FALSE(), TRUE())))</f>
        <v/>
      </c>
      <c r="X415" s="99" t="str">
        <f aca="false">IF(ISBLANK($C415),"",IF(AND(ISNUMBER(J415),J415&gt;0),INT(J415),0))</f>
        <v/>
      </c>
      <c r="Y415" s="99" t="str">
        <f aca="false">IF(ISBLANK($C415),"",IF(K415=Constants!$B$2, TRUE(), IF(K415=Constants!$B$3, FALSE(), TRUE())))</f>
        <v/>
      </c>
      <c r="Z415" s="100" t="str">
        <f aca="false">IF(ISBLANK($C415),"",IF(AND(ISNUMBER(L415),L415&gt;0),INT(L415),0))</f>
        <v/>
      </c>
      <c r="AA415" s="101" t="str">
        <f aca="false">IF(ISBLANK($C415),"",IF(ISNUMBER(M415), M415, ""))</f>
        <v/>
      </c>
      <c r="AB415" s="101" t="str">
        <f aca="false">IF(ISBLANK($C415),"",IF(ISNUMBER(N415), N415, ""))</f>
        <v/>
      </c>
      <c r="AC415" s="101" t="str">
        <f aca="false">IF(ISBLANK($C415),"",IF(ISNUMBER(O415), O415, ""))</f>
        <v/>
      </c>
      <c r="AD415" s="102" t="str">
        <f aca="false">IF(ISBLANK($C415),"",IF(ISNUMBER(P415), P415, ""))</f>
        <v/>
      </c>
      <c r="AE415" s="102" t="str">
        <f aca="false">IF(ISBLANK($C415),"",IF(ISNUMBER(Q415), Q415, Constants!$B$13))</f>
        <v/>
      </c>
      <c r="AF415" s="99" t="str">
        <f aca="false">IF(ISBLANK($C415),"",IF(R415=Constants!$B$2, TRUE(), IF(R415=Constants!$B$3, FALSE(), FALSE())))</f>
        <v/>
      </c>
      <c r="AG415" s="99" t="str">
        <f aca="false">IF(ISBLANK(C415), "", IF(AF415, Constants!$B$4,IF(COUNTA(G415:P415)=0, Constants!$B$5, Constants!$B$7)))</f>
        <v/>
      </c>
      <c r="AH415" s="99" t="str">
        <f aca="false">IF(ISBLANK($C415), "",IF($AG415=Constants!$B$7,1,$AG415))</f>
        <v/>
      </c>
      <c r="AI415" s="99" t="str">
        <f aca="false">IF($AG415=Constants!$B$7,POWER(Constants!$B$11,X415)*POWER(Constants!$B$12,Z415),"")</f>
        <v/>
      </c>
      <c r="AJ415" s="99" t="str">
        <f aca="false">IF(AND($AG415=Constants!$B$7, U415, V415) ,IF(OR($AA415="",$AC415=""),"",MAX(0, $AC415-$AA415)),"")</f>
        <v/>
      </c>
      <c r="AK415" s="99" t="str">
        <f aca="false">IF(AND($AG415=Constants!$B$7, U415, V415),IF(OR($AA415="",$AC415=""),$AK$6,""),"")</f>
        <v/>
      </c>
      <c r="AL415" s="99" t="str">
        <f aca="false">IF($AG415=Constants!$B$7,IF(AND(U415,V415,W415,Y415),IF($AJ415="",0,IF($AJ$6=0,Constants!$B$9,Constants!$B$9*AJ415/$AJ$6)), 0),"")</f>
        <v/>
      </c>
      <c r="AM415" s="99" t="str">
        <f aca="false">IF(AL415&lt;&gt;"", AL415*AI415,"")</f>
        <v/>
      </c>
      <c r="AN415" s="99" t="str">
        <f aca="false">IF(AND($AG415=Constants!$B$7, U415, V415) ,IF($AB415="", "", IF(OR($AC415="",$AC415=0),"",MAX(0,1-ABS($AC415-$AB415)/$AC415))),"")</f>
        <v/>
      </c>
      <c r="AO415" s="99" t="str">
        <f aca="false">IF(AND($AG415=Constants!$B$7, U415, V415),IF(AND($AA415&lt;&gt;"",$AB415&lt;&gt;"",$AC415=0),$AO$6,""),"")</f>
        <v/>
      </c>
      <c r="AP415" s="99" t="str">
        <f aca="false">IF($AG415=Constants!$B$7 ,IF(AND(U415,V415,W415,Y415,ISNUMBER(AB415)),IF($AN415="",0,IF($AN$6=0,Constants!$B$10,Constants!$B$10*AN415/$AN$6)), 0),"")</f>
        <v/>
      </c>
      <c r="AQ415" s="99" t="str">
        <f aca="false">IF(AP415&lt;&gt;"", AP415*AI415,"")</f>
        <v/>
      </c>
      <c r="AR415" s="99" t="str">
        <f aca="false">IF($AG415=Constants!$B$7,IF($AD415="",0,IF($AR$6=0,Constants!$B$8,Constants!$B$8*AD415/$AR$6)),"")</f>
        <v/>
      </c>
      <c r="AS415" s="99" t="str">
        <f aca="false">IF($AG415&lt;&gt;Constants!$B$7,$AG415,IF(AK415&amp;AO415&lt;&gt;"",Constants!$B$14,AM415+AQ415+AR415))</f>
        <v/>
      </c>
      <c r="AT415" s="99" t="str">
        <f aca="false">IF(ISBLANK($C415),"",IF($AG415=Constants!$B$7,IF(ISNUMBER(AS415),RANK(AS415,$AS$8:$AS$507),Constants!$B$14),$AG415))</f>
        <v/>
      </c>
      <c r="AU415" s="99" t="str">
        <f aca="false">IF(ISBLANK($C415), "",AM415)</f>
        <v/>
      </c>
      <c r="AV415" s="99" t="str">
        <f aca="false">IF(ISBLANK($C415),"",IF($AG415=Constants!$B$7,RANK(AU415,AU$8:AU$507),$AG415))</f>
        <v/>
      </c>
      <c r="AW415" s="99" t="str">
        <f aca="false">IF(ISBLANK($C415), "",AR415)</f>
        <v/>
      </c>
      <c r="AX415" s="99" t="str">
        <f aca="false">IF(ISBLANK($C415),"",IF($AG415=Constants!$B$7,RANK(AW415,AW$8:AW$507),$AG415))</f>
        <v/>
      </c>
      <c r="AY415" s="99" t="str">
        <f aca="false">IF(ISBLANK($C415), "",AE415)</f>
        <v/>
      </c>
      <c r="AZ415" s="99" t="str">
        <f aca="false">IF(ISBLANK($C415),"",
IF($AG415=Constants!$B$7,
  IF(ISNUMBER(AT415),
    COUNTIFS($AT$8:$AT$507,"&lt;"&amp;$AT415)
    + COUNTIFS($AT$8:$AT$507,$AT415,$AV$8:$AV$507,"&lt;"&amp;$AV415)
    + COUNTIFS($AT$8:$AT$507,$AT415,$AV$8:$AV$507,$AV415,$AX$8:$AX$507,"&lt;"&amp;$AX415)
    + COUNTIFS($AT$8:$AT$507,$AT415,$AV$8:$AV$507,$AV415,$AX$8:$AX$507,$AX415,$AY$8:$AY$507,"&lt;"&amp;$AY415)
    + 1,
  Constants!$B$14),
$AG415))</f>
        <v/>
      </c>
      <c r="BA415" s="99" t="str">
        <f aca="false">IF(ISBLANK(C415),"",IF($AG415=Constants!$B$7, IF(ISNUMBER(AT415),AT415-AZ415,Constants!$B$14),$AG415))</f>
        <v/>
      </c>
      <c r="BB415" s="103"/>
      <c r="BC415" s="104" t="str">
        <f aca="false">IF(ISBLANK($C415),"",TRIM(AK415&amp;" "&amp;AO415))</f>
        <v/>
      </c>
      <c r="BD415" s="105" t="str">
        <f aca="false">IF(ISBLANK($C415),"",IF($AG415&lt;&gt;Constants!$B$7,$AG415,AR415))</f>
        <v/>
      </c>
      <c r="BE415" s="105" t="str">
        <f aca="false">IF(ISBLANK($C415),"",IF($AG415&lt;&gt;Constants!$B$7,$AG415,AM415))</f>
        <v/>
      </c>
      <c r="BF415" s="105" t="str">
        <f aca="false">IF(ISBLANK($C415),"",IF($AG415&lt;&gt;Constants!$B$7,$AG415,AQ415))</f>
        <v/>
      </c>
      <c r="BG415" s="106" t="str">
        <f aca="false">IF(ISBLANK($C415),"",IF($AG415&lt;&gt;Constants!$B$7, $AG415 ,AS415))</f>
        <v/>
      </c>
      <c r="BH415" s="107" t="str">
        <f aca="false">IF(ISBLANK($C415),"",IF($AG415&lt;&gt;Constants!$B$7, $AG415 ,AH415))</f>
        <v/>
      </c>
      <c r="BI415" s="105" t="str">
        <f aca="false">IF(ISBLANK(C415),"",BA415)</f>
        <v/>
      </c>
      <c r="BJ415" s="105" t="str">
        <f aca="false">IF(ISBLANK(C415),"",AZ415)</f>
        <v/>
      </c>
      <c r="BK415" s="108" t="str">
        <f aca="false">IF(ISBLANK(C415),"",IFERROR(_xlfn.SWITCH(BJ415, Constants!$B$4, COUNTA($C$8:$C914)+2, Constants!$B$5, COUNTA($C$8:$C914)+1, Constants!$B$6, COUNTA($C$8:$C914)),BJ415))</f>
        <v/>
      </c>
      <c r="BL415" s="5"/>
      <c r="BM415" s="109" t="n">
        <f aca="false">IF(OR(ISNUMBER(BJ415),BJ415="DQ",BJ415="P",BJ415="NS"),
    1,
    0
)</f>
        <v>0</v>
      </c>
      <c r="BN415" s="109" t="n">
        <v>408</v>
      </c>
      <c r="BO415" s="109" t="str">
        <f aca="false">IF(ISBLANK($C415),"",IF(ISNUMBER(BK415),BK415+ROW($B415)/1000,""))</f>
        <v/>
      </c>
      <c r="BP415" s="109" t="str">
        <f aca="false">IF(ISNUMBER(BO415), RANK(BO415,BO$8:BO$507,1), "")</f>
        <v/>
      </c>
      <c r="BQ415" s="109" t="str">
        <f aca="false">IF(ISBLANK($C415),
    "",
    $B415
)</f>
        <v/>
      </c>
      <c r="BR415" s="109" t="str">
        <f aca="false">IF(ISBLANK($C415),
    "",
    $C415
)</f>
        <v/>
      </c>
      <c r="BS415" s="109" t="str">
        <f aca="false">IF(ISBLANK($C415),
    "",
    $D415
)</f>
        <v/>
      </c>
      <c r="BT415" s="110" t="str">
        <f aca="false">BH415</f>
        <v/>
      </c>
      <c r="BU415" s="111" t="str">
        <f aca="false">BG415</f>
        <v/>
      </c>
      <c r="BV415" s="109" t="str">
        <f aca="false">IF(ISBLANK($C415),
    "",
    BJ415
)</f>
        <v/>
      </c>
      <c r="BW415" s="112" t="str">
        <f aca="false">IF(BN415&gt;BM$7,
    "",
    VLOOKUP(BN415,BP$8:BV914,7,FALSE())
)</f>
        <v/>
      </c>
      <c r="BX415" s="113" t="str">
        <f aca="false">IF(BN415&gt;BM$7,
    "",
    VLOOKUP(BN415,BP$8:BV914,2,FALSE())
)</f>
        <v/>
      </c>
      <c r="BY415" s="113" t="str">
        <f aca="false">IF(BN415&gt;BM$7,
    "",
    VLOOKUP(BN415,BP$8:BV914,3,FALSE())
)</f>
        <v/>
      </c>
      <c r="BZ415" s="113" t="str">
        <f aca="false">IF(BN415&gt;BM$7,
    "",
    VLOOKUP(BN415,BP$8:BV914,4,FALSE())
)</f>
        <v/>
      </c>
      <c r="CA415" s="113" t="str">
        <f aca="false">IF(BN415&gt;BM$7,
    "",
    VLOOKUP(BN415,BP$8:BV914,5,FALSE())
)</f>
        <v/>
      </c>
      <c r="CB415" s="114" t="str">
        <f aca="false">IF(BN415&gt;BM$7,
    "",
    VLOOKUP(BN415,BP$8:BV914,6,FALSE())
)</f>
        <v/>
      </c>
      <c r="CC415" s="53"/>
    </row>
    <row r="416" customFormat="false" ht="15.75" hidden="false" customHeight="false" outlineLevel="0" collapsed="false">
      <c r="A416" s="5"/>
      <c r="B416" s="129"/>
      <c r="C416" s="55"/>
      <c r="D416" s="56"/>
      <c r="E416" s="123"/>
      <c r="F416" s="123"/>
      <c r="G416" s="58"/>
      <c r="H416" s="59"/>
      <c r="I416" s="59"/>
      <c r="J416" s="83"/>
      <c r="K416" s="83"/>
      <c r="L416" s="83"/>
      <c r="M416" s="61"/>
      <c r="N416" s="61"/>
      <c r="O416" s="61"/>
      <c r="P416" s="62"/>
      <c r="Q416" s="63"/>
      <c r="R416" s="83"/>
      <c r="S416" s="65"/>
      <c r="T416" s="66"/>
      <c r="U416" s="66" t="str">
        <f aca="false">IF(ISBLANK($C416),"",IF(G416=Constants!$B$2, TRUE(), IF(G416=Constants!$B$3, FALSE(), TRUE())))</f>
        <v/>
      </c>
      <c r="V416" s="66" t="str">
        <f aca="false">IF(ISBLANK($C416),"",IF(H416=Constants!$B$2, TRUE(), IF(H416=Constants!$B$3, FALSE(), TRUE())))</f>
        <v/>
      </c>
      <c r="W416" s="66" t="str">
        <f aca="false">IF(ISBLANK($C416),"",IF(I416=Constants!$B$2, TRUE(), IF(I416=Constants!$B$3, FALSE(), TRUE())))</f>
        <v/>
      </c>
      <c r="X416" s="66" t="str">
        <f aca="false">IF(ISBLANK($C416),"",IF(AND(ISNUMBER(J416),J416&gt;0),INT(J416),0))</f>
        <v/>
      </c>
      <c r="Y416" s="66" t="str">
        <f aca="false">IF(ISBLANK($C416),"",IF(K416=Constants!$B$2, TRUE(), IF(K416=Constants!$B$3, FALSE(), TRUE())))</f>
        <v/>
      </c>
      <c r="Z416" s="66" t="str">
        <f aca="false">IF(ISBLANK($C416),"",IF(AND(ISNUMBER(L416),L416&gt;0),INT(L416),0))</f>
        <v/>
      </c>
      <c r="AA416" s="68" t="str">
        <f aca="false">IF(ISBLANK($C416),"",IF(ISNUMBER(M416), M416, ""))</f>
        <v/>
      </c>
      <c r="AB416" s="68" t="str">
        <f aca="false">IF(ISBLANK($C416),"",IF(ISNUMBER(N416), N416, ""))</f>
        <v/>
      </c>
      <c r="AC416" s="68" t="str">
        <f aca="false">IF(ISBLANK($C416),"",IF(ISNUMBER(O416), O416, ""))</f>
        <v/>
      </c>
      <c r="AD416" s="69" t="str">
        <f aca="false">IF(ISBLANK($C416),"",IF(ISNUMBER(P416), P416, ""))</f>
        <v/>
      </c>
      <c r="AE416" s="69" t="str">
        <f aca="false">IF(ISBLANK($C416),"",IF(ISNUMBER(Q416), Q416, Constants!$B$13))</f>
        <v/>
      </c>
      <c r="AF416" s="66" t="str">
        <f aca="false">IF(ISBLANK($C416),"",IF(R416=Constants!$B$2, TRUE(), IF(R416=Constants!$B$3, FALSE(), FALSE())))</f>
        <v/>
      </c>
      <c r="AG416" s="66" t="str">
        <f aca="false">IF(ISBLANK(C416), "", IF(AF416, Constants!$B$4,IF(COUNTA(G416:P416)=0, Constants!$B$5, Constants!$B$7)))</f>
        <v/>
      </c>
      <c r="AH416" s="66" t="str">
        <f aca="false">IF(ISBLANK($C416), "",IF($AG416=Constants!$B$7,1,$AG416))</f>
        <v/>
      </c>
      <c r="AI416" s="66" t="str">
        <f aca="false">IF($AG416=Constants!$B$7,POWER(Constants!$B$11,X416)*POWER(Constants!$B$12,Z416),"")</f>
        <v/>
      </c>
      <c r="AJ416" s="66" t="str">
        <f aca="false">IF(AND($AG416=Constants!$B$7, U416, V416) ,IF(OR($AA416="",$AC416=""),"",MAX(0, $AC416-$AA416)),"")</f>
        <v/>
      </c>
      <c r="AK416" s="66" t="str">
        <f aca="false">IF(AND($AG416=Constants!$B$7, U416, V416),IF(OR($AA416="",$AC416=""),$AK$6,""),"")</f>
        <v/>
      </c>
      <c r="AL416" s="66" t="str">
        <f aca="false">IF($AG416=Constants!$B$7,IF(AND(U416,V416,W416,Y416),IF($AJ416="",0,IF($AJ$6=0,Constants!$B$9,Constants!$B$9*AJ416/$AJ$6)), 0),"")</f>
        <v/>
      </c>
      <c r="AM416" s="66" t="str">
        <f aca="false">IF(AL416&lt;&gt;"", AL416*AI416,"")</f>
        <v/>
      </c>
      <c r="AN416" s="66" t="str">
        <f aca="false">IF(AND($AG416=Constants!$B$7, U416, V416) ,IF($AB416="", "", IF(OR($AC416="",$AC416=0),"",MAX(0,1-ABS($AC416-$AB416)/$AC416))),"")</f>
        <v/>
      </c>
      <c r="AO416" s="66" t="str">
        <f aca="false">IF(AND($AG416=Constants!$B$7, U416, V416),IF(AND($AA416&lt;&gt;"",$AB416&lt;&gt;"",$AC416=0),$AO$6,""),"")</f>
        <v/>
      </c>
      <c r="AP416" s="66" t="str">
        <f aca="false">IF($AG416=Constants!$B$7 ,IF(AND(U416,V416,W416,Y416,ISNUMBER(AB416)),IF($AN416="",0,IF($AN$6=0,Constants!$B$10,Constants!$B$10*AN416/$AN$6)), 0),"")</f>
        <v/>
      </c>
      <c r="AQ416" s="66" t="str">
        <f aca="false">IF(AP416&lt;&gt;"", AP416*AI416,"")</f>
        <v/>
      </c>
      <c r="AR416" s="66" t="str">
        <f aca="false">IF($AG416=Constants!$B$7,IF($AD416="",0,IF($AR$6=0,Constants!$B$8,Constants!$B$8*AD416/$AR$6)),"")</f>
        <v/>
      </c>
      <c r="AS416" s="66" t="str">
        <f aca="false">IF($AG416&lt;&gt;Constants!$B$7,$AG416,IF(AK416&amp;AO416&lt;&gt;"",Constants!$B$14,AM416+AQ416+AR416))</f>
        <v/>
      </c>
      <c r="AT416" s="66" t="str">
        <f aca="false">IF(ISBLANK($C416),"",IF($AG416=Constants!$B$7,IF(ISNUMBER(AS416),RANK(AS416,$AS$8:$AS$507),Constants!$B$14),$AG416))</f>
        <v/>
      </c>
      <c r="AU416" s="66" t="str">
        <f aca="false">IF(ISBLANK($C416), "",AM416)</f>
        <v/>
      </c>
      <c r="AV416" s="66" t="str">
        <f aca="false">IF(ISBLANK($C416),"",IF($AG416=Constants!$B$7,RANK(AU416,AU$8:AU$507),$AG416))</f>
        <v/>
      </c>
      <c r="AW416" s="66" t="str">
        <f aca="false">IF(ISBLANK($C416), "",AR416)</f>
        <v/>
      </c>
      <c r="AX416" s="66" t="str">
        <f aca="false">IF(ISBLANK($C416),"",IF($AG416=Constants!$B$7,RANK(AW416,AW$8:AW$507),$AG416))</f>
        <v/>
      </c>
      <c r="AY416" s="66" t="str">
        <f aca="false">IF(ISBLANK($C416), "",AE416)</f>
        <v/>
      </c>
      <c r="AZ416" s="66" t="str">
        <f aca="false">IF(ISBLANK($C416),"",
IF($AG416=Constants!$B$7,
  IF(ISNUMBER(AT416),
    COUNTIFS($AT$8:$AT$507,"&lt;"&amp;$AT416)
    + COUNTIFS($AT$8:$AT$507,$AT416,$AV$8:$AV$507,"&lt;"&amp;$AV416)
    + COUNTIFS($AT$8:$AT$507,$AT416,$AV$8:$AV$507,$AV416,$AX$8:$AX$507,"&lt;"&amp;$AX416)
    + COUNTIFS($AT$8:$AT$507,$AT416,$AV$8:$AV$507,$AV416,$AX$8:$AX$507,$AX416,$AY$8:$AY$507,"&lt;"&amp;$AY416)
    + 1,
  Constants!$B$14),
$AG416))</f>
        <v/>
      </c>
      <c r="BA416" s="66" t="str">
        <f aca="false">IF(ISBLANK(C416),"",IF($AG416=Constants!$B$7, IF(ISNUMBER(AT416),AT416-AZ416,Constants!$B$14),$AG416))</f>
        <v/>
      </c>
      <c r="BB416" s="70"/>
      <c r="BC416" s="84" t="str">
        <f aca="false">IF(ISBLANK($C416),"",TRIM(AK416&amp;" "&amp;AO416))</f>
        <v/>
      </c>
      <c r="BD416" s="72" t="str">
        <f aca="false">IF(ISBLANK($C416),"",IF($AG416&lt;&gt;Constants!$B$7,$AG416,AR416))</f>
        <v/>
      </c>
      <c r="BE416" s="72" t="str">
        <f aca="false">IF(ISBLANK($C416),"",IF($AG416&lt;&gt;Constants!$B$7,$AG416,AM416))</f>
        <v/>
      </c>
      <c r="BF416" s="72" t="str">
        <f aca="false">IF(ISBLANK($C416),"",IF($AG416&lt;&gt;Constants!$B$7,$AG416,AQ416))</f>
        <v/>
      </c>
      <c r="BG416" s="73" t="str">
        <f aca="false">IF(ISBLANK($C416),"",IF($AG416&lt;&gt;Constants!$B$7, $AG416 ,AS416))</f>
        <v/>
      </c>
      <c r="BH416" s="74" t="str">
        <f aca="false">IF(ISBLANK($C416),"",IF($AG416&lt;&gt;Constants!$B$7, $AG416 ,AH416))</f>
        <v/>
      </c>
      <c r="BI416" s="72" t="str">
        <f aca="false">IF(ISBLANK(C416),"",BA416)</f>
        <v/>
      </c>
      <c r="BJ416" s="72" t="str">
        <f aca="false">IF(ISBLANK(C416),"",AZ416)</f>
        <v/>
      </c>
      <c r="BK416" s="75" t="str">
        <f aca="false">IF(ISBLANK(C416),"",IFERROR(_xlfn.SWITCH(BJ416, Constants!$B$4, COUNTA($C$8:$C915)+2, Constants!$B$5, COUNTA($C$8:$C915)+1, Constants!$B$6, COUNTA($C$8:$C915)),BJ416))</f>
        <v/>
      </c>
      <c r="BL416" s="5"/>
      <c r="BM416" s="76" t="n">
        <f aca="false">IF(OR(ISNUMBER(BJ416),BJ416="DQ",BJ416="P",BJ416="NS"),
    1,
    0
)</f>
        <v>0</v>
      </c>
      <c r="BN416" s="76" t="n">
        <v>409</v>
      </c>
      <c r="BO416" s="76" t="str">
        <f aca="false">IF(ISBLANK($C416),"",IF(ISNUMBER(BK416),BK416+ROW($B416)/1000,""))</f>
        <v/>
      </c>
      <c r="BP416" s="76" t="str">
        <f aca="false">IF(ISNUMBER(BO416), RANK(BO416,BO$8:BO$507,1), "")</f>
        <v/>
      </c>
      <c r="BQ416" s="76" t="str">
        <f aca="false">IF(ISBLANK($C416),
    "",
    $B416
)</f>
        <v/>
      </c>
      <c r="BR416" s="76" t="str">
        <f aca="false">IF(ISBLANK($C416),
    "",
    $C416
)</f>
        <v/>
      </c>
      <c r="BS416" s="76" t="str">
        <f aca="false">IF(ISBLANK($C416),
    "",
    $D416
)</f>
        <v/>
      </c>
      <c r="BT416" s="77" t="str">
        <f aca="false">BH416</f>
        <v/>
      </c>
      <c r="BU416" s="78" t="str">
        <f aca="false">BG416</f>
        <v/>
      </c>
      <c r="BV416" s="76" t="str">
        <f aca="false">IF(ISBLANK($C416),
    "",
    BJ416
)</f>
        <v/>
      </c>
      <c r="BW416" s="79" t="str">
        <f aca="false">IF(BN416&gt;BM$7,
    "",
    VLOOKUP(BN416,BP$8:BV915,7,FALSE())
)</f>
        <v/>
      </c>
      <c r="BX416" s="80" t="str">
        <f aca="false">IF(BN416&gt;BM$7,
    "",
    VLOOKUP(BN416,BP$8:BV915,2,FALSE())
)</f>
        <v/>
      </c>
      <c r="BY416" s="80" t="str">
        <f aca="false">IF(BN416&gt;BM$7,
    "",
    VLOOKUP(BN416,BP$8:BV915,3,FALSE())
)</f>
        <v/>
      </c>
      <c r="BZ416" s="80" t="str">
        <f aca="false">IF(BN416&gt;BM$7,
    "",
    VLOOKUP(BN416,BP$8:BV915,4,FALSE())
)</f>
        <v/>
      </c>
      <c r="CA416" s="80" t="str">
        <f aca="false">IF(BN416&gt;BM$7,
    "",
    VLOOKUP(BN416,BP$8:BV915,5,FALSE())
)</f>
        <v/>
      </c>
      <c r="CB416" s="81" t="str">
        <f aca="false">IF(BN416&gt;BM$7,
    "",
    VLOOKUP(BN416,BP$8:BV915,6,FALSE())
)</f>
        <v/>
      </c>
      <c r="CC416" s="53"/>
    </row>
    <row r="417" customFormat="false" ht="15.75" hidden="false" customHeight="false" outlineLevel="0" collapsed="false">
      <c r="A417" s="5"/>
      <c r="B417" s="129"/>
      <c r="C417" s="55"/>
      <c r="D417" s="56"/>
      <c r="E417" s="123"/>
      <c r="F417" s="123"/>
      <c r="G417" s="58"/>
      <c r="H417" s="59"/>
      <c r="I417" s="59"/>
      <c r="J417" s="83"/>
      <c r="K417" s="83"/>
      <c r="L417" s="83"/>
      <c r="M417" s="61"/>
      <c r="N417" s="61"/>
      <c r="O417" s="61"/>
      <c r="P417" s="62"/>
      <c r="Q417" s="63"/>
      <c r="R417" s="83"/>
      <c r="S417" s="65"/>
      <c r="T417" s="66"/>
      <c r="U417" s="66" t="str">
        <f aca="false">IF(ISBLANK($C417),"",IF(G417=Constants!$B$2, TRUE(), IF(G417=Constants!$B$3, FALSE(), TRUE())))</f>
        <v/>
      </c>
      <c r="V417" s="66" t="str">
        <f aca="false">IF(ISBLANK($C417),"",IF(H417=Constants!$B$2, TRUE(), IF(H417=Constants!$B$3, FALSE(), TRUE())))</f>
        <v/>
      </c>
      <c r="W417" s="66" t="str">
        <f aca="false">IF(ISBLANK($C417),"",IF(I417=Constants!$B$2, TRUE(), IF(I417=Constants!$B$3, FALSE(), TRUE())))</f>
        <v/>
      </c>
      <c r="X417" s="66" t="str">
        <f aca="false">IF(ISBLANK($C417),"",IF(AND(ISNUMBER(J417),J417&gt;0),INT(J417),0))</f>
        <v/>
      </c>
      <c r="Y417" s="66" t="str">
        <f aca="false">IF(ISBLANK($C417),"",IF(K417=Constants!$B$2, TRUE(), IF(K417=Constants!$B$3, FALSE(), TRUE())))</f>
        <v/>
      </c>
      <c r="Z417" s="66" t="str">
        <f aca="false">IF(ISBLANK($C417),"",IF(AND(ISNUMBER(L417),L417&gt;0),INT(L417),0))</f>
        <v/>
      </c>
      <c r="AA417" s="68" t="str">
        <f aca="false">IF(ISBLANK($C417),"",IF(ISNUMBER(M417), M417, ""))</f>
        <v/>
      </c>
      <c r="AB417" s="68" t="str">
        <f aca="false">IF(ISBLANK($C417),"",IF(ISNUMBER(N417), N417, ""))</f>
        <v/>
      </c>
      <c r="AC417" s="68" t="str">
        <f aca="false">IF(ISBLANK($C417),"",IF(ISNUMBER(O417), O417, ""))</f>
        <v/>
      </c>
      <c r="AD417" s="69" t="str">
        <f aca="false">IF(ISBLANK($C417),"",IF(ISNUMBER(P417), P417, ""))</f>
        <v/>
      </c>
      <c r="AE417" s="69" t="str">
        <f aca="false">IF(ISBLANK($C417),"",IF(ISNUMBER(Q417), Q417, Constants!$B$13))</f>
        <v/>
      </c>
      <c r="AF417" s="66" t="str">
        <f aca="false">IF(ISBLANK($C417),"",IF(R417=Constants!$B$2, TRUE(), IF(R417=Constants!$B$3, FALSE(), FALSE())))</f>
        <v/>
      </c>
      <c r="AG417" s="66" t="str">
        <f aca="false">IF(ISBLANK(C417), "", IF(AF417, Constants!$B$4,IF(COUNTA(G417:P417)=0, Constants!$B$5, Constants!$B$7)))</f>
        <v/>
      </c>
      <c r="AH417" s="66" t="str">
        <f aca="false">IF(ISBLANK($C417), "",IF($AG417=Constants!$B$7,1,$AG417))</f>
        <v/>
      </c>
      <c r="AI417" s="66" t="str">
        <f aca="false">IF($AG417=Constants!$B$7,POWER(Constants!$B$11,X417)*POWER(Constants!$B$12,Z417),"")</f>
        <v/>
      </c>
      <c r="AJ417" s="66" t="str">
        <f aca="false">IF(AND($AG417=Constants!$B$7, U417, V417) ,IF(OR($AA417="",$AC417=""),"",MAX(0, $AC417-$AA417)),"")</f>
        <v/>
      </c>
      <c r="AK417" s="66" t="str">
        <f aca="false">IF(AND($AG417=Constants!$B$7, U417, V417),IF(OR($AA417="",$AC417=""),$AK$6,""),"")</f>
        <v/>
      </c>
      <c r="AL417" s="66" t="str">
        <f aca="false">IF($AG417=Constants!$B$7,IF(AND(U417,V417,W417,Y417),IF($AJ417="",0,IF($AJ$6=0,Constants!$B$9,Constants!$B$9*AJ417/$AJ$6)), 0),"")</f>
        <v/>
      </c>
      <c r="AM417" s="66" t="str">
        <f aca="false">IF(AL417&lt;&gt;"", AL417*AI417,"")</f>
        <v/>
      </c>
      <c r="AN417" s="66" t="str">
        <f aca="false">IF(AND($AG417=Constants!$B$7, U417, V417) ,IF($AB417="", "", IF(OR($AC417="",$AC417=0),"",MAX(0,1-ABS($AC417-$AB417)/$AC417))),"")</f>
        <v/>
      </c>
      <c r="AO417" s="66" t="str">
        <f aca="false">IF(AND($AG417=Constants!$B$7, U417, V417),IF(AND($AA417&lt;&gt;"",$AB417&lt;&gt;"",$AC417=0),$AO$6,""),"")</f>
        <v/>
      </c>
      <c r="AP417" s="66" t="str">
        <f aca="false">IF($AG417=Constants!$B$7 ,IF(AND(U417,V417,W417,Y417,ISNUMBER(AB417)),IF($AN417="",0,IF($AN$6=0,Constants!$B$10,Constants!$B$10*AN417/$AN$6)), 0),"")</f>
        <v/>
      </c>
      <c r="AQ417" s="66" t="str">
        <f aca="false">IF(AP417&lt;&gt;"", AP417*AI417,"")</f>
        <v/>
      </c>
      <c r="AR417" s="66" t="str">
        <f aca="false">IF($AG417=Constants!$B$7,IF($AD417="",0,IF($AR$6=0,Constants!$B$8,Constants!$B$8*AD417/$AR$6)),"")</f>
        <v/>
      </c>
      <c r="AS417" s="66" t="str">
        <f aca="false">IF($AG417&lt;&gt;Constants!$B$7,$AG417,IF(AK417&amp;AO417&lt;&gt;"",Constants!$B$14,AM417+AQ417+AR417))</f>
        <v/>
      </c>
      <c r="AT417" s="66" t="str">
        <f aca="false">IF(ISBLANK($C417),"",IF($AG417=Constants!$B$7,IF(ISNUMBER(AS417),RANK(AS417,$AS$8:$AS$507),Constants!$B$14),$AG417))</f>
        <v/>
      </c>
      <c r="AU417" s="66" t="str">
        <f aca="false">IF(ISBLANK($C417), "",AM417)</f>
        <v/>
      </c>
      <c r="AV417" s="66" t="str">
        <f aca="false">IF(ISBLANK($C417),"",IF($AG417=Constants!$B$7,RANK(AU417,AU$8:AU$507),$AG417))</f>
        <v/>
      </c>
      <c r="AW417" s="66" t="str">
        <f aca="false">IF(ISBLANK($C417), "",AR417)</f>
        <v/>
      </c>
      <c r="AX417" s="66" t="str">
        <f aca="false">IF(ISBLANK($C417),"",IF($AG417=Constants!$B$7,RANK(AW417,AW$8:AW$507),$AG417))</f>
        <v/>
      </c>
      <c r="AY417" s="66" t="str">
        <f aca="false">IF(ISBLANK($C417), "",AE417)</f>
        <v/>
      </c>
      <c r="AZ417" s="66" t="str">
        <f aca="false">IF(ISBLANK($C417),"",
IF($AG417=Constants!$B$7,
  IF(ISNUMBER(AT417),
    COUNTIFS($AT$8:$AT$507,"&lt;"&amp;$AT417)
    + COUNTIFS($AT$8:$AT$507,$AT417,$AV$8:$AV$507,"&lt;"&amp;$AV417)
    + COUNTIFS($AT$8:$AT$507,$AT417,$AV$8:$AV$507,$AV417,$AX$8:$AX$507,"&lt;"&amp;$AX417)
    + COUNTIFS($AT$8:$AT$507,$AT417,$AV$8:$AV$507,$AV417,$AX$8:$AX$507,$AX417,$AY$8:$AY$507,"&lt;"&amp;$AY417)
    + 1,
  Constants!$B$14),
$AG417))</f>
        <v/>
      </c>
      <c r="BA417" s="66" t="str">
        <f aca="false">IF(ISBLANK(C417),"",IF($AG417=Constants!$B$7, IF(ISNUMBER(AT417),AT417-AZ417,Constants!$B$14),$AG417))</f>
        <v/>
      </c>
      <c r="BB417" s="70"/>
      <c r="BC417" s="84" t="str">
        <f aca="false">IF(ISBLANK($C417),"",TRIM(AK417&amp;" "&amp;AO417))</f>
        <v/>
      </c>
      <c r="BD417" s="72" t="str">
        <f aca="false">IF(ISBLANK($C417),"",IF($AG417&lt;&gt;Constants!$B$7,$AG417,AR417))</f>
        <v/>
      </c>
      <c r="BE417" s="72" t="str">
        <f aca="false">IF(ISBLANK($C417),"",IF($AG417&lt;&gt;Constants!$B$7,$AG417,AM417))</f>
        <v/>
      </c>
      <c r="BF417" s="72" t="str">
        <f aca="false">IF(ISBLANK($C417),"",IF($AG417&lt;&gt;Constants!$B$7,$AG417,AQ417))</f>
        <v/>
      </c>
      <c r="BG417" s="73" t="str">
        <f aca="false">IF(ISBLANK($C417),"",IF($AG417&lt;&gt;Constants!$B$7, $AG417 ,AS417))</f>
        <v/>
      </c>
      <c r="BH417" s="74" t="str">
        <f aca="false">IF(ISBLANK($C417),"",IF($AG417&lt;&gt;Constants!$B$7, $AG417 ,AH417))</f>
        <v/>
      </c>
      <c r="BI417" s="72" t="str">
        <f aca="false">IF(ISBLANK(C417),"",BA417)</f>
        <v/>
      </c>
      <c r="BJ417" s="72" t="str">
        <f aca="false">IF(ISBLANK(C417),"",AZ417)</f>
        <v/>
      </c>
      <c r="BK417" s="75" t="str">
        <f aca="false">IF(ISBLANK(C417),"",IFERROR(_xlfn.SWITCH(BJ417, Constants!$B$4, COUNTA($C$8:$C916)+2, Constants!$B$5, COUNTA($C$8:$C916)+1, Constants!$B$6, COUNTA($C$8:$C916)),BJ417))</f>
        <v/>
      </c>
      <c r="BL417" s="5"/>
      <c r="BM417" s="76" t="n">
        <f aca="false">IF(OR(ISNUMBER(BJ417),BJ417="DQ",BJ417="P",BJ417="NS"),
    1,
    0
)</f>
        <v>0</v>
      </c>
      <c r="BN417" s="76" t="n">
        <v>410</v>
      </c>
      <c r="BO417" s="76" t="str">
        <f aca="false">IF(ISBLANK($C417),"",IF(ISNUMBER(BK417),BK417+ROW($B417)/1000,""))</f>
        <v/>
      </c>
      <c r="BP417" s="76" t="str">
        <f aca="false">IF(ISNUMBER(BO417), RANK(BO417,BO$8:BO$507,1), "")</f>
        <v/>
      </c>
      <c r="BQ417" s="76" t="str">
        <f aca="false">IF(ISBLANK($C417),
    "",
    $B417
)</f>
        <v/>
      </c>
      <c r="BR417" s="76" t="str">
        <f aca="false">IF(ISBLANK($C417),
    "",
    $C417
)</f>
        <v/>
      </c>
      <c r="BS417" s="76" t="str">
        <f aca="false">IF(ISBLANK($C417),
    "",
    $D417
)</f>
        <v/>
      </c>
      <c r="BT417" s="77" t="str">
        <f aca="false">BH417</f>
        <v/>
      </c>
      <c r="BU417" s="78" t="str">
        <f aca="false">BG417</f>
        <v/>
      </c>
      <c r="BV417" s="76" t="str">
        <f aca="false">IF(ISBLANK($C417),
    "",
    BJ417
)</f>
        <v/>
      </c>
      <c r="BW417" s="79" t="str">
        <f aca="false">IF(BN417&gt;BM$7,
    "",
    VLOOKUP(BN417,BP$8:BV916,7,FALSE())
)</f>
        <v/>
      </c>
      <c r="BX417" s="80" t="str">
        <f aca="false">IF(BN417&gt;BM$7,
    "",
    VLOOKUP(BN417,BP$8:BV916,2,FALSE())
)</f>
        <v/>
      </c>
      <c r="BY417" s="80" t="str">
        <f aca="false">IF(BN417&gt;BM$7,
    "",
    VLOOKUP(BN417,BP$8:BV916,3,FALSE())
)</f>
        <v/>
      </c>
      <c r="BZ417" s="80" t="str">
        <f aca="false">IF(BN417&gt;BM$7,
    "",
    VLOOKUP(BN417,BP$8:BV916,4,FALSE())
)</f>
        <v/>
      </c>
      <c r="CA417" s="80" t="str">
        <f aca="false">IF(BN417&gt;BM$7,
    "",
    VLOOKUP(BN417,BP$8:BV916,5,FALSE())
)</f>
        <v/>
      </c>
      <c r="CB417" s="81" t="str">
        <f aca="false">IF(BN417&gt;BM$7,
    "",
    VLOOKUP(BN417,BP$8:BV916,6,FALSE())
)</f>
        <v/>
      </c>
      <c r="CC417" s="53"/>
    </row>
    <row r="418" customFormat="false" ht="15.75" hidden="false" customHeight="false" outlineLevel="0" collapsed="false">
      <c r="A418" s="5"/>
      <c r="B418" s="129"/>
      <c r="C418" s="55"/>
      <c r="D418" s="56"/>
      <c r="E418" s="123"/>
      <c r="F418" s="123"/>
      <c r="G418" s="58"/>
      <c r="H418" s="59"/>
      <c r="I418" s="59"/>
      <c r="J418" s="83"/>
      <c r="K418" s="83"/>
      <c r="L418" s="83"/>
      <c r="M418" s="61"/>
      <c r="N418" s="61"/>
      <c r="O418" s="61"/>
      <c r="P418" s="62"/>
      <c r="Q418" s="63"/>
      <c r="R418" s="83"/>
      <c r="S418" s="65"/>
      <c r="T418" s="66"/>
      <c r="U418" s="66" t="str">
        <f aca="false">IF(ISBLANK($C418),"",IF(G418=Constants!$B$2, TRUE(), IF(G418=Constants!$B$3, FALSE(), TRUE())))</f>
        <v/>
      </c>
      <c r="V418" s="66" t="str">
        <f aca="false">IF(ISBLANK($C418),"",IF(H418=Constants!$B$2, TRUE(), IF(H418=Constants!$B$3, FALSE(), TRUE())))</f>
        <v/>
      </c>
      <c r="W418" s="66" t="str">
        <f aca="false">IF(ISBLANK($C418),"",IF(I418=Constants!$B$2, TRUE(), IF(I418=Constants!$B$3, FALSE(), TRUE())))</f>
        <v/>
      </c>
      <c r="X418" s="66" t="str">
        <f aca="false">IF(ISBLANK($C418),"",IF(AND(ISNUMBER(J418),J418&gt;0),INT(J418),0))</f>
        <v/>
      </c>
      <c r="Y418" s="66" t="str">
        <f aca="false">IF(ISBLANK($C418),"",IF(K418=Constants!$B$2, TRUE(), IF(K418=Constants!$B$3, FALSE(), TRUE())))</f>
        <v/>
      </c>
      <c r="Z418" s="66" t="str">
        <f aca="false">IF(ISBLANK($C418),"",IF(AND(ISNUMBER(L418),L418&gt;0),INT(L418),0))</f>
        <v/>
      </c>
      <c r="AA418" s="68" t="str">
        <f aca="false">IF(ISBLANK($C418),"",IF(ISNUMBER(M418), M418, ""))</f>
        <v/>
      </c>
      <c r="AB418" s="68" t="str">
        <f aca="false">IF(ISBLANK($C418),"",IF(ISNUMBER(N418), N418, ""))</f>
        <v/>
      </c>
      <c r="AC418" s="68" t="str">
        <f aca="false">IF(ISBLANK($C418),"",IF(ISNUMBER(O418), O418, ""))</f>
        <v/>
      </c>
      <c r="AD418" s="69" t="str">
        <f aca="false">IF(ISBLANK($C418),"",IF(ISNUMBER(P418), P418, ""))</f>
        <v/>
      </c>
      <c r="AE418" s="69" t="str">
        <f aca="false">IF(ISBLANK($C418),"",IF(ISNUMBER(Q418), Q418, Constants!$B$13))</f>
        <v/>
      </c>
      <c r="AF418" s="66" t="str">
        <f aca="false">IF(ISBLANK($C418),"",IF(R418=Constants!$B$2, TRUE(), IF(R418=Constants!$B$3, FALSE(), FALSE())))</f>
        <v/>
      </c>
      <c r="AG418" s="66" t="str">
        <f aca="false">IF(ISBLANK(C418), "", IF(AF418, Constants!$B$4,IF(COUNTA(G418:P418)=0, Constants!$B$5, Constants!$B$7)))</f>
        <v/>
      </c>
      <c r="AH418" s="66" t="str">
        <f aca="false">IF(ISBLANK($C418), "",IF($AG418=Constants!$B$7,1,$AG418))</f>
        <v/>
      </c>
      <c r="AI418" s="66" t="str">
        <f aca="false">IF($AG418=Constants!$B$7,POWER(Constants!$B$11,X418)*POWER(Constants!$B$12,Z418),"")</f>
        <v/>
      </c>
      <c r="AJ418" s="66" t="str">
        <f aca="false">IF(AND($AG418=Constants!$B$7, U418, V418) ,IF(OR($AA418="",$AC418=""),"",MAX(0, $AC418-$AA418)),"")</f>
        <v/>
      </c>
      <c r="AK418" s="66" t="str">
        <f aca="false">IF(AND($AG418=Constants!$B$7, U418, V418),IF(OR($AA418="",$AC418=""),$AK$6,""),"")</f>
        <v/>
      </c>
      <c r="AL418" s="66" t="str">
        <f aca="false">IF($AG418=Constants!$B$7,IF(AND(U418,V418,W418,Y418),IF($AJ418="",0,IF($AJ$6=0,Constants!$B$9,Constants!$B$9*AJ418/$AJ$6)), 0),"")</f>
        <v/>
      </c>
      <c r="AM418" s="66" t="str">
        <f aca="false">IF(AL418&lt;&gt;"", AL418*AI418,"")</f>
        <v/>
      </c>
      <c r="AN418" s="66" t="str">
        <f aca="false">IF(AND($AG418=Constants!$B$7, U418, V418) ,IF($AB418="", "", IF(OR($AC418="",$AC418=0),"",MAX(0,1-ABS($AC418-$AB418)/$AC418))),"")</f>
        <v/>
      </c>
      <c r="AO418" s="66" t="str">
        <f aca="false">IF(AND($AG418=Constants!$B$7, U418, V418),IF(AND($AA418&lt;&gt;"",$AB418&lt;&gt;"",$AC418=0),$AO$6,""),"")</f>
        <v/>
      </c>
      <c r="AP418" s="66" t="str">
        <f aca="false">IF($AG418=Constants!$B$7 ,IF(AND(U418,V418,W418,Y418,ISNUMBER(AB418)),IF($AN418="",0,IF($AN$6=0,Constants!$B$10,Constants!$B$10*AN418/$AN$6)), 0),"")</f>
        <v/>
      </c>
      <c r="AQ418" s="66" t="str">
        <f aca="false">IF(AP418&lt;&gt;"", AP418*AI418,"")</f>
        <v/>
      </c>
      <c r="AR418" s="66" t="str">
        <f aca="false">IF($AG418=Constants!$B$7,IF($AD418="",0,IF($AR$6=0,Constants!$B$8,Constants!$B$8*AD418/$AR$6)),"")</f>
        <v/>
      </c>
      <c r="AS418" s="66" t="str">
        <f aca="false">IF($AG418&lt;&gt;Constants!$B$7,$AG418,IF(AK418&amp;AO418&lt;&gt;"",Constants!$B$14,AM418+AQ418+AR418))</f>
        <v/>
      </c>
      <c r="AT418" s="66" t="str">
        <f aca="false">IF(ISBLANK($C418),"",IF($AG418=Constants!$B$7,IF(ISNUMBER(AS418),RANK(AS418,$AS$8:$AS$507),Constants!$B$14),$AG418))</f>
        <v/>
      </c>
      <c r="AU418" s="66" t="str">
        <f aca="false">IF(ISBLANK($C418), "",AM418)</f>
        <v/>
      </c>
      <c r="AV418" s="66" t="str">
        <f aca="false">IF(ISBLANK($C418),"",IF($AG418=Constants!$B$7,RANK(AU418,AU$8:AU$507),$AG418))</f>
        <v/>
      </c>
      <c r="AW418" s="66" t="str">
        <f aca="false">IF(ISBLANK($C418), "",AR418)</f>
        <v/>
      </c>
      <c r="AX418" s="66" t="str">
        <f aca="false">IF(ISBLANK($C418),"",IF($AG418=Constants!$B$7,RANK(AW418,AW$8:AW$507),$AG418))</f>
        <v/>
      </c>
      <c r="AY418" s="66" t="str">
        <f aca="false">IF(ISBLANK($C418), "",AE418)</f>
        <v/>
      </c>
      <c r="AZ418" s="66" t="str">
        <f aca="false">IF(ISBLANK($C418),"",
IF($AG418=Constants!$B$7,
  IF(ISNUMBER(AT418),
    COUNTIFS($AT$8:$AT$507,"&lt;"&amp;$AT418)
    + COUNTIFS($AT$8:$AT$507,$AT418,$AV$8:$AV$507,"&lt;"&amp;$AV418)
    + COUNTIFS($AT$8:$AT$507,$AT418,$AV$8:$AV$507,$AV418,$AX$8:$AX$507,"&lt;"&amp;$AX418)
    + COUNTIFS($AT$8:$AT$507,$AT418,$AV$8:$AV$507,$AV418,$AX$8:$AX$507,$AX418,$AY$8:$AY$507,"&lt;"&amp;$AY418)
    + 1,
  Constants!$B$14),
$AG418))</f>
        <v/>
      </c>
      <c r="BA418" s="66" t="str">
        <f aca="false">IF(ISBLANK(C418),"",IF($AG418=Constants!$B$7, IF(ISNUMBER(AT418),AT418-AZ418,Constants!$B$14),$AG418))</f>
        <v/>
      </c>
      <c r="BB418" s="70"/>
      <c r="BC418" s="84" t="str">
        <f aca="false">IF(ISBLANK($C418),"",TRIM(AK418&amp;" "&amp;AO418))</f>
        <v/>
      </c>
      <c r="BD418" s="72" t="str">
        <f aca="false">IF(ISBLANK($C418),"",IF($AG418&lt;&gt;Constants!$B$7,$AG418,AR418))</f>
        <v/>
      </c>
      <c r="BE418" s="72" t="str">
        <f aca="false">IF(ISBLANK($C418),"",IF($AG418&lt;&gt;Constants!$B$7,$AG418,AM418))</f>
        <v/>
      </c>
      <c r="BF418" s="72" t="str">
        <f aca="false">IF(ISBLANK($C418),"",IF($AG418&lt;&gt;Constants!$B$7,$AG418,AQ418))</f>
        <v/>
      </c>
      <c r="BG418" s="73" t="str">
        <f aca="false">IF(ISBLANK($C418),"",IF($AG418&lt;&gt;Constants!$B$7, $AG418 ,AS418))</f>
        <v/>
      </c>
      <c r="BH418" s="74" t="str">
        <f aca="false">IF(ISBLANK($C418),"",IF($AG418&lt;&gt;Constants!$B$7, $AG418 ,AH418))</f>
        <v/>
      </c>
      <c r="BI418" s="72" t="str">
        <f aca="false">IF(ISBLANK(C418),"",BA418)</f>
        <v/>
      </c>
      <c r="BJ418" s="72" t="str">
        <f aca="false">IF(ISBLANK(C418),"",AZ418)</f>
        <v/>
      </c>
      <c r="BK418" s="75" t="str">
        <f aca="false">IF(ISBLANK(C418),"",IFERROR(_xlfn.SWITCH(BJ418, Constants!$B$4, COUNTA($C$8:$C917)+2, Constants!$B$5, COUNTA($C$8:$C917)+1, Constants!$B$6, COUNTA($C$8:$C917)),BJ418))</f>
        <v/>
      </c>
      <c r="BL418" s="5"/>
      <c r="BM418" s="76" t="n">
        <f aca="false">IF(OR(ISNUMBER(BJ418),BJ418="DQ",BJ418="P",BJ418="NS"),
    1,
    0
)</f>
        <v>0</v>
      </c>
      <c r="BN418" s="76" t="n">
        <v>411</v>
      </c>
      <c r="BO418" s="76" t="str">
        <f aca="false">IF(ISBLANK($C418),"",IF(ISNUMBER(BK418),BK418+ROW($B418)/1000,""))</f>
        <v/>
      </c>
      <c r="BP418" s="76" t="str">
        <f aca="false">IF(ISNUMBER(BO418), RANK(BO418,BO$8:BO$507,1), "")</f>
        <v/>
      </c>
      <c r="BQ418" s="76" t="str">
        <f aca="false">IF(ISBLANK($C418),
    "",
    $B418
)</f>
        <v/>
      </c>
      <c r="BR418" s="76" t="str">
        <f aca="false">IF(ISBLANK($C418),
    "",
    $C418
)</f>
        <v/>
      </c>
      <c r="BS418" s="76" t="str">
        <f aca="false">IF(ISBLANK($C418),
    "",
    $D418
)</f>
        <v/>
      </c>
      <c r="BT418" s="77" t="str">
        <f aca="false">BH418</f>
        <v/>
      </c>
      <c r="BU418" s="78" t="str">
        <f aca="false">BG418</f>
        <v/>
      </c>
      <c r="BV418" s="76" t="str">
        <f aca="false">IF(ISBLANK($C418),
    "",
    BJ418
)</f>
        <v/>
      </c>
      <c r="BW418" s="79" t="str">
        <f aca="false">IF(BN418&gt;BM$7,
    "",
    VLOOKUP(BN418,BP$8:BV917,7,FALSE())
)</f>
        <v/>
      </c>
      <c r="BX418" s="80" t="str">
        <f aca="false">IF(BN418&gt;BM$7,
    "",
    VLOOKUP(BN418,BP$8:BV917,2,FALSE())
)</f>
        <v/>
      </c>
      <c r="BY418" s="80" t="str">
        <f aca="false">IF(BN418&gt;BM$7,
    "",
    VLOOKUP(BN418,BP$8:BV917,3,FALSE())
)</f>
        <v/>
      </c>
      <c r="BZ418" s="80" t="str">
        <f aca="false">IF(BN418&gt;BM$7,
    "",
    VLOOKUP(BN418,BP$8:BV917,4,FALSE())
)</f>
        <v/>
      </c>
      <c r="CA418" s="80" t="str">
        <f aca="false">IF(BN418&gt;BM$7,
    "",
    VLOOKUP(BN418,BP$8:BV917,5,FALSE())
)</f>
        <v/>
      </c>
      <c r="CB418" s="81" t="str">
        <f aca="false">IF(BN418&gt;BM$7,
    "",
    VLOOKUP(BN418,BP$8:BV917,6,FALSE())
)</f>
        <v/>
      </c>
      <c r="CC418" s="53"/>
    </row>
    <row r="419" customFormat="false" ht="15.75" hidden="false" customHeight="false" outlineLevel="0" collapsed="false">
      <c r="A419" s="5"/>
      <c r="B419" s="125"/>
      <c r="C419" s="126"/>
      <c r="D419" s="115"/>
      <c r="E419" s="119"/>
      <c r="F419" s="119"/>
      <c r="G419" s="91"/>
      <c r="H419" s="92"/>
      <c r="I419" s="92"/>
      <c r="J419" s="128"/>
      <c r="K419" s="128"/>
      <c r="L419" s="128"/>
      <c r="M419" s="94"/>
      <c r="N419" s="94"/>
      <c r="O419" s="94"/>
      <c r="P419" s="95"/>
      <c r="Q419" s="96"/>
      <c r="R419" s="128"/>
      <c r="S419" s="98"/>
      <c r="T419" s="99"/>
      <c r="U419" s="99" t="str">
        <f aca="false">IF(ISBLANK($C419),"",IF(G419=Constants!$B$2, TRUE(), IF(G419=Constants!$B$3, FALSE(), TRUE())))</f>
        <v/>
      </c>
      <c r="V419" s="99" t="str">
        <f aca="false">IF(ISBLANK($C419),"",IF(H419=Constants!$B$2, TRUE(), IF(H419=Constants!$B$3, FALSE(), TRUE())))</f>
        <v/>
      </c>
      <c r="W419" s="99" t="str">
        <f aca="false">IF(ISBLANK($C419),"",IF(I419=Constants!$B$2, TRUE(), IF(I419=Constants!$B$3, FALSE(), TRUE())))</f>
        <v/>
      </c>
      <c r="X419" s="99" t="str">
        <f aca="false">IF(ISBLANK($C419),"",IF(AND(ISNUMBER(J419),J419&gt;0),INT(J419),0))</f>
        <v/>
      </c>
      <c r="Y419" s="99" t="str">
        <f aca="false">IF(ISBLANK($C419),"",IF(K419=Constants!$B$2, TRUE(), IF(K419=Constants!$B$3, FALSE(), TRUE())))</f>
        <v/>
      </c>
      <c r="Z419" s="100" t="str">
        <f aca="false">IF(ISBLANK($C419),"",IF(AND(ISNUMBER(L419),L419&gt;0),INT(L419),0))</f>
        <v/>
      </c>
      <c r="AA419" s="101" t="str">
        <f aca="false">IF(ISBLANK($C419),"",IF(ISNUMBER(M419), M419, ""))</f>
        <v/>
      </c>
      <c r="AB419" s="101" t="str">
        <f aca="false">IF(ISBLANK($C419),"",IF(ISNUMBER(N419), N419, ""))</f>
        <v/>
      </c>
      <c r="AC419" s="101" t="str">
        <f aca="false">IF(ISBLANK($C419),"",IF(ISNUMBER(O419), O419, ""))</f>
        <v/>
      </c>
      <c r="AD419" s="102" t="str">
        <f aca="false">IF(ISBLANK($C419),"",IF(ISNUMBER(P419), P419, ""))</f>
        <v/>
      </c>
      <c r="AE419" s="102" t="str">
        <f aca="false">IF(ISBLANK($C419),"",IF(ISNUMBER(Q419), Q419, Constants!$B$13))</f>
        <v/>
      </c>
      <c r="AF419" s="99" t="str">
        <f aca="false">IF(ISBLANK($C419),"",IF(R419=Constants!$B$2, TRUE(), IF(R419=Constants!$B$3, FALSE(), FALSE())))</f>
        <v/>
      </c>
      <c r="AG419" s="99" t="str">
        <f aca="false">IF(ISBLANK(C419), "", IF(AF419, Constants!$B$4,IF(COUNTA(G419:P419)=0, Constants!$B$5, Constants!$B$7)))</f>
        <v/>
      </c>
      <c r="AH419" s="99" t="str">
        <f aca="false">IF(ISBLANK($C419), "",IF($AG419=Constants!$B$7,1,$AG419))</f>
        <v/>
      </c>
      <c r="AI419" s="99" t="str">
        <f aca="false">IF($AG419=Constants!$B$7,POWER(Constants!$B$11,X419)*POWER(Constants!$B$12,Z419),"")</f>
        <v/>
      </c>
      <c r="AJ419" s="99" t="str">
        <f aca="false">IF(AND($AG419=Constants!$B$7, U419, V419) ,IF(OR($AA419="",$AC419=""),"",MAX(0, $AC419-$AA419)),"")</f>
        <v/>
      </c>
      <c r="AK419" s="99" t="str">
        <f aca="false">IF(AND($AG419=Constants!$B$7, U419, V419),IF(OR($AA419="",$AC419=""),$AK$6,""),"")</f>
        <v/>
      </c>
      <c r="AL419" s="99" t="str">
        <f aca="false">IF($AG419=Constants!$B$7,IF(AND(U419,V419,W419,Y419),IF($AJ419="",0,IF($AJ$6=0,Constants!$B$9,Constants!$B$9*AJ419/$AJ$6)), 0),"")</f>
        <v/>
      </c>
      <c r="AM419" s="99" t="str">
        <f aca="false">IF(AL419&lt;&gt;"", AL419*AI419,"")</f>
        <v/>
      </c>
      <c r="AN419" s="99" t="str">
        <f aca="false">IF(AND($AG419=Constants!$B$7, U419, V419) ,IF($AB419="", "", IF(OR($AC419="",$AC419=0),"",MAX(0,1-ABS($AC419-$AB419)/$AC419))),"")</f>
        <v/>
      </c>
      <c r="AO419" s="99" t="str">
        <f aca="false">IF(AND($AG419=Constants!$B$7, U419, V419),IF(AND($AA419&lt;&gt;"",$AB419&lt;&gt;"",$AC419=0),$AO$6,""),"")</f>
        <v/>
      </c>
      <c r="AP419" s="99" t="str">
        <f aca="false">IF($AG419=Constants!$B$7 ,IF(AND(U419,V419,W419,Y419,ISNUMBER(AB419)),IF($AN419="",0,IF($AN$6=0,Constants!$B$10,Constants!$B$10*AN419/$AN$6)), 0),"")</f>
        <v/>
      </c>
      <c r="AQ419" s="99" t="str">
        <f aca="false">IF(AP419&lt;&gt;"", AP419*AI419,"")</f>
        <v/>
      </c>
      <c r="AR419" s="99" t="str">
        <f aca="false">IF($AG419=Constants!$B$7,IF($AD419="",0,IF($AR$6=0,Constants!$B$8,Constants!$B$8*AD419/$AR$6)),"")</f>
        <v/>
      </c>
      <c r="AS419" s="99" t="str">
        <f aca="false">IF($AG419&lt;&gt;Constants!$B$7,$AG419,IF(AK419&amp;AO419&lt;&gt;"",Constants!$B$14,AM419+AQ419+AR419))</f>
        <v/>
      </c>
      <c r="AT419" s="99" t="str">
        <f aca="false">IF(ISBLANK($C419),"",IF($AG419=Constants!$B$7,IF(ISNUMBER(AS419),RANK(AS419,$AS$8:$AS$507),Constants!$B$14),$AG419))</f>
        <v/>
      </c>
      <c r="AU419" s="99" t="str">
        <f aca="false">IF(ISBLANK($C419), "",AM419)</f>
        <v/>
      </c>
      <c r="AV419" s="99" t="str">
        <f aca="false">IF(ISBLANK($C419),"",IF($AG419=Constants!$B$7,RANK(AU419,AU$8:AU$507),$AG419))</f>
        <v/>
      </c>
      <c r="AW419" s="99" t="str">
        <f aca="false">IF(ISBLANK($C419), "",AR419)</f>
        <v/>
      </c>
      <c r="AX419" s="99" t="str">
        <f aca="false">IF(ISBLANK($C419),"",IF($AG419=Constants!$B$7,RANK(AW419,AW$8:AW$507),$AG419))</f>
        <v/>
      </c>
      <c r="AY419" s="99" t="str">
        <f aca="false">IF(ISBLANK($C419), "",AE419)</f>
        <v/>
      </c>
      <c r="AZ419" s="99" t="str">
        <f aca="false">IF(ISBLANK($C419),"",
IF($AG419=Constants!$B$7,
  IF(ISNUMBER(AT419),
    COUNTIFS($AT$8:$AT$507,"&lt;"&amp;$AT419)
    + COUNTIFS($AT$8:$AT$507,$AT419,$AV$8:$AV$507,"&lt;"&amp;$AV419)
    + COUNTIFS($AT$8:$AT$507,$AT419,$AV$8:$AV$507,$AV419,$AX$8:$AX$507,"&lt;"&amp;$AX419)
    + COUNTIFS($AT$8:$AT$507,$AT419,$AV$8:$AV$507,$AV419,$AX$8:$AX$507,$AX419,$AY$8:$AY$507,"&lt;"&amp;$AY419)
    + 1,
  Constants!$B$14),
$AG419))</f>
        <v/>
      </c>
      <c r="BA419" s="99" t="str">
        <f aca="false">IF(ISBLANK(C419),"",IF($AG419=Constants!$B$7, IF(ISNUMBER(AT419),AT419-AZ419,Constants!$B$14),$AG419))</f>
        <v/>
      </c>
      <c r="BB419" s="103"/>
      <c r="BC419" s="104" t="str">
        <f aca="false">IF(ISBLANK($C419),"",TRIM(AK419&amp;" "&amp;AO419))</f>
        <v/>
      </c>
      <c r="BD419" s="105" t="str">
        <f aca="false">IF(ISBLANK($C419),"",IF($AG419&lt;&gt;Constants!$B$7,$AG419,AR419))</f>
        <v/>
      </c>
      <c r="BE419" s="105" t="str">
        <f aca="false">IF(ISBLANK($C419),"",IF($AG419&lt;&gt;Constants!$B$7,$AG419,AM419))</f>
        <v/>
      </c>
      <c r="BF419" s="105" t="str">
        <f aca="false">IF(ISBLANK($C419),"",IF($AG419&lt;&gt;Constants!$B$7,$AG419,AQ419))</f>
        <v/>
      </c>
      <c r="BG419" s="106" t="str">
        <f aca="false">IF(ISBLANK($C419),"",IF($AG419&lt;&gt;Constants!$B$7, $AG419 ,AS419))</f>
        <v/>
      </c>
      <c r="BH419" s="107" t="str">
        <f aca="false">IF(ISBLANK($C419),"",IF($AG419&lt;&gt;Constants!$B$7, $AG419 ,AH419))</f>
        <v/>
      </c>
      <c r="BI419" s="105" t="str">
        <f aca="false">IF(ISBLANK(C419),"",BA419)</f>
        <v/>
      </c>
      <c r="BJ419" s="105" t="str">
        <f aca="false">IF(ISBLANK(C419),"",AZ419)</f>
        <v/>
      </c>
      <c r="BK419" s="108" t="str">
        <f aca="false">IF(ISBLANK(C419),"",IFERROR(_xlfn.SWITCH(BJ419, Constants!$B$4, COUNTA($C$8:$C918)+2, Constants!$B$5, COUNTA($C$8:$C918)+1, Constants!$B$6, COUNTA($C$8:$C918)),BJ419))</f>
        <v/>
      </c>
      <c r="BL419" s="5"/>
      <c r="BM419" s="109" t="n">
        <f aca="false">IF(OR(ISNUMBER(BJ419),BJ419="DQ",BJ419="P",BJ419="NS"),
    1,
    0
)</f>
        <v>0</v>
      </c>
      <c r="BN419" s="109" t="n">
        <v>412</v>
      </c>
      <c r="BO419" s="109" t="str">
        <f aca="false">IF(ISBLANK($C419),"",IF(ISNUMBER(BK419),BK419+ROW($B419)/1000,""))</f>
        <v/>
      </c>
      <c r="BP419" s="109" t="str">
        <f aca="false">IF(ISNUMBER(BO419), RANK(BO419,BO$8:BO$507,1), "")</f>
        <v/>
      </c>
      <c r="BQ419" s="109" t="str">
        <f aca="false">IF(ISBLANK($C419),
    "",
    $B419
)</f>
        <v/>
      </c>
      <c r="BR419" s="109" t="str">
        <f aca="false">IF(ISBLANK($C419),
    "",
    $C419
)</f>
        <v/>
      </c>
      <c r="BS419" s="109" t="str">
        <f aca="false">IF(ISBLANK($C419),
    "",
    $D419
)</f>
        <v/>
      </c>
      <c r="BT419" s="110" t="str">
        <f aca="false">BH419</f>
        <v/>
      </c>
      <c r="BU419" s="111" t="str">
        <f aca="false">BG419</f>
        <v/>
      </c>
      <c r="BV419" s="109" t="str">
        <f aca="false">IF(ISBLANK($C419),
    "",
    BJ419
)</f>
        <v/>
      </c>
      <c r="BW419" s="112" t="str">
        <f aca="false">IF(BN419&gt;BM$7,
    "",
    VLOOKUP(BN419,BP$8:BV918,7,FALSE())
)</f>
        <v/>
      </c>
      <c r="BX419" s="113" t="str">
        <f aca="false">IF(BN419&gt;BM$7,
    "",
    VLOOKUP(BN419,BP$8:BV918,2,FALSE())
)</f>
        <v/>
      </c>
      <c r="BY419" s="113" t="str">
        <f aca="false">IF(BN419&gt;BM$7,
    "",
    VLOOKUP(BN419,BP$8:BV918,3,FALSE())
)</f>
        <v/>
      </c>
      <c r="BZ419" s="113" t="str">
        <f aca="false">IF(BN419&gt;BM$7,
    "",
    VLOOKUP(BN419,BP$8:BV918,4,FALSE())
)</f>
        <v/>
      </c>
      <c r="CA419" s="113" t="str">
        <f aca="false">IF(BN419&gt;BM$7,
    "",
    VLOOKUP(BN419,BP$8:BV918,5,FALSE())
)</f>
        <v/>
      </c>
      <c r="CB419" s="114" t="str">
        <f aca="false">IF(BN419&gt;BM$7,
    "",
    VLOOKUP(BN419,BP$8:BV918,6,FALSE())
)</f>
        <v/>
      </c>
      <c r="CC419" s="53"/>
    </row>
    <row r="420" customFormat="false" ht="15.75" hidden="false" customHeight="false" outlineLevel="0" collapsed="false">
      <c r="A420" s="5"/>
      <c r="B420" s="125"/>
      <c r="C420" s="126"/>
      <c r="D420" s="115"/>
      <c r="E420" s="119"/>
      <c r="F420" s="119"/>
      <c r="G420" s="91"/>
      <c r="H420" s="92"/>
      <c r="I420" s="92"/>
      <c r="J420" s="128"/>
      <c r="K420" s="128"/>
      <c r="L420" s="128"/>
      <c r="M420" s="94"/>
      <c r="N420" s="94"/>
      <c r="O420" s="94"/>
      <c r="P420" s="95"/>
      <c r="Q420" s="96"/>
      <c r="R420" s="128"/>
      <c r="S420" s="98"/>
      <c r="T420" s="99"/>
      <c r="U420" s="99" t="str">
        <f aca="false">IF(ISBLANK($C420),"",IF(G420=Constants!$B$2, TRUE(), IF(G420=Constants!$B$3, FALSE(), TRUE())))</f>
        <v/>
      </c>
      <c r="V420" s="99" t="str">
        <f aca="false">IF(ISBLANK($C420),"",IF(H420=Constants!$B$2, TRUE(), IF(H420=Constants!$B$3, FALSE(), TRUE())))</f>
        <v/>
      </c>
      <c r="W420" s="99" t="str">
        <f aca="false">IF(ISBLANK($C420),"",IF(I420=Constants!$B$2, TRUE(), IF(I420=Constants!$B$3, FALSE(), TRUE())))</f>
        <v/>
      </c>
      <c r="X420" s="99" t="str">
        <f aca="false">IF(ISBLANK($C420),"",IF(AND(ISNUMBER(J420),J420&gt;0),INT(J420),0))</f>
        <v/>
      </c>
      <c r="Y420" s="99" t="str">
        <f aca="false">IF(ISBLANK($C420),"",IF(K420=Constants!$B$2, TRUE(), IF(K420=Constants!$B$3, FALSE(), TRUE())))</f>
        <v/>
      </c>
      <c r="Z420" s="100" t="str">
        <f aca="false">IF(ISBLANK($C420),"",IF(AND(ISNUMBER(L420),L420&gt;0),INT(L420),0))</f>
        <v/>
      </c>
      <c r="AA420" s="101" t="str">
        <f aca="false">IF(ISBLANK($C420),"",IF(ISNUMBER(M420), M420, ""))</f>
        <v/>
      </c>
      <c r="AB420" s="101" t="str">
        <f aca="false">IF(ISBLANK($C420),"",IF(ISNUMBER(N420), N420, ""))</f>
        <v/>
      </c>
      <c r="AC420" s="101" t="str">
        <f aca="false">IF(ISBLANK($C420),"",IF(ISNUMBER(O420), O420, ""))</f>
        <v/>
      </c>
      <c r="AD420" s="102" t="str">
        <f aca="false">IF(ISBLANK($C420),"",IF(ISNUMBER(P420), P420, ""))</f>
        <v/>
      </c>
      <c r="AE420" s="102" t="str">
        <f aca="false">IF(ISBLANK($C420),"",IF(ISNUMBER(Q420), Q420, Constants!$B$13))</f>
        <v/>
      </c>
      <c r="AF420" s="99" t="str">
        <f aca="false">IF(ISBLANK($C420),"",IF(R420=Constants!$B$2, TRUE(), IF(R420=Constants!$B$3, FALSE(), FALSE())))</f>
        <v/>
      </c>
      <c r="AG420" s="99" t="str">
        <f aca="false">IF(ISBLANK(C420), "", IF(AF420, Constants!$B$4,IF(COUNTA(G420:P420)=0, Constants!$B$5, Constants!$B$7)))</f>
        <v/>
      </c>
      <c r="AH420" s="99" t="str">
        <f aca="false">IF(ISBLANK($C420), "",IF($AG420=Constants!$B$7,1,$AG420))</f>
        <v/>
      </c>
      <c r="AI420" s="99" t="str">
        <f aca="false">IF($AG420=Constants!$B$7,POWER(Constants!$B$11,X420)*POWER(Constants!$B$12,Z420),"")</f>
        <v/>
      </c>
      <c r="AJ420" s="99" t="str">
        <f aca="false">IF(AND($AG420=Constants!$B$7, U420, V420) ,IF(OR($AA420="",$AC420=""),"",MAX(0, $AC420-$AA420)),"")</f>
        <v/>
      </c>
      <c r="AK420" s="99" t="str">
        <f aca="false">IF(AND($AG420=Constants!$B$7, U420, V420),IF(OR($AA420="",$AC420=""),$AK$6,""),"")</f>
        <v/>
      </c>
      <c r="AL420" s="99" t="str">
        <f aca="false">IF($AG420=Constants!$B$7,IF(AND(U420,V420,W420,Y420),IF($AJ420="",0,IF($AJ$6=0,Constants!$B$9,Constants!$B$9*AJ420/$AJ$6)), 0),"")</f>
        <v/>
      </c>
      <c r="AM420" s="99" t="str">
        <f aca="false">IF(AL420&lt;&gt;"", AL420*AI420,"")</f>
        <v/>
      </c>
      <c r="AN420" s="99" t="str">
        <f aca="false">IF(AND($AG420=Constants!$B$7, U420, V420) ,IF($AB420="", "", IF(OR($AC420="",$AC420=0),"",MAX(0,1-ABS($AC420-$AB420)/$AC420))),"")</f>
        <v/>
      </c>
      <c r="AO420" s="99" t="str">
        <f aca="false">IF(AND($AG420=Constants!$B$7, U420, V420),IF(AND($AA420&lt;&gt;"",$AB420&lt;&gt;"",$AC420=0),$AO$6,""),"")</f>
        <v/>
      </c>
      <c r="AP420" s="99" t="str">
        <f aca="false">IF($AG420=Constants!$B$7 ,IF(AND(U420,V420,W420,Y420,ISNUMBER(AB420)),IF($AN420="",0,IF($AN$6=0,Constants!$B$10,Constants!$B$10*AN420/$AN$6)), 0),"")</f>
        <v/>
      </c>
      <c r="AQ420" s="99" t="str">
        <f aca="false">IF(AP420&lt;&gt;"", AP420*AI420,"")</f>
        <v/>
      </c>
      <c r="AR420" s="99" t="str">
        <f aca="false">IF($AG420=Constants!$B$7,IF($AD420="",0,IF($AR$6=0,Constants!$B$8,Constants!$B$8*AD420/$AR$6)),"")</f>
        <v/>
      </c>
      <c r="AS420" s="99" t="str">
        <f aca="false">IF($AG420&lt;&gt;Constants!$B$7,$AG420,IF(AK420&amp;AO420&lt;&gt;"",Constants!$B$14,AM420+AQ420+AR420))</f>
        <v/>
      </c>
      <c r="AT420" s="99" t="str">
        <f aca="false">IF(ISBLANK($C420),"",IF($AG420=Constants!$B$7,IF(ISNUMBER(AS420),RANK(AS420,$AS$8:$AS$507),Constants!$B$14),$AG420))</f>
        <v/>
      </c>
      <c r="AU420" s="99" t="str">
        <f aca="false">IF(ISBLANK($C420), "",AM420)</f>
        <v/>
      </c>
      <c r="AV420" s="99" t="str">
        <f aca="false">IF(ISBLANK($C420),"",IF($AG420=Constants!$B$7,RANK(AU420,AU$8:AU$507),$AG420))</f>
        <v/>
      </c>
      <c r="AW420" s="99" t="str">
        <f aca="false">IF(ISBLANK($C420), "",AR420)</f>
        <v/>
      </c>
      <c r="AX420" s="99" t="str">
        <f aca="false">IF(ISBLANK($C420),"",IF($AG420=Constants!$B$7,RANK(AW420,AW$8:AW$507),$AG420))</f>
        <v/>
      </c>
      <c r="AY420" s="99" t="str">
        <f aca="false">IF(ISBLANK($C420), "",AE420)</f>
        <v/>
      </c>
      <c r="AZ420" s="99" t="str">
        <f aca="false">IF(ISBLANK($C420),"",
IF($AG420=Constants!$B$7,
  IF(ISNUMBER(AT420),
    COUNTIFS($AT$8:$AT$507,"&lt;"&amp;$AT420)
    + COUNTIFS($AT$8:$AT$507,$AT420,$AV$8:$AV$507,"&lt;"&amp;$AV420)
    + COUNTIFS($AT$8:$AT$507,$AT420,$AV$8:$AV$507,$AV420,$AX$8:$AX$507,"&lt;"&amp;$AX420)
    + COUNTIFS($AT$8:$AT$507,$AT420,$AV$8:$AV$507,$AV420,$AX$8:$AX$507,$AX420,$AY$8:$AY$507,"&lt;"&amp;$AY420)
    + 1,
  Constants!$B$14),
$AG420))</f>
        <v/>
      </c>
      <c r="BA420" s="99" t="str">
        <f aca="false">IF(ISBLANK(C420),"",IF($AG420=Constants!$B$7, IF(ISNUMBER(AT420),AT420-AZ420,Constants!$B$14),$AG420))</f>
        <v/>
      </c>
      <c r="BB420" s="103"/>
      <c r="BC420" s="104" t="str">
        <f aca="false">IF(ISBLANK($C420),"",TRIM(AK420&amp;" "&amp;AO420))</f>
        <v/>
      </c>
      <c r="BD420" s="105" t="str">
        <f aca="false">IF(ISBLANK($C420),"",IF($AG420&lt;&gt;Constants!$B$7,$AG420,AR420))</f>
        <v/>
      </c>
      <c r="BE420" s="105" t="str">
        <f aca="false">IF(ISBLANK($C420),"",IF($AG420&lt;&gt;Constants!$B$7,$AG420,AM420))</f>
        <v/>
      </c>
      <c r="BF420" s="105" t="str">
        <f aca="false">IF(ISBLANK($C420),"",IF($AG420&lt;&gt;Constants!$B$7,$AG420,AQ420))</f>
        <v/>
      </c>
      <c r="BG420" s="106" t="str">
        <f aca="false">IF(ISBLANK($C420),"",IF($AG420&lt;&gt;Constants!$B$7, $AG420 ,AS420))</f>
        <v/>
      </c>
      <c r="BH420" s="107" t="str">
        <f aca="false">IF(ISBLANK($C420),"",IF($AG420&lt;&gt;Constants!$B$7, $AG420 ,AH420))</f>
        <v/>
      </c>
      <c r="BI420" s="105" t="str">
        <f aca="false">IF(ISBLANK(C420),"",BA420)</f>
        <v/>
      </c>
      <c r="BJ420" s="105" t="str">
        <f aca="false">IF(ISBLANK(C420),"",AZ420)</f>
        <v/>
      </c>
      <c r="BK420" s="108" t="str">
        <f aca="false">IF(ISBLANK(C420),"",IFERROR(_xlfn.SWITCH(BJ420, Constants!$B$4, COUNTA($C$8:$C919)+2, Constants!$B$5, COUNTA($C$8:$C919)+1, Constants!$B$6, COUNTA($C$8:$C919)),BJ420))</f>
        <v/>
      </c>
      <c r="BL420" s="5"/>
      <c r="BM420" s="109" t="n">
        <f aca="false">IF(OR(ISNUMBER(BJ420),BJ420="DQ",BJ420="P",BJ420="NS"),
    1,
    0
)</f>
        <v>0</v>
      </c>
      <c r="BN420" s="109" t="n">
        <v>413</v>
      </c>
      <c r="BO420" s="109" t="str">
        <f aca="false">IF(ISBLANK($C420),"",IF(ISNUMBER(BK420),BK420+ROW($B420)/1000,""))</f>
        <v/>
      </c>
      <c r="BP420" s="109" t="str">
        <f aca="false">IF(ISNUMBER(BO420), RANK(BO420,BO$8:BO$507,1), "")</f>
        <v/>
      </c>
      <c r="BQ420" s="109" t="str">
        <f aca="false">IF(ISBLANK($C420),
    "",
    $B420
)</f>
        <v/>
      </c>
      <c r="BR420" s="109" t="str">
        <f aca="false">IF(ISBLANK($C420),
    "",
    $C420
)</f>
        <v/>
      </c>
      <c r="BS420" s="109" t="str">
        <f aca="false">IF(ISBLANK($C420),
    "",
    $D420
)</f>
        <v/>
      </c>
      <c r="BT420" s="110" t="str">
        <f aca="false">BH420</f>
        <v/>
      </c>
      <c r="BU420" s="111" t="str">
        <f aca="false">BG420</f>
        <v/>
      </c>
      <c r="BV420" s="109" t="str">
        <f aca="false">IF(ISBLANK($C420),
    "",
    BJ420
)</f>
        <v/>
      </c>
      <c r="BW420" s="112" t="str">
        <f aca="false">IF(BN420&gt;BM$7,
    "",
    VLOOKUP(BN420,BP$8:BV919,7,FALSE())
)</f>
        <v/>
      </c>
      <c r="BX420" s="113" t="str">
        <f aca="false">IF(BN420&gt;BM$7,
    "",
    VLOOKUP(BN420,BP$8:BV919,2,FALSE())
)</f>
        <v/>
      </c>
      <c r="BY420" s="113" t="str">
        <f aca="false">IF(BN420&gt;BM$7,
    "",
    VLOOKUP(BN420,BP$8:BV919,3,FALSE())
)</f>
        <v/>
      </c>
      <c r="BZ420" s="113" t="str">
        <f aca="false">IF(BN420&gt;BM$7,
    "",
    VLOOKUP(BN420,BP$8:BV919,4,FALSE())
)</f>
        <v/>
      </c>
      <c r="CA420" s="113" t="str">
        <f aca="false">IF(BN420&gt;BM$7,
    "",
    VLOOKUP(BN420,BP$8:BV919,5,FALSE())
)</f>
        <v/>
      </c>
      <c r="CB420" s="114" t="str">
        <f aca="false">IF(BN420&gt;BM$7,
    "",
    VLOOKUP(BN420,BP$8:BV919,6,FALSE())
)</f>
        <v/>
      </c>
      <c r="CC420" s="53"/>
    </row>
    <row r="421" customFormat="false" ht="15.75" hidden="false" customHeight="false" outlineLevel="0" collapsed="false">
      <c r="A421" s="5"/>
      <c r="B421" s="125"/>
      <c r="C421" s="126"/>
      <c r="D421" s="115"/>
      <c r="E421" s="119"/>
      <c r="F421" s="119"/>
      <c r="G421" s="91"/>
      <c r="H421" s="92"/>
      <c r="I421" s="92"/>
      <c r="J421" s="128"/>
      <c r="K421" s="128"/>
      <c r="L421" s="128"/>
      <c r="M421" s="94"/>
      <c r="N421" s="94"/>
      <c r="O421" s="94"/>
      <c r="P421" s="95"/>
      <c r="Q421" s="96"/>
      <c r="R421" s="128"/>
      <c r="S421" s="98"/>
      <c r="T421" s="99"/>
      <c r="U421" s="99" t="str">
        <f aca="false">IF(ISBLANK($C421),"",IF(G421=Constants!$B$2, TRUE(), IF(G421=Constants!$B$3, FALSE(), TRUE())))</f>
        <v/>
      </c>
      <c r="V421" s="99" t="str">
        <f aca="false">IF(ISBLANK($C421),"",IF(H421=Constants!$B$2, TRUE(), IF(H421=Constants!$B$3, FALSE(), TRUE())))</f>
        <v/>
      </c>
      <c r="W421" s="99" t="str">
        <f aca="false">IF(ISBLANK($C421),"",IF(I421=Constants!$B$2, TRUE(), IF(I421=Constants!$B$3, FALSE(), TRUE())))</f>
        <v/>
      </c>
      <c r="X421" s="99" t="str">
        <f aca="false">IF(ISBLANK($C421),"",IF(AND(ISNUMBER(J421),J421&gt;0),INT(J421),0))</f>
        <v/>
      </c>
      <c r="Y421" s="99" t="str">
        <f aca="false">IF(ISBLANK($C421),"",IF(K421=Constants!$B$2, TRUE(), IF(K421=Constants!$B$3, FALSE(), TRUE())))</f>
        <v/>
      </c>
      <c r="Z421" s="100" t="str">
        <f aca="false">IF(ISBLANK($C421),"",IF(AND(ISNUMBER(L421),L421&gt;0),INT(L421),0))</f>
        <v/>
      </c>
      <c r="AA421" s="101" t="str">
        <f aca="false">IF(ISBLANK($C421),"",IF(ISNUMBER(M421), M421, ""))</f>
        <v/>
      </c>
      <c r="AB421" s="101" t="str">
        <f aca="false">IF(ISBLANK($C421),"",IF(ISNUMBER(N421), N421, ""))</f>
        <v/>
      </c>
      <c r="AC421" s="101" t="str">
        <f aca="false">IF(ISBLANK($C421),"",IF(ISNUMBER(O421), O421, ""))</f>
        <v/>
      </c>
      <c r="AD421" s="102" t="str">
        <f aca="false">IF(ISBLANK($C421),"",IF(ISNUMBER(P421), P421, ""))</f>
        <v/>
      </c>
      <c r="AE421" s="102" t="str">
        <f aca="false">IF(ISBLANK($C421),"",IF(ISNUMBER(Q421), Q421, Constants!$B$13))</f>
        <v/>
      </c>
      <c r="AF421" s="99" t="str">
        <f aca="false">IF(ISBLANK($C421),"",IF(R421=Constants!$B$2, TRUE(), IF(R421=Constants!$B$3, FALSE(), FALSE())))</f>
        <v/>
      </c>
      <c r="AG421" s="99" t="str">
        <f aca="false">IF(ISBLANK(C421), "", IF(AF421, Constants!$B$4,IF(COUNTA(G421:P421)=0, Constants!$B$5, Constants!$B$7)))</f>
        <v/>
      </c>
      <c r="AH421" s="99" t="str">
        <f aca="false">IF(ISBLANK($C421), "",IF($AG421=Constants!$B$7,1,$AG421))</f>
        <v/>
      </c>
      <c r="AI421" s="99" t="str">
        <f aca="false">IF($AG421=Constants!$B$7,POWER(Constants!$B$11,X421)*POWER(Constants!$B$12,Z421),"")</f>
        <v/>
      </c>
      <c r="AJ421" s="99" t="str">
        <f aca="false">IF(AND($AG421=Constants!$B$7, U421, V421) ,IF(OR($AA421="",$AC421=""),"",MAX(0, $AC421-$AA421)),"")</f>
        <v/>
      </c>
      <c r="AK421" s="99" t="str">
        <f aca="false">IF(AND($AG421=Constants!$B$7, U421, V421),IF(OR($AA421="",$AC421=""),$AK$6,""),"")</f>
        <v/>
      </c>
      <c r="AL421" s="99" t="str">
        <f aca="false">IF($AG421=Constants!$B$7,IF(AND(U421,V421,W421,Y421),IF($AJ421="",0,IF($AJ$6=0,Constants!$B$9,Constants!$B$9*AJ421/$AJ$6)), 0),"")</f>
        <v/>
      </c>
      <c r="AM421" s="99" t="str">
        <f aca="false">IF(AL421&lt;&gt;"", AL421*AI421,"")</f>
        <v/>
      </c>
      <c r="AN421" s="99" t="str">
        <f aca="false">IF(AND($AG421=Constants!$B$7, U421, V421) ,IF($AB421="", "", IF(OR($AC421="",$AC421=0),"",MAX(0,1-ABS($AC421-$AB421)/$AC421))),"")</f>
        <v/>
      </c>
      <c r="AO421" s="99" t="str">
        <f aca="false">IF(AND($AG421=Constants!$B$7, U421, V421),IF(AND($AA421&lt;&gt;"",$AB421&lt;&gt;"",$AC421=0),$AO$6,""),"")</f>
        <v/>
      </c>
      <c r="AP421" s="99" t="str">
        <f aca="false">IF($AG421=Constants!$B$7 ,IF(AND(U421,V421,W421,Y421,ISNUMBER(AB421)),IF($AN421="",0,IF($AN$6=0,Constants!$B$10,Constants!$B$10*AN421/$AN$6)), 0),"")</f>
        <v/>
      </c>
      <c r="AQ421" s="99" t="str">
        <f aca="false">IF(AP421&lt;&gt;"", AP421*AI421,"")</f>
        <v/>
      </c>
      <c r="AR421" s="99" t="str">
        <f aca="false">IF($AG421=Constants!$B$7,IF($AD421="",0,IF($AR$6=0,Constants!$B$8,Constants!$B$8*AD421/$AR$6)),"")</f>
        <v/>
      </c>
      <c r="AS421" s="99" t="str">
        <f aca="false">IF($AG421&lt;&gt;Constants!$B$7,$AG421,IF(AK421&amp;AO421&lt;&gt;"",Constants!$B$14,AM421+AQ421+AR421))</f>
        <v/>
      </c>
      <c r="AT421" s="99" t="str">
        <f aca="false">IF(ISBLANK($C421),"",IF($AG421=Constants!$B$7,IF(ISNUMBER(AS421),RANK(AS421,$AS$8:$AS$507),Constants!$B$14),$AG421))</f>
        <v/>
      </c>
      <c r="AU421" s="99" t="str">
        <f aca="false">IF(ISBLANK($C421), "",AM421)</f>
        <v/>
      </c>
      <c r="AV421" s="99" t="str">
        <f aca="false">IF(ISBLANK($C421),"",IF($AG421=Constants!$B$7,RANK(AU421,AU$8:AU$507),$AG421))</f>
        <v/>
      </c>
      <c r="AW421" s="99" t="str">
        <f aca="false">IF(ISBLANK($C421), "",AR421)</f>
        <v/>
      </c>
      <c r="AX421" s="99" t="str">
        <f aca="false">IF(ISBLANK($C421),"",IF($AG421=Constants!$B$7,RANK(AW421,AW$8:AW$507),$AG421))</f>
        <v/>
      </c>
      <c r="AY421" s="99" t="str">
        <f aca="false">IF(ISBLANK($C421), "",AE421)</f>
        <v/>
      </c>
      <c r="AZ421" s="99" t="str">
        <f aca="false">IF(ISBLANK($C421),"",
IF($AG421=Constants!$B$7,
  IF(ISNUMBER(AT421),
    COUNTIFS($AT$8:$AT$507,"&lt;"&amp;$AT421)
    + COUNTIFS($AT$8:$AT$507,$AT421,$AV$8:$AV$507,"&lt;"&amp;$AV421)
    + COUNTIFS($AT$8:$AT$507,$AT421,$AV$8:$AV$507,$AV421,$AX$8:$AX$507,"&lt;"&amp;$AX421)
    + COUNTIFS($AT$8:$AT$507,$AT421,$AV$8:$AV$507,$AV421,$AX$8:$AX$507,$AX421,$AY$8:$AY$507,"&lt;"&amp;$AY421)
    + 1,
  Constants!$B$14),
$AG421))</f>
        <v/>
      </c>
      <c r="BA421" s="99" t="str">
        <f aca="false">IF(ISBLANK(C421),"",IF($AG421=Constants!$B$7, IF(ISNUMBER(AT421),AT421-AZ421,Constants!$B$14),$AG421))</f>
        <v/>
      </c>
      <c r="BB421" s="103"/>
      <c r="BC421" s="104" t="str">
        <f aca="false">IF(ISBLANK($C421),"",TRIM(AK421&amp;" "&amp;AO421))</f>
        <v/>
      </c>
      <c r="BD421" s="105" t="str">
        <f aca="false">IF(ISBLANK($C421),"",IF($AG421&lt;&gt;Constants!$B$7,$AG421,AR421))</f>
        <v/>
      </c>
      <c r="BE421" s="105" t="str">
        <f aca="false">IF(ISBLANK($C421),"",IF($AG421&lt;&gt;Constants!$B$7,$AG421,AM421))</f>
        <v/>
      </c>
      <c r="BF421" s="105" t="str">
        <f aca="false">IF(ISBLANK($C421),"",IF($AG421&lt;&gt;Constants!$B$7,$AG421,AQ421))</f>
        <v/>
      </c>
      <c r="BG421" s="106" t="str">
        <f aca="false">IF(ISBLANK($C421),"",IF($AG421&lt;&gt;Constants!$B$7, $AG421 ,AS421))</f>
        <v/>
      </c>
      <c r="BH421" s="107" t="str">
        <f aca="false">IF(ISBLANK($C421),"",IF($AG421&lt;&gt;Constants!$B$7, $AG421 ,AH421))</f>
        <v/>
      </c>
      <c r="BI421" s="105" t="str">
        <f aca="false">IF(ISBLANK(C421),"",BA421)</f>
        <v/>
      </c>
      <c r="BJ421" s="105" t="str">
        <f aca="false">IF(ISBLANK(C421),"",AZ421)</f>
        <v/>
      </c>
      <c r="BK421" s="108" t="str">
        <f aca="false">IF(ISBLANK(C421),"",IFERROR(_xlfn.SWITCH(BJ421, Constants!$B$4, COUNTA($C$8:$C920)+2, Constants!$B$5, COUNTA($C$8:$C920)+1, Constants!$B$6, COUNTA($C$8:$C920)),BJ421))</f>
        <v/>
      </c>
      <c r="BL421" s="5"/>
      <c r="BM421" s="109" t="n">
        <f aca="false">IF(OR(ISNUMBER(BJ421),BJ421="DQ",BJ421="P",BJ421="NS"),
    1,
    0
)</f>
        <v>0</v>
      </c>
      <c r="BN421" s="109" t="n">
        <v>414</v>
      </c>
      <c r="BO421" s="109" t="str">
        <f aca="false">IF(ISBLANK($C421),"",IF(ISNUMBER(BK421),BK421+ROW($B421)/1000,""))</f>
        <v/>
      </c>
      <c r="BP421" s="109" t="str">
        <f aca="false">IF(ISNUMBER(BO421), RANK(BO421,BO$8:BO$507,1), "")</f>
        <v/>
      </c>
      <c r="BQ421" s="109" t="str">
        <f aca="false">IF(ISBLANK($C421),
    "",
    $B421
)</f>
        <v/>
      </c>
      <c r="BR421" s="109" t="str">
        <f aca="false">IF(ISBLANK($C421),
    "",
    $C421
)</f>
        <v/>
      </c>
      <c r="BS421" s="109" t="str">
        <f aca="false">IF(ISBLANK($C421),
    "",
    $D421
)</f>
        <v/>
      </c>
      <c r="BT421" s="110" t="str">
        <f aca="false">BH421</f>
        <v/>
      </c>
      <c r="BU421" s="111" t="str">
        <f aca="false">BG421</f>
        <v/>
      </c>
      <c r="BV421" s="109" t="str">
        <f aca="false">IF(ISBLANK($C421),
    "",
    BJ421
)</f>
        <v/>
      </c>
      <c r="BW421" s="112" t="str">
        <f aca="false">IF(BN421&gt;BM$7,
    "",
    VLOOKUP(BN421,BP$8:BV920,7,FALSE())
)</f>
        <v/>
      </c>
      <c r="BX421" s="113" t="str">
        <f aca="false">IF(BN421&gt;BM$7,
    "",
    VLOOKUP(BN421,BP$8:BV920,2,FALSE())
)</f>
        <v/>
      </c>
      <c r="BY421" s="113" t="str">
        <f aca="false">IF(BN421&gt;BM$7,
    "",
    VLOOKUP(BN421,BP$8:BV920,3,FALSE())
)</f>
        <v/>
      </c>
      <c r="BZ421" s="113" t="str">
        <f aca="false">IF(BN421&gt;BM$7,
    "",
    VLOOKUP(BN421,BP$8:BV920,4,FALSE())
)</f>
        <v/>
      </c>
      <c r="CA421" s="113" t="str">
        <f aca="false">IF(BN421&gt;BM$7,
    "",
    VLOOKUP(BN421,BP$8:BV920,5,FALSE())
)</f>
        <v/>
      </c>
      <c r="CB421" s="114" t="str">
        <f aca="false">IF(BN421&gt;BM$7,
    "",
    VLOOKUP(BN421,BP$8:BV920,6,FALSE())
)</f>
        <v/>
      </c>
      <c r="CC421" s="53"/>
    </row>
    <row r="422" customFormat="false" ht="15.75" hidden="false" customHeight="false" outlineLevel="0" collapsed="false">
      <c r="A422" s="5"/>
      <c r="B422" s="129"/>
      <c r="C422" s="55"/>
      <c r="D422" s="56"/>
      <c r="E422" s="123"/>
      <c r="F422" s="123"/>
      <c r="G422" s="58"/>
      <c r="H422" s="59"/>
      <c r="I422" s="59"/>
      <c r="J422" s="83"/>
      <c r="K422" s="83"/>
      <c r="L422" s="83"/>
      <c r="M422" s="61"/>
      <c r="N422" s="61"/>
      <c r="O422" s="61"/>
      <c r="P422" s="62"/>
      <c r="Q422" s="63"/>
      <c r="R422" s="83"/>
      <c r="S422" s="65"/>
      <c r="T422" s="66"/>
      <c r="U422" s="66" t="str">
        <f aca="false">IF(ISBLANK($C422),"",IF(G422=Constants!$B$2, TRUE(), IF(G422=Constants!$B$3, FALSE(), TRUE())))</f>
        <v/>
      </c>
      <c r="V422" s="66" t="str">
        <f aca="false">IF(ISBLANK($C422),"",IF(H422=Constants!$B$2, TRUE(), IF(H422=Constants!$B$3, FALSE(), TRUE())))</f>
        <v/>
      </c>
      <c r="W422" s="66" t="str">
        <f aca="false">IF(ISBLANK($C422),"",IF(I422=Constants!$B$2, TRUE(), IF(I422=Constants!$B$3, FALSE(), TRUE())))</f>
        <v/>
      </c>
      <c r="X422" s="66" t="str">
        <f aca="false">IF(ISBLANK($C422),"",IF(AND(ISNUMBER(J422),J422&gt;0),INT(J422),0))</f>
        <v/>
      </c>
      <c r="Y422" s="66" t="str">
        <f aca="false">IF(ISBLANK($C422),"",IF(K422=Constants!$B$2, TRUE(), IF(K422=Constants!$B$3, FALSE(), TRUE())))</f>
        <v/>
      </c>
      <c r="Z422" s="66" t="str">
        <f aca="false">IF(ISBLANK($C422),"",IF(AND(ISNUMBER(L422),L422&gt;0),INT(L422),0))</f>
        <v/>
      </c>
      <c r="AA422" s="68" t="str">
        <f aca="false">IF(ISBLANK($C422),"",IF(ISNUMBER(M422), M422, ""))</f>
        <v/>
      </c>
      <c r="AB422" s="68" t="str">
        <f aca="false">IF(ISBLANK($C422),"",IF(ISNUMBER(N422), N422, ""))</f>
        <v/>
      </c>
      <c r="AC422" s="68" t="str">
        <f aca="false">IF(ISBLANK($C422),"",IF(ISNUMBER(O422), O422, ""))</f>
        <v/>
      </c>
      <c r="AD422" s="69" t="str">
        <f aca="false">IF(ISBLANK($C422),"",IF(ISNUMBER(P422), P422, ""))</f>
        <v/>
      </c>
      <c r="AE422" s="69" t="str">
        <f aca="false">IF(ISBLANK($C422),"",IF(ISNUMBER(Q422), Q422, Constants!$B$13))</f>
        <v/>
      </c>
      <c r="AF422" s="66" t="str">
        <f aca="false">IF(ISBLANK($C422),"",IF(R422=Constants!$B$2, TRUE(), IF(R422=Constants!$B$3, FALSE(), FALSE())))</f>
        <v/>
      </c>
      <c r="AG422" s="66" t="str">
        <f aca="false">IF(ISBLANK(C422), "", IF(AF422, Constants!$B$4,IF(COUNTA(G422:P422)=0, Constants!$B$5, Constants!$B$7)))</f>
        <v/>
      </c>
      <c r="AH422" s="66" t="str">
        <f aca="false">IF(ISBLANK($C422), "",IF($AG422=Constants!$B$7,1,$AG422))</f>
        <v/>
      </c>
      <c r="AI422" s="66" t="str">
        <f aca="false">IF($AG422=Constants!$B$7,POWER(Constants!$B$11,X422)*POWER(Constants!$B$12,Z422),"")</f>
        <v/>
      </c>
      <c r="AJ422" s="66" t="str">
        <f aca="false">IF(AND($AG422=Constants!$B$7, U422, V422) ,IF(OR($AA422="",$AC422=""),"",MAX(0, $AC422-$AA422)),"")</f>
        <v/>
      </c>
      <c r="AK422" s="66" t="str">
        <f aca="false">IF(AND($AG422=Constants!$B$7, U422, V422),IF(OR($AA422="",$AC422=""),$AK$6,""),"")</f>
        <v/>
      </c>
      <c r="AL422" s="66" t="str">
        <f aca="false">IF($AG422=Constants!$B$7,IF(AND(U422,V422,W422,Y422),IF($AJ422="",0,IF($AJ$6=0,Constants!$B$9,Constants!$B$9*AJ422/$AJ$6)), 0),"")</f>
        <v/>
      </c>
      <c r="AM422" s="66" t="str">
        <f aca="false">IF(AL422&lt;&gt;"", AL422*AI422,"")</f>
        <v/>
      </c>
      <c r="AN422" s="66" t="str">
        <f aca="false">IF(AND($AG422=Constants!$B$7, U422, V422) ,IF($AB422="", "", IF(OR($AC422="",$AC422=0),"",MAX(0,1-ABS($AC422-$AB422)/$AC422))),"")</f>
        <v/>
      </c>
      <c r="AO422" s="66" t="str">
        <f aca="false">IF(AND($AG422=Constants!$B$7, U422, V422),IF(AND($AA422&lt;&gt;"",$AB422&lt;&gt;"",$AC422=0),$AO$6,""),"")</f>
        <v/>
      </c>
      <c r="AP422" s="66" t="str">
        <f aca="false">IF($AG422=Constants!$B$7 ,IF(AND(U422,V422,W422,Y422,ISNUMBER(AB422)),IF($AN422="",0,IF($AN$6=0,Constants!$B$10,Constants!$B$10*AN422/$AN$6)), 0),"")</f>
        <v/>
      </c>
      <c r="AQ422" s="66" t="str">
        <f aca="false">IF(AP422&lt;&gt;"", AP422*AI422,"")</f>
        <v/>
      </c>
      <c r="AR422" s="66" t="str">
        <f aca="false">IF($AG422=Constants!$B$7,IF($AD422="",0,IF($AR$6=0,Constants!$B$8,Constants!$B$8*AD422/$AR$6)),"")</f>
        <v/>
      </c>
      <c r="AS422" s="66" t="str">
        <f aca="false">IF($AG422&lt;&gt;Constants!$B$7,$AG422,IF(AK422&amp;AO422&lt;&gt;"",Constants!$B$14,AM422+AQ422+AR422))</f>
        <v/>
      </c>
      <c r="AT422" s="66" t="str">
        <f aca="false">IF(ISBLANK($C422),"",IF($AG422=Constants!$B$7,IF(ISNUMBER(AS422),RANK(AS422,$AS$8:$AS$507),Constants!$B$14),$AG422))</f>
        <v/>
      </c>
      <c r="AU422" s="66" t="str">
        <f aca="false">IF(ISBLANK($C422), "",AM422)</f>
        <v/>
      </c>
      <c r="AV422" s="66" t="str">
        <f aca="false">IF(ISBLANK($C422),"",IF($AG422=Constants!$B$7,RANK(AU422,AU$8:AU$507),$AG422))</f>
        <v/>
      </c>
      <c r="AW422" s="66" t="str">
        <f aca="false">IF(ISBLANK($C422), "",AR422)</f>
        <v/>
      </c>
      <c r="AX422" s="66" t="str">
        <f aca="false">IF(ISBLANK($C422),"",IF($AG422=Constants!$B$7,RANK(AW422,AW$8:AW$507),$AG422))</f>
        <v/>
      </c>
      <c r="AY422" s="66" t="str">
        <f aca="false">IF(ISBLANK($C422), "",AE422)</f>
        <v/>
      </c>
      <c r="AZ422" s="66" t="str">
        <f aca="false">IF(ISBLANK($C422),"",
IF($AG422=Constants!$B$7,
  IF(ISNUMBER(AT422),
    COUNTIFS($AT$8:$AT$507,"&lt;"&amp;$AT422)
    + COUNTIFS($AT$8:$AT$507,$AT422,$AV$8:$AV$507,"&lt;"&amp;$AV422)
    + COUNTIFS($AT$8:$AT$507,$AT422,$AV$8:$AV$507,$AV422,$AX$8:$AX$507,"&lt;"&amp;$AX422)
    + COUNTIFS($AT$8:$AT$507,$AT422,$AV$8:$AV$507,$AV422,$AX$8:$AX$507,$AX422,$AY$8:$AY$507,"&lt;"&amp;$AY422)
    + 1,
  Constants!$B$14),
$AG422))</f>
        <v/>
      </c>
      <c r="BA422" s="66" t="str">
        <f aca="false">IF(ISBLANK(C422),"",IF($AG422=Constants!$B$7, IF(ISNUMBER(AT422),AT422-AZ422,Constants!$B$14),$AG422))</f>
        <v/>
      </c>
      <c r="BB422" s="70"/>
      <c r="BC422" s="84" t="str">
        <f aca="false">IF(ISBLANK($C422),"",TRIM(AK422&amp;" "&amp;AO422))</f>
        <v/>
      </c>
      <c r="BD422" s="72" t="str">
        <f aca="false">IF(ISBLANK($C422),"",IF($AG422&lt;&gt;Constants!$B$7,$AG422,AR422))</f>
        <v/>
      </c>
      <c r="BE422" s="72" t="str">
        <f aca="false">IF(ISBLANK($C422),"",IF($AG422&lt;&gt;Constants!$B$7,$AG422,AM422))</f>
        <v/>
      </c>
      <c r="BF422" s="72" t="str">
        <f aca="false">IF(ISBLANK($C422),"",IF($AG422&lt;&gt;Constants!$B$7,$AG422,AQ422))</f>
        <v/>
      </c>
      <c r="BG422" s="73" t="str">
        <f aca="false">IF(ISBLANK($C422),"",IF($AG422&lt;&gt;Constants!$B$7, $AG422 ,AS422))</f>
        <v/>
      </c>
      <c r="BH422" s="74" t="str">
        <f aca="false">IF(ISBLANK($C422),"",IF($AG422&lt;&gt;Constants!$B$7, $AG422 ,AH422))</f>
        <v/>
      </c>
      <c r="BI422" s="72" t="str">
        <f aca="false">IF(ISBLANK(C422),"",BA422)</f>
        <v/>
      </c>
      <c r="BJ422" s="72" t="str">
        <f aca="false">IF(ISBLANK(C422),"",AZ422)</f>
        <v/>
      </c>
      <c r="BK422" s="75" t="str">
        <f aca="false">IF(ISBLANK(C422),"",IFERROR(_xlfn.SWITCH(BJ422, Constants!$B$4, COUNTA($C$8:$C921)+2, Constants!$B$5, COUNTA($C$8:$C921)+1, Constants!$B$6, COUNTA($C$8:$C921)),BJ422))</f>
        <v/>
      </c>
      <c r="BL422" s="5"/>
      <c r="BM422" s="76" t="n">
        <f aca="false">IF(OR(ISNUMBER(BJ422),BJ422="DQ",BJ422="P",BJ422="NS"),
    1,
    0
)</f>
        <v>0</v>
      </c>
      <c r="BN422" s="76" t="n">
        <v>415</v>
      </c>
      <c r="BO422" s="76" t="str">
        <f aca="false">IF(ISBLANK($C422),"",IF(ISNUMBER(BK422),BK422+ROW($B422)/1000,""))</f>
        <v/>
      </c>
      <c r="BP422" s="76" t="str">
        <f aca="false">IF(ISNUMBER(BO422), RANK(BO422,BO$8:BO$507,1), "")</f>
        <v/>
      </c>
      <c r="BQ422" s="76" t="str">
        <f aca="false">IF(ISBLANK($C422),
    "",
    $B422
)</f>
        <v/>
      </c>
      <c r="BR422" s="76" t="str">
        <f aca="false">IF(ISBLANK($C422),
    "",
    $C422
)</f>
        <v/>
      </c>
      <c r="BS422" s="76" t="str">
        <f aca="false">IF(ISBLANK($C422),
    "",
    $D422
)</f>
        <v/>
      </c>
      <c r="BT422" s="77" t="str">
        <f aca="false">BH422</f>
        <v/>
      </c>
      <c r="BU422" s="78" t="str">
        <f aca="false">BG422</f>
        <v/>
      </c>
      <c r="BV422" s="76" t="str">
        <f aca="false">IF(ISBLANK($C422),
    "",
    BJ422
)</f>
        <v/>
      </c>
      <c r="BW422" s="79" t="str">
        <f aca="false">IF(BN422&gt;BM$7,
    "",
    VLOOKUP(BN422,BP$8:BV921,7,FALSE())
)</f>
        <v/>
      </c>
      <c r="BX422" s="80" t="str">
        <f aca="false">IF(BN422&gt;BM$7,
    "",
    VLOOKUP(BN422,BP$8:BV921,2,FALSE())
)</f>
        <v/>
      </c>
      <c r="BY422" s="80" t="str">
        <f aca="false">IF(BN422&gt;BM$7,
    "",
    VLOOKUP(BN422,BP$8:BV921,3,FALSE())
)</f>
        <v/>
      </c>
      <c r="BZ422" s="80" t="str">
        <f aca="false">IF(BN422&gt;BM$7,
    "",
    VLOOKUP(BN422,BP$8:BV921,4,FALSE())
)</f>
        <v/>
      </c>
      <c r="CA422" s="80" t="str">
        <f aca="false">IF(BN422&gt;BM$7,
    "",
    VLOOKUP(BN422,BP$8:BV921,5,FALSE())
)</f>
        <v/>
      </c>
      <c r="CB422" s="81" t="str">
        <f aca="false">IF(BN422&gt;BM$7,
    "",
    VLOOKUP(BN422,BP$8:BV921,6,FALSE())
)</f>
        <v/>
      </c>
      <c r="CC422" s="53"/>
    </row>
    <row r="423" customFormat="false" ht="15.75" hidden="false" customHeight="false" outlineLevel="0" collapsed="false">
      <c r="A423" s="5"/>
      <c r="B423" s="129"/>
      <c r="C423" s="55"/>
      <c r="D423" s="56"/>
      <c r="E423" s="123"/>
      <c r="F423" s="123"/>
      <c r="G423" s="58"/>
      <c r="H423" s="59"/>
      <c r="I423" s="59"/>
      <c r="J423" s="83"/>
      <c r="K423" s="83"/>
      <c r="L423" s="83"/>
      <c r="M423" s="61"/>
      <c r="N423" s="61"/>
      <c r="O423" s="61"/>
      <c r="P423" s="62"/>
      <c r="Q423" s="63"/>
      <c r="R423" s="83"/>
      <c r="S423" s="65"/>
      <c r="T423" s="66"/>
      <c r="U423" s="66" t="str">
        <f aca="false">IF(ISBLANK($C423),"",IF(G423=Constants!$B$2, TRUE(), IF(G423=Constants!$B$3, FALSE(), TRUE())))</f>
        <v/>
      </c>
      <c r="V423" s="66" t="str">
        <f aca="false">IF(ISBLANK($C423),"",IF(H423=Constants!$B$2, TRUE(), IF(H423=Constants!$B$3, FALSE(), TRUE())))</f>
        <v/>
      </c>
      <c r="W423" s="66" t="str">
        <f aca="false">IF(ISBLANK($C423),"",IF(I423=Constants!$B$2, TRUE(), IF(I423=Constants!$B$3, FALSE(), TRUE())))</f>
        <v/>
      </c>
      <c r="X423" s="66" t="str">
        <f aca="false">IF(ISBLANK($C423),"",IF(AND(ISNUMBER(J423),J423&gt;0),INT(J423),0))</f>
        <v/>
      </c>
      <c r="Y423" s="66" t="str">
        <f aca="false">IF(ISBLANK($C423),"",IF(K423=Constants!$B$2, TRUE(), IF(K423=Constants!$B$3, FALSE(), TRUE())))</f>
        <v/>
      </c>
      <c r="Z423" s="66" t="str">
        <f aca="false">IF(ISBLANK($C423),"",IF(AND(ISNUMBER(L423),L423&gt;0),INT(L423),0))</f>
        <v/>
      </c>
      <c r="AA423" s="68" t="str">
        <f aca="false">IF(ISBLANK($C423),"",IF(ISNUMBER(M423), M423, ""))</f>
        <v/>
      </c>
      <c r="AB423" s="68" t="str">
        <f aca="false">IF(ISBLANK($C423),"",IF(ISNUMBER(N423), N423, ""))</f>
        <v/>
      </c>
      <c r="AC423" s="68" t="str">
        <f aca="false">IF(ISBLANK($C423),"",IF(ISNUMBER(O423), O423, ""))</f>
        <v/>
      </c>
      <c r="AD423" s="69" t="str">
        <f aca="false">IF(ISBLANK($C423),"",IF(ISNUMBER(P423), P423, ""))</f>
        <v/>
      </c>
      <c r="AE423" s="69" t="str">
        <f aca="false">IF(ISBLANK($C423),"",IF(ISNUMBER(Q423), Q423, Constants!$B$13))</f>
        <v/>
      </c>
      <c r="AF423" s="66" t="str">
        <f aca="false">IF(ISBLANK($C423),"",IF(R423=Constants!$B$2, TRUE(), IF(R423=Constants!$B$3, FALSE(), FALSE())))</f>
        <v/>
      </c>
      <c r="AG423" s="66" t="str">
        <f aca="false">IF(ISBLANK(C423), "", IF(AF423, Constants!$B$4,IF(COUNTA(G423:P423)=0, Constants!$B$5, Constants!$B$7)))</f>
        <v/>
      </c>
      <c r="AH423" s="66" t="str">
        <f aca="false">IF(ISBLANK($C423), "",IF($AG423=Constants!$B$7,1,$AG423))</f>
        <v/>
      </c>
      <c r="AI423" s="66" t="str">
        <f aca="false">IF($AG423=Constants!$B$7,POWER(Constants!$B$11,X423)*POWER(Constants!$B$12,Z423),"")</f>
        <v/>
      </c>
      <c r="AJ423" s="66" t="str">
        <f aca="false">IF(AND($AG423=Constants!$B$7, U423, V423) ,IF(OR($AA423="",$AC423=""),"",MAX(0, $AC423-$AA423)),"")</f>
        <v/>
      </c>
      <c r="AK423" s="66" t="str">
        <f aca="false">IF(AND($AG423=Constants!$B$7, U423, V423),IF(OR($AA423="",$AC423=""),$AK$6,""),"")</f>
        <v/>
      </c>
      <c r="AL423" s="66" t="str">
        <f aca="false">IF($AG423=Constants!$B$7,IF(AND(U423,V423,W423,Y423),IF($AJ423="",0,IF($AJ$6=0,Constants!$B$9,Constants!$B$9*AJ423/$AJ$6)), 0),"")</f>
        <v/>
      </c>
      <c r="AM423" s="66" t="str">
        <f aca="false">IF(AL423&lt;&gt;"", AL423*AI423,"")</f>
        <v/>
      </c>
      <c r="AN423" s="66" t="str">
        <f aca="false">IF(AND($AG423=Constants!$B$7, U423, V423) ,IF($AB423="", "", IF(OR($AC423="",$AC423=0),"",MAX(0,1-ABS($AC423-$AB423)/$AC423))),"")</f>
        <v/>
      </c>
      <c r="AO423" s="66" t="str">
        <f aca="false">IF(AND($AG423=Constants!$B$7, U423, V423),IF(AND($AA423&lt;&gt;"",$AB423&lt;&gt;"",$AC423=0),$AO$6,""),"")</f>
        <v/>
      </c>
      <c r="AP423" s="66" t="str">
        <f aca="false">IF($AG423=Constants!$B$7 ,IF(AND(U423,V423,W423,Y423,ISNUMBER(AB423)),IF($AN423="",0,IF($AN$6=0,Constants!$B$10,Constants!$B$10*AN423/$AN$6)), 0),"")</f>
        <v/>
      </c>
      <c r="AQ423" s="66" t="str">
        <f aca="false">IF(AP423&lt;&gt;"", AP423*AI423,"")</f>
        <v/>
      </c>
      <c r="AR423" s="66" t="str">
        <f aca="false">IF($AG423=Constants!$B$7,IF($AD423="",0,IF($AR$6=0,Constants!$B$8,Constants!$B$8*AD423/$AR$6)),"")</f>
        <v/>
      </c>
      <c r="AS423" s="66" t="str">
        <f aca="false">IF($AG423&lt;&gt;Constants!$B$7,$AG423,IF(AK423&amp;AO423&lt;&gt;"",Constants!$B$14,AM423+AQ423+AR423))</f>
        <v/>
      </c>
      <c r="AT423" s="66" t="str">
        <f aca="false">IF(ISBLANK($C423),"",IF($AG423=Constants!$B$7,IF(ISNUMBER(AS423),RANK(AS423,$AS$8:$AS$507),Constants!$B$14),$AG423))</f>
        <v/>
      </c>
      <c r="AU423" s="66" t="str">
        <f aca="false">IF(ISBLANK($C423), "",AM423)</f>
        <v/>
      </c>
      <c r="AV423" s="66" t="str">
        <f aca="false">IF(ISBLANK($C423),"",IF($AG423=Constants!$B$7,RANK(AU423,AU$8:AU$507),$AG423))</f>
        <v/>
      </c>
      <c r="AW423" s="66" t="str">
        <f aca="false">IF(ISBLANK($C423), "",AR423)</f>
        <v/>
      </c>
      <c r="AX423" s="66" t="str">
        <f aca="false">IF(ISBLANK($C423),"",IF($AG423=Constants!$B$7,RANK(AW423,AW$8:AW$507),$AG423))</f>
        <v/>
      </c>
      <c r="AY423" s="66" t="str">
        <f aca="false">IF(ISBLANK($C423), "",AE423)</f>
        <v/>
      </c>
      <c r="AZ423" s="66" t="str">
        <f aca="false">IF(ISBLANK($C423),"",
IF($AG423=Constants!$B$7,
  IF(ISNUMBER(AT423),
    COUNTIFS($AT$8:$AT$507,"&lt;"&amp;$AT423)
    + COUNTIFS($AT$8:$AT$507,$AT423,$AV$8:$AV$507,"&lt;"&amp;$AV423)
    + COUNTIFS($AT$8:$AT$507,$AT423,$AV$8:$AV$507,$AV423,$AX$8:$AX$507,"&lt;"&amp;$AX423)
    + COUNTIFS($AT$8:$AT$507,$AT423,$AV$8:$AV$507,$AV423,$AX$8:$AX$507,$AX423,$AY$8:$AY$507,"&lt;"&amp;$AY423)
    + 1,
  Constants!$B$14),
$AG423))</f>
        <v/>
      </c>
      <c r="BA423" s="66" t="str">
        <f aca="false">IF(ISBLANK(C423),"",IF($AG423=Constants!$B$7, IF(ISNUMBER(AT423),AT423-AZ423,Constants!$B$14),$AG423))</f>
        <v/>
      </c>
      <c r="BB423" s="70"/>
      <c r="BC423" s="84" t="str">
        <f aca="false">IF(ISBLANK($C423),"",TRIM(AK423&amp;" "&amp;AO423))</f>
        <v/>
      </c>
      <c r="BD423" s="72" t="str">
        <f aca="false">IF(ISBLANK($C423),"",IF($AG423&lt;&gt;Constants!$B$7,$AG423,AR423))</f>
        <v/>
      </c>
      <c r="BE423" s="72" t="str">
        <f aca="false">IF(ISBLANK($C423),"",IF($AG423&lt;&gt;Constants!$B$7,$AG423,AM423))</f>
        <v/>
      </c>
      <c r="BF423" s="72" t="str">
        <f aca="false">IF(ISBLANK($C423),"",IF($AG423&lt;&gt;Constants!$B$7,$AG423,AQ423))</f>
        <v/>
      </c>
      <c r="BG423" s="73" t="str">
        <f aca="false">IF(ISBLANK($C423),"",IF($AG423&lt;&gt;Constants!$B$7, $AG423 ,AS423))</f>
        <v/>
      </c>
      <c r="BH423" s="74" t="str">
        <f aca="false">IF(ISBLANK($C423),"",IF($AG423&lt;&gt;Constants!$B$7, $AG423 ,AH423))</f>
        <v/>
      </c>
      <c r="BI423" s="72" t="str">
        <f aca="false">IF(ISBLANK(C423),"",BA423)</f>
        <v/>
      </c>
      <c r="BJ423" s="72" t="str">
        <f aca="false">IF(ISBLANK(C423),"",AZ423)</f>
        <v/>
      </c>
      <c r="BK423" s="75" t="str">
        <f aca="false">IF(ISBLANK(C423),"",IFERROR(_xlfn.SWITCH(BJ423, Constants!$B$4, COUNTA($C$8:$C922)+2, Constants!$B$5, COUNTA($C$8:$C922)+1, Constants!$B$6, COUNTA($C$8:$C922)),BJ423))</f>
        <v/>
      </c>
      <c r="BL423" s="5"/>
      <c r="BM423" s="76" t="n">
        <f aca="false">IF(OR(ISNUMBER(BJ423),BJ423="DQ",BJ423="P",BJ423="NS"),
    1,
    0
)</f>
        <v>0</v>
      </c>
      <c r="BN423" s="76" t="n">
        <v>416</v>
      </c>
      <c r="BO423" s="76" t="str">
        <f aca="false">IF(ISBLANK($C423),"",IF(ISNUMBER(BK423),BK423+ROW($B423)/1000,""))</f>
        <v/>
      </c>
      <c r="BP423" s="76" t="str">
        <f aca="false">IF(ISNUMBER(BO423), RANK(BO423,BO$8:BO$507,1), "")</f>
        <v/>
      </c>
      <c r="BQ423" s="76" t="str">
        <f aca="false">IF(ISBLANK($C423),
    "",
    $B423
)</f>
        <v/>
      </c>
      <c r="BR423" s="76" t="str">
        <f aca="false">IF(ISBLANK($C423),
    "",
    $C423
)</f>
        <v/>
      </c>
      <c r="BS423" s="76" t="str">
        <f aca="false">IF(ISBLANK($C423),
    "",
    $D423
)</f>
        <v/>
      </c>
      <c r="BT423" s="77" t="str">
        <f aca="false">BH423</f>
        <v/>
      </c>
      <c r="BU423" s="78" t="str">
        <f aca="false">BG423</f>
        <v/>
      </c>
      <c r="BV423" s="76" t="str">
        <f aca="false">IF(ISBLANK($C423),
    "",
    BJ423
)</f>
        <v/>
      </c>
      <c r="BW423" s="79" t="str">
        <f aca="false">IF(BN423&gt;BM$7,
    "",
    VLOOKUP(BN423,BP$8:BV922,7,FALSE())
)</f>
        <v/>
      </c>
      <c r="BX423" s="80" t="str">
        <f aca="false">IF(BN423&gt;BM$7,
    "",
    VLOOKUP(BN423,BP$8:BV922,2,FALSE())
)</f>
        <v/>
      </c>
      <c r="BY423" s="80" t="str">
        <f aca="false">IF(BN423&gt;BM$7,
    "",
    VLOOKUP(BN423,BP$8:BV922,3,FALSE())
)</f>
        <v/>
      </c>
      <c r="BZ423" s="80" t="str">
        <f aca="false">IF(BN423&gt;BM$7,
    "",
    VLOOKUP(BN423,BP$8:BV922,4,FALSE())
)</f>
        <v/>
      </c>
      <c r="CA423" s="80" t="str">
        <f aca="false">IF(BN423&gt;BM$7,
    "",
    VLOOKUP(BN423,BP$8:BV922,5,FALSE())
)</f>
        <v/>
      </c>
      <c r="CB423" s="81" t="str">
        <f aca="false">IF(BN423&gt;BM$7,
    "",
    VLOOKUP(BN423,BP$8:BV922,6,FALSE())
)</f>
        <v/>
      </c>
      <c r="CC423" s="53"/>
    </row>
    <row r="424" customFormat="false" ht="15.75" hidden="false" customHeight="false" outlineLevel="0" collapsed="false">
      <c r="A424" s="5"/>
      <c r="B424" s="129"/>
      <c r="C424" s="55"/>
      <c r="D424" s="56"/>
      <c r="E424" s="123"/>
      <c r="F424" s="123"/>
      <c r="G424" s="58"/>
      <c r="H424" s="59"/>
      <c r="I424" s="59"/>
      <c r="J424" s="83"/>
      <c r="K424" s="83"/>
      <c r="L424" s="83"/>
      <c r="M424" s="61"/>
      <c r="N424" s="61"/>
      <c r="O424" s="61"/>
      <c r="P424" s="62"/>
      <c r="Q424" s="63"/>
      <c r="R424" s="83"/>
      <c r="S424" s="65"/>
      <c r="T424" s="66"/>
      <c r="U424" s="66" t="str">
        <f aca="false">IF(ISBLANK($C424),"",IF(G424=Constants!$B$2, TRUE(), IF(G424=Constants!$B$3, FALSE(), TRUE())))</f>
        <v/>
      </c>
      <c r="V424" s="66" t="str">
        <f aca="false">IF(ISBLANK($C424),"",IF(H424=Constants!$B$2, TRUE(), IF(H424=Constants!$B$3, FALSE(), TRUE())))</f>
        <v/>
      </c>
      <c r="W424" s="66" t="str">
        <f aca="false">IF(ISBLANK($C424),"",IF(I424=Constants!$B$2, TRUE(), IF(I424=Constants!$B$3, FALSE(), TRUE())))</f>
        <v/>
      </c>
      <c r="X424" s="66" t="str">
        <f aca="false">IF(ISBLANK($C424),"",IF(AND(ISNUMBER(J424),J424&gt;0),INT(J424),0))</f>
        <v/>
      </c>
      <c r="Y424" s="66" t="str">
        <f aca="false">IF(ISBLANK($C424),"",IF(K424=Constants!$B$2, TRUE(), IF(K424=Constants!$B$3, FALSE(), TRUE())))</f>
        <v/>
      </c>
      <c r="Z424" s="66" t="str">
        <f aca="false">IF(ISBLANK($C424),"",IF(AND(ISNUMBER(L424),L424&gt;0),INT(L424),0))</f>
        <v/>
      </c>
      <c r="AA424" s="68" t="str">
        <f aca="false">IF(ISBLANK($C424),"",IF(ISNUMBER(M424), M424, ""))</f>
        <v/>
      </c>
      <c r="AB424" s="68" t="str">
        <f aca="false">IF(ISBLANK($C424),"",IF(ISNUMBER(N424), N424, ""))</f>
        <v/>
      </c>
      <c r="AC424" s="68" t="str">
        <f aca="false">IF(ISBLANK($C424),"",IF(ISNUMBER(O424), O424, ""))</f>
        <v/>
      </c>
      <c r="AD424" s="69" t="str">
        <f aca="false">IF(ISBLANK($C424),"",IF(ISNUMBER(P424), P424, ""))</f>
        <v/>
      </c>
      <c r="AE424" s="69" t="str">
        <f aca="false">IF(ISBLANK($C424),"",IF(ISNUMBER(Q424), Q424, Constants!$B$13))</f>
        <v/>
      </c>
      <c r="AF424" s="66" t="str">
        <f aca="false">IF(ISBLANK($C424),"",IF(R424=Constants!$B$2, TRUE(), IF(R424=Constants!$B$3, FALSE(), FALSE())))</f>
        <v/>
      </c>
      <c r="AG424" s="66" t="str">
        <f aca="false">IF(ISBLANK(C424), "", IF(AF424, Constants!$B$4,IF(COUNTA(G424:P424)=0, Constants!$B$5, Constants!$B$7)))</f>
        <v/>
      </c>
      <c r="AH424" s="66" t="str">
        <f aca="false">IF(ISBLANK($C424), "",IF($AG424=Constants!$B$7,1,$AG424))</f>
        <v/>
      </c>
      <c r="AI424" s="66" t="str">
        <f aca="false">IF($AG424=Constants!$B$7,POWER(Constants!$B$11,X424)*POWER(Constants!$B$12,Z424),"")</f>
        <v/>
      </c>
      <c r="AJ424" s="66" t="str">
        <f aca="false">IF(AND($AG424=Constants!$B$7, U424, V424) ,IF(OR($AA424="",$AC424=""),"",MAX(0, $AC424-$AA424)),"")</f>
        <v/>
      </c>
      <c r="AK424" s="66" t="str">
        <f aca="false">IF(AND($AG424=Constants!$B$7, U424, V424),IF(OR($AA424="",$AC424=""),$AK$6,""),"")</f>
        <v/>
      </c>
      <c r="AL424" s="66" t="str">
        <f aca="false">IF($AG424=Constants!$B$7,IF(AND(U424,V424,W424,Y424),IF($AJ424="",0,IF($AJ$6=0,Constants!$B$9,Constants!$B$9*AJ424/$AJ$6)), 0),"")</f>
        <v/>
      </c>
      <c r="AM424" s="66" t="str">
        <f aca="false">IF(AL424&lt;&gt;"", AL424*AI424,"")</f>
        <v/>
      </c>
      <c r="AN424" s="66" t="str">
        <f aca="false">IF(AND($AG424=Constants!$B$7, U424, V424) ,IF($AB424="", "", IF(OR($AC424="",$AC424=0),"",MAX(0,1-ABS($AC424-$AB424)/$AC424))),"")</f>
        <v/>
      </c>
      <c r="AO424" s="66" t="str">
        <f aca="false">IF(AND($AG424=Constants!$B$7, U424, V424),IF(AND($AA424&lt;&gt;"",$AB424&lt;&gt;"",$AC424=0),$AO$6,""),"")</f>
        <v/>
      </c>
      <c r="AP424" s="66" t="str">
        <f aca="false">IF($AG424=Constants!$B$7 ,IF(AND(U424,V424,W424,Y424,ISNUMBER(AB424)),IF($AN424="",0,IF($AN$6=0,Constants!$B$10,Constants!$B$10*AN424/$AN$6)), 0),"")</f>
        <v/>
      </c>
      <c r="AQ424" s="66" t="str">
        <f aca="false">IF(AP424&lt;&gt;"", AP424*AI424,"")</f>
        <v/>
      </c>
      <c r="AR424" s="66" t="str">
        <f aca="false">IF($AG424=Constants!$B$7,IF($AD424="",0,IF($AR$6=0,Constants!$B$8,Constants!$B$8*AD424/$AR$6)),"")</f>
        <v/>
      </c>
      <c r="AS424" s="66" t="str">
        <f aca="false">IF($AG424&lt;&gt;Constants!$B$7,$AG424,IF(AK424&amp;AO424&lt;&gt;"",Constants!$B$14,AM424+AQ424+AR424))</f>
        <v/>
      </c>
      <c r="AT424" s="66" t="str">
        <f aca="false">IF(ISBLANK($C424),"",IF($AG424=Constants!$B$7,IF(ISNUMBER(AS424),RANK(AS424,$AS$8:$AS$507),Constants!$B$14),$AG424))</f>
        <v/>
      </c>
      <c r="AU424" s="66" t="str">
        <f aca="false">IF(ISBLANK($C424), "",AM424)</f>
        <v/>
      </c>
      <c r="AV424" s="66" t="str">
        <f aca="false">IF(ISBLANK($C424),"",IF($AG424=Constants!$B$7,RANK(AU424,AU$8:AU$507),$AG424))</f>
        <v/>
      </c>
      <c r="AW424" s="66" t="str">
        <f aca="false">IF(ISBLANK($C424), "",AR424)</f>
        <v/>
      </c>
      <c r="AX424" s="66" t="str">
        <f aca="false">IF(ISBLANK($C424),"",IF($AG424=Constants!$B$7,RANK(AW424,AW$8:AW$507),$AG424))</f>
        <v/>
      </c>
      <c r="AY424" s="66" t="str">
        <f aca="false">IF(ISBLANK($C424), "",AE424)</f>
        <v/>
      </c>
      <c r="AZ424" s="66" t="str">
        <f aca="false">IF(ISBLANK($C424),"",
IF($AG424=Constants!$B$7,
  IF(ISNUMBER(AT424),
    COUNTIFS($AT$8:$AT$507,"&lt;"&amp;$AT424)
    + COUNTIFS($AT$8:$AT$507,$AT424,$AV$8:$AV$507,"&lt;"&amp;$AV424)
    + COUNTIFS($AT$8:$AT$507,$AT424,$AV$8:$AV$507,$AV424,$AX$8:$AX$507,"&lt;"&amp;$AX424)
    + COUNTIFS($AT$8:$AT$507,$AT424,$AV$8:$AV$507,$AV424,$AX$8:$AX$507,$AX424,$AY$8:$AY$507,"&lt;"&amp;$AY424)
    + 1,
  Constants!$B$14),
$AG424))</f>
        <v/>
      </c>
      <c r="BA424" s="66" t="str">
        <f aca="false">IF(ISBLANK(C424),"",IF($AG424=Constants!$B$7, IF(ISNUMBER(AT424),AT424-AZ424,Constants!$B$14),$AG424))</f>
        <v/>
      </c>
      <c r="BB424" s="70"/>
      <c r="BC424" s="84" t="str">
        <f aca="false">IF(ISBLANK($C424),"",TRIM(AK424&amp;" "&amp;AO424))</f>
        <v/>
      </c>
      <c r="BD424" s="72" t="str">
        <f aca="false">IF(ISBLANK($C424),"",IF($AG424&lt;&gt;Constants!$B$7,$AG424,AR424))</f>
        <v/>
      </c>
      <c r="BE424" s="72" t="str">
        <f aca="false">IF(ISBLANK($C424),"",IF($AG424&lt;&gt;Constants!$B$7,$AG424,AM424))</f>
        <v/>
      </c>
      <c r="BF424" s="72" t="str">
        <f aca="false">IF(ISBLANK($C424),"",IF($AG424&lt;&gt;Constants!$B$7,$AG424,AQ424))</f>
        <v/>
      </c>
      <c r="BG424" s="73" t="str">
        <f aca="false">IF(ISBLANK($C424),"",IF($AG424&lt;&gt;Constants!$B$7, $AG424 ,AS424))</f>
        <v/>
      </c>
      <c r="BH424" s="74" t="str">
        <f aca="false">IF(ISBLANK($C424),"",IF($AG424&lt;&gt;Constants!$B$7, $AG424 ,AH424))</f>
        <v/>
      </c>
      <c r="BI424" s="72" t="str">
        <f aca="false">IF(ISBLANK(C424),"",BA424)</f>
        <v/>
      </c>
      <c r="BJ424" s="72" t="str">
        <f aca="false">IF(ISBLANK(C424),"",AZ424)</f>
        <v/>
      </c>
      <c r="BK424" s="75" t="str">
        <f aca="false">IF(ISBLANK(C424),"",IFERROR(_xlfn.SWITCH(BJ424, Constants!$B$4, COUNTA($C$8:$C923)+2, Constants!$B$5, COUNTA($C$8:$C923)+1, Constants!$B$6, COUNTA($C$8:$C923)),BJ424))</f>
        <v/>
      </c>
      <c r="BL424" s="5"/>
      <c r="BM424" s="76" t="n">
        <f aca="false">IF(OR(ISNUMBER(BJ424),BJ424="DQ",BJ424="P",BJ424="NS"),
    1,
    0
)</f>
        <v>0</v>
      </c>
      <c r="BN424" s="76" t="n">
        <v>417</v>
      </c>
      <c r="BO424" s="76" t="str">
        <f aca="false">IF(ISBLANK($C424),"",IF(ISNUMBER(BK424),BK424+ROW($B424)/1000,""))</f>
        <v/>
      </c>
      <c r="BP424" s="76" t="str">
        <f aca="false">IF(ISNUMBER(BO424), RANK(BO424,BO$8:BO$507,1), "")</f>
        <v/>
      </c>
      <c r="BQ424" s="76" t="str">
        <f aca="false">IF(ISBLANK($C424),
    "",
    $B424
)</f>
        <v/>
      </c>
      <c r="BR424" s="76" t="str">
        <f aca="false">IF(ISBLANK($C424),
    "",
    $C424
)</f>
        <v/>
      </c>
      <c r="BS424" s="76" t="str">
        <f aca="false">IF(ISBLANK($C424),
    "",
    $D424
)</f>
        <v/>
      </c>
      <c r="BT424" s="77" t="str">
        <f aca="false">BH424</f>
        <v/>
      </c>
      <c r="BU424" s="78" t="str">
        <f aca="false">BG424</f>
        <v/>
      </c>
      <c r="BV424" s="76" t="str">
        <f aca="false">IF(ISBLANK($C424),
    "",
    BJ424
)</f>
        <v/>
      </c>
      <c r="BW424" s="79" t="str">
        <f aca="false">IF(BN424&gt;BM$7,
    "",
    VLOOKUP(BN424,BP$8:BV923,7,FALSE())
)</f>
        <v/>
      </c>
      <c r="BX424" s="80" t="str">
        <f aca="false">IF(BN424&gt;BM$7,
    "",
    VLOOKUP(BN424,BP$8:BV923,2,FALSE())
)</f>
        <v/>
      </c>
      <c r="BY424" s="80" t="str">
        <f aca="false">IF(BN424&gt;BM$7,
    "",
    VLOOKUP(BN424,BP$8:BV923,3,FALSE())
)</f>
        <v/>
      </c>
      <c r="BZ424" s="80" t="str">
        <f aca="false">IF(BN424&gt;BM$7,
    "",
    VLOOKUP(BN424,BP$8:BV923,4,FALSE())
)</f>
        <v/>
      </c>
      <c r="CA424" s="80" t="str">
        <f aca="false">IF(BN424&gt;BM$7,
    "",
    VLOOKUP(BN424,BP$8:BV923,5,FALSE())
)</f>
        <v/>
      </c>
      <c r="CB424" s="81" t="str">
        <f aca="false">IF(BN424&gt;BM$7,
    "",
    VLOOKUP(BN424,BP$8:BV923,6,FALSE())
)</f>
        <v/>
      </c>
      <c r="CC424" s="53"/>
    </row>
    <row r="425" customFormat="false" ht="15.75" hidden="false" customHeight="false" outlineLevel="0" collapsed="false">
      <c r="A425" s="5"/>
      <c r="B425" s="125"/>
      <c r="C425" s="126"/>
      <c r="D425" s="115"/>
      <c r="E425" s="119"/>
      <c r="F425" s="119"/>
      <c r="G425" s="91"/>
      <c r="H425" s="92"/>
      <c r="I425" s="92"/>
      <c r="J425" s="128"/>
      <c r="K425" s="128"/>
      <c r="L425" s="128"/>
      <c r="M425" s="94"/>
      <c r="N425" s="94"/>
      <c r="O425" s="94"/>
      <c r="P425" s="95"/>
      <c r="Q425" s="96"/>
      <c r="R425" s="128"/>
      <c r="S425" s="98"/>
      <c r="T425" s="99"/>
      <c r="U425" s="99" t="str">
        <f aca="false">IF(ISBLANK($C425),"",IF(G425=Constants!$B$2, TRUE(), IF(G425=Constants!$B$3, FALSE(), TRUE())))</f>
        <v/>
      </c>
      <c r="V425" s="99" t="str">
        <f aca="false">IF(ISBLANK($C425),"",IF(H425=Constants!$B$2, TRUE(), IF(H425=Constants!$B$3, FALSE(), TRUE())))</f>
        <v/>
      </c>
      <c r="W425" s="99" t="str">
        <f aca="false">IF(ISBLANK($C425),"",IF(I425=Constants!$B$2, TRUE(), IF(I425=Constants!$B$3, FALSE(), TRUE())))</f>
        <v/>
      </c>
      <c r="X425" s="99" t="str">
        <f aca="false">IF(ISBLANK($C425),"",IF(AND(ISNUMBER(J425),J425&gt;0),INT(J425),0))</f>
        <v/>
      </c>
      <c r="Y425" s="99" t="str">
        <f aca="false">IF(ISBLANK($C425),"",IF(K425=Constants!$B$2, TRUE(), IF(K425=Constants!$B$3, FALSE(), TRUE())))</f>
        <v/>
      </c>
      <c r="Z425" s="100" t="str">
        <f aca="false">IF(ISBLANK($C425),"",IF(AND(ISNUMBER(L425),L425&gt;0),INT(L425),0))</f>
        <v/>
      </c>
      <c r="AA425" s="101" t="str">
        <f aca="false">IF(ISBLANK($C425),"",IF(ISNUMBER(M425), M425, ""))</f>
        <v/>
      </c>
      <c r="AB425" s="101" t="str">
        <f aca="false">IF(ISBLANK($C425),"",IF(ISNUMBER(N425), N425, ""))</f>
        <v/>
      </c>
      <c r="AC425" s="101" t="str">
        <f aca="false">IF(ISBLANK($C425),"",IF(ISNUMBER(O425), O425, ""))</f>
        <v/>
      </c>
      <c r="AD425" s="102" t="str">
        <f aca="false">IF(ISBLANK($C425),"",IF(ISNUMBER(P425), P425, ""))</f>
        <v/>
      </c>
      <c r="AE425" s="102" t="str">
        <f aca="false">IF(ISBLANK($C425),"",IF(ISNUMBER(Q425), Q425, Constants!$B$13))</f>
        <v/>
      </c>
      <c r="AF425" s="99" t="str">
        <f aca="false">IF(ISBLANK($C425),"",IF(R425=Constants!$B$2, TRUE(), IF(R425=Constants!$B$3, FALSE(), FALSE())))</f>
        <v/>
      </c>
      <c r="AG425" s="99" t="str">
        <f aca="false">IF(ISBLANK(C425), "", IF(AF425, Constants!$B$4,IF(COUNTA(G425:P425)=0, Constants!$B$5, Constants!$B$7)))</f>
        <v/>
      </c>
      <c r="AH425" s="99" t="str">
        <f aca="false">IF(ISBLANK($C425), "",IF($AG425=Constants!$B$7,1,$AG425))</f>
        <v/>
      </c>
      <c r="AI425" s="99" t="str">
        <f aca="false">IF($AG425=Constants!$B$7,POWER(Constants!$B$11,X425)*POWER(Constants!$B$12,Z425),"")</f>
        <v/>
      </c>
      <c r="AJ425" s="99" t="str">
        <f aca="false">IF(AND($AG425=Constants!$B$7, U425, V425) ,IF(OR($AA425="",$AC425=""),"",MAX(0, $AC425-$AA425)),"")</f>
        <v/>
      </c>
      <c r="AK425" s="99" t="str">
        <f aca="false">IF(AND($AG425=Constants!$B$7, U425, V425),IF(OR($AA425="",$AC425=""),$AK$6,""),"")</f>
        <v/>
      </c>
      <c r="AL425" s="99" t="str">
        <f aca="false">IF($AG425=Constants!$B$7,IF(AND(U425,V425,W425,Y425),IF($AJ425="",0,IF($AJ$6=0,Constants!$B$9,Constants!$B$9*AJ425/$AJ$6)), 0),"")</f>
        <v/>
      </c>
      <c r="AM425" s="99" t="str">
        <f aca="false">IF(AL425&lt;&gt;"", AL425*AI425,"")</f>
        <v/>
      </c>
      <c r="AN425" s="99" t="str">
        <f aca="false">IF(AND($AG425=Constants!$B$7, U425, V425) ,IF($AB425="", "", IF(OR($AC425="",$AC425=0),"",MAX(0,1-ABS($AC425-$AB425)/$AC425))),"")</f>
        <v/>
      </c>
      <c r="AO425" s="99" t="str">
        <f aca="false">IF(AND($AG425=Constants!$B$7, U425, V425),IF(AND($AA425&lt;&gt;"",$AB425&lt;&gt;"",$AC425=0),$AO$6,""),"")</f>
        <v/>
      </c>
      <c r="AP425" s="99" t="str">
        <f aca="false">IF($AG425=Constants!$B$7 ,IF(AND(U425,V425,W425,Y425,ISNUMBER(AB425)),IF($AN425="",0,IF($AN$6=0,Constants!$B$10,Constants!$B$10*AN425/$AN$6)), 0),"")</f>
        <v/>
      </c>
      <c r="AQ425" s="99" t="str">
        <f aca="false">IF(AP425&lt;&gt;"", AP425*AI425,"")</f>
        <v/>
      </c>
      <c r="AR425" s="99" t="str">
        <f aca="false">IF($AG425=Constants!$B$7,IF($AD425="",0,IF($AR$6=0,Constants!$B$8,Constants!$B$8*AD425/$AR$6)),"")</f>
        <v/>
      </c>
      <c r="AS425" s="99" t="str">
        <f aca="false">IF($AG425&lt;&gt;Constants!$B$7,$AG425,IF(AK425&amp;AO425&lt;&gt;"",Constants!$B$14,AM425+AQ425+AR425))</f>
        <v/>
      </c>
      <c r="AT425" s="99" t="str">
        <f aca="false">IF(ISBLANK($C425),"",IF($AG425=Constants!$B$7,IF(ISNUMBER(AS425),RANK(AS425,$AS$8:$AS$507),Constants!$B$14),$AG425))</f>
        <v/>
      </c>
      <c r="AU425" s="99" t="str">
        <f aca="false">IF(ISBLANK($C425), "",AM425)</f>
        <v/>
      </c>
      <c r="AV425" s="99" t="str">
        <f aca="false">IF(ISBLANK($C425),"",IF($AG425=Constants!$B$7,RANK(AU425,AU$8:AU$507),$AG425))</f>
        <v/>
      </c>
      <c r="AW425" s="99" t="str">
        <f aca="false">IF(ISBLANK($C425), "",AR425)</f>
        <v/>
      </c>
      <c r="AX425" s="99" t="str">
        <f aca="false">IF(ISBLANK($C425),"",IF($AG425=Constants!$B$7,RANK(AW425,AW$8:AW$507),$AG425))</f>
        <v/>
      </c>
      <c r="AY425" s="99" t="str">
        <f aca="false">IF(ISBLANK($C425), "",AE425)</f>
        <v/>
      </c>
      <c r="AZ425" s="99" t="str">
        <f aca="false">IF(ISBLANK($C425),"",
IF($AG425=Constants!$B$7,
  IF(ISNUMBER(AT425),
    COUNTIFS($AT$8:$AT$507,"&lt;"&amp;$AT425)
    + COUNTIFS($AT$8:$AT$507,$AT425,$AV$8:$AV$507,"&lt;"&amp;$AV425)
    + COUNTIFS($AT$8:$AT$507,$AT425,$AV$8:$AV$507,$AV425,$AX$8:$AX$507,"&lt;"&amp;$AX425)
    + COUNTIFS($AT$8:$AT$507,$AT425,$AV$8:$AV$507,$AV425,$AX$8:$AX$507,$AX425,$AY$8:$AY$507,"&lt;"&amp;$AY425)
    + 1,
  Constants!$B$14),
$AG425))</f>
        <v/>
      </c>
      <c r="BA425" s="99" t="str">
        <f aca="false">IF(ISBLANK(C425),"",IF($AG425=Constants!$B$7, IF(ISNUMBER(AT425),AT425-AZ425,Constants!$B$14),$AG425))</f>
        <v/>
      </c>
      <c r="BB425" s="103"/>
      <c r="BC425" s="104" t="str">
        <f aca="false">IF(ISBLANK($C425),"",TRIM(AK425&amp;" "&amp;AO425))</f>
        <v/>
      </c>
      <c r="BD425" s="105" t="str">
        <f aca="false">IF(ISBLANK($C425),"",IF($AG425&lt;&gt;Constants!$B$7,$AG425,AR425))</f>
        <v/>
      </c>
      <c r="BE425" s="105" t="str">
        <f aca="false">IF(ISBLANK($C425),"",IF($AG425&lt;&gt;Constants!$B$7,$AG425,AM425))</f>
        <v/>
      </c>
      <c r="BF425" s="105" t="str">
        <f aca="false">IF(ISBLANK($C425),"",IF($AG425&lt;&gt;Constants!$B$7,$AG425,AQ425))</f>
        <v/>
      </c>
      <c r="BG425" s="106" t="str">
        <f aca="false">IF(ISBLANK($C425),"",IF($AG425&lt;&gt;Constants!$B$7, $AG425 ,AS425))</f>
        <v/>
      </c>
      <c r="BH425" s="107" t="str">
        <f aca="false">IF(ISBLANK($C425),"",IF($AG425&lt;&gt;Constants!$B$7, $AG425 ,AH425))</f>
        <v/>
      </c>
      <c r="BI425" s="105" t="str">
        <f aca="false">IF(ISBLANK(C425),"",BA425)</f>
        <v/>
      </c>
      <c r="BJ425" s="105" t="str">
        <f aca="false">IF(ISBLANK(C425),"",AZ425)</f>
        <v/>
      </c>
      <c r="BK425" s="108" t="str">
        <f aca="false">IF(ISBLANK(C425),"",IFERROR(_xlfn.SWITCH(BJ425, Constants!$B$4, COUNTA($C$8:$C924)+2, Constants!$B$5, COUNTA($C$8:$C924)+1, Constants!$B$6, COUNTA($C$8:$C924)),BJ425))</f>
        <v/>
      </c>
      <c r="BL425" s="5"/>
      <c r="BM425" s="109" t="n">
        <f aca="false">IF(OR(ISNUMBER(BJ425),BJ425="DQ",BJ425="P",BJ425="NS"),
    1,
    0
)</f>
        <v>0</v>
      </c>
      <c r="BN425" s="109" t="n">
        <v>418</v>
      </c>
      <c r="BO425" s="109" t="str">
        <f aca="false">IF(ISBLANK($C425),"",IF(ISNUMBER(BK425),BK425+ROW($B425)/1000,""))</f>
        <v/>
      </c>
      <c r="BP425" s="109" t="str">
        <f aca="false">IF(ISNUMBER(BO425), RANK(BO425,BO$8:BO$507,1), "")</f>
        <v/>
      </c>
      <c r="BQ425" s="109" t="str">
        <f aca="false">IF(ISBLANK($C425),
    "",
    $B425
)</f>
        <v/>
      </c>
      <c r="BR425" s="109" t="str">
        <f aca="false">IF(ISBLANK($C425),
    "",
    $C425
)</f>
        <v/>
      </c>
      <c r="BS425" s="109" t="str">
        <f aca="false">IF(ISBLANK($C425),
    "",
    $D425
)</f>
        <v/>
      </c>
      <c r="BT425" s="110" t="str">
        <f aca="false">BH425</f>
        <v/>
      </c>
      <c r="BU425" s="111" t="str">
        <f aca="false">BG425</f>
        <v/>
      </c>
      <c r="BV425" s="109" t="str">
        <f aca="false">IF(ISBLANK($C425),
    "",
    BJ425
)</f>
        <v/>
      </c>
      <c r="BW425" s="112" t="str">
        <f aca="false">IF(BN425&gt;BM$7,
    "",
    VLOOKUP(BN425,BP$8:BV924,7,FALSE())
)</f>
        <v/>
      </c>
      <c r="BX425" s="113" t="str">
        <f aca="false">IF(BN425&gt;BM$7,
    "",
    VLOOKUP(BN425,BP$8:BV924,2,FALSE())
)</f>
        <v/>
      </c>
      <c r="BY425" s="113" t="str">
        <f aca="false">IF(BN425&gt;BM$7,
    "",
    VLOOKUP(BN425,BP$8:BV924,3,FALSE())
)</f>
        <v/>
      </c>
      <c r="BZ425" s="113" t="str">
        <f aca="false">IF(BN425&gt;BM$7,
    "",
    VLOOKUP(BN425,BP$8:BV924,4,FALSE())
)</f>
        <v/>
      </c>
      <c r="CA425" s="113" t="str">
        <f aca="false">IF(BN425&gt;BM$7,
    "",
    VLOOKUP(BN425,BP$8:BV924,5,FALSE())
)</f>
        <v/>
      </c>
      <c r="CB425" s="114" t="str">
        <f aca="false">IF(BN425&gt;BM$7,
    "",
    VLOOKUP(BN425,BP$8:BV924,6,FALSE())
)</f>
        <v/>
      </c>
      <c r="CC425" s="53"/>
    </row>
    <row r="426" customFormat="false" ht="15.75" hidden="false" customHeight="false" outlineLevel="0" collapsed="false">
      <c r="A426" s="5"/>
      <c r="B426" s="125"/>
      <c r="C426" s="126"/>
      <c r="D426" s="115"/>
      <c r="E426" s="119"/>
      <c r="F426" s="119"/>
      <c r="G426" s="91"/>
      <c r="H426" s="92"/>
      <c r="I426" s="92"/>
      <c r="J426" s="128"/>
      <c r="K426" s="128"/>
      <c r="L426" s="128"/>
      <c r="M426" s="94"/>
      <c r="N426" s="94"/>
      <c r="O426" s="94"/>
      <c r="P426" s="95"/>
      <c r="Q426" s="96"/>
      <c r="R426" s="128"/>
      <c r="S426" s="98"/>
      <c r="T426" s="99"/>
      <c r="U426" s="99" t="str">
        <f aca="false">IF(ISBLANK($C426),"",IF(G426=Constants!$B$2, TRUE(), IF(G426=Constants!$B$3, FALSE(), TRUE())))</f>
        <v/>
      </c>
      <c r="V426" s="99" t="str">
        <f aca="false">IF(ISBLANK($C426),"",IF(H426=Constants!$B$2, TRUE(), IF(H426=Constants!$B$3, FALSE(), TRUE())))</f>
        <v/>
      </c>
      <c r="W426" s="99" t="str">
        <f aca="false">IF(ISBLANK($C426),"",IF(I426=Constants!$B$2, TRUE(), IF(I426=Constants!$B$3, FALSE(), TRUE())))</f>
        <v/>
      </c>
      <c r="X426" s="99" t="str">
        <f aca="false">IF(ISBLANK($C426),"",IF(AND(ISNUMBER(J426),J426&gt;0),INT(J426),0))</f>
        <v/>
      </c>
      <c r="Y426" s="99" t="str">
        <f aca="false">IF(ISBLANK($C426),"",IF(K426=Constants!$B$2, TRUE(), IF(K426=Constants!$B$3, FALSE(), TRUE())))</f>
        <v/>
      </c>
      <c r="Z426" s="100" t="str">
        <f aca="false">IF(ISBLANK($C426),"",IF(AND(ISNUMBER(L426),L426&gt;0),INT(L426),0))</f>
        <v/>
      </c>
      <c r="AA426" s="101" t="str">
        <f aca="false">IF(ISBLANK($C426),"",IF(ISNUMBER(M426), M426, ""))</f>
        <v/>
      </c>
      <c r="AB426" s="101" t="str">
        <f aca="false">IF(ISBLANK($C426),"",IF(ISNUMBER(N426), N426, ""))</f>
        <v/>
      </c>
      <c r="AC426" s="101" t="str">
        <f aca="false">IF(ISBLANK($C426),"",IF(ISNUMBER(O426), O426, ""))</f>
        <v/>
      </c>
      <c r="AD426" s="102" t="str">
        <f aca="false">IF(ISBLANK($C426),"",IF(ISNUMBER(P426), P426, ""))</f>
        <v/>
      </c>
      <c r="AE426" s="102" t="str">
        <f aca="false">IF(ISBLANK($C426),"",IF(ISNUMBER(Q426), Q426, Constants!$B$13))</f>
        <v/>
      </c>
      <c r="AF426" s="99" t="str">
        <f aca="false">IF(ISBLANK($C426),"",IF(R426=Constants!$B$2, TRUE(), IF(R426=Constants!$B$3, FALSE(), FALSE())))</f>
        <v/>
      </c>
      <c r="AG426" s="99" t="str">
        <f aca="false">IF(ISBLANK(C426), "", IF(AF426, Constants!$B$4,IF(COUNTA(G426:P426)=0, Constants!$B$5, Constants!$B$7)))</f>
        <v/>
      </c>
      <c r="AH426" s="99" t="str">
        <f aca="false">IF(ISBLANK($C426), "",IF($AG426=Constants!$B$7,1,$AG426))</f>
        <v/>
      </c>
      <c r="AI426" s="99" t="str">
        <f aca="false">IF($AG426=Constants!$B$7,POWER(Constants!$B$11,X426)*POWER(Constants!$B$12,Z426),"")</f>
        <v/>
      </c>
      <c r="AJ426" s="99" t="str">
        <f aca="false">IF(AND($AG426=Constants!$B$7, U426, V426) ,IF(OR($AA426="",$AC426=""),"",MAX(0, $AC426-$AA426)),"")</f>
        <v/>
      </c>
      <c r="AK426" s="99" t="str">
        <f aca="false">IF(AND($AG426=Constants!$B$7, U426, V426),IF(OR($AA426="",$AC426=""),$AK$6,""),"")</f>
        <v/>
      </c>
      <c r="AL426" s="99" t="str">
        <f aca="false">IF($AG426=Constants!$B$7,IF(AND(U426,V426,W426,Y426),IF($AJ426="",0,IF($AJ$6=0,Constants!$B$9,Constants!$B$9*AJ426/$AJ$6)), 0),"")</f>
        <v/>
      </c>
      <c r="AM426" s="99" t="str">
        <f aca="false">IF(AL426&lt;&gt;"", AL426*AI426,"")</f>
        <v/>
      </c>
      <c r="AN426" s="99" t="str">
        <f aca="false">IF(AND($AG426=Constants!$B$7, U426, V426) ,IF($AB426="", "", IF(OR($AC426="",$AC426=0),"",MAX(0,1-ABS($AC426-$AB426)/$AC426))),"")</f>
        <v/>
      </c>
      <c r="AO426" s="99" t="str">
        <f aca="false">IF(AND($AG426=Constants!$B$7, U426, V426),IF(AND($AA426&lt;&gt;"",$AB426&lt;&gt;"",$AC426=0),$AO$6,""),"")</f>
        <v/>
      </c>
      <c r="AP426" s="99" t="str">
        <f aca="false">IF($AG426=Constants!$B$7 ,IF(AND(U426,V426,W426,Y426,ISNUMBER(AB426)),IF($AN426="",0,IF($AN$6=0,Constants!$B$10,Constants!$B$10*AN426/$AN$6)), 0),"")</f>
        <v/>
      </c>
      <c r="AQ426" s="99" t="str">
        <f aca="false">IF(AP426&lt;&gt;"", AP426*AI426,"")</f>
        <v/>
      </c>
      <c r="AR426" s="99" t="str">
        <f aca="false">IF($AG426=Constants!$B$7,IF($AD426="",0,IF($AR$6=0,Constants!$B$8,Constants!$B$8*AD426/$AR$6)),"")</f>
        <v/>
      </c>
      <c r="AS426" s="99" t="str">
        <f aca="false">IF($AG426&lt;&gt;Constants!$B$7,$AG426,IF(AK426&amp;AO426&lt;&gt;"",Constants!$B$14,AM426+AQ426+AR426))</f>
        <v/>
      </c>
      <c r="AT426" s="99" t="str">
        <f aca="false">IF(ISBLANK($C426),"",IF($AG426=Constants!$B$7,IF(ISNUMBER(AS426),RANK(AS426,$AS$8:$AS$507),Constants!$B$14),$AG426))</f>
        <v/>
      </c>
      <c r="AU426" s="99" t="str">
        <f aca="false">IF(ISBLANK($C426), "",AM426)</f>
        <v/>
      </c>
      <c r="AV426" s="99" t="str">
        <f aca="false">IF(ISBLANK($C426),"",IF($AG426=Constants!$B$7,RANK(AU426,AU$8:AU$507),$AG426))</f>
        <v/>
      </c>
      <c r="AW426" s="99" t="str">
        <f aca="false">IF(ISBLANK($C426), "",AR426)</f>
        <v/>
      </c>
      <c r="AX426" s="99" t="str">
        <f aca="false">IF(ISBLANK($C426),"",IF($AG426=Constants!$B$7,RANK(AW426,AW$8:AW$507),$AG426))</f>
        <v/>
      </c>
      <c r="AY426" s="99" t="str">
        <f aca="false">IF(ISBLANK($C426), "",AE426)</f>
        <v/>
      </c>
      <c r="AZ426" s="99" t="str">
        <f aca="false">IF(ISBLANK($C426),"",
IF($AG426=Constants!$B$7,
  IF(ISNUMBER(AT426),
    COUNTIFS($AT$8:$AT$507,"&lt;"&amp;$AT426)
    + COUNTIFS($AT$8:$AT$507,$AT426,$AV$8:$AV$507,"&lt;"&amp;$AV426)
    + COUNTIFS($AT$8:$AT$507,$AT426,$AV$8:$AV$507,$AV426,$AX$8:$AX$507,"&lt;"&amp;$AX426)
    + COUNTIFS($AT$8:$AT$507,$AT426,$AV$8:$AV$507,$AV426,$AX$8:$AX$507,$AX426,$AY$8:$AY$507,"&lt;"&amp;$AY426)
    + 1,
  Constants!$B$14),
$AG426))</f>
        <v/>
      </c>
      <c r="BA426" s="99" t="str">
        <f aca="false">IF(ISBLANK(C426),"",IF($AG426=Constants!$B$7, IF(ISNUMBER(AT426),AT426-AZ426,Constants!$B$14),$AG426))</f>
        <v/>
      </c>
      <c r="BB426" s="103"/>
      <c r="BC426" s="104" t="str">
        <f aca="false">IF(ISBLANK($C426),"",TRIM(AK426&amp;" "&amp;AO426))</f>
        <v/>
      </c>
      <c r="BD426" s="105" t="str">
        <f aca="false">IF(ISBLANK($C426),"",IF($AG426&lt;&gt;Constants!$B$7,$AG426,AR426))</f>
        <v/>
      </c>
      <c r="BE426" s="105" t="str">
        <f aca="false">IF(ISBLANK($C426),"",IF($AG426&lt;&gt;Constants!$B$7,$AG426,AM426))</f>
        <v/>
      </c>
      <c r="BF426" s="105" t="str">
        <f aca="false">IF(ISBLANK($C426),"",IF($AG426&lt;&gt;Constants!$B$7,$AG426,AQ426))</f>
        <v/>
      </c>
      <c r="BG426" s="106" t="str">
        <f aca="false">IF(ISBLANK($C426),"",IF($AG426&lt;&gt;Constants!$B$7, $AG426 ,AS426))</f>
        <v/>
      </c>
      <c r="BH426" s="107" t="str">
        <f aca="false">IF(ISBLANK($C426),"",IF($AG426&lt;&gt;Constants!$B$7, $AG426 ,AH426))</f>
        <v/>
      </c>
      <c r="BI426" s="105" t="str">
        <f aca="false">IF(ISBLANK(C426),"",BA426)</f>
        <v/>
      </c>
      <c r="BJ426" s="105" t="str">
        <f aca="false">IF(ISBLANK(C426),"",AZ426)</f>
        <v/>
      </c>
      <c r="BK426" s="108" t="str">
        <f aca="false">IF(ISBLANK(C426),"",IFERROR(_xlfn.SWITCH(BJ426, Constants!$B$4, COUNTA($C$8:$C925)+2, Constants!$B$5, COUNTA($C$8:$C925)+1, Constants!$B$6, COUNTA($C$8:$C925)),BJ426))</f>
        <v/>
      </c>
      <c r="BL426" s="5"/>
      <c r="BM426" s="109" t="n">
        <f aca="false">IF(OR(ISNUMBER(BJ426),BJ426="DQ",BJ426="P",BJ426="NS"),
    1,
    0
)</f>
        <v>0</v>
      </c>
      <c r="BN426" s="109" t="n">
        <v>419</v>
      </c>
      <c r="BO426" s="109" t="str">
        <f aca="false">IF(ISBLANK($C426),"",IF(ISNUMBER(BK426),BK426+ROW($B426)/1000,""))</f>
        <v/>
      </c>
      <c r="BP426" s="109" t="str">
        <f aca="false">IF(ISNUMBER(BO426), RANK(BO426,BO$8:BO$507,1), "")</f>
        <v/>
      </c>
      <c r="BQ426" s="109" t="str">
        <f aca="false">IF(ISBLANK($C426),
    "",
    $B426
)</f>
        <v/>
      </c>
      <c r="BR426" s="109" t="str">
        <f aca="false">IF(ISBLANK($C426),
    "",
    $C426
)</f>
        <v/>
      </c>
      <c r="BS426" s="109" t="str">
        <f aca="false">IF(ISBLANK($C426),
    "",
    $D426
)</f>
        <v/>
      </c>
      <c r="BT426" s="110" t="str">
        <f aca="false">BH426</f>
        <v/>
      </c>
      <c r="BU426" s="111" t="str">
        <f aca="false">BG426</f>
        <v/>
      </c>
      <c r="BV426" s="109" t="str">
        <f aca="false">IF(ISBLANK($C426),
    "",
    BJ426
)</f>
        <v/>
      </c>
      <c r="BW426" s="112" t="str">
        <f aca="false">IF(BN426&gt;BM$7,
    "",
    VLOOKUP(BN426,BP$8:BV925,7,FALSE())
)</f>
        <v/>
      </c>
      <c r="BX426" s="113" t="str">
        <f aca="false">IF(BN426&gt;BM$7,
    "",
    VLOOKUP(BN426,BP$8:BV925,2,FALSE())
)</f>
        <v/>
      </c>
      <c r="BY426" s="113" t="str">
        <f aca="false">IF(BN426&gt;BM$7,
    "",
    VLOOKUP(BN426,BP$8:BV925,3,FALSE())
)</f>
        <v/>
      </c>
      <c r="BZ426" s="113" t="str">
        <f aca="false">IF(BN426&gt;BM$7,
    "",
    VLOOKUP(BN426,BP$8:BV925,4,FALSE())
)</f>
        <v/>
      </c>
      <c r="CA426" s="113" t="str">
        <f aca="false">IF(BN426&gt;BM$7,
    "",
    VLOOKUP(BN426,BP$8:BV925,5,FALSE())
)</f>
        <v/>
      </c>
      <c r="CB426" s="114" t="str">
        <f aca="false">IF(BN426&gt;BM$7,
    "",
    VLOOKUP(BN426,BP$8:BV925,6,FALSE())
)</f>
        <v/>
      </c>
      <c r="CC426" s="53"/>
    </row>
    <row r="427" customFormat="false" ht="15.75" hidden="false" customHeight="false" outlineLevel="0" collapsed="false">
      <c r="A427" s="5"/>
      <c r="B427" s="125"/>
      <c r="C427" s="126"/>
      <c r="D427" s="115"/>
      <c r="E427" s="119"/>
      <c r="F427" s="119"/>
      <c r="G427" s="91"/>
      <c r="H427" s="92"/>
      <c r="I427" s="92"/>
      <c r="J427" s="128"/>
      <c r="K427" s="128"/>
      <c r="L427" s="128"/>
      <c r="M427" s="94"/>
      <c r="N427" s="94"/>
      <c r="O427" s="94"/>
      <c r="P427" s="95"/>
      <c r="Q427" s="96"/>
      <c r="R427" s="128"/>
      <c r="S427" s="98"/>
      <c r="T427" s="99"/>
      <c r="U427" s="99" t="str">
        <f aca="false">IF(ISBLANK($C427),"",IF(G427=Constants!$B$2, TRUE(), IF(G427=Constants!$B$3, FALSE(), TRUE())))</f>
        <v/>
      </c>
      <c r="V427" s="99" t="str">
        <f aca="false">IF(ISBLANK($C427),"",IF(H427=Constants!$B$2, TRUE(), IF(H427=Constants!$B$3, FALSE(), TRUE())))</f>
        <v/>
      </c>
      <c r="W427" s="99" t="str">
        <f aca="false">IF(ISBLANK($C427),"",IF(I427=Constants!$B$2, TRUE(), IF(I427=Constants!$B$3, FALSE(), TRUE())))</f>
        <v/>
      </c>
      <c r="X427" s="99" t="str">
        <f aca="false">IF(ISBLANK($C427),"",IF(AND(ISNUMBER(J427),J427&gt;0),INT(J427),0))</f>
        <v/>
      </c>
      <c r="Y427" s="99" t="str">
        <f aca="false">IF(ISBLANK($C427),"",IF(K427=Constants!$B$2, TRUE(), IF(K427=Constants!$B$3, FALSE(), TRUE())))</f>
        <v/>
      </c>
      <c r="Z427" s="100" t="str">
        <f aca="false">IF(ISBLANK($C427),"",IF(AND(ISNUMBER(L427),L427&gt;0),INT(L427),0))</f>
        <v/>
      </c>
      <c r="AA427" s="101" t="str">
        <f aca="false">IF(ISBLANK($C427),"",IF(ISNUMBER(M427), M427, ""))</f>
        <v/>
      </c>
      <c r="AB427" s="101" t="str">
        <f aca="false">IF(ISBLANK($C427),"",IF(ISNUMBER(N427), N427, ""))</f>
        <v/>
      </c>
      <c r="AC427" s="101" t="str">
        <f aca="false">IF(ISBLANK($C427),"",IF(ISNUMBER(O427), O427, ""))</f>
        <v/>
      </c>
      <c r="AD427" s="102" t="str">
        <f aca="false">IF(ISBLANK($C427),"",IF(ISNUMBER(P427), P427, ""))</f>
        <v/>
      </c>
      <c r="AE427" s="102" t="str">
        <f aca="false">IF(ISBLANK($C427),"",IF(ISNUMBER(Q427), Q427, Constants!$B$13))</f>
        <v/>
      </c>
      <c r="AF427" s="99" t="str">
        <f aca="false">IF(ISBLANK($C427),"",IF(R427=Constants!$B$2, TRUE(), IF(R427=Constants!$B$3, FALSE(), FALSE())))</f>
        <v/>
      </c>
      <c r="AG427" s="99" t="str">
        <f aca="false">IF(ISBLANK(C427), "", IF(AF427, Constants!$B$4,IF(COUNTA(G427:P427)=0, Constants!$B$5, Constants!$B$7)))</f>
        <v/>
      </c>
      <c r="AH427" s="99" t="str">
        <f aca="false">IF(ISBLANK($C427), "",IF($AG427=Constants!$B$7,1,$AG427))</f>
        <v/>
      </c>
      <c r="AI427" s="99" t="str">
        <f aca="false">IF($AG427=Constants!$B$7,POWER(Constants!$B$11,X427)*POWER(Constants!$B$12,Z427),"")</f>
        <v/>
      </c>
      <c r="AJ427" s="99" t="str">
        <f aca="false">IF(AND($AG427=Constants!$B$7, U427, V427) ,IF(OR($AA427="",$AC427=""),"",MAX(0, $AC427-$AA427)),"")</f>
        <v/>
      </c>
      <c r="AK427" s="99" t="str">
        <f aca="false">IF(AND($AG427=Constants!$B$7, U427, V427),IF(OR($AA427="",$AC427=""),$AK$6,""),"")</f>
        <v/>
      </c>
      <c r="AL427" s="99" t="str">
        <f aca="false">IF($AG427=Constants!$B$7,IF(AND(U427,V427,W427,Y427),IF($AJ427="",0,IF($AJ$6=0,Constants!$B$9,Constants!$B$9*AJ427/$AJ$6)), 0),"")</f>
        <v/>
      </c>
      <c r="AM427" s="99" t="str">
        <f aca="false">IF(AL427&lt;&gt;"", AL427*AI427,"")</f>
        <v/>
      </c>
      <c r="AN427" s="99" t="str">
        <f aca="false">IF(AND($AG427=Constants!$B$7, U427, V427) ,IF($AB427="", "", IF(OR($AC427="",$AC427=0),"",MAX(0,1-ABS($AC427-$AB427)/$AC427))),"")</f>
        <v/>
      </c>
      <c r="AO427" s="99" t="str">
        <f aca="false">IF(AND($AG427=Constants!$B$7, U427, V427),IF(AND($AA427&lt;&gt;"",$AB427&lt;&gt;"",$AC427=0),$AO$6,""),"")</f>
        <v/>
      </c>
      <c r="AP427" s="99" t="str">
        <f aca="false">IF($AG427=Constants!$B$7 ,IF(AND(U427,V427,W427,Y427,ISNUMBER(AB427)),IF($AN427="",0,IF($AN$6=0,Constants!$B$10,Constants!$B$10*AN427/$AN$6)), 0),"")</f>
        <v/>
      </c>
      <c r="AQ427" s="99" t="str">
        <f aca="false">IF(AP427&lt;&gt;"", AP427*AI427,"")</f>
        <v/>
      </c>
      <c r="AR427" s="99" t="str">
        <f aca="false">IF($AG427=Constants!$B$7,IF($AD427="",0,IF($AR$6=0,Constants!$B$8,Constants!$B$8*AD427/$AR$6)),"")</f>
        <v/>
      </c>
      <c r="AS427" s="99" t="str">
        <f aca="false">IF($AG427&lt;&gt;Constants!$B$7,$AG427,IF(AK427&amp;AO427&lt;&gt;"",Constants!$B$14,AM427+AQ427+AR427))</f>
        <v/>
      </c>
      <c r="AT427" s="99" t="str">
        <f aca="false">IF(ISBLANK($C427),"",IF($AG427=Constants!$B$7,IF(ISNUMBER(AS427),RANK(AS427,$AS$8:$AS$507),Constants!$B$14),$AG427))</f>
        <v/>
      </c>
      <c r="AU427" s="99" t="str">
        <f aca="false">IF(ISBLANK($C427), "",AM427)</f>
        <v/>
      </c>
      <c r="AV427" s="99" t="str">
        <f aca="false">IF(ISBLANK($C427),"",IF($AG427=Constants!$B$7,RANK(AU427,AU$8:AU$507),$AG427))</f>
        <v/>
      </c>
      <c r="AW427" s="99" t="str">
        <f aca="false">IF(ISBLANK($C427), "",AR427)</f>
        <v/>
      </c>
      <c r="AX427" s="99" t="str">
        <f aca="false">IF(ISBLANK($C427),"",IF($AG427=Constants!$B$7,RANK(AW427,AW$8:AW$507),$AG427))</f>
        <v/>
      </c>
      <c r="AY427" s="99" t="str">
        <f aca="false">IF(ISBLANK($C427), "",AE427)</f>
        <v/>
      </c>
      <c r="AZ427" s="99" t="str">
        <f aca="false">IF(ISBLANK($C427),"",
IF($AG427=Constants!$B$7,
  IF(ISNUMBER(AT427),
    COUNTIFS($AT$8:$AT$507,"&lt;"&amp;$AT427)
    + COUNTIFS($AT$8:$AT$507,$AT427,$AV$8:$AV$507,"&lt;"&amp;$AV427)
    + COUNTIFS($AT$8:$AT$507,$AT427,$AV$8:$AV$507,$AV427,$AX$8:$AX$507,"&lt;"&amp;$AX427)
    + COUNTIFS($AT$8:$AT$507,$AT427,$AV$8:$AV$507,$AV427,$AX$8:$AX$507,$AX427,$AY$8:$AY$507,"&lt;"&amp;$AY427)
    + 1,
  Constants!$B$14),
$AG427))</f>
        <v/>
      </c>
      <c r="BA427" s="99" t="str">
        <f aca="false">IF(ISBLANK(C427),"",IF($AG427=Constants!$B$7, IF(ISNUMBER(AT427),AT427-AZ427,Constants!$B$14),$AG427))</f>
        <v/>
      </c>
      <c r="BB427" s="103"/>
      <c r="BC427" s="104" t="str">
        <f aca="false">IF(ISBLANK($C427),"",TRIM(AK427&amp;" "&amp;AO427))</f>
        <v/>
      </c>
      <c r="BD427" s="105" t="str">
        <f aca="false">IF(ISBLANK($C427),"",IF($AG427&lt;&gt;Constants!$B$7,$AG427,AR427))</f>
        <v/>
      </c>
      <c r="BE427" s="105" t="str">
        <f aca="false">IF(ISBLANK($C427),"",IF($AG427&lt;&gt;Constants!$B$7,$AG427,AM427))</f>
        <v/>
      </c>
      <c r="BF427" s="105" t="str">
        <f aca="false">IF(ISBLANK($C427),"",IF($AG427&lt;&gt;Constants!$B$7,$AG427,AQ427))</f>
        <v/>
      </c>
      <c r="BG427" s="106" t="str">
        <f aca="false">IF(ISBLANK($C427),"",IF($AG427&lt;&gt;Constants!$B$7, $AG427 ,AS427))</f>
        <v/>
      </c>
      <c r="BH427" s="107" t="str">
        <f aca="false">IF(ISBLANK($C427),"",IF($AG427&lt;&gt;Constants!$B$7, $AG427 ,AH427))</f>
        <v/>
      </c>
      <c r="BI427" s="105" t="str">
        <f aca="false">IF(ISBLANK(C427),"",BA427)</f>
        <v/>
      </c>
      <c r="BJ427" s="105" t="str">
        <f aca="false">IF(ISBLANK(C427),"",AZ427)</f>
        <v/>
      </c>
      <c r="BK427" s="108" t="str">
        <f aca="false">IF(ISBLANK(C427),"",IFERROR(_xlfn.SWITCH(BJ427, Constants!$B$4, COUNTA($C$8:$C926)+2, Constants!$B$5, COUNTA($C$8:$C926)+1, Constants!$B$6, COUNTA($C$8:$C926)),BJ427))</f>
        <v/>
      </c>
      <c r="BL427" s="5"/>
      <c r="BM427" s="109" t="n">
        <f aca="false">IF(OR(ISNUMBER(BJ427),BJ427="DQ",BJ427="P",BJ427="NS"),
    1,
    0
)</f>
        <v>0</v>
      </c>
      <c r="BN427" s="109" t="n">
        <v>420</v>
      </c>
      <c r="BO427" s="109" t="str">
        <f aca="false">IF(ISBLANK($C427),"",IF(ISNUMBER(BK427),BK427+ROW($B427)/1000,""))</f>
        <v/>
      </c>
      <c r="BP427" s="109" t="str">
        <f aca="false">IF(ISNUMBER(BO427), RANK(BO427,BO$8:BO$507,1), "")</f>
        <v/>
      </c>
      <c r="BQ427" s="109" t="str">
        <f aca="false">IF(ISBLANK($C427),
    "",
    $B427
)</f>
        <v/>
      </c>
      <c r="BR427" s="109" t="str">
        <f aca="false">IF(ISBLANK($C427),
    "",
    $C427
)</f>
        <v/>
      </c>
      <c r="BS427" s="109" t="str">
        <f aca="false">IF(ISBLANK($C427),
    "",
    $D427
)</f>
        <v/>
      </c>
      <c r="BT427" s="110" t="str">
        <f aca="false">BH427</f>
        <v/>
      </c>
      <c r="BU427" s="111" t="str">
        <f aca="false">BG427</f>
        <v/>
      </c>
      <c r="BV427" s="109" t="str">
        <f aca="false">IF(ISBLANK($C427),
    "",
    BJ427
)</f>
        <v/>
      </c>
      <c r="BW427" s="112" t="str">
        <f aca="false">IF(BN427&gt;BM$7,
    "",
    VLOOKUP(BN427,BP$8:BV926,7,FALSE())
)</f>
        <v/>
      </c>
      <c r="BX427" s="113" t="str">
        <f aca="false">IF(BN427&gt;BM$7,
    "",
    VLOOKUP(BN427,BP$8:BV926,2,FALSE())
)</f>
        <v/>
      </c>
      <c r="BY427" s="113" t="str">
        <f aca="false">IF(BN427&gt;BM$7,
    "",
    VLOOKUP(BN427,BP$8:BV926,3,FALSE())
)</f>
        <v/>
      </c>
      <c r="BZ427" s="113" t="str">
        <f aca="false">IF(BN427&gt;BM$7,
    "",
    VLOOKUP(BN427,BP$8:BV926,4,FALSE())
)</f>
        <v/>
      </c>
      <c r="CA427" s="113" t="str">
        <f aca="false">IF(BN427&gt;BM$7,
    "",
    VLOOKUP(BN427,BP$8:BV926,5,FALSE())
)</f>
        <v/>
      </c>
      <c r="CB427" s="114" t="str">
        <f aca="false">IF(BN427&gt;BM$7,
    "",
    VLOOKUP(BN427,BP$8:BV926,6,FALSE())
)</f>
        <v/>
      </c>
      <c r="CC427" s="53"/>
    </row>
    <row r="428" customFormat="false" ht="15.75" hidden="false" customHeight="false" outlineLevel="0" collapsed="false">
      <c r="A428" s="5"/>
      <c r="B428" s="129"/>
      <c r="C428" s="55"/>
      <c r="D428" s="56"/>
      <c r="E428" s="123"/>
      <c r="F428" s="123"/>
      <c r="G428" s="58"/>
      <c r="H428" s="59"/>
      <c r="I428" s="59"/>
      <c r="J428" s="83"/>
      <c r="K428" s="83"/>
      <c r="L428" s="83"/>
      <c r="M428" s="61"/>
      <c r="N428" s="61"/>
      <c r="O428" s="61"/>
      <c r="P428" s="62"/>
      <c r="Q428" s="63"/>
      <c r="R428" s="83"/>
      <c r="S428" s="65"/>
      <c r="T428" s="66"/>
      <c r="U428" s="66" t="str">
        <f aca="false">IF(ISBLANK($C428),"",IF(G428=Constants!$B$2, TRUE(), IF(G428=Constants!$B$3, FALSE(), TRUE())))</f>
        <v/>
      </c>
      <c r="V428" s="66" t="str">
        <f aca="false">IF(ISBLANK($C428),"",IF(H428=Constants!$B$2, TRUE(), IF(H428=Constants!$B$3, FALSE(), TRUE())))</f>
        <v/>
      </c>
      <c r="W428" s="66" t="str">
        <f aca="false">IF(ISBLANK($C428),"",IF(I428=Constants!$B$2, TRUE(), IF(I428=Constants!$B$3, FALSE(), TRUE())))</f>
        <v/>
      </c>
      <c r="X428" s="66" t="str">
        <f aca="false">IF(ISBLANK($C428),"",IF(AND(ISNUMBER(J428),J428&gt;0),INT(J428),0))</f>
        <v/>
      </c>
      <c r="Y428" s="66" t="str">
        <f aca="false">IF(ISBLANK($C428),"",IF(K428=Constants!$B$2, TRUE(), IF(K428=Constants!$B$3, FALSE(), TRUE())))</f>
        <v/>
      </c>
      <c r="Z428" s="66" t="str">
        <f aca="false">IF(ISBLANK($C428),"",IF(AND(ISNUMBER(L428),L428&gt;0),INT(L428),0))</f>
        <v/>
      </c>
      <c r="AA428" s="68" t="str">
        <f aca="false">IF(ISBLANK($C428),"",IF(ISNUMBER(M428), M428, ""))</f>
        <v/>
      </c>
      <c r="AB428" s="68" t="str">
        <f aca="false">IF(ISBLANK($C428),"",IF(ISNUMBER(N428), N428, ""))</f>
        <v/>
      </c>
      <c r="AC428" s="68" t="str">
        <f aca="false">IF(ISBLANK($C428),"",IF(ISNUMBER(O428), O428, ""))</f>
        <v/>
      </c>
      <c r="AD428" s="69" t="str">
        <f aca="false">IF(ISBLANK($C428),"",IF(ISNUMBER(P428), P428, ""))</f>
        <v/>
      </c>
      <c r="AE428" s="69" t="str">
        <f aca="false">IF(ISBLANK($C428),"",IF(ISNUMBER(Q428), Q428, Constants!$B$13))</f>
        <v/>
      </c>
      <c r="AF428" s="66" t="str">
        <f aca="false">IF(ISBLANK($C428),"",IF(R428=Constants!$B$2, TRUE(), IF(R428=Constants!$B$3, FALSE(), FALSE())))</f>
        <v/>
      </c>
      <c r="AG428" s="66" t="str">
        <f aca="false">IF(ISBLANK(C428), "", IF(AF428, Constants!$B$4,IF(COUNTA(G428:P428)=0, Constants!$B$5, Constants!$B$7)))</f>
        <v/>
      </c>
      <c r="AH428" s="66" t="str">
        <f aca="false">IF(ISBLANK($C428), "",IF($AG428=Constants!$B$7,1,$AG428))</f>
        <v/>
      </c>
      <c r="AI428" s="66" t="str">
        <f aca="false">IF($AG428=Constants!$B$7,POWER(Constants!$B$11,X428)*POWER(Constants!$B$12,Z428),"")</f>
        <v/>
      </c>
      <c r="AJ428" s="66" t="str">
        <f aca="false">IF(AND($AG428=Constants!$B$7, U428, V428) ,IF(OR($AA428="",$AC428=""),"",MAX(0, $AC428-$AA428)),"")</f>
        <v/>
      </c>
      <c r="AK428" s="66" t="str">
        <f aca="false">IF(AND($AG428=Constants!$B$7, U428, V428),IF(OR($AA428="",$AC428=""),$AK$6,""),"")</f>
        <v/>
      </c>
      <c r="AL428" s="66" t="str">
        <f aca="false">IF($AG428=Constants!$B$7,IF(AND(U428,V428,W428,Y428),IF($AJ428="",0,IF($AJ$6=0,Constants!$B$9,Constants!$B$9*AJ428/$AJ$6)), 0),"")</f>
        <v/>
      </c>
      <c r="AM428" s="66" t="str">
        <f aca="false">IF(AL428&lt;&gt;"", AL428*AI428,"")</f>
        <v/>
      </c>
      <c r="AN428" s="66" t="str">
        <f aca="false">IF(AND($AG428=Constants!$B$7, U428, V428) ,IF($AB428="", "", IF(OR($AC428="",$AC428=0),"",MAX(0,1-ABS($AC428-$AB428)/$AC428))),"")</f>
        <v/>
      </c>
      <c r="AO428" s="66" t="str">
        <f aca="false">IF(AND($AG428=Constants!$B$7, U428, V428),IF(AND($AA428&lt;&gt;"",$AB428&lt;&gt;"",$AC428=0),$AO$6,""),"")</f>
        <v/>
      </c>
      <c r="AP428" s="66" t="str">
        <f aca="false">IF($AG428=Constants!$B$7 ,IF(AND(U428,V428,W428,Y428,ISNUMBER(AB428)),IF($AN428="",0,IF($AN$6=0,Constants!$B$10,Constants!$B$10*AN428/$AN$6)), 0),"")</f>
        <v/>
      </c>
      <c r="AQ428" s="66" t="str">
        <f aca="false">IF(AP428&lt;&gt;"", AP428*AI428,"")</f>
        <v/>
      </c>
      <c r="AR428" s="66" t="str">
        <f aca="false">IF($AG428=Constants!$B$7,IF($AD428="",0,IF($AR$6=0,Constants!$B$8,Constants!$B$8*AD428/$AR$6)),"")</f>
        <v/>
      </c>
      <c r="AS428" s="66" t="str">
        <f aca="false">IF($AG428&lt;&gt;Constants!$B$7,$AG428,IF(AK428&amp;AO428&lt;&gt;"",Constants!$B$14,AM428+AQ428+AR428))</f>
        <v/>
      </c>
      <c r="AT428" s="66" t="str">
        <f aca="false">IF(ISBLANK($C428),"",IF($AG428=Constants!$B$7,IF(ISNUMBER(AS428),RANK(AS428,$AS$8:$AS$507),Constants!$B$14),$AG428))</f>
        <v/>
      </c>
      <c r="AU428" s="66" t="str">
        <f aca="false">IF(ISBLANK($C428), "",AM428)</f>
        <v/>
      </c>
      <c r="AV428" s="66" t="str">
        <f aca="false">IF(ISBLANK($C428),"",IF($AG428=Constants!$B$7,RANK(AU428,AU$8:AU$507),$AG428))</f>
        <v/>
      </c>
      <c r="AW428" s="66" t="str">
        <f aca="false">IF(ISBLANK($C428), "",AR428)</f>
        <v/>
      </c>
      <c r="AX428" s="66" t="str">
        <f aca="false">IF(ISBLANK($C428),"",IF($AG428=Constants!$B$7,RANK(AW428,AW$8:AW$507),$AG428))</f>
        <v/>
      </c>
      <c r="AY428" s="66" t="str">
        <f aca="false">IF(ISBLANK($C428), "",AE428)</f>
        <v/>
      </c>
      <c r="AZ428" s="66" t="str">
        <f aca="false">IF(ISBLANK($C428),"",
IF($AG428=Constants!$B$7,
  IF(ISNUMBER(AT428),
    COUNTIFS($AT$8:$AT$507,"&lt;"&amp;$AT428)
    + COUNTIFS($AT$8:$AT$507,$AT428,$AV$8:$AV$507,"&lt;"&amp;$AV428)
    + COUNTIFS($AT$8:$AT$507,$AT428,$AV$8:$AV$507,$AV428,$AX$8:$AX$507,"&lt;"&amp;$AX428)
    + COUNTIFS($AT$8:$AT$507,$AT428,$AV$8:$AV$507,$AV428,$AX$8:$AX$507,$AX428,$AY$8:$AY$507,"&lt;"&amp;$AY428)
    + 1,
  Constants!$B$14),
$AG428))</f>
        <v/>
      </c>
      <c r="BA428" s="66" t="str">
        <f aca="false">IF(ISBLANK(C428),"",IF($AG428=Constants!$B$7, IF(ISNUMBER(AT428),AT428-AZ428,Constants!$B$14),$AG428))</f>
        <v/>
      </c>
      <c r="BB428" s="70"/>
      <c r="BC428" s="84" t="str">
        <f aca="false">IF(ISBLANK($C428),"",TRIM(AK428&amp;" "&amp;AO428))</f>
        <v/>
      </c>
      <c r="BD428" s="72" t="str">
        <f aca="false">IF(ISBLANK($C428),"",IF($AG428&lt;&gt;Constants!$B$7,$AG428,AR428))</f>
        <v/>
      </c>
      <c r="BE428" s="72" t="str">
        <f aca="false">IF(ISBLANK($C428),"",IF($AG428&lt;&gt;Constants!$B$7,$AG428,AM428))</f>
        <v/>
      </c>
      <c r="BF428" s="72" t="str">
        <f aca="false">IF(ISBLANK($C428),"",IF($AG428&lt;&gt;Constants!$B$7,$AG428,AQ428))</f>
        <v/>
      </c>
      <c r="BG428" s="73" t="str">
        <f aca="false">IF(ISBLANK($C428),"",IF($AG428&lt;&gt;Constants!$B$7, $AG428 ,AS428))</f>
        <v/>
      </c>
      <c r="BH428" s="74" t="str">
        <f aca="false">IF(ISBLANK($C428),"",IF($AG428&lt;&gt;Constants!$B$7, $AG428 ,AH428))</f>
        <v/>
      </c>
      <c r="BI428" s="72" t="str">
        <f aca="false">IF(ISBLANK(C428),"",BA428)</f>
        <v/>
      </c>
      <c r="BJ428" s="72" t="str">
        <f aca="false">IF(ISBLANK(C428),"",AZ428)</f>
        <v/>
      </c>
      <c r="BK428" s="75" t="str">
        <f aca="false">IF(ISBLANK(C428),"",IFERROR(_xlfn.SWITCH(BJ428, Constants!$B$4, COUNTA($C$8:$C927)+2, Constants!$B$5, COUNTA($C$8:$C927)+1, Constants!$B$6, COUNTA($C$8:$C927)),BJ428))</f>
        <v/>
      </c>
      <c r="BL428" s="5"/>
      <c r="BM428" s="76" t="n">
        <f aca="false">IF(OR(ISNUMBER(BJ428),BJ428="DQ",BJ428="P",BJ428="NS"),
    1,
    0
)</f>
        <v>0</v>
      </c>
      <c r="BN428" s="76" t="n">
        <v>421</v>
      </c>
      <c r="BO428" s="76" t="str">
        <f aca="false">IF(ISBLANK($C428),"",IF(ISNUMBER(BK428),BK428+ROW($B428)/1000,""))</f>
        <v/>
      </c>
      <c r="BP428" s="76" t="str">
        <f aca="false">IF(ISNUMBER(BO428), RANK(BO428,BO$8:BO$507,1), "")</f>
        <v/>
      </c>
      <c r="BQ428" s="76" t="str">
        <f aca="false">IF(ISBLANK($C428),
    "",
    $B428
)</f>
        <v/>
      </c>
      <c r="BR428" s="76" t="str">
        <f aca="false">IF(ISBLANK($C428),
    "",
    $C428
)</f>
        <v/>
      </c>
      <c r="BS428" s="76" t="str">
        <f aca="false">IF(ISBLANK($C428),
    "",
    $D428
)</f>
        <v/>
      </c>
      <c r="BT428" s="77" t="str">
        <f aca="false">BH428</f>
        <v/>
      </c>
      <c r="BU428" s="78" t="str">
        <f aca="false">BG428</f>
        <v/>
      </c>
      <c r="BV428" s="76" t="str">
        <f aca="false">IF(ISBLANK($C428),
    "",
    BJ428
)</f>
        <v/>
      </c>
      <c r="BW428" s="79" t="str">
        <f aca="false">IF(BN428&gt;BM$7,
    "",
    VLOOKUP(BN428,BP$8:BV927,7,FALSE())
)</f>
        <v/>
      </c>
      <c r="BX428" s="80" t="str">
        <f aca="false">IF(BN428&gt;BM$7,
    "",
    VLOOKUP(BN428,BP$8:BV927,2,FALSE())
)</f>
        <v/>
      </c>
      <c r="BY428" s="80" t="str">
        <f aca="false">IF(BN428&gt;BM$7,
    "",
    VLOOKUP(BN428,BP$8:BV927,3,FALSE())
)</f>
        <v/>
      </c>
      <c r="BZ428" s="80" t="str">
        <f aca="false">IF(BN428&gt;BM$7,
    "",
    VLOOKUP(BN428,BP$8:BV927,4,FALSE())
)</f>
        <v/>
      </c>
      <c r="CA428" s="80" t="str">
        <f aca="false">IF(BN428&gt;BM$7,
    "",
    VLOOKUP(BN428,BP$8:BV927,5,FALSE())
)</f>
        <v/>
      </c>
      <c r="CB428" s="81" t="str">
        <f aca="false">IF(BN428&gt;BM$7,
    "",
    VLOOKUP(BN428,BP$8:BV927,6,FALSE())
)</f>
        <v/>
      </c>
      <c r="CC428" s="53"/>
    </row>
    <row r="429" customFormat="false" ht="15.75" hidden="false" customHeight="false" outlineLevel="0" collapsed="false">
      <c r="A429" s="5"/>
      <c r="B429" s="129"/>
      <c r="C429" s="55"/>
      <c r="D429" s="56"/>
      <c r="E429" s="123"/>
      <c r="F429" s="123"/>
      <c r="G429" s="58"/>
      <c r="H429" s="59"/>
      <c r="I429" s="59"/>
      <c r="J429" s="83"/>
      <c r="K429" s="83"/>
      <c r="L429" s="83"/>
      <c r="M429" s="61"/>
      <c r="N429" s="61"/>
      <c r="O429" s="61"/>
      <c r="P429" s="62"/>
      <c r="Q429" s="63"/>
      <c r="R429" s="83"/>
      <c r="S429" s="65"/>
      <c r="T429" s="66"/>
      <c r="U429" s="66" t="str">
        <f aca="false">IF(ISBLANK($C429),"",IF(G429=Constants!$B$2, TRUE(), IF(G429=Constants!$B$3, FALSE(), TRUE())))</f>
        <v/>
      </c>
      <c r="V429" s="66" t="str">
        <f aca="false">IF(ISBLANK($C429),"",IF(H429=Constants!$B$2, TRUE(), IF(H429=Constants!$B$3, FALSE(), TRUE())))</f>
        <v/>
      </c>
      <c r="W429" s="66" t="str">
        <f aca="false">IF(ISBLANK($C429),"",IF(I429=Constants!$B$2, TRUE(), IF(I429=Constants!$B$3, FALSE(), TRUE())))</f>
        <v/>
      </c>
      <c r="X429" s="66" t="str">
        <f aca="false">IF(ISBLANK($C429),"",IF(AND(ISNUMBER(J429),J429&gt;0),INT(J429),0))</f>
        <v/>
      </c>
      <c r="Y429" s="66" t="str">
        <f aca="false">IF(ISBLANK($C429),"",IF(K429=Constants!$B$2, TRUE(), IF(K429=Constants!$B$3, FALSE(), TRUE())))</f>
        <v/>
      </c>
      <c r="Z429" s="66" t="str">
        <f aca="false">IF(ISBLANK($C429),"",IF(AND(ISNUMBER(L429),L429&gt;0),INT(L429),0))</f>
        <v/>
      </c>
      <c r="AA429" s="68" t="str">
        <f aca="false">IF(ISBLANK($C429),"",IF(ISNUMBER(M429), M429, ""))</f>
        <v/>
      </c>
      <c r="AB429" s="68" t="str">
        <f aca="false">IF(ISBLANK($C429),"",IF(ISNUMBER(N429), N429, ""))</f>
        <v/>
      </c>
      <c r="AC429" s="68" t="str">
        <f aca="false">IF(ISBLANK($C429),"",IF(ISNUMBER(O429), O429, ""))</f>
        <v/>
      </c>
      <c r="AD429" s="69" t="str">
        <f aca="false">IF(ISBLANK($C429),"",IF(ISNUMBER(P429), P429, ""))</f>
        <v/>
      </c>
      <c r="AE429" s="69" t="str">
        <f aca="false">IF(ISBLANK($C429),"",IF(ISNUMBER(Q429), Q429, Constants!$B$13))</f>
        <v/>
      </c>
      <c r="AF429" s="66" t="str">
        <f aca="false">IF(ISBLANK($C429),"",IF(R429=Constants!$B$2, TRUE(), IF(R429=Constants!$B$3, FALSE(), FALSE())))</f>
        <v/>
      </c>
      <c r="AG429" s="66" t="str">
        <f aca="false">IF(ISBLANK(C429), "", IF(AF429, Constants!$B$4,IF(COUNTA(G429:P429)=0, Constants!$B$5, Constants!$B$7)))</f>
        <v/>
      </c>
      <c r="AH429" s="66" t="str">
        <f aca="false">IF(ISBLANK($C429), "",IF($AG429=Constants!$B$7,1,$AG429))</f>
        <v/>
      </c>
      <c r="AI429" s="66" t="str">
        <f aca="false">IF($AG429=Constants!$B$7,POWER(Constants!$B$11,X429)*POWER(Constants!$B$12,Z429),"")</f>
        <v/>
      </c>
      <c r="AJ429" s="66" t="str">
        <f aca="false">IF(AND($AG429=Constants!$B$7, U429, V429) ,IF(OR($AA429="",$AC429=""),"",MAX(0, $AC429-$AA429)),"")</f>
        <v/>
      </c>
      <c r="AK429" s="66" t="str">
        <f aca="false">IF(AND($AG429=Constants!$B$7, U429, V429),IF(OR($AA429="",$AC429=""),$AK$6,""),"")</f>
        <v/>
      </c>
      <c r="AL429" s="66" t="str">
        <f aca="false">IF($AG429=Constants!$B$7,IF(AND(U429,V429,W429,Y429),IF($AJ429="",0,IF($AJ$6=0,Constants!$B$9,Constants!$B$9*AJ429/$AJ$6)), 0),"")</f>
        <v/>
      </c>
      <c r="AM429" s="66" t="str">
        <f aca="false">IF(AL429&lt;&gt;"", AL429*AI429,"")</f>
        <v/>
      </c>
      <c r="AN429" s="66" t="str">
        <f aca="false">IF(AND($AG429=Constants!$B$7, U429, V429) ,IF($AB429="", "", IF(OR($AC429="",$AC429=0),"",MAX(0,1-ABS($AC429-$AB429)/$AC429))),"")</f>
        <v/>
      </c>
      <c r="AO429" s="66" t="str">
        <f aca="false">IF(AND($AG429=Constants!$B$7, U429, V429),IF(AND($AA429&lt;&gt;"",$AB429&lt;&gt;"",$AC429=0),$AO$6,""),"")</f>
        <v/>
      </c>
      <c r="AP429" s="66" t="str">
        <f aca="false">IF($AG429=Constants!$B$7 ,IF(AND(U429,V429,W429,Y429,ISNUMBER(AB429)),IF($AN429="",0,IF($AN$6=0,Constants!$B$10,Constants!$B$10*AN429/$AN$6)), 0),"")</f>
        <v/>
      </c>
      <c r="AQ429" s="66" t="str">
        <f aca="false">IF(AP429&lt;&gt;"", AP429*AI429,"")</f>
        <v/>
      </c>
      <c r="AR429" s="66" t="str">
        <f aca="false">IF($AG429=Constants!$B$7,IF($AD429="",0,IF($AR$6=0,Constants!$B$8,Constants!$B$8*AD429/$AR$6)),"")</f>
        <v/>
      </c>
      <c r="AS429" s="66" t="str">
        <f aca="false">IF($AG429&lt;&gt;Constants!$B$7,$AG429,IF(AK429&amp;AO429&lt;&gt;"",Constants!$B$14,AM429+AQ429+AR429))</f>
        <v/>
      </c>
      <c r="AT429" s="66" t="str">
        <f aca="false">IF(ISBLANK($C429),"",IF($AG429=Constants!$B$7,IF(ISNUMBER(AS429),RANK(AS429,$AS$8:$AS$507),Constants!$B$14),$AG429))</f>
        <v/>
      </c>
      <c r="AU429" s="66" t="str">
        <f aca="false">IF(ISBLANK($C429), "",AM429)</f>
        <v/>
      </c>
      <c r="AV429" s="66" t="str">
        <f aca="false">IF(ISBLANK($C429),"",IF($AG429=Constants!$B$7,RANK(AU429,AU$8:AU$507),$AG429))</f>
        <v/>
      </c>
      <c r="AW429" s="66" t="str">
        <f aca="false">IF(ISBLANK($C429), "",AR429)</f>
        <v/>
      </c>
      <c r="AX429" s="66" t="str">
        <f aca="false">IF(ISBLANK($C429),"",IF($AG429=Constants!$B$7,RANK(AW429,AW$8:AW$507),$AG429))</f>
        <v/>
      </c>
      <c r="AY429" s="66" t="str">
        <f aca="false">IF(ISBLANK($C429), "",AE429)</f>
        <v/>
      </c>
      <c r="AZ429" s="66" t="str">
        <f aca="false">IF(ISBLANK($C429),"",
IF($AG429=Constants!$B$7,
  IF(ISNUMBER(AT429),
    COUNTIFS($AT$8:$AT$507,"&lt;"&amp;$AT429)
    + COUNTIFS($AT$8:$AT$507,$AT429,$AV$8:$AV$507,"&lt;"&amp;$AV429)
    + COUNTIFS($AT$8:$AT$507,$AT429,$AV$8:$AV$507,$AV429,$AX$8:$AX$507,"&lt;"&amp;$AX429)
    + COUNTIFS($AT$8:$AT$507,$AT429,$AV$8:$AV$507,$AV429,$AX$8:$AX$507,$AX429,$AY$8:$AY$507,"&lt;"&amp;$AY429)
    + 1,
  Constants!$B$14),
$AG429))</f>
        <v/>
      </c>
      <c r="BA429" s="66" t="str">
        <f aca="false">IF(ISBLANK(C429),"",IF($AG429=Constants!$B$7, IF(ISNUMBER(AT429),AT429-AZ429,Constants!$B$14),$AG429))</f>
        <v/>
      </c>
      <c r="BB429" s="70"/>
      <c r="BC429" s="84" t="str">
        <f aca="false">IF(ISBLANK($C429),"",TRIM(AK429&amp;" "&amp;AO429))</f>
        <v/>
      </c>
      <c r="BD429" s="72" t="str">
        <f aca="false">IF(ISBLANK($C429),"",IF($AG429&lt;&gt;Constants!$B$7,$AG429,AR429))</f>
        <v/>
      </c>
      <c r="BE429" s="72" t="str">
        <f aca="false">IF(ISBLANK($C429),"",IF($AG429&lt;&gt;Constants!$B$7,$AG429,AM429))</f>
        <v/>
      </c>
      <c r="BF429" s="72" t="str">
        <f aca="false">IF(ISBLANK($C429),"",IF($AG429&lt;&gt;Constants!$B$7,$AG429,AQ429))</f>
        <v/>
      </c>
      <c r="BG429" s="73" t="str">
        <f aca="false">IF(ISBLANK($C429),"",IF($AG429&lt;&gt;Constants!$B$7, $AG429 ,AS429))</f>
        <v/>
      </c>
      <c r="BH429" s="74" t="str">
        <f aca="false">IF(ISBLANK($C429),"",IF($AG429&lt;&gt;Constants!$B$7, $AG429 ,AH429))</f>
        <v/>
      </c>
      <c r="BI429" s="72" t="str">
        <f aca="false">IF(ISBLANK(C429),"",BA429)</f>
        <v/>
      </c>
      <c r="BJ429" s="72" t="str">
        <f aca="false">IF(ISBLANK(C429),"",AZ429)</f>
        <v/>
      </c>
      <c r="BK429" s="75" t="str">
        <f aca="false">IF(ISBLANK(C429),"",IFERROR(_xlfn.SWITCH(BJ429, Constants!$B$4, COUNTA($C$8:$C928)+2, Constants!$B$5, COUNTA($C$8:$C928)+1, Constants!$B$6, COUNTA($C$8:$C928)),BJ429))</f>
        <v/>
      </c>
      <c r="BL429" s="5"/>
      <c r="BM429" s="76" t="n">
        <f aca="false">IF(OR(ISNUMBER(BJ429),BJ429="DQ",BJ429="P",BJ429="NS"),
    1,
    0
)</f>
        <v>0</v>
      </c>
      <c r="BN429" s="76" t="n">
        <v>422</v>
      </c>
      <c r="BO429" s="76" t="str">
        <f aca="false">IF(ISBLANK($C429),"",IF(ISNUMBER(BK429),BK429+ROW($B429)/1000,""))</f>
        <v/>
      </c>
      <c r="BP429" s="76" t="str">
        <f aca="false">IF(ISNUMBER(BO429), RANK(BO429,BO$8:BO$507,1), "")</f>
        <v/>
      </c>
      <c r="BQ429" s="76" t="str">
        <f aca="false">IF(ISBLANK($C429),
    "",
    $B429
)</f>
        <v/>
      </c>
      <c r="BR429" s="76" t="str">
        <f aca="false">IF(ISBLANK($C429),
    "",
    $C429
)</f>
        <v/>
      </c>
      <c r="BS429" s="76" t="str">
        <f aca="false">IF(ISBLANK($C429),
    "",
    $D429
)</f>
        <v/>
      </c>
      <c r="BT429" s="77" t="str">
        <f aca="false">BH429</f>
        <v/>
      </c>
      <c r="BU429" s="78" t="str">
        <f aca="false">BG429</f>
        <v/>
      </c>
      <c r="BV429" s="76" t="str">
        <f aca="false">IF(ISBLANK($C429),
    "",
    BJ429
)</f>
        <v/>
      </c>
      <c r="BW429" s="79" t="str">
        <f aca="false">IF(BN429&gt;BM$7,
    "",
    VLOOKUP(BN429,BP$8:BV928,7,FALSE())
)</f>
        <v/>
      </c>
      <c r="BX429" s="80" t="str">
        <f aca="false">IF(BN429&gt;BM$7,
    "",
    VLOOKUP(BN429,BP$8:BV928,2,FALSE())
)</f>
        <v/>
      </c>
      <c r="BY429" s="80" t="str">
        <f aca="false">IF(BN429&gt;BM$7,
    "",
    VLOOKUP(BN429,BP$8:BV928,3,FALSE())
)</f>
        <v/>
      </c>
      <c r="BZ429" s="80" t="str">
        <f aca="false">IF(BN429&gt;BM$7,
    "",
    VLOOKUP(BN429,BP$8:BV928,4,FALSE())
)</f>
        <v/>
      </c>
      <c r="CA429" s="80" t="str">
        <f aca="false">IF(BN429&gt;BM$7,
    "",
    VLOOKUP(BN429,BP$8:BV928,5,FALSE())
)</f>
        <v/>
      </c>
      <c r="CB429" s="81" t="str">
        <f aca="false">IF(BN429&gt;BM$7,
    "",
    VLOOKUP(BN429,BP$8:BV928,6,FALSE())
)</f>
        <v/>
      </c>
      <c r="CC429" s="53"/>
    </row>
    <row r="430" customFormat="false" ht="15.75" hidden="false" customHeight="false" outlineLevel="0" collapsed="false">
      <c r="A430" s="5"/>
      <c r="B430" s="129"/>
      <c r="C430" s="55"/>
      <c r="D430" s="56"/>
      <c r="E430" s="123"/>
      <c r="F430" s="123"/>
      <c r="G430" s="58"/>
      <c r="H430" s="59"/>
      <c r="I430" s="59"/>
      <c r="J430" s="83"/>
      <c r="K430" s="83"/>
      <c r="L430" s="83"/>
      <c r="M430" s="61"/>
      <c r="N430" s="61"/>
      <c r="O430" s="61"/>
      <c r="P430" s="62"/>
      <c r="Q430" s="63"/>
      <c r="R430" s="83"/>
      <c r="S430" s="65"/>
      <c r="T430" s="66"/>
      <c r="U430" s="66" t="str">
        <f aca="false">IF(ISBLANK($C430),"",IF(G430=Constants!$B$2, TRUE(), IF(G430=Constants!$B$3, FALSE(), TRUE())))</f>
        <v/>
      </c>
      <c r="V430" s="66" t="str">
        <f aca="false">IF(ISBLANK($C430),"",IF(H430=Constants!$B$2, TRUE(), IF(H430=Constants!$B$3, FALSE(), TRUE())))</f>
        <v/>
      </c>
      <c r="W430" s="66" t="str">
        <f aca="false">IF(ISBLANK($C430),"",IF(I430=Constants!$B$2, TRUE(), IF(I430=Constants!$B$3, FALSE(), TRUE())))</f>
        <v/>
      </c>
      <c r="X430" s="66" t="str">
        <f aca="false">IF(ISBLANK($C430),"",IF(AND(ISNUMBER(J430),J430&gt;0),INT(J430),0))</f>
        <v/>
      </c>
      <c r="Y430" s="66" t="str">
        <f aca="false">IF(ISBLANK($C430),"",IF(K430=Constants!$B$2, TRUE(), IF(K430=Constants!$B$3, FALSE(), TRUE())))</f>
        <v/>
      </c>
      <c r="Z430" s="66" t="str">
        <f aca="false">IF(ISBLANK($C430),"",IF(AND(ISNUMBER(L430),L430&gt;0),INT(L430),0))</f>
        <v/>
      </c>
      <c r="AA430" s="68" t="str">
        <f aca="false">IF(ISBLANK($C430),"",IF(ISNUMBER(M430), M430, ""))</f>
        <v/>
      </c>
      <c r="AB430" s="68" t="str">
        <f aca="false">IF(ISBLANK($C430),"",IF(ISNUMBER(N430), N430, ""))</f>
        <v/>
      </c>
      <c r="AC430" s="68" t="str">
        <f aca="false">IF(ISBLANK($C430),"",IF(ISNUMBER(O430), O430, ""))</f>
        <v/>
      </c>
      <c r="AD430" s="69" t="str">
        <f aca="false">IF(ISBLANK($C430),"",IF(ISNUMBER(P430), P430, ""))</f>
        <v/>
      </c>
      <c r="AE430" s="69" t="str">
        <f aca="false">IF(ISBLANK($C430),"",IF(ISNUMBER(Q430), Q430, Constants!$B$13))</f>
        <v/>
      </c>
      <c r="AF430" s="66" t="str">
        <f aca="false">IF(ISBLANK($C430),"",IF(R430=Constants!$B$2, TRUE(), IF(R430=Constants!$B$3, FALSE(), FALSE())))</f>
        <v/>
      </c>
      <c r="AG430" s="66" t="str">
        <f aca="false">IF(ISBLANK(C430), "", IF(AF430, Constants!$B$4,IF(COUNTA(G430:P430)=0, Constants!$B$5, Constants!$B$7)))</f>
        <v/>
      </c>
      <c r="AH430" s="66" t="str">
        <f aca="false">IF(ISBLANK($C430), "",IF($AG430=Constants!$B$7,1,$AG430))</f>
        <v/>
      </c>
      <c r="AI430" s="66" t="str">
        <f aca="false">IF($AG430=Constants!$B$7,POWER(Constants!$B$11,X430)*POWER(Constants!$B$12,Z430),"")</f>
        <v/>
      </c>
      <c r="AJ430" s="66" t="str">
        <f aca="false">IF(AND($AG430=Constants!$B$7, U430, V430) ,IF(OR($AA430="",$AC430=""),"",MAX(0, $AC430-$AA430)),"")</f>
        <v/>
      </c>
      <c r="AK430" s="66" t="str">
        <f aca="false">IF(AND($AG430=Constants!$B$7, U430, V430),IF(OR($AA430="",$AC430=""),$AK$6,""),"")</f>
        <v/>
      </c>
      <c r="AL430" s="66" t="str">
        <f aca="false">IF($AG430=Constants!$B$7,IF(AND(U430,V430,W430,Y430),IF($AJ430="",0,IF($AJ$6=0,Constants!$B$9,Constants!$B$9*AJ430/$AJ$6)), 0),"")</f>
        <v/>
      </c>
      <c r="AM430" s="66" t="str">
        <f aca="false">IF(AL430&lt;&gt;"", AL430*AI430,"")</f>
        <v/>
      </c>
      <c r="AN430" s="66" t="str">
        <f aca="false">IF(AND($AG430=Constants!$B$7, U430, V430) ,IF($AB430="", "", IF(OR($AC430="",$AC430=0),"",MAX(0,1-ABS($AC430-$AB430)/$AC430))),"")</f>
        <v/>
      </c>
      <c r="AO430" s="66" t="str">
        <f aca="false">IF(AND($AG430=Constants!$B$7, U430, V430),IF(AND($AA430&lt;&gt;"",$AB430&lt;&gt;"",$AC430=0),$AO$6,""),"")</f>
        <v/>
      </c>
      <c r="AP430" s="66" t="str">
        <f aca="false">IF($AG430=Constants!$B$7 ,IF(AND(U430,V430,W430,Y430,ISNUMBER(AB430)),IF($AN430="",0,IF($AN$6=0,Constants!$B$10,Constants!$B$10*AN430/$AN$6)), 0),"")</f>
        <v/>
      </c>
      <c r="AQ430" s="66" t="str">
        <f aca="false">IF(AP430&lt;&gt;"", AP430*AI430,"")</f>
        <v/>
      </c>
      <c r="AR430" s="66" t="str">
        <f aca="false">IF($AG430=Constants!$B$7,IF($AD430="",0,IF($AR$6=0,Constants!$B$8,Constants!$B$8*AD430/$AR$6)),"")</f>
        <v/>
      </c>
      <c r="AS430" s="66" t="str">
        <f aca="false">IF($AG430&lt;&gt;Constants!$B$7,$AG430,IF(AK430&amp;AO430&lt;&gt;"",Constants!$B$14,AM430+AQ430+AR430))</f>
        <v/>
      </c>
      <c r="AT430" s="66" t="str">
        <f aca="false">IF(ISBLANK($C430),"",IF($AG430=Constants!$B$7,IF(ISNUMBER(AS430),RANK(AS430,$AS$8:$AS$507),Constants!$B$14),$AG430))</f>
        <v/>
      </c>
      <c r="AU430" s="66" t="str">
        <f aca="false">IF(ISBLANK($C430), "",AM430)</f>
        <v/>
      </c>
      <c r="AV430" s="66" t="str">
        <f aca="false">IF(ISBLANK($C430),"",IF($AG430=Constants!$B$7,RANK(AU430,AU$8:AU$507),$AG430))</f>
        <v/>
      </c>
      <c r="AW430" s="66" t="str">
        <f aca="false">IF(ISBLANK($C430), "",AR430)</f>
        <v/>
      </c>
      <c r="AX430" s="66" t="str">
        <f aca="false">IF(ISBLANK($C430),"",IF($AG430=Constants!$B$7,RANK(AW430,AW$8:AW$507),$AG430))</f>
        <v/>
      </c>
      <c r="AY430" s="66" t="str">
        <f aca="false">IF(ISBLANK($C430), "",AE430)</f>
        <v/>
      </c>
      <c r="AZ430" s="66" t="str">
        <f aca="false">IF(ISBLANK($C430),"",
IF($AG430=Constants!$B$7,
  IF(ISNUMBER(AT430),
    COUNTIFS($AT$8:$AT$507,"&lt;"&amp;$AT430)
    + COUNTIFS($AT$8:$AT$507,$AT430,$AV$8:$AV$507,"&lt;"&amp;$AV430)
    + COUNTIFS($AT$8:$AT$507,$AT430,$AV$8:$AV$507,$AV430,$AX$8:$AX$507,"&lt;"&amp;$AX430)
    + COUNTIFS($AT$8:$AT$507,$AT430,$AV$8:$AV$507,$AV430,$AX$8:$AX$507,$AX430,$AY$8:$AY$507,"&lt;"&amp;$AY430)
    + 1,
  Constants!$B$14),
$AG430))</f>
        <v/>
      </c>
      <c r="BA430" s="66" t="str">
        <f aca="false">IF(ISBLANK(C430),"",IF($AG430=Constants!$B$7, IF(ISNUMBER(AT430),AT430-AZ430,Constants!$B$14),$AG430))</f>
        <v/>
      </c>
      <c r="BB430" s="70"/>
      <c r="BC430" s="84" t="str">
        <f aca="false">IF(ISBLANK($C430),"",TRIM(AK430&amp;" "&amp;AO430))</f>
        <v/>
      </c>
      <c r="BD430" s="72" t="str">
        <f aca="false">IF(ISBLANK($C430),"",IF($AG430&lt;&gt;Constants!$B$7,$AG430,AR430))</f>
        <v/>
      </c>
      <c r="BE430" s="72" t="str">
        <f aca="false">IF(ISBLANK($C430),"",IF($AG430&lt;&gt;Constants!$B$7,$AG430,AM430))</f>
        <v/>
      </c>
      <c r="BF430" s="72" t="str">
        <f aca="false">IF(ISBLANK($C430),"",IF($AG430&lt;&gt;Constants!$B$7,$AG430,AQ430))</f>
        <v/>
      </c>
      <c r="BG430" s="73" t="str">
        <f aca="false">IF(ISBLANK($C430),"",IF($AG430&lt;&gt;Constants!$B$7, $AG430 ,AS430))</f>
        <v/>
      </c>
      <c r="BH430" s="74" t="str">
        <f aca="false">IF(ISBLANK($C430),"",IF($AG430&lt;&gt;Constants!$B$7, $AG430 ,AH430))</f>
        <v/>
      </c>
      <c r="BI430" s="72" t="str">
        <f aca="false">IF(ISBLANK(C430),"",BA430)</f>
        <v/>
      </c>
      <c r="BJ430" s="72" t="str">
        <f aca="false">IF(ISBLANK(C430),"",AZ430)</f>
        <v/>
      </c>
      <c r="BK430" s="75" t="str">
        <f aca="false">IF(ISBLANK(C430),"",IFERROR(_xlfn.SWITCH(BJ430, Constants!$B$4, COUNTA($C$8:$C929)+2, Constants!$B$5, COUNTA($C$8:$C929)+1, Constants!$B$6, COUNTA($C$8:$C929)),BJ430))</f>
        <v/>
      </c>
      <c r="BL430" s="5"/>
      <c r="BM430" s="76" t="n">
        <f aca="false">IF(OR(ISNUMBER(BJ430),BJ430="DQ",BJ430="P",BJ430="NS"),
    1,
    0
)</f>
        <v>0</v>
      </c>
      <c r="BN430" s="76" t="n">
        <v>423</v>
      </c>
      <c r="BO430" s="76" t="str">
        <f aca="false">IF(ISBLANK($C430),"",IF(ISNUMBER(BK430),BK430+ROW($B430)/1000,""))</f>
        <v/>
      </c>
      <c r="BP430" s="76" t="str">
        <f aca="false">IF(ISNUMBER(BO430), RANK(BO430,BO$8:BO$507,1), "")</f>
        <v/>
      </c>
      <c r="BQ430" s="76" t="str">
        <f aca="false">IF(ISBLANK($C430),
    "",
    $B430
)</f>
        <v/>
      </c>
      <c r="BR430" s="76" t="str">
        <f aca="false">IF(ISBLANK($C430),
    "",
    $C430
)</f>
        <v/>
      </c>
      <c r="BS430" s="76" t="str">
        <f aca="false">IF(ISBLANK($C430),
    "",
    $D430
)</f>
        <v/>
      </c>
      <c r="BT430" s="77" t="str">
        <f aca="false">BH430</f>
        <v/>
      </c>
      <c r="BU430" s="78" t="str">
        <f aca="false">BG430</f>
        <v/>
      </c>
      <c r="BV430" s="76" t="str">
        <f aca="false">IF(ISBLANK($C430),
    "",
    BJ430
)</f>
        <v/>
      </c>
      <c r="BW430" s="79" t="str">
        <f aca="false">IF(BN430&gt;BM$7,
    "",
    VLOOKUP(BN430,BP$8:BV929,7,FALSE())
)</f>
        <v/>
      </c>
      <c r="BX430" s="80" t="str">
        <f aca="false">IF(BN430&gt;BM$7,
    "",
    VLOOKUP(BN430,BP$8:BV929,2,FALSE())
)</f>
        <v/>
      </c>
      <c r="BY430" s="80" t="str">
        <f aca="false">IF(BN430&gt;BM$7,
    "",
    VLOOKUP(BN430,BP$8:BV929,3,FALSE())
)</f>
        <v/>
      </c>
      <c r="BZ430" s="80" t="str">
        <f aca="false">IF(BN430&gt;BM$7,
    "",
    VLOOKUP(BN430,BP$8:BV929,4,FALSE())
)</f>
        <v/>
      </c>
      <c r="CA430" s="80" t="str">
        <f aca="false">IF(BN430&gt;BM$7,
    "",
    VLOOKUP(BN430,BP$8:BV929,5,FALSE())
)</f>
        <v/>
      </c>
      <c r="CB430" s="81" t="str">
        <f aca="false">IF(BN430&gt;BM$7,
    "",
    VLOOKUP(BN430,BP$8:BV929,6,FALSE())
)</f>
        <v/>
      </c>
      <c r="CC430" s="53"/>
    </row>
    <row r="431" customFormat="false" ht="15.75" hidden="false" customHeight="false" outlineLevel="0" collapsed="false">
      <c r="A431" s="5"/>
      <c r="B431" s="125"/>
      <c r="C431" s="126"/>
      <c r="D431" s="115"/>
      <c r="E431" s="119"/>
      <c r="F431" s="119"/>
      <c r="G431" s="91"/>
      <c r="H431" s="92"/>
      <c r="I431" s="92"/>
      <c r="J431" s="128"/>
      <c r="K431" s="128"/>
      <c r="L431" s="128"/>
      <c r="M431" s="94"/>
      <c r="N431" s="94"/>
      <c r="O431" s="94"/>
      <c r="P431" s="95"/>
      <c r="Q431" s="96"/>
      <c r="R431" s="128"/>
      <c r="S431" s="98"/>
      <c r="T431" s="99"/>
      <c r="U431" s="99" t="str">
        <f aca="false">IF(ISBLANK($C431),"",IF(G431=Constants!$B$2, TRUE(), IF(G431=Constants!$B$3, FALSE(), TRUE())))</f>
        <v/>
      </c>
      <c r="V431" s="99" t="str">
        <f aca="false">IF(ISBLANK($C431),"",IF(H431=Constants!$B$2, TRUE(), IF(H431=Constants!$B$3, FALSE(), TRUE())))</f>
        <v/>
      </c>
      <c r="W431" s="99" t="str">
        <f aca="false">IF(ISBLANK($C431),"",IF(I431=Constants!$B$2, TRUE(), IF(I431=Constants!$B$3, FALSE(), TRUE())))</f>
        <v/>
      </c>
      <c r="X431" s="99" t="str">
        <f aca="false">IF(ISBLANK($C431),"",IF(AND(ISNUMBER(J431),J431&gt;0),INT(J431),0))</f>
        <v/>
      </c>
      <c r="Y431" s="99" t="str">
        <f aca="false">IF(ISBLANK($C431),"",IF(K431=Constants!$B$2, TRUE(), IF(K431=Constants!$B$3, FALSE(), TRUE())))</f>
        <v/>
      </c>
      <c r="Z431" s="100" t="str">
        <f aca="false">IF(ISBLANK($C431),"",IF(AND(ISNUMBER(L431),L431&gt;0),INT(L431),0))</f>
        <v/>
      </c>
      <c r="AA431" s="101" t="str">
        <f aca="false">IF(ISBLANK($C431),"",IF(ISNUMBER(M431), M431, ""))</f>
        <v/>
      </c>
      <c r="AB431" s="101" t="str">
        <f aca="false">IF(ISBLANK($C431),"",IF(ISNUMBER(N431), N431, ""))</f>
        <v/>
      </c>
      <c r="AC431" s="101" t="str">
        <f aca="false">IF(ISBLANK($C431),"",IF(ISNUMBER(O431), O431, ""))</f>
        <v/>
      </c>
      <c r="AD431" s="102" t="str">
        <f aca="false">IF(ISBLANK($C431),"",IF(ISNUMBER(P431), P431, ""))</f>
        <v/>
      </c>
      <c r="AE431" s="102" t="str">
        <f aca="false">IF(ISBLANK($C431),"",IF(ISNUMBER(Q431), Q431, Constants!$B$13))</f>
        <v/>
      </c>
      <c r="AF431" s="99" t="str">
        <f aca="false">IF(ISBLANK($C431),"",IF(R431=Constants!$B$2, TRUE(), IF(R431=Constants!$B$3, FALSE(), FALSE())))</f>
        <v/>
      </c>
      <c r="AG431" s="99" t="str">
        <f aca="false">IF(ISBLANK(C431), "", IF(AF431, Constants!$B$4,IF(COUNTA(G431:P431)=0, Constants!$B$5, Constants!$B$7)))</f>
        <v/>
      </c>
      <c r="AH431" s="99" t="str">
        <f aca="false">IF(ISBLANK($C431), "",IF($AG431=Constants!$B$7,1,$AG431))</f>
        <v/>
      </c>
      <c r="AI431" s="99" t="str">
        <f aca="false">IF($AG431=Constants!$B$7,POWER(Constants!$B$11,X431)*POWER(Constants!$B$12,Z431),"")</f>
        <v/>
      </c>
      <c r="AJ431" s="99" t="str">
        <f aca="false">IF(AND($AG431=Constants!$B$7, U431, V431) ,IF(OR($AA431="",$AC431=""),"",MAX(0, $AC431-$AA431)),"")</f>
        <v/>
      </c>
      <c r="AK431" s="99" t="str">
        <f aca="false">IF(AND($AG431=Constants!$B$7, U431, V431),IF(OR($AA431="",$AC431=""),$AK$6,""),"")</f>
        <v/>
      </c>
      <c r="AL431" s="99" t="str">
        <f aca="false">IF($AG431=Constants!$B$7,IF(AND(U431,V431,W431,Y431),IF($AJ431="",0,IF($AJ$6=0,Constants!$B$9,Constants!$B$9*AJ431/$AJ$6)), 0),"")</f>
        <v/>
      </c>
      <c r="AM431" s="99" t="str">
        <f aca="false">IF(AL431&lt;&gt;"", AL431*AI431,"")</f>
        <v/>
      </c>
      <c r="AN431" s="99" t="str">
        <f aca="false">IF(AND($AG431=Constants!$B$7, U431, V431) ,IF($AB431="", "", IF(OR($AC431="",$AC431=0),"",MAX(0,1-ABS($AC431-$AB431)/$AC431))),"")</f>
        <v/>
      </c>
      <c r="AO431" s="99" t="str">
        <f aca="false">IF(AND($AG431=Constants!$B$7, U431, V431),IF(AND($AA431&lt;&gt;"",$AB431&lt;&gt;"",$AC431=0),$AO$6,""),"")</f>
        <v/>
      </c>
      <c r="AP431" s="99" t="str">
        <f aca="false">IF($AG431=Constants!$B$7 ,IF(AND(U431,V431,W431,Y431,ISNUMBER(AB431)),IF($AN431="",0,IF($AN$6=0,Constants!$B$10,Constants!$B$10*AN431/$AN$6)), 0),"")</f>
        <v/>
      </c>
      <c r="AQ431" s="99" t="str">
        <f aca="false">IF(AP431&lt;&gt;"", AP431*AI431,"")</f>
        <v/>
      </c>
      <c r="AR431" s="99" t="str">
        <f aca="false">IF($AG431=Constants!$B$7,IF($AD431="",0,IF($AR$6=0,Constants!$B$8,Constants!$B$8*AD431/$AR$6)),"")</f>
        <v/>
      </c>
      <c r="AS431" s="99" t="str">
        <f aca="false">IF($AG431&lt;&gt;Constants!$B$7,$AG431,IF(AK431&amp;AO431&lt;&gt;"",Constants!$B$14,AM431+AQ431+AR431))</f>
        <v/>
      </c>
      <c r="AT431" s="99" t="str">
        <f aca="false">IF(ISBLANK($C431),"",IF($AG431=Constants!$B$7,IF(ISNUMBER(AS431),RANK(AS431,$AS$8:$AS$507),Constants!$B$14),$AG431))</f>
        <v/>
      </c>
      <c r="AU431" s="99" t="str">
        <f aca="false">IF(ISBLANK($C431), "",AM431)</f>
        <v/>
      </c>
      <c r="AV431" s="99" t="str">
        <f aca="false">IF(ISBLANK($C431),"",IF($AG431=Constants!$B$7,RANK(AU431,AU$8:AU$507),$AG431))</f>
        <v/>
      </c>
      <c r="AW431" s="99" t="str">
        <f aca="false">IF(ISBLANK($C431), "",AR431)</f>
        <v/>
      </c>
      <c r="AX431" s="99" t="str">
        <f aca="false">IF(ISBLANK($C431),"",IF($AG431=Constants!$B$7,RANK(AW431,AW$8:AW$507),$AG431))</f>
        <v/>
      </c>
      <c r="AY431" s="99" t="str">
        <f aca="false">IF(ISBLANK($C431), "",AE431)</f>
        <v/>
      </c>
      <c r="AZ431" s="99" t="str">
        <f aca="false">IF(ISBLANK($C431),"",
IF($AG431=Constants!$B$7,
  IF(ISNUMBER(AT431),
    COUNTIFS($AT$8:$AT$507,"&lt;"&amp;$AT431)
    + COUNTIFS($AT$8:$AT$507,$AT431,$AV$8:$AV$507,"&lt;"&amp;$AV431)
    + COUNTIFS($AT$8:$AT$507,$AT431,$AV$8:$AV$507,$AV431,$AX$8:$AX$507,"&lt;"&amp;$AX431)
    + COUNTIFS($AT$8:$AT$507,$AT431,$AV$8:$AV$507,$AV431,$AX$8:$AX$507,$AX431,$AY$8:$AY$507,"&lt;"&amp;$AY431)
    + 1,
  Constants!$B$14),
$AG431))</f>
        <v/>
      </c>
      <c r="BA431" s="99" t="str">
        <f aca="false">IF(ISBLANK(C431),"",IF($AG431=Constants!$B$7, IF(ISNUMBER(AT431),AT431-AZ431,Constants!$B$14),$AG431))</f>
        <v/>
      </c>
      <c r="BB431" s="103"/>
      <c r="BC431" s="104" t="str">
        <f aca="false">IF(ISBLANK($C431),"",TRIM(AK431&amp;" "&amp;AO431))</f>
        <v/>
      </c>
      <c r="BD431" s="105" t="str">
        <f aca="false">IF(ISBLANK($C431),"",IF($AG431&lt;&gt;Constants!$B$7,$AG431,AR431))</f>
        <v/>
      </c>
      <c r="BE431" s="105" t="str">
        <f aca="false">IF(ISBLANK($C431),"",IF($AG431&lt;&gt;Constants!$B$7,$AG431,AM431))</f>
        <v/>
      </c>
      <c r="BF431" s="105" t="str">
        <f aca="false">IF(ISBLANK($C431),"",IF($AG431&lt;&gt;Constants!$B$7,$AG431,AQ431))</f>
        <v/>
      </c>
      <c r="BG431" s="106" t="str">
        <f aca="false">IF(ISBLANK($C431),"",IF($AG431&lt;&gt;Constants!$B$7, $AG431 ,AS431))</f>
        <v/>
      </c>
      <c r="BH431" s="107" t="str">
        <f aca="false">IF(ISBLANK($C431),"",IF($AG431&lt;&gt;Constants!$B$7, $AG431 ,AH431))</f>
        <v/>
      </c>
      <c r="BI431" s="105" t="str">
        <f aca="false">IF(ISBLANK(C431),"",BA431)</f>
        <v/>
      </c>
      <c r="BJ431" s="105" t="str">
        <f aca="false">IF(ISBLANK(C431),"",AZ431)</f>
        <v/>
      </c>
      <c r="BK431" s="108" t="str">
        <f aca="false">IF(ISBLANK(C431),"",IFERROR(_xlfn.SWITCH(BJ431, Constants!$B$4, COUNTA($C$8:$C930)+2, Constants!$B$5, COUNTA($C$8:$C930)+1, Constants!$B$6, COUNTA($C$8:$C930)),BJ431))</f>
        <v/>
      </c>
      <c r="BL431" s="5"/>
      <c r="BM431" s="109" t="n">
        <f aca="false">IF(OR(ISNUMBER(BJ431),BJ431="DQ",BJ431="P",BJ431="NS"),
    1,
    0
)</f>
        <v>0</v>
      </c>
      <c r="BN431" s="109" t="n">
        <v>424</v>
      </c>
      <c r="BO431" s="109" t="str">
        <f aca="false">IF(ISBLANK($C431),"",IF(ISNUMBER(BK431),BK431+ROW($B431)/1000,""))</f>
        <v/>
      </c>
      <c r="BP431" s="109" t="str">
        <f aca="false">IF(ISNUMBER(BO431), RANK(BO431,BO$8:BO$507,1), "")</f>
        <v/>
      </c>
      <c r="BQ431" s="109" t="str">
        <f aca="false">IF(ISBLANK($C431),
    "",
    $B431
)</f>
        <v/>
      </c>
      <c r="BR431" s="109" t="str">
        <f aca="false">IF(ISBLANK($C431),
    "",
    $C431
)</f>
        <v/>
      </c>
      <c r="BS431" s="109" t="str">
        <f aca="false">IF(ISBLANK($C431),
    "",
    $D431
)</f>
        <v/>
      </c>
      <c r="BT431" s="110" t="str">
        <f aca="false">BH431</f>
        <v/>
      </c>
      <c r="BU431" s="111" t="str">
        <f aca="false">BG431</f>
        <v/>
      </c>
      <c r="BV431" s="109" t="str">
        <f aca="false">IF(ISBLANK($C431),
    "",
    BJ431
)</f>
        <v/>
      </c>
      <c r="BW431" s="112" t="str">
        <f aca="false">IF(BN431&gt;BM$7,
    "",
    VLOOKUP(BN431,BP$8:BV930,7,FALSE())
)</f>
        <v/>
      </c>
      <c r="BX431" s="113" t="str">
        <f aca="false">IF(BN431&gt;BM$7,
    "",
    VLOOKUP(BN431,BP$8:BV930,2,FALSE())
)</f>
        <v/>
      </c>
      <c r="BY431" s="113" t="str">
        <f aca="false">IF(BN431&gt;BM$7,
    "",
    VLOOKUP(BN431,BP$8:BV930,3,FALSE())
)</f>
        <v/>
      </c>
      <c r="BZ431" s="113" t="str">
        <f aca="false">IF(BN431&gt;BM$7,
    "",
    VLOOKUP(BN431,BP$8:BV930,4,FALSE())
)</f>
        <v/>
      </c>
      <c r="CA431" s="113" t="str">
        <f aca="false">IF(BN431&gt;BM$7,
    "",
    VLOOKUP(BN431,BP$8:BV930,5,FALSE())
)</f>
        <v/>
      </c>
      <c r="CB431" s="114" t="str">
        <f aca="false">IF(BN431&gt;BM$7,
    "",
    VLOOKUP(BN431,BP$8:BV930,6,FALSE())
)</f>
        <v/>
      </c>
      <c r="CC431" s="53"/>
    </row>
    <row r="432" customFormat="false" ht="15.75" hidden="false" customHeight="false" outlineLevel="0" collapsed="false">
      <c r="A432" s="5"/>
      <c r="B432" s="125"/>
      <c r="C432" s="126"/>
      <c r="D432" s="115"/>
      <c r="E432" s="119"/>
      <c r="F432" s="119"/>
      <c r="G432" s="91"/>
      <c r="H432" s="92"/>
      <c r="I432" s="92"/>
      <c r="J432" s="128"/>
      <c r="K432" s="128"/>
      <c r="L432" s="128"/>
      <c r="M432" s="94"/>
      <c r="N432" s="94"/>
      <c r="O432" s="94"/>
      <c r="P432" s="95"/>
      <c r="Q432" s="96"/>
      <c r="R432" s="128"/>
      <c r="S432" s="98"/>
      <c r="T432" s="99"/>
      <c r="U432" s="99" t="str">
        <f aca="false">IF(ISBLANK($C432),"",IF(G432=Constants!$B$2, TRUE(), IF(G432=Constants!$B$3, FALSE(), TRUE())))</f>
        <v/>
      </c>
      <c r="V432" s="99" t="str">
        <f aca="false">IF(ISBLANK($C432),"",IF(H432=Constants!$B$2, TRUE(), IF(H432=Constants!$B$3, FALSE(), TRUE())))</f>
        <v/>
      </c>
      <c r="W432" s="99" t="str">
        <f aca="false">IF(ISBLANK($C432),"",IF(I432=Constants!$B$2, TRUE(), IF(I432=Constants!$B$3, FALSE(), TRUE())))</f>
        <v/>
      </c>
      <c r="X432" s="99" t="str">
        <f aca="false">IF(ISBLANK($C432),"",IF(AND(ISNUMBER(J432),J432&gt;0),INT(J432),0))</f>
        <v/>
      </c>
      <c r="Y432" s="99" t="str">
        <f aca="false">IF(ISBLANK($C432),"",IF(K432=Constants!$B$2, TRUE(), IF(K432=Constants!$B$3, FALSE(), TRUE())))</f>
        <v/>
      </c>
      <c r="Z432" s="100" t="str">
        <f aca="false">IF(ISBLANK($C432),"",IF(AND(ISNUMBER(L432),L432&gt;0),INT(L432),0))</f>
        <v/>
      </c>
      <c r="AA432" s="101" t="str">
        <f aca="false">IF(ISBLANK($C432),"",IF(ISNUMBER(M432), M432, ""))</f>
        <v/>
      </c>
      <c r="AB432" s="101" t="str">
        <f aca="false">IF(ISBLANK($C432),"",IF(ISNUMBER(N432), N432, ""))</f>
        <v/>
      </c>
      <c r="AC432" s="101" t="str">
        <f aca="false">IF(ISBLANK($C432),"",IF(ISNUMBER(O432), O432, ""))</f>
        <v/>
      </c>
      <c r="AD432" s="102" t="str">
        <f aca="false">IF(ISBLANK($C432),"",IF(ISNUMBER(P432), P432, ""))</f>
        <v/>
      </c>
      <c r="AE432" s="102" t="str">
        <f aca="false">IF(ISBLANK($C432),"",IF(ISNUMBER(Q432), Q432, Constants!$B$13))</f>
        <v/>
      </c>
      <c r="AF432" s="99" t="str">
        <f aca="false">IF(ISBLANK($C432),"",IF(R432=Constants!$B$2, TRUE(), IF(R432=Constants!$B$3, FALSE(), FALSE())))</f>
        <v/>
      </c>
      <c r="AG432" s="99" t="str">
        <f aca="false">IF(ISBLANK(C432), "", IF(AF432, Constants!$B$4,IF(COUNTA(G432:P432)=0, Constants!$B$5, Constants!$B$7)))</f>
        <v/>
      </c>
      <c r="AH432" s="99" t="str">
        <f aca="false">IF(ISBLANK($C432), "",IF($AG432=Constants!$B$7,1,$AG432))</f>
        <v/>
      </c>
      <c r="AI432" s="99" t="str">
        <f aca="false">IF($AG432=Constants!$B$7,POWER(Constants!$B$11,X432)*POWER(Constants!$B$12,Z432),"")</f>
        <v/>
      </c>
      <c r="AJ432" s="99" t="str">
        <f aca="false">IF(AND($AG432=Constants!$B$7, U432, V432) ,IF(OR($AA432="",$AC432=""),"",MAX(0, $AC432-$AA432)),"")</f>
        <v/>
      </c>
      <c r="AK432" s="99" t="str">
        <f aca="false">IF(AND($AG432=Constants!$B$7, U432, V432),IF(OR($AA432="",$AC432=""),$AK$6,""),"")</f>
        <v/>
      </c>
      <c r="AL432" s="99" t="str">
        <f aca="false">IF($AG432=Constants!$B$7,IF(AND(U432,V432,W432,Y432),IF($AJ432="",0,IF($AJ$6=0,Constants!$B$9,Constants!$B$9*AJ432/$AJ$6)), 0),"")</f>
        <v/>
      </c>
      <c r="AM432" s="99" t="str">
        <f aca="false">IF(AL432&lt;&gt;"", AL432*AI432,"")</f>
        <v/>
      </c>
      <c r="AN432" s="99" t="str">
        <f aca="false">IF(AND($AG432=Constants!$B$7, U432, V432) ,IF($AB432="", "", IF(OR($AC432="",$AC432=0),"",MAX(0,1-ABS($AC432-$AB432)/$AC432))),"")</f>
        <v/>
      </c>
      <c r="AO432" s="99" t="str">
        <f aca="false">IF(AND($AG432=Constants!$B$7, U432, V432),IF(AND($AA432&lt;&gt;"",$AB432&lt;&gt;"",$AC432=0),$AO$6,""),"")</f>
        <v/>
      </c>
      <c r="AP432" s="99" t="str">
        <f aca="false">IF($AG432=Constants!$B$7 ,IF(AND(U432,V432,W432,Y432,ISNUMBER(AB432)),IF($AN432="",0,IF($AN$6=0,Constants!$B$10,Constants!$B$10*AN432/$AN$6)), 0),"")</f>
        <v/>
      </c>
      <c r="AQ432" s="99" t="str">
        <f aca="false">IF(AP432&lt;&gt;"", AP432*AI432,"")</f>
        <v/>
      </c>
      <c r="AR432" s="99" t="str">
        <f aca="false">IF($AG432=Constants!$B$7,IF($AD432="",0,IF($AR$6=0,Constants!$B$8,Constants!$B$8*AD432/$AR$6)),"")</f>
        <v/>
      </c>
      <c r="AS432" s="99" t="str">
        <f aca="false">IF($AG432&lt;&gt;Constants!$B$7,$AG432,IF(AK432&amp;AO432&lt;&gt;"",Constants!$B$14,AM432+AQ432+AR432))</f>
        <v/>
      </c>
      <c r="AT432" s="99" t="str">
        <f aca="false">IF(ISBLANK($C432),"",IF($AG432=Constants!$B$7,IF(ISNUMBER(AS432),RANK(AS432,$AS$8:$AS$507),Constants!$B$14),$AG432))</f>
        <v/>
      </c>
      <c r="AU432" s="99" t="str">
        <f aca="false">IF(ISBLANK($C432), "",AM432)</f>
        <v/>
      </c>
      <c r="AV432" s="99" t="str">
        <f aca="false">IF(ISBLANK($C432),"",IF($AG432=Constants!$B$7,RANK(AU432,AU$8:AU$507),$AG432))</f>
        <v/>
      </c>
      <c r="AW432" s="99" t="str">
        <f aca="false">IF(ISBLANK($C432), "",AR432)</f>
        <v/>
      </c>
      <c r="AX432" s="99" t="str">
        <f aca="false">IF(ISBLANK($C432),"",IF($AG432=Constants!$B$7,RANK(AW432,AW$8:AW$507),$AG432))</f>
        <v/>
      </c>
      <c r="AY432" s="99" t="str">
        <f aca="false">IF(ISBLANK($C432), "",AE432)</f>
        <v/>
      </c>
      <c r="AZ432" s="99" t="str">
        <f aca="false">IF(ISBLANK($C432),"",
IF($AG432=Constants!$B$7,
  IF(ISNUMBER(AT432),
    COUNTIFS($AT$8:$AT$507,"&lt;"&amp;$AT432)
    + COUNTIFS($AT$8:$AT$507,$AT432,$AV$8:$AV$507,"&lt;"&amp;$AV432)
    + COUNTIFS($AT$8:$AT$507,$AT432,$AV$8:$AV$507,$AV432,$AX$8:$AX$507,"&lt;"&amp;$AX432)
    + COUNTIFS($AT$8:$AT$507,$AT432,$AV$8:$AV$507,$AV432,$AX$8:$AX$507,$AX432,$AY$8:$AY$507,"&lt;"&amp;$AY432)
    + 1,
  Constants!$B$14),
$AG432))</f>
        <v/>
      </c>
      <c r="BA432" s="99" t="str">
        <f aca="false">IF(ISBLANK(C432),"",IF($AG432=Constants!$B$7, IF(ISNUMBER(AT432),AT432-AZ432,Constants!$B$14),$AG432))</f>
        <v/>
      </c>
      <c r="BB432" s="103"/>
      <c r="BC432" s="104" t="str">
        <f aca="false">IF(ISBLANK($C432),"",TRIM(AK432&amp;" "&amp;AO432))</f>
        <v/>
      </c>
      <c r="BD432" s="105" t="str">
        <f aca="false">IF(ISBLANK($C432),"",IF($AG432&lt;&gt;Constants!$B$7,$AG432,AR432))</f>
        <v/>
      </c>
      <c r="BE432" s="105" t="str">
        <f aca="false">IF(ISBLANK($C432),"",IF($AG432&lt;&gt;Constants!$B$7,$AG432,AM432))</f>
        <v/>
      </c>
      <c r="BF432" s="105" t="str">
        <f aca="false">IF(ISBLANK($C432),"",IF($AG432&lt;&gt;Constants!$B$7,$AG432,AQ432))</f>
        <v/>
      </c>
      <c r="BG432" s="106" t="str">
        <f aca="false">IF(ISBLANK($C432),"",IF($AG432&lt;&gt;Constants!$B$7, $AG432 ,AS432))</f>
        <v/>
      </c>
      <c r="BH432" s="107" t="str">
        <f aca="false">IF(ISBLANK($C432),"",IF($AG432&lt;&gt;Constants!$B$7, $AG432 ,AH432))</f>
        <v/>
      </c>
      <c r="BI432" s="105" t="str">
        <f aca="false">IF(ISBLANK(C432),"",BA432)</f>
        <v/>
      </c>
      <c r="BJ432" s="105" t="str">
        <f aca="false">IF(ISBLANK(C432),"",AZ432)</f>
        <v/>
      </c>
      <c r="BK432" s="108" t="str">
        <f aca="false">IF(ISBLANK(C432),"",IFERROR(_xlfn.SWITCH(BJ432, Constants!$B$4, COUNTA($C$8:$C931)+2, Constants!$B$5, COUNTA($C$8:$C931)+1, Constants!$B$6, COUNTA($C$8:$C931)),BJ432))</f>
        <v/>
      </c>
      <c r="BL432" s="5"/>
      <c r="BM432" s="109" t="n">
        <f aca="false">IF(OR(ISNUMBER(BJ432),BJ432="DQ",BJ432="P",BJ432="NS"),
    1,
    0
)</f>
        <v>0</v>
      </c>
      <c r="BN432" s="109" t="n">
        <v>425</v>
      </c>
      <c r="BO432" s="109" t="str">
        <f aca="false">IF(ISBLANK($C432),"",IF(ISNUMBER(BK432),BK432+ROW($B432)/1000,""))</f>
        <v/>
      </c>
      <c r="BP432" s="109" t="str">
        <f aca="false">IF(ISNUMBER(BO432), RANK(BO432,BO$8:BO$507,1), "")</f>
        <v/>
      </c>
      <c r="BQ432" s="109" t="str">
        <f aca="false">IF(ISBLANK($C432),
    "",
    $B432
)</f>
        <v/>
      </c>
      <c r="BR432" s="109" t="str">
        <f aca="false">IF(ISBLANK($C432),
    "",
    $C432
)</f>
        <v/>
      </c>
      <c r="BS432" s="109" t="str">
        <f aca="false">IF(ISBLANK($C432),
    "",
    $D432
)</f>
        <v/>
      </c>
      <c r="BT432" s="110" t="str">
        <f aca="false">BH432</f>
        <v/>
      </c>
      <c r="BU432" s="111" t="str">
        <f aca="false">BG432</f>
        <v/>
      </c>
      <c r="BV432" s="109" t="str">
        <f aca="false">IF(ISBLANK($C432),
    "",
    BJ432
)</f>
        <v/>
      </c>
      <c r="BW432" s="112" t="str">
        <f aca="false">IF(BN432&gt;BM$7,
    "",
    VLOOKUP(BN432,BP$8:BV931,7,FALSE())
)</f>
        <v/>
      </c>
      <c r="BX432" s="113" t="str">
        <f aca="false">IF(BN432&gt;BM$7,
    "",
    VLOOKUP(BN432,BP$8:BV931,2,FALSE())
)</f>
        <v/>
      </c>
      <c r="BY432" s="113" t="str">
        <f aca="false">IF(BN432&gt;BM$7,
    "",
    VLOOKUP(BN432,BP$8:BV931,3,FALSE())
)</f>
        <v/>
      </c>
      <c r="BZ432" s="113" t="str">
        <f aca="false">IF(BN432&gt;BM$7,
    "",
    VLOOKUP(BN432,BP$8:BV931,4,FALSE())
)</f>
        <v/>
      </c>
      <c r="CA432" s="113" t="str">
        <f aca="false">IF(BN432&gt;BM$7,
    "",
    VLOOKUP(BN432,BP$8:BV931,5,FALSE())
)</f>
        <v/>
      </c>
      <c r="CB432" s="114" t="str">
        <f aca="false">IF(BN432&gt;BM$7,
    "",
    VLOOKUP(BN432,BP$8:BV931,6,FALSE())
)</f>
        <v/>
      </c>
      <c r="CC432" s="53"/>
    </row>
    <row r="433" customFormat="false" ht="15.75" hidden="false" customHeight="false" outlineLevel="0" collapsed="false">
      <c r="A433" s="5"/>
      <c r="B433" s="125"/>
      <c r="C433" s="126"/>
      <c r="D433" s="115"/>
      <c r="E433" s="119"/>
      <c r="F433" s="119"/>
      <c r="G433" s="91"/>
      <c r="H433" s="92"/>
      <c r="I433" s="92"/>
      <c r="J433" s="128"/>
      <c r="K433" s="128"/>
      <c r="L433" s="128"/>
      <c r="M433" s="94"/>
      <c r="N433" s="94"/>
      <c r="O433" s="94"/>
      <c r="P433" s="95"/>
      <c r="Q433" s="96"/>
      <c r="R433" s="128"/>
      <c r="S433" s="98"/>
      <c r="T433" s="99"/>
      <c r="U433" s="99" t="str">
        <f aca="false">IF(ISBLANK($C433),"",IF(G433=Constants!$B$2, TRUE(), IF(G433=Constants!$B$3, FALSE(), TRUE())))</f>
        <v/>
      </c>
      <c r="V433" s="99" t="str">
        <f aca="false">IF(ISBLANK($C433),"",IF(H433=Constants!$B$2, TRUE(), IF(H433=Constants!$B$3, FALSE(), TRUE())))</f>
        <v/>
      </c>
      <c r="W433" s="99" t="str">
        <f aca="false">IF(ISBLANK($C433),"",IF(I433=Constants!$B$2, TRUE(), IF(I433=Constants!$B$3, FALSE(), TRUE())))</f>
        <v/>
      </c>
      <c r="X433" s="99" t="str">
        <f aca="false">IF(ISBLANK($C433),"",IF(AND(ISNUMBER(J433),J433&gt;0),INT(J433),0))</f>
        <v/>
      </c>
      <c r="Y433" s="99" t="str">
        <f aca="false">IF(ISBLANK($C433),"",IF(K433=Constants!$B$2, TRUE(), IF(K433=Constants!$B$3, FALSE(), TRUE())))</f>
        <v/>
      </c>
      <c r="Z433" s="100" t="str">
        <f aca="false">IF(ISBLANK($C433),"",IF(AND(ISNUMBER(L433),L433&gt;0),INT(L433),0))</f>
        <v/>
      </c>
      <c r="AA433" s="101" t="str">
        <f aca="false">IF(ISBLANK($C433),"",IF(ISNUMBER(M433), M433, ""))</f>
        <v/>
      </c>
      <c r="AB433" s="101" t="str">
        <f aca="false">IF(ISBLANK($C433),"",IF(ISNUMBER(N433), N433, ""))</f>
        <v/>
      </c>
      <c r="AC433" s="101" t="str">
        <f aca="false">IF(ISBLANK($C433),"",IF(ISNUMBER(O433), O433, ""))</f>
        <v/>
      </c>
      <c r="AD433" s="102" t="str">
        <f aca="false">IF(ISBLANK($C433),"",IF(ISNUMBER(P433), P433, ""))</f>
        <v/>
      </c>
      <c r="AE433" s="102" t="str">
        <f aca="false">IF(ISBLANK($C433),"",IF(ISNUMBER(Q433), Q433, Constants!$B$13))</f>
        <v/>
      </c>
      <c r="AF433" s="99" t="str">
        <f aca="false">IF(ISBLANK($C433),"",IF(R433=Constants!$B$2, TRUE(), IF(R433=Constants!$B$3, FALSE(), FALSE())))</f>
        <v/>
      </c>
      <c r="AG433" s="99" t="str">
        <f aca="false">IF(ISBLANK(C433), "", IF(AF433, Constants!$B$4,IF(COUNTA(G433:P433)=0, Constants!$B$5, Constants!$B$7)))</f>
        <v/>
      </c>
      <c r="AH433" s="99" t="str">
        <f aca="false">IF(ISBLANK($C433), "",IF($AG433=Constants!$B$7,1,$AG433))</f>
        <v/>
      </c>
      <c r="AI433" s="99" t="str">
        <f aca="false">IF($AG433=Constants!$B$7,POWER(Constants!$B$11,X433)*POWER(Constants!$B$12,Z433),"")</f>
        <v/>
      </c>
      <c r="AJ433" s="99" t="str">
        <f aca="false">IF(AND($AG433=Constants!$B$7, U433, V433) ,IF(OR($AA433="",$AC433=""),"",MAX(0, $AC433-$AA433)),"")</f>
        <v/>
      </c>
      <c r="AK433" s="99" t="str">
        <f aca="false">IF(AND($AG433=Constants!$B$7, U433, V433),IF(OR($AA433="",$AC433=""),$AK$6,""),"")</f>
        <v/>
      </c>
      <c r="AL433" s="99" t="str">
        <f aca="false">IF($AG433=Constants!$B$7,IF(AND(U433,V433,W433,Y433),IF($AJ433="",0,IF($AJ$6=0,Constants!$B$9,Constants!$B$9*AJ433/$AJ$6)), 0),"")</f>
        <v/>
      </c>
      <c r="AM433" s="99" t="str">
        <f aca="false">IF(AL433&lt;&gt;"", AL433*AI433,"")</f>
        <v/>
      </c>
      <c r="AN433" s="99" t="str">
        <f aca="false">IF(AND($AG433=Constants!$B$7, U433, V433) ,IF($AB433="", "", IF(OR($AC433="",$AC433=0),"",MAX(0,1-ABS($AC433-$AB433)/$AC433))),"")</f>
        <v/>
      </c>
      <c r="AO433" s="99" t="str">
        <f aca="false">IF(AND($AG433=Constants!$B$7, U433, V433),IF(AND($AA433&lt;&gt;"",$AB433&lt;&gt;"",$AC433=0),$AO$6,""),"")</f>
        <v/>
      </c>
      <c r="AP433" s="99" t="str">
        <f aca="false">IF($AG433=Constants!$B$7 ,IF(AND(U433,V433,W433,Y433,ISNUMBER(AB433)),IF($AN433="",0,IF($AN$6=0,Constants!$B$10,Constants!$B$10*AN433/$AN$6)), 0),"")</f>
        <v/>
      </c>
      <c r="AQ433" s="99" t="str">
        <f aca="false">IF(AP433&lt;&gt;"", AP433*AI433,"")</f>
        <v/>
      </c>
      <c r="AR433" s="99" t="str">
        <f aca="false">IF($AG433=Constants!$B$7,IF($AD433="",0,IF($AR$6=0,Constants!$B$8,Constants!$B$8*AD433/$AR$6)),"")</f>
        <v/>
      </c>
      <c r="AS433" s="99" t="str">
        <f aca="false">IF($AG433&lt;&gt;Constants!$B$7,$AG433,IF(AK433&amp;AO433&lt;&gt;"",Constants!$B$14,AM433+AQ433+AR433))</f>
        <v/>
      </c>
      <c r="AT433" s="99" t="str">
        <f aca="false">IF(ISBLANK($C433),"",IF($AG433=Constants!$B$7,IF(ISNUMBER(AS433),RANK(AS433,$AS$8:$AS$507),Constants!$B$14),$AG433))</f>
        <v/>
      </c>
      <c r="AU433" s="99" t="str">
        <f aca="false">IF(ISBLANK($C433), "",AM433)</f>
        <v/>
      </c>
      <c r="AV433" s="99" t="str">
        <f aca="false">IF(ISBLANK($C433),"",IF($AG433=Constants!$B$7,RANK(AU433,AU$8:AU$507),$AG433))</f>
        <v/>
      </c>
      <c r="AW433" s="99" t="str">
        <f aca="false">IF(ISBLANK($C433), "",AR433)</f>
        <v/>
      </c>
      <c r="AX433" s="99" t="str">
        <f aca="false">IF(ISBLANK($C433),"",IF($AG433=Constants!$B$7,RANK(AW433,AW$8:AW$507),$AG433))</f>
        <v/>
      </c>
      <c r="AY433" s="99" t="str">
        <f aca="false">IF(ISBLANK($C433), "",AE433)</f>
        <v/>
      </c>
      <c r="AZ433" s="99" t="str">
        <f aca="false">IF(ISBLANK($C433),"",
IF($AG433=Constants!$B$7,
  IF(ISNUMBER(AT433),
    COUNTIFS($AT$8:$AT$507,"&lt;"&amp;$AT433)
    + COUNTIFS($AT$8:$AT$507,$AT433,$AV$8:$AV$507,"&lt;"&amp;$AV433)
    + COUNTIFS($AT$8:$AT$507,$AT433,$AV$8:$AV$507,$AV433,$AX$8:$AX$507,"&lt;"&amp;$AX433)
    + COUNTIFS($AT$8:$AT$507,$AT433,$AV$8:$AV$507,$AV433,$AX$8:$AX$507,$AX433,$AY$8:$AY$507,"&lt;"&amp;$AY433)
    + 1,
  Constants!$B$14),
$AG433))</f>
        <v/>
      </c>
      <c r="BA433" s="99" t="str">
        <f aca="false">IF(ISBLANK(C433),"",IF($AG433=Constants!$B$7, IF(ISNUMBER(AT433),AT433-AZ433,Constants!$B$14),$AG433))</f>
        <v/>
      </c>
      <c r="BB433" s="103"/>
      <c r="BC433" s="104" t="str">
        <f aca="false">IF(ISBLANK($C433),"",TRIM(AK433&amp;" "&amp;AO433))</f>
        <v/>
      </c>
      <c r="BD433" s="105" t="str">
        <f aca="false">IF(ISBLANK($C433),"",IF($AG433&lt;&gt;Constants!$B$7,$AG433,AR433))</f>
        <v/>
      </c>
      <c r="BE433" s="105" t="str">
        <f aca="false">IF(ISBLANK($C433),"",IF($AG433&lt;&gt;Constants!$B$7,$AG433,AM433))</f>
        <v/>
      </c>
      <c r="BF433" s="105" t="str">
        <f aca="false">IF(ISBLANK($C433),"",IF($AG433&lt;&gt;Constants!$B$7,$AG433,AQ433))</f>
        <v/>
      </c>
      <c r="BG433" s="106" t="str">
        <f aca="false">IF(ISBLANK($C433),"",IF($AG433&lt;&gt;Constants!$B$7, $AG433 ,AS433))</f>
        <v/>
      </c>
      <c r="BH433" s="107" t="str">
        <f aca="false">IF(ISBLANK($C433),"",IF($AG433&lt;&gt;Constants!$B$7, $AG433 ,AH433))</f>
        <v/>
      </c>
      <c r="BI433" s="105" t="str">
        <f aca="false">IF(ISBLANK(C433),"",BA433)</f>
        <v/>
      </c>
      <c r="BJ433" s="105" t="str">
        <f aca="false">IF(ISBLANK(C433),"",AZ433)</f>
        <v/>
      </c>
      <c r="BK433" s="108" t="str">
        <f aca="false">IF(ISBLANK(C433),"",IFERROR(_xlfn.SWITCH(BJ433, Constants!$B$4, COUNTA($C$8:$C932)+2, Constants!$B$5, COUNTA($C$8:$C932)+1, Constants!$B$6, COUNTA($C$8:$C932)),BJ433))</f>
        <v/>
      </c>
      <c r="BL433" s="5"/>
      <c r="BM433" s="109" t="n">
        <f aca="false">IF(OR(ISNUMBER(BJ433),BJ433="DQ",BJ433="P",BJ433="NS"),
    1,
    0
)</f>
        <v>0</v>
      </c>
      <c r="BN433" s="109" t="n">
        <v>426</v>
      </c>
      <c r="BO433" s="109" t="str">
        <f aca="false">IF(ISBLANK($C433),"",IF(ISNUMBER(BK433),BK433+ROW($B433)/1000,""))</f>
        <v/>
      </c>
      <c r="BP433" s="109" t="str">
        <f aca="false">IF(ISNUMBER(BO433), RANK(BO433,BO$8:BO$507,1), "")</f>
        <v/>
      </c>
      <c r="BQ433" s="109" t="str">
        <f aca="false">IF(ISBLANK($C433),
    "",
    $B433
)</f>
        <v/>
      </c>
      <c r="BR433" s="109" t="str">
        <f aca="false">IF(ISBLANK($C433),
    "",
    $C433
)</f>
        <v/>
      </c>
      <c r="BS433" s="109" t="str">
        <f aca="false">IF(ISBLANK($C433),
    "",
    $D433
)</f>
        <v/>
      </c>
      <c r="BT433" s="110" t="str">
        <f aca="false">BH433</f>
        <v/>
      </c>
      <c r="BU433" s="111" t="str">
        <f aca="false">BG433</f>
        <v/>
      </c>
      <c r="BV433" s="109" t="str">
        <f aca="false">IF(ISBLANK($C433),
    "",
    BJ433
)</f>
        <v/>
      </c>
      <c r="BW433" s="112" t="str">
        <f aca="false">IF(BN433&gt;BM$7,
    "",
    VLOOKUP(BN433,BP$8:BV932,7,FALSE())
)</f>
        <v/>
      </c>
      <c r="BX433" s="113" t="str">
        <f aca="false">IF(BN433&gt;BM$7,
    "",
    VLOOKUP(BN433,BP$8:BV932,2,FALSE())
)</f>
        <v/>
      </c>
      <c r="BY433" s="113" t="str">
        <f aca="false">IF(BN433&gt;BM$7,
    "",
    VLOOKUP(BN433,BP$8:BV932,3,FALSE())
)</f>
        <v/>
      </c>
      <c r="BZ433" s="113" t="str">
        <f aca="false">IF(BN433&gt;BM$7,
    "",
    VLOOKUP(BN433,BP$8:BV932,4,FALSE())
)</f>
        <v/>
      </c>
      <c r="CA433" s="113" t="str">
        <f aca="false">IF(BN433&gt;BM$7,
    "",
    VLOOKUP(BN433,BP$8:BV932,5,FALSE())
)</f>
        <v/>
      </c>
      <c r="CB433" s="114" t="str">
        <f aca="false">IF(BN433&gt;BM$7,
    "",
    VLOOKUP(BN433,BP$8:BV932,6,FALSE())
)</f>
        <v/>
      </c>
      <c r="CC433" s="53"/>
    </row>
    <row r="434" customFormat="false" ht="15.75" hidden="false" customHeight="false" outlineLevel="0" collapsed="false">
      <c r="A434" s="5"/>
      <c r="B434" s="129"/>
      <c r="C434" s="55"/>
      <c r="D434" s="56"/>
      <c r="E434" s="123"/>
      <c r="F434" s="123"/>
      <c r="G434" s="58"/>
      <c r="H434" s="59"/>
      <c r="I434" s="59"/>
      <c r="J434" s="83"/>
      <c r="K434" s="83"/>
      <c r="L434" s="83"/>
      <c r="M434" s="61"/>
      <c r="N434" s="61"/>
      <c r="O434" s="61"/>
      <c r="P434" s="62"/>
      <c r="Q434" s="63"/>
      <c r="R434" s="83"/>
      <c r="S434" s="65"/>
      <c r="T434" s="66"/>
      <c r="U434" s="66" t="str">
        <f aca="false">IF(ISBLANK($C434),"",IF(G434=Constants!$B$2, TRUE(), IF(G434=Constants!$B$3, FALSE(), TRUE())))</f>
        <v/>
      </c>
      <c r="V434" s="66" t="str">
        <f aca="false">IF(ISBLANK($C434),"",IF(H434=Constants!$B$2, TRUE(), IF(H434=Constants!$B$3, FALSE(), TRUE())))</f>
        <v/>
      </c>
      <c r="W434" s="66" t="str">
        <f aca="false">IF(ISBLANK($C434),"",IF(I434=Constants!$B$2, TRUE(), IF(I434=Constants!$B$3, FALSE(), TRUE())))</f>
        <v/>
      </c>
      <c r="X434" s="66" t="str">
        <f aca="false">IF(ISBLANK($C434),"",IF(AND(ISNUMBER(J434),J434&gt;0),INT(J434),0))</f>
        <v/>
      </c>
      <c r="Y434" s="66" t="str">
        <f aca="false">IF(ISBLANK($C434),"",IF(K434=Constants!$B$2, TRUE(), IF(K434=Constants!$B$3, FALSE(), TRUE())))</f>
        <v/>
      </c>
      <c r="Z434" s="66" t="str">
        <f aca="false">IF(ISBLANK($C434),"",IF(AND(ISNUMBER(L434),L434&gt;0),INT(L434),0))</f>
        <v/>
      </c>
      <c r="AA434" s="68" t="str">
        <f aca="false">IF(ISBLANK($C434),"",IF(ISNUMBER(M434), M434, ""))</f>
        <v/>
      </c>
      <c r="AB434" s="68" t="str">
        <f aca="false">IF(ISBLANK($C434),"",IF(ISNUMBER(N434), N434, ""))</f>
        <v/>
      </c>
      <c r="AC434" s="68" t="str">
        <f aca="false">IF(ISBLANK($C434),"",IF(ISNUMBER(O434), O434, ""))</f>
        <v/>
      </c>
      <c r="AD434" s="69" t="str">
        <f aca="false">IF(ISBLANK($C434),"",IF(ISNUMBER(P434), P434, ""))</f>
        <v/>
      </c>
      <c r="AE434" s="69" t="str">
        <f aca="false">IF(ISBLANK($C434),"",IF(ISNUMBER(Q434), Q434, Constants!$B$13))</f>
        <v/>
      </c>
      <c r="AF434" s="66" t="str">
        <f aca="false">IF(ISBLANK($C434),"",IF(R434=Constants!$B$2, TRUE(), IF(R434=Constants!$B$3, FALSE(), FALSE())))</f>
        <v/>
      </c>
      <c r="AG434" s="66" t="str">
        <f aca="false">IF(ISBLANK(C434), "", IF(AF434, Constants!$B$4,IF(COUNTA(G434:P434)=0, Constants!$B$5, Constants!$B$7)))</f>
        <v/>
      </c>
      <c r="AH434" s="66" t="str">
        <f aca="false">IF(ISBLANK($C434), "",IF($AG434=Constants!$B$7,1,$AG434))</f>
        <v/>
      </c>
      <c r="AI434" s="66" t="str">
        <f aca="false">IF($AG434=Constants!$B$7,POWER(Constants!$B$11,X434)*POWER(Constants!$B$12,Z434),"")</f>
        <v/>
      </c>
      <c r="AJ434" s="66" t="str">
        <f aca="false">IF(AND($AG434=Constants!$B$7, U434, V434) ,IF(OR($AA434="",$AC434=""),"",MAX(0, $AC434-$AA434)),"")</f>
        <v/>
      </c>
      <c r="AK434" s="66" t="str">
        <f aca="false">IF(AND($AG434=Constants!$B$7, U434, V434),IF(OR($AA434="",$AC434=""),$AK$6,""),"")</f>
        <v/>
      </c>
      <c r="AL434" s="66" t="str">
        <f aca="false">IF($AG434=Constants!$B$7,IF(AND(U434,V434,W434,Y434),IF($AJ434="",0,IF($AJ$6=0,Constants!$B$9,Constants!$B$9*AJ434/$AJ$6)), 0),"")</f>
        <v/>
      </c>
      <c r="AM434" s="66" t="str">
        <f aca="false">IF(AL434&lt;&gt;"", AL434*AI434,"")</f>
        <v/>
      </c>
      <c r="AN434" s="66" t="str">
        <f aca="false">IF(AND($AG434=Constants!$B$7, U434, V434) ,IF($AB434="", "", IF(OR($AC434="",$AC434=0),"",MAX(0,1-ABS($AC434-$AB434)/$AC434))),"")</f>
        <v/>
      </c>
      <c r="AO434" s="66" t="str">
        <f aca="false">IF(AND($AG434=Constants!$B$7, U434, V434),IF(AND($AA434&lt;&gt;"",$AB434&lt;&gt;"",$AC434=0),$AO$6,""),"")</f>
        <v/>
      </c>
      <c r="AP434" s="66" t="str">
        <f aca="false">IF($AG434=Constants!$B$7 ,IF(AND(U434,V434,W434,Y434,ISNUMBER(AB434)),IF($AN434="",0,IF($AN$6=0,Constants!$B$10,Constants!$B$10*AN434/$AN$6)), 0),"")</f>
        <v/>
      </c>
      <c r="AQ434" s="66" t="str">
        <f aca="false">IF(AP434&lt;&gt;"", AP434*AI434,"")</f>
        <v/>
      </c>
      <c r="AR434" s="66" t="str">
        <f aca="false">IF($AG434=Constants!$B$7,IF($AD434="",0,IF($AR$6=0,Constants!$B$8,Constants!$B$8*AD434/$AR$6)),"")</f>
        <v/>
      </c>
      <c r="AS434" s="66" t="str">
        <f aca="false">IF($AG434&lt;&gt;Constants!$B$7,$AG434,IF(AK434&amp;AO434&lt;&gt;"",Constants!$B$14,AM434+AQ434+AR434))</f>
        <v/>
      </c>
      <c r="AT434" s="66" t="str">
        <f aca="false">IF(ISBLANK($C434),"",IF($AG434=Constants!$B$7,IF(ISNUMBER(AS434),RANK(AS434,$AS$8:$AS$507),Constants!$B$14),$AG434))</f>
        <v/>
      </c>
      <c r="AU434" s="66" t="str">
        <f aca="false">IF(ISBLANK($C434), "",AM434)</f>
        <v/>
      </c>
      <c r="AV434" s="66" t="str">
        <f aca="false">IF(ISBLANK($C434),"",IF($AG434=Constants!$B$7,RANK(AU434,AU$8:AU$507),$AG434))</f>
        <v/>
      </c>
      <c r="AW434" s="66" t="str">
        <f aca="false">IF(ISBLANK($C434), "",AR434)</f>
        <v/>
      </c>
      <c r="AX434" s="66" t="str">
        <f aca="false">IF(ISBLANK($C434),"",IF($AG434=Constants!$B$7,RANK(AW434,AW$8:AW$507),$AG434))</f>
        <v/>
      </c>
      <c r="AY434" s="66" t="str">
        <f aca="false">IF(ISBLANK($C434), "",AE434)</f>
        <v/>
      </c>
      <c r="AZ434" s="66" t="str">
        <f aca="false">IF(ISBLANK($C434),"",
IF($AG434=Constants!$B$7,
  IF(ISNUMBER(AT434),
    COUNTIFS($AT$8:$AT$507,"&lt;"&amp;$AT434)
    + COUNTIFS($AT$8:$AT$507,$AT434,$AV$8:$AV$507,"&lt;"&amp;$AV434)
    + COUNTIFS($AT$8:$AT$507,$AT434,$AV$8:$AV$507,$AV434,$AX$8:$AX$507,"&lt;"&amp;$AX434)
    + COUNTIFS($AT$8:$AT$507,$AT434,$AV$8:$AV$507,$AV434,$AX$8:$AX$507,$AX434,$AY$8:$AY$507,"&lt;"&amp;$AY434)
    + 1,
  Constants!$B$14),
$AG434))</f>
        <v/>
      </c>
      <c r="BA434" s="66" t="str">
        <f aca="false">IF(ISBLANK(C434),"",IF($AG434=Constants!$B$7, IF(ISNUMBER(AT434),AT434-AZ434,Constants!$B$14),$AG434))</f>
        <v/>
      </c>
      <c r="BB434" s="70"/>
      <c r="BC434" s="84" t="str">
        <f aca="false">IF(ISBLANK($C434),"",TRIM(AK434&amp;" "&amp;AO434))</f>
        <v/>
      </c>
      <c r="BD434" s="72" t="str">
        <f aca="false">IF(ISBLANK($C434),"",IF($AG434&lt;&gt;Constants!$B$7,$AG434,AR434))</f>
        <v/>
      </c>
      <c r="BE434" s="72" t="str">
        <f aca="false">IF(ISBLANK($C434),"",IF($AG434&lt;&gt;Constants!$B$7,$AG434,AM434))</f>
        <v/>
      </c>
      <c r="BF434" s="72" t="str">
        <f aca="false">IF(ISBLANK($C434),"",IF($AG434&lt;&gt;Constants!$B$7,$AG434,AQ434))</f>
        <v/>
      </c>
      <c r="BG434" s="73" t="str">
        <f aca="false">IF(ISBLANK($C434),"",IF($AG434&lt;&gt;Constants!$B$7, $AG434 ,AS434))</f>
        <v/>
      </c>
      <c r="BH434" s="74" t="str">
        <f aca="false">IF(ISBLANK($C434),"",IF($AG434&lt;&gt;Constants!$B$7, $AG434 ,AH434))</f>
        <v/>
      </c>
      <c r="BI434" s="72" t="str">
        <f aca="false">IF(ISBLANK(C434),"",BA434)</f>
        <v/>
      </c>
      <c r="BJ434" s="72" t="str">
        <f aca="false">IF(ISBLANK(C434),"",AZ434)</f>
        <v/>
      </c>
      <c r="BK434" s="75" t="str">
        <f aca="false">IF(ISBLANK(C434),"",IFERROR(_xlfn.SWITCH(BJ434, Constants!$B$4, COUNTA($C$8:$C933)+2, Constants!$B$5, COUNTA($C$8:$C933)+1, Constants!$B$6, COUNTA($C$8:$C933)),BJ434))</f>
        <v/>
      </c>
      <c r="BL434" s="5"/>
      <c r="BM434" s="76" t="n">
        <f aca="false">IF(OR(ISNUMBER(BJ434),BJ434="DQ",BJ434="P",BJ434="NS"),
    1,
    0
)</f>
        <v>0</v>
      </c>
      <c r="BN434" s="76" t="n">
        <v>427</v>
      </c>
      <c r="BO434" s="76" t="str">
        <f aca="false">IF(ISBLANK($C434),"",IF(ISNUMBER(BK434),BK434+ROW($B434)/1000,""))</f>
        <v/>
      </c>
      <c r="BP434" s="76" t="str">
        <f aca="false">IF(ISNUMBER(BO434), RANK(BO434,BO$8:BO$507,1), "")</f>
        <v/>
      </c>
      <c r="BQ434" s="76" t="str">
        <f aca="false">IF(ISBLANK($C434),
    "",
    $B434
)</f>
        <v/>
      </c>
      <c r="BR434" s="76" t="str">
        <f aca="false">IF(ISBLANK($C434),
    "",
    $C434
)</f>
        <v/>
      </c>
      <c r="BS434" s="76" t="str">
        <f aca="false">IF(ISBLANK($C434),
    "",
    $D434
)</f>
        <v/>
      </c>
      <c r="BT434" s="77" t="str">
        <f aca="false">BH434</f>
        <v/>
      </c>
      <c r="BU434" s="78" t="str">
        <f aca="false">BG434</f>
        <v/>
      </c>
      <c r="BV434" s="76" t="str">
        <f aca="false">IF(ISBLANK($C434),
    "",
    BJ434
)</f>
        <v/>
      </c>
      <c r="BW434" s="79" t="str">
        <f aca="false">IF(BN434&gt;BM$7,
    "",
    VLOOKUP(BN434,BP$8:BV933,7,FALSE())
)</f>
        <v/>
      </c>
      <c r="BX434" s="80" t="str">
        <f aca="false">IF(BN434&gt;BM$7,
    "",
    VLOOKUP(BN434,BP$8:BV933,2,FALSE())
)</f>
        <v/>
      </c>
      <c r="BY434" s="80" t="str">
        <f aca="false">IF(BN434&gt;BM$7,
    "",
    VLOOKUP(BN434,BP$8:BV933,3,FALSE())
)</f>
        <v/>
      </c>
      <c r="BZ434" s="80" t="str">
        <f aca="false">IF(BN434&gt;BM$7,
    "",
    VLOOKUP(BN434,BP$8:BV933,4,FALSE())
)</f>
        <v/>
      </c>
      <c r="CA434" s="80" t="str">
        <f aca="false">IF(BN434&gt;BM$7,
    "",
    VLOOKUP(BN434,BP$8:BV933,5,FALSE())
)</f>
        <v/>
      </c>
      <c r="CB434" s="81" t="str">
        <f aca="false">IF(BN434&gt;BM$7,
    "",
    VLOOKUP(BN434,BP$8:BV933,6,FALSE())
)</f>
        <v/>
      </c>
      <c r="CC434" s="53"/>
    </row>
    <row r="435" customFormat="false" ht="15.75" hidden="false" customHeight="false" outlineLevel="0" collapsed="false">
      <c r="A435" s="5"/>
      <c r="B435" s="129"/>
      <c r="C435" s="55"/>
      <c r="D435" s="56"/>
      <c r="E435" s="123"/>
      <c r="F435" s="123"/>
      <c r="G435" s="58"/>
      <c r="H435" s="59"/>
      <c r="I435" s="59"/>
      <c r="J435" s="83"/>
      <c r="K435" s="83"/>
      <c r="L435" s="83"/>
      <c r="M435" s="61"/>
      <c r="N435" s="61"/>
      <c r="O435" s="61"/>
      <c r="P435" s="62"/>
      <c r="Q435" s="63"/>
      <c r="R435" s="83"/>
      <c r="S435" s="65"/>
      <c r="T435" s="66"/>
      <c r="U435" s="66" t="str">
        <f aca="false">IF(ISBLANK($C435),"",IF(G435=Constants!$B$2, TRUE(), IF(G435=Constants!$B$3, FALSE(), TRUE())))</f>
        <v/>
      </c>
      <c r="V435" s="66" t="str">
        <f aca="false">IF(ISBLANK($C435),"",IF(H435=Constants!$B$2, TRUE(), IF(H435=Constants!$B$3, FALSE(), TRUE())))</f>
        <v/>
      </c>
      <c r="W435" s="66" t="str">
        <f aca="false">IF(ISBLANK($C435),"",IF(I435=Constants!$B$2, TRUE(), IF(I435=Constants!$B$3, FALSE(), TRUE())))</f>
        <v/>
      </c>
      <c r="X435" s="66" t="str">
        <f aca="false">IF(ISBLANK($C435),"",IF(AND(ISNUMBER(J435),J435&gt;0),INT(J435),0))</f>
        <v/>
      </c>
      <c r="Y435" s="66" t="str">
        <f aca="false">IF(ISBLANK($C435),"",IF(K435=Constants!$B$2, TRUE(), IF(K435=Constants!$B$3, FALSE(), TRUE())))</f>
        <v/>
      </c>
      <c r="Z435" s="66" t="str">
        <f aca="false">IF(ISBLANK($C435),"",IF(AND(ISNUMBER(L435),L435&gt;0),INT(L435),0))</f>
        <v/>
      </c>
      <c r="AA435" s="68" t="str">
        <f aca="false">IF(ISBLANK($C435),"",IF(ISNUMBER(M435), M435, ""))</f>
        <v/>
      </c>
      <c r="AB435" s="68" t="str">
        <f aca="false">IF(ISBLANK($C435),"",IF(ISNUMBER(N435), N435, ""))</f>
        <v/>
      </c>
      <c r="AC435" s="68" t="str">
        <f aca="false">IF(ISBLANK($C435),"",IF(ISNUMBER(O435), O435, ""))</f>
        <v/>
      </c>
      <c r="AD435" s="69" t="str">
        <f aca="false">IF(ISBLANK($C435),"",IF(ISNUMBER(P435), P435, ""))</f>
        <v/>
      </c>
      <c r="AE435" s="69" t="str">
        <f aca="false">IF(ISBLANK($C435),"",IF(ISNUMBER(Q435), Q435, Constants!$B$13))</f>
        <v/>
      </c>
      <c r="AF435" s="66" t="str">
        <f aca="false">IF(ISBLANK($C435),"",IF(R435=Constants!$B$2, TRUE(), IF(R435=Constants!$B$3, FALSE(), FALSE())))</f>
        <v/>
      </c>
      <c r="AG435" s="66" t="str">
        <f aca="false">IF(ISBLANK(C435), "", IF(AF435, Constants!$B$4,IF(COUNTA(G435:P435)=0, Constants!$B$5, Constants!$B$7)))</f>
        <v/>
      </c>
      <c r="AH435" s="66" t="str">
        <f aca="false">IF(ISBLANK($C435), "",IF($AG435=Constants!$B$7,1,$AG435))</f>
        <v/>
      </c>
      <c r="AI435" s="66" t="str">
        <f aca="false">IF($AG435=Constants!$B$7,POWER(Constants!$B$11,X435)*POWER(Constants!$B$12,Z435),"")</f>
        <v/>
      </c>
      <c r="AJ435" s="66" t="str">
        <f aca="false">IF(AND($AG435=Constants!$B$7, U435, V435) ,IF(OR($AA435="",$AC435=""),"",MAX(0, $AC435-$AA435)),"")</f>
        <v/>
      </c>
      <c r="AK435" s="66" t="str">
        <f aca="false">IF(AND($AG435=Constants!$B$7, U435, V435),IF(OR($AA435="",$AC435=""),$AK$6,""),"")</f>
        <v/>
      </c>
      <c r="AL435" s="66" t="str">
        <f aca="false">IF($AG435=Constants!$B$7,IF(AND(U435,V435,W435,Y435),IF($AJ435="",0,IF($AJ$6=0,Constants!$B$9,Constants!$B$9*AJ435/$AJ$6)), 0),"")</f>
        <v/>
      </c>
      <c r="AM435" s="66" t="str">
        <f aca="false">IF(AL435&lt;&gt;"", AL435*AI435,"")</f>
        <v/>
      </c>
      <c r="AN435" s="66" t="str">
        <f aca="false">IF(AND($AG435=Constants!$B$7, U435, V435) ,IF($AB435="", "", IF(OR($AC435="",$AC435=0),"",MAX(0,1-ABS($AC435-$AB435)/$AC435))),"")</f>
        <v/>
      </c>
      <c r="AO435" s="66" t="str">
        <f aca="false">IF(AND($AG435=Constants!$B$7, U435, V435),IF(AND($AA435&lt;&gt;"",$AB435&lt;&gt;"",$AC435=0),$AO$6,""),"")</f>
        <v/>
      </c>
      <c r="AP435" s="66" t="str">
        <f aca="false">IF($AG435=Constants!$B$7 ,IF(AND(U435,V435,W435,Y435,ISNUMBER(AB435)),IF($AN435="",0,IF($AN$6=0,Constants!$B$10,Constants!$B$10*AN435/$AN$6)), 0),"")</f>
        <v/>
      </c>
      <c r="AQ435" s="66" t="str">
        <f aca="false">IF(AP435&lt;&gt;"", AP435*AI435,"")</f>
        <v/>
      </c>
      <c r="AR435" s="66" t="str">
        <f aca="false">IF($AG435=Constants!$B$7,IF($AD435="",0,IF($AR$6=0,Constants!$B$8,Constants!$B$8*AD435/$AR$6)),"")</f>
        <v/>
      </c>
      <c r="AS435" s="66" t="str">
        <f aca="false">IF($AG435&lt;&gt;Constants!$B$7,$AG435,IF(AK435&amp;AO435&lt;&gt;"",Constants!$B$14,AM435+AQ435+AR435))</f>
        <v/>
      </c>
      <c r="AT435" s="66" t="str">
        <f aca="false">IF(ISBLANK($C435),"",IF($AG435=Constants!$B$7,IF(ISNUMBER(AS435),RANK(AS435,$AS$8:$AS$507),Constants!$B$14),$AG435))</f>
        <v/>
      </c>
      <c r="AU435" s="66" t="str">
        <f aca="false">IF(ISBLANK($C435), "",AM435)</f>
        <v/>
      </c>
      <c r="AV435" s="66" t="str">
        <f aca="false">IF(ISBLANK($C435),"",IF($AG435=Constants!$B$7,RANK(AU435,AU$8:AU$507),$AG435))</f>
        <v/>
      </c>
      <c r="AW435" s="66" t="str">
        <f aca="false">IF(ISBLANK($C435), "",AR435)</f>
        <v/>
      </c>
      <c r="AX435" s="66" t="str">
        <f aca="false">IF(ISBLANK($C435),"",IF($AG435=Constants!$B$7,RANK(AW435,AW$8:AW$507),$AG435))</f>
        <v/>
      </c>
      <c r="AY435" s="66" t="str">
        <f aca="false">IF(ISBLANK($C435), "",AE435)</f>
        <v/>
      </c>
      <c r="AZ435" s="66" t="str">
        <f aca="false">IF(ISBLANK($C435),"",
IF($AG435=Constants!$B$7,
  IF(ISNUMBER(AT435),
    COUNTIFS($AT$8:$AT$507,"&lt;"&amp;$AT435)
    + COUNTIFS($AT$8:$AT$507,$AT435,$AV$8:$AV$507,"&lt;"&amp;$AV435)
    + COUNTIFS($AT$8:$AT$507,$AT435,$AV$8:$AV$507,$AV435,$AX$8:$AX$507,"&lt;"&amp;$AX435)
    + COUNTIFS($AT$8:$AT$507,$AT435,$AV$8:$AV$507,$AV435,$AX$8:$AX$507,$AX435,$AY$8:$AY$507,"&lt;"&amp;$AY435)
    + 1,
  Constants!$B$14),
$AG435))</f>
        <v/>
      </c>
      <c r="BA435" s="66" t="str">
        <f aca="false">IF(ISBLANK(C435),"",IF($AG435=Constants!$B$7, IF(ISNUMBER(AT435),AT435-AZ435,Constants!$B$14),$AG435))</f>
        <v/>
      </c>
      <c r="BB435" s="70"/>
      <c r="BC435" s="84" t="str">
        <f aca="false">IF(ISBLANK($C435),"",TRIM(AK435&amp;" "&amp;AO435))</f>
        <v/>
      </c>
      <c r="BD435" s="72" t="str">
        <f aca="false">IF(ISBLANK($C435),"",IF($AG435&lt;&gt;Constants!$B$7,$AG435,AR435))</f>
        <v/>
      </c>
      <c r="BE435" s="72" t="str">
        <f aca="false">IF(ISBLANK($C435),"",IF($AG435&lt;&gt;Constants!$B$7,$AG435,AM435))</f>
        <v/>
      </c>
      <c r="BF435" s="72" t="str">
        <f aca="false">IF(ISBLANK($C435),"",IF($AG435&lt;&gt;Constants!$B$7,$AG435,AQ435))</f>
        <v/>
      </c>
      <c r="BG435" s="73" t="str">
        <f aca="false">IF(ISBLANK($C435),"",IF($AG435&lt;&gt;Constants!$B$7, $AG435 ,AS435))</f>
        <v/>
      </c>
      <c r="BH435" s="74" t="str">
        <f aca="false">IF(ISBLANK($C435),"",IF($AG435&lt;&gt;Constants!$B$7, $AG435 ,AH435))</f>
        <v/>
      </c>
      <c r="BI435" s="72" t="str">
        <f aca="false">IF(ISBLANK(C435),"",BA435)</f>
        <v/>
      </c>
      <c r="BJ435" s="72" t="str">
        <f aca="false">IF(ISBLANK(C435),"",AZ435)</f>
        <v/>
      </c>
      <c r="BK435" s="75" t="str">
        <f aca="false">IF(ISBLANK(C435),"",IFERROR(_xlfn.SWITCH(BJ435, Constants!$B$4, COUNTA($C$8:$C934)+2, Constants!$B$5, COUNTA($C$8:$C934)+1, Constants!$B$6, COUNTA($C$8:$C934)),BJ435))</f>
        <v/>
      </c>
      <c r="BL435" s="5"/>
      <c r="BM435" s="76" t="n">
        <f aca="false">IF(OR(ISNUMBER(BJ435),BJ435="DQ",BJ435="P",BJ435="NS"),
    1,
    0
)</f>
        <v>0</v>
      </c>
      <c r="BN435" s="76" t="n">
        <v>428</v>
      </c>
      <c r="BO435" s="76" t="str">
        <f aca="false">IF(ISBLANK($C435),"",IF(ISNUMBER(BK435),BK435+ROW($B435)/1000,""))</f>
        <v/>
      </c>
      <c r="BP435" s="76" t="str">
        <f aca="false">IF(ISNUMBER(BO435), RANK(BO435,BO$8:BO$507,1), "")</f>
        <v/>
      </c>
      <c r="BQ435" s="76" t="str">
        <f aca="false">IF(ISBLANK($C435),
    "",
    $B435
)</f>
        <v/>
      </c>
      <c r="BR435" s="76" t="str">
        <f aca="false">IF(ISBLANK($C435),
    "",
    $C435
)</f>
        <v/>
      </c>
      <c r="BS435" s="76" t="str">
        <f aca="false">IF(ISBLANK($C435),
    "",
    $D435
)</f>
        <v/>
      </c>
      <c r="BT435" s="77" t="str">
        <f aca="false">BH435</f>
        <v/>
      </c>
      <c r="BU435" s="78" t="str">
        <f aca="false">BG435</f>
        <v/>
      </c>
      <c r="BV435" s="76" t="str">
        <f aca="false">IF(ISBLANK($C435),
    "",
    BJ435
)</f>
        <v/>
      </c>
      <c r="BW435" s="79" t="str">
        <f aca="false">IF(BN435&gt;BM$7,
    "",
    VLOOKUP(BN435,BP$8:BV934,7,FALSE())
)</f>
        <v/>
      </c>
      <c r="BX435" s="80" t="str">
        <f aca="false">IF(BN435&gt;BM$7,
    "",
    VLOOKUP(BN435,BP$8:BV934,2,FALSE())
)</f>
        <v/>
      </c>
      <c r="BY435" s="80" t="str">
        <f aca="false">IF(BN435&gt;BM$7,
    "",
    VLOOKUP(BN435,BP$8:BV934,3,FALSE())
)</f>
        <v/>
      </c>
      <c r="BZ435" s="80" t="str">
        <f aca="false">IF(BN435&gt;BM$7,
    "",
    VLOOKUP(BN435,BP$8:BV934,4,FALSE())
)</f>
        <v/>
      </c>
      <c r="CA435" s="80" t="str">
        <f aca="false">IF(BN435&gt;BM$7,
    "",
    VLOOKUP(BN435,BP$8:BV934,5,FALSE())
)</f>
        <v/>
      </c>
      <c r="CB435" s="81" t="str">
        <f aca="false">IF(BN435&gt;BM$7,
    "",
    VLOOKUP(BN435,BP$8:BV934,6,FALSE())
)</f>
        <v/>
      </c>
      <c r="CC435" s="53"/>
    </row>
    <row r="436" customFormat="false" ht="15.75" hidden="false" customHeight="false" outlineLevel="0" collapsed="false">
      <c r="A436" s="5"/>
      <c r="B436" s="129"/>
      <c r="C436" s="55"/>
      <c r="D436" s="56"/>
      <c r="E436" s="123"/>
      <c r="F436" s="123"/>
      <c r="G436" s="58"/>
      <c r="H436" s="59"/>
      <c r="I436" s="59"/>
      <c r="J436" s="83"/>
      <c r="K436" s="83"/>
      <c r="L436" s="83"/>
      <c r="M436" s="61"/>
      <c r="N436" s="61"/>
      <c r="O436" s="61"/>
      <c r="P436" s="62"/>
      <c r="Q436" s="63"/>
      <c r="R436" s="83"/>
      <c r="S436" s="65"/>
      <c r="T436" s="66"/>
      <c r="U436" s="66" t="str">
        <f aca="false">IF(ISBLANK($C436),"",IF(G436=Constants!$B$2, TRUE(), IF(G436=Constants!$B$3, FALSE(), TRUE())))</f>
        <v/>
      </c>
      <c r="V436" s="66" t="str">
        <f aca="false">IF(ISBLANK($C436),"",IF(H436=Constants!$B$2, TRUE(), IF(H436=Constants!$B$3, FALSE(), TRUE())))</f>
        <v/>
      </c>
      <c r="W436" s="66" t="str">
        <f aca="false">IF(ISBLANK($C436),"",IF(I436=Constants!$B$2, TRUE(), IF(I436=Constants!$B$3, FALSE(), TRUE())))</f>
        <v/>
      </c>
      <c r="X436" s="66" t="str">
        <f aca="false">IF(ISBLANK($C436),"",IF(AND(ISNUMBER(J436),J436&gt;0),INT(J436),0))</f>
        <v/>
      </c>
      <c r="Y436" s="66" t="str">
        <f aca="false">IF(ISBLANK($C436),"",IF(K436=Constants!$B$2, TRUE(), IF(K436=Constants!$B$3, FALSE(), TRUE())))</f>
        <v/>
      </c>
      <c r="Z436" s="66" t="str">
        <f aca="false">IF(ISBLANK($C436),"",IF(AND(ISNUMBER(L436),L436&gt;0),INT(L436),0))</f>
        <v/>
      </c>
      <c r="AA436" s="68" t="str">
        <f aca="false">IF(ISBLANK($C436),"",IF(ISNUMBER(M436), M436, ""))</f>
        <v/>
      </c>
      <c r="AB436" s="68" t="str">
        <f aca="false">IF(ISBLANK($C436),"",IF(ISNUMBER(N436), N436, ""))</f>
        <v/>
      </c>
      <c r="AC436" s="68" t="str">
        <f aca="false">IF(ISBLANK($C436),"",IF(ISNUMBER(O436), O436, ""))</f>
        <v/>
      </c>
      <c r="AD436" s="69" t="str">
        <f aca="false">IF(ISBLANK($C436),"",IF(ISNUMBER(P436), P436, ""))</f>
        <v/>
      </c>
      <c r="AE436" s="69" t="str">
        <f aca="false">IF(ISBLANK($C436),"",IF(ISNUMBER(Q436), Q436, Constants!$B$13))</f>
        <v/>
      </c>
      <c r="AF436" s="66" t="str">
        <f aca="false">IF(ISBLANK($C436),"",IF(R436=Constants!$B$2, TRUE(), IF(R436=Constants!$B$3, FALSE(), FALSE())))</f>
        <v/>
      </c>
      <c r="AG436" s="66" t="str">
        <f aca="false">IF(ISBLANK(C436), "", IF(AF436, Constants!$B$4,IF(COUNTA(G436:P436)=0, Constants!$B$5, Constants!$B$7)))</f>
        <v/>
      </c>
      <c r="AH436" s="66" t="str">
        <f aca="false">IF(ISBLANK($C436), "",IF($AG436=Constants!$B$7,1,$AG436))</f>
        <v/>
      </c>
      <c r="AI436" s="66" t="str">
        <f aca="false">IF($AG436=Constants!$B$7,POWER(Constants!$B$11,X436)*POWER(Constants!$B$12,Z436),"")</f>
        <v/>
      </c>
      <c r="AJ436" s="66" t="str">
        <f aca="false">IF(AND($AG436=Constants!$B$7, U436, V436) ,IF(OR($AA436="",$AC436=""),"",MAX(0, $AC436-$AA436)),"")</f>
        <v/>
      </c>
      <c r="AK436" s="66" t="str">
        <f aca="false">IF(AND($AG436=Constants!$B$7, U436, V436),IF(OR($AA436="",$AC436=""),$AK$6,""),"")</f>
        <v/>
      </c>
      <c r="AL436" s="66" t="str">
        <f aca="false">IF($AG436=Constants!$B$7,IF(AND(U436,V436,W436,Y436),IF($AJ436="",0,IF($AJ$6=0,Constants!$B$9,Constants!$B$9*AJ436/$AJ$6)), 0),"")</f>
        <v/>
      </c>
      <c r="AM436" s="66" t="str">
        <f aca="false">IF(AL436&lt;&gt;"", AL436*AI436,"")</f>
        <v/>
      </c>
      <c r="AN436" s="66" t="str">
        <f aca="false">IF(AND($AG436=Constants!$B$7, U436, V436) ,IF($AB436="", "", IF(OR($AC436="",$AC436=0),"",MAX(0,1-ABS($AC436-$AB436)/$AC436))),"")</f>
        <v/>
      </c>
      <c r="AO436" s="66" t="str">
        <f aca="false">IF(AND($AG436=Constants!$B$7, U436, V436),IF(AND($AA436&lt;&gt;"",$AB436&lt;&gt;"",$AC436=0),$AO$6,""),"")</f>
        <v/>
      </c>
      <c r="AP436" s="66" t="str">
        <f aca="false">IF($AG436=Constants!$B$7 ,IF(AND(U436,V436,W436,Y436,ISNUMBER(AB436)),IF($AN436="",0,IF($AN$6=0,Constants!$B$10,Constants!$B$10*AN436/$AN$6)), 0),"")</f>
        <v/>
      </c>
      <c r="AQ436" s="66" t="str">
        <f aca="false">IF(AP436&lt;&gt;"", AP436*AI436,"")</f>
        <v/>
      </c>
      <c r="AR436" s="66" t="str">
        <f aca="false">IF($AG436=Constants!$B$7,IF($AD436="",0,IF($AR$6=0,Constants!$B$8,Constants!$B$8*AD436/$AR$6)),"")</f>
        <v/>
      </c>
      <c r="AS436" s="66" t="str">
        <f aca="false">IF($AG436&lt;&gt;Constants!$B$7,$AG436,IF(AK436&amp;AO436&lt;&gt;"",Constants!$B$14,AM436+AQ436+AR436))</f>
        <v/>
      </c>
      <c r="AT436" s="66" t="str">
        <f aca="false">IF(ISBLANK($C436),"",IF($AG436=Constants!$B$7,IF(ISNUMBER(AS436),RANK(AS436,$AS$8:$AS$507),Constants!$B$14),$AG436))</f>
        <v/>
      </c>
      <c r="AU436" s="66" t="str">
        <f aca="false">IF(ISBLANK($C436), "",AM436)</f>
        <v/>
      </c>
      <c r="AV436" s="66" t="str">
        <f aca="false">IF(ISBLANK($C436),"",IF($AG436=Constants!$B$7,RANK(AU436,AU$8:AU$507),$AG436))</f>
        <v/>
      </c>
      <c r="AW436" s="66" t="str">
        <f aca="false">IF(ISBLANK($C436), "",AR436)</f>
        <v/>
      </c>
      <c r="AX436" s="66" t="str">
        <f aca="false">IF(ISBLANK($C436),"",IF($AG436=Constants!$B$7,RANK(AW436,AW$8:AW$507),$AG436))</f>
        <v/>
      </c>
      <c r="AY436" s="66" t="str">
        <f aca="false">IF(ISBLANK($C436), "",AE436)</f>
        <v/>
      </c>
      <c r="AZ436" s="66" t="str">
        <f aca="false">IF(ISBLANK($C436),"",
IF($AG436=Constants!$B$7,
  IF(ISNUMBER(AT436),
    COUNTIFS($AT$8:$AT$507,"&lt;"&amp;$AT436)
    + COUNTIFS($AT$8:$AT$507,$AT436,$AV$8:$AV$507,"&lt;"&amp;$AV436)
    + COUNTIFS($AT$8:$AT$507,$AT436,$AV$8:$AV$507,$AV436,$AX$8:$AX$507,"&lt;"&amp;$AX436)
    + COUNTIFS($AT$8:$AT$507,$AT436,$AV$8:$AV$507,$AV436,$AX$8:$AX$507,$AX436,$AY$8:$AY$507,"&lt;"&amp;$AY436)
    + 1,
  Constants!$B$14),
$AG436))</f>
        <v/>
      </c>
      <c r="BA436" s="66" t="str">
        <f aca="false">IF(ISBLANK(C436),"",IF($AG436=Constants!$B$7, IF(ISNUMBER(AT436),AT436-AZ436,Constants!$B$14),$AG436))</f>
        <v/>
      </c>
      <c r="BB436" s="70"/>
      <c r="BC436" s="84" t="str">
        <f aca="false">IF(ISBLANK($C436),"",TRIM(AK436&amp;" "&amp;AO436))</f>
        <v/>
      </c>
      <c r="BD436" s="72" t="str">
        <f aca="false">IF(ISBLANK($C436),"",IF($AG436&lt;&gt;Constants!$B$7,$AG436,AR436))</f>
        <v/>
      </c>
      <c r="BE436" s="72" t="str">
        <f aca="false">IF(ISBLANK($C436),"",IF($AG436&lt;&gt;Constants!$B$7,$AG436,AM436))</f>
        <v/>
      </c>
      <c r="BF436" s="72" t="str">
        <f aca="false">IF(ISBLANK($C436),"",IF($AG436&lt;&gt;Constants!$B$7,$AG436,AQ436))</f>
        <v/>
      </c>
      <c r="BG436" s="73" t="str">
        <f aca="false">IF(ISBLANK($C436),"",IF($AG436&lt;&gt;Constants!$B$7, $AG436 ,AS436))</f>
        <v/>
      </c>
      <c r="BH436" s="74" t="str">
        <f aca="false">IF(ISBLANK($C436),"",IF($AG436&lt;&gt;Constants!$B$7, $AG436 ,AH436))</f>
        <v/>
      </c>
      <c r="BI436" s="72" t="str">
        <f aca="false">IF(ISBLANK(C436),"",BA436)</f>
        <v/>
      </c>
      <c r="BJ436" s="72" t="str">
        <f aca="false">IF(ISBLANK(C436),"",AZ436)</f>
        <v/>
      </c>
      <c r="BK436" s="75" t="str">
        <f aca="false">IF(ISBLANK(C436),"",IFERROR(_xlfn.SWITCH(BJ436, Constants!$B$4, COUNTA($C$8:$C935)+2, Constants!$B$5, COUNTA($C$8:$C935)+1, Constants!$B$6, COUNTA($C$8:$C935)),BJ436))</f>
        <v/>
      </c>
      <c r="BL436" s="5"/>
      <c r="BM436" s="76" t="n">
        <f aca="false">IF(OR(ISNUMBER(BJ436),BJ436="DQ",BJ436="P",BJ436="NS"),
    1,
    0
)</f>
        <v>0</v>
      </c>
      <c r="BN436" s="76" t="n">
        <v>429</v>
      </c>
      <c r="BO436" s="76" t="str">
        <f aca="false">IF(ISBLANK($C436),"",IF(ISNUMBER(BK436),BK436+ROW($B436)/1000,""))</f>
        <v/>
      </c>
      <c r="BP436" s="76" t="str">
        <f aca="false">IF(ISNUMBER(BO436), RANK(BO436,BO$8:BO$507,1), "")</f>
        <v/>
      </c>
      <c r="BQ436" s="76" t="str">
        <f aca="false">IF(ISBLANK($C436),
    "",
    $B436
)</f>
        <v/>
      </c>
      <c r="BR436" s="76" t="str">
        <f aca="false">IF(ISBLANK($C436),
    "",
    $C436
)</f>
        <v/>
      </c>
      <c r="BS436" s="76" t="str">
        <f aca="false">IF(ISBLANK($C436),
    "",
    $D436
)</f>
        <v/>
      </c>
      <c r="BT436" s="77" t="str">
        <f aca="false">BH436</f>
        <v/>
      </c>
      <c r="BU436" s="78" t="str">
        <f aca="false">BG436</f>
        <v/>
      </c>
      <c r="BV436" s="76" t="str">
        <f aca="false">IF(ISBLANK($C436),
    "",
    BJ436
)</f>
        <v/>
      </c>
      <c r="BW436" s="79" t="str">
        <f aca="false">IF(BN436&gt;BM$7,
    "",
    VLOOKUP(BN436,BP$8:BV935,7,FALSE())
)</f>
        <v/>
      </c>
      <c r="BX436" s="80" t="str">
        <f aca="false">IF(BN436&gt;BM$7,
    "",
    VLOOKUP(BN436,BP$8:BV935,2,FALSE())
)</f>
        <v/>
      </c>
      <c r="BY436" s="80" t="str">
        <f aca="false">IF(BN436&gt;BM$7,
    "",
    VLOOKUP(BN436,BP$8:BV935,3,FALSE())
)</f>
        <v/>
      </c>
      <c r="BZ436" s="80" t="str">
        <f aca="false">IF(BN436&gt;BM$7,
    "",
    VLOOKUP(BN436,BP$8:BV935,4,FALSE())
)</f>
        <v/>
      </c>
      <c r="CA436" s="80" t="str">
        <f aca="false">IF(BN436&gt;BM$7,
    "",
    VLOOKUP(BN436,BP$8:BV935,5,FALSE())
)</f>
        <v/>
      </c>
      <c r="CB436" s="81" t="str">
        <f aca="false">IF(BN436&gt;BM$7,
    "",
    VLOOKUP(BN436,BP$8:BV935,6,FALSE())
)</f>
        <v/>
      </c>
      <c r="CC436" s="53"/>
    </row>
    <row r="437" customFormat="false" ht="15.75" hidden="false" customHeight="false" outlineLevel="0" collapsed="false">
      <c r="A437" s="5"/>
      <c r="B437" s="125"/>
      <c r="C437" s="126"/>
      <c r="D437" s="115"/>
      <c r="E437" s="119"/>
      <c r="F437" s="119"/>
      <c r="G437" s="91"/>
      <c r="H437" s="92"/>
      <c r="I437" s="92"/>
      <c r="J437" s="128"/>
      <c r="K437" s="128"/>
      <c r="L437" s="128"/>
      <c r="M437" s="94"/>
      <c r="N437" s="94"/>
      <c r="O437" s="94"/>
      <c r="P437" s="95"/>
      <c r="Q437" s="96"/>
      <c r="R437" s="128"/>
      <c r="S437" s="98"/>
      <c r="T437" s="99"/>
      <c r="U437" s="99" t="str">
        <f aca="false">IF(ISBLANK($C437),"",IF(G437=Constants!$B$2, TRUE(), IF(G437=Constants!$B$3, FALSE(), TRUE())))</f>
        <v/>
      </c>
      <c r="V437" s="99" t="str">
        <f aca="false">IF(ISBLANK($C437),"",IF(H437=Constants!$B$2, TRUE(), IF(H437=Constants!$B$3, FALSE(), TRUE())))</f>
        <v/>
      </c>
      <c r="W437" s="99" t="str">
        <f aca="false">IF(ISBLANK($C437),"",IF(I437=Constants!$B$2, TRUE(), IF(I437=Constants!$B$3, FALSE(), TRUE())))</f>
        <v/>
      </c>
      <c r="X437" s="99" t="str">
        <f aca="false">IF(ISBLANK($C437),"",IF(AND(ISNUMBER(J437),J437&gt;0),INT(J437),0))</f>
        <v/>
      </c>
      <c r="Y437" s="99" t="str">
        <f aca="false">IF(ISBLANK($C437),"",IF(K437=Constants!$B$2, TRUE(), IF(K437=Constants!$B$3, FALSE(), TRUE())))</f>
        <v/>
      </c>
      <c r="Z437" s="100" t="str">
        <f aca="false">IF(ISBLANK($C437),"",IF(AND(ISNUMBER(L437),L437&gt;0),INT(L437),0))</f>
        <v/>
      </c>
      <c r="AA437" s="101" t="str">
        <f aca="false">IF(ISBLANK($C437),"",IF(ISNUMBER(M437), M437, ""))</f>
        <v/>
      </c>
      <c r="AB437" s="101" t="str">
        <f aca="false">IF(ISBLANK($C437),"",IF(ISNUMBER(N437), N437, ""))</f>
        <v/>
      </c>
      <c r="AC437" s="101" t="str">
        <f aca="false">IF(ISBLANK($C437),"",IF(ISNUMBER(O437), O437, ""))</f>
        <v/>
      </c>
      <c r="AD437" s="102" t="str">
        <f aca="false">IF(ISBLANK($C437),"",IF(ISNUMBER(P437), P437, ""))</f>
        <v/>
      </c>
      <c r="AE437" s="102" t="str">
        <f aca="false">IF(ISBLANK($C437),"",IF(ISNUMBER(Q437), Q437, Constants!$B$13))</f>
        <v/>
      </c>
      <c r="AF437" s="99" t="str">
        <f aca="false">IF(ISBLANK($C437),"",IF(R437=Constants!$B$2, TRUE(), IF(R437=Constants!$B$3, FALSE(), FALSE())))</f>
        <v/>
      </c>
      <c r="AG437" s="99" t="str">
        <f aca="false">IF(ISBLANK(C437), "", IF(AF437, Constants!$B$4,IF(COUNTA(G437:P437)=0, Constants!$B$5, Constants!$B$7)))</f>
        <v/>
      </c>
      <c r="AH437" s="99" t="str">
        <f aca="false">IF(ISBLANK($C437), "",IF($AG437=Constants!$B$7,1,$AG437))</f>
        <v/>
      </c>
      <c r="AI437" s="99" t="str">
        <f aca="false">IF($AG437=Constants!$B$7,POWER(Constants!$B$11,X437)*POWER(Constants!$B$12,Z437),"")</f>
        <v/>
      </c>
      <c r="AJ437" s="99" t="str">
        <f aca="false">IF(AND($AG437=Constants!$B$7, U437, V437) ,IF(OR($AA437="",$AC437=""),"",MAX(0, $AC437-$AA437)),"")</f>
        <v/>
      </c>
      <c r="AK437" s="99" t="str">
        <f aca="false">IF(AND($AG437=Constants!$B$7, U437, V437),IF(OR($AA437="",$AC437=""),$AK$6,""),"")</f>
        <v/>
      </c>
      <c r="AL437" s="99" t="str">
        <f aca="false">IF($AG437=Constants!$B$7,IF(AND(U437,V437,W437,Y437),IF($AJ437="",0,IF($AJ$6=0,Constants!$B$9,Constants!$B$9*AJ437/$AJ$6)), 0),"")</f>
        <v/>
      </c>
      <c r="AM437" s="99" t="str">
        <f aca="false">IF(AL437&lt;&gt;"", AL437*AI437,"")</f>
        <v/>
      </c>
      <c r="AN437" s="99" t="str">
        <f aca="false">IF(AND($AG437=Constants!$B$7, U437, V437) ,IF($AB437="", "", IF(OR($AC437="",$AC437=0),"",MAX(0,1-ABS($AC437-$AB437)/$AC437))),"")</f>
        <v/>
      </c>
      <c r="AO437" s="99" t="str">
        <f aca="false">IF(AND($AG437=Constants!$B$7, U437, V437),IF(AND($AA437&lt;&gt;"",$AB437&lt;&gt;"",$AC437=0),$AO$6,""),"")</f>
        <v/>
      </c>
      <c r="AP437" s="99" t="str">
        <f aca="false">IF($AG437=Constants!$B$7 ,IF(AND(U437,V437,W437,Y437,ISNUMBER(AB437)),IF($AN437="",0,IF($AN$6=0,Constants!$B$10,Constants!$B$10*AN437/$AN$6)), 0),"")</f>
        <v/>
      </c>
      <c r="AQ437" s="99" t="str">
        <f aca="false">IF(AP437&lt;&gt;"", AP437*AI437,"")</f>
        <v/>
      </c>
      <c r="AR437" s="99" t="str">
        <f aca="false">IF($AG437=Constants!$B$7,IF($AD437="",0,IF($AR$6=0,Constants!$B$8,Constants!$B$8*AD437/$AR$6)),"")</f>
        <v/>
      </c>
      <c r="AS437" s="99" t="str">
        <f aca="false">IF($AG437&lt;&gt;Constants!$B$7,$AG437,IF(AK437&amp;AO437&lt;&gt;"",Constants!$B$14,AM437+AQ437+AR437))</f>
        <v/>
      </c>
      <c r="AT437" s="99" t="str">
        <f aca="false">IF(ISBLANK($C437),"",IF($AG437=Constants!$B$7,IF(ISNUMBER(AS437),RANK(AS437,$AS$8:$AS$507),Constants!$B$14),$AG437))</f>
        <v/>
      </c>
      <c r="AU437" s="99" t="str">
        <f aca="false">IF(ISBLANK($C437), "",AM437)</f>
        <v/>
      </c>
      <c r="AV437" s="99" t="str">
        <f aca="false">IF(ISBLANK($C437),"",IF($AG437=Constants!$B$7,RANK(AU437,AU$8:AU$507),$AG437))</f>
        <v/>
      </c>
      <c r="AW437" s="99" t="str">
        <f aca="false">IF(ISBLANK($C437), "",AR437)</f>
        <v/>
      </c>
      <c r="AX437" s="99" t="str">
        <f aca="false">IF(ISBLANK($C437),"",IF($AG437=Constants!$B$7,RANK(AW437,AW$8:AW$507),$AG437))</f>
        <v/>
      </c>
      <c r="AY437" s="99" t="str">
        <f aca="false">IF(ISBLANK($C437), "",AE437)</f>
        <v/>
      </c>
      <c r="AZ437" s="99" t="str">
        <f aca="false">IF(ISBLANK($C437),"",
IF($AG437=Constants!$B$7,
  IF(ISNUMBER(AT437),
    COUNTIFS($AT$8:$AT$507,"&lt;"&amp;$AT437)
    + COUNTIFS($AT$8:$AT$507,$AT437,$AV$8:$AV$507,"&lt;"&amp;$AV437)
    + COUNTIFS($AT$8:$AT$507,$AT437,$AV$8:$AV$507,$AV437,$AX$8:$AX$507,"&lt;"&amp;$AX437)
    + COUNTIFS($AT$8:$AT$507,$AT437,$AV$8:$AV$507,$AV437,$AX$8:$AX$507,$AX437,$AY$8:$AY$507,"&lt;"&amp;$AY437)
    + 1,
  Constants!$B$14),
$AG437))</f>
        <v/>
      </c>
      <c r="BA437" s="99" t="str">
        <f aca="false">IF(ISBLANK(C437),"",IF($AG437=Constants!$B$7, IF(ISNUMBER(AT437),AT437-AZ437,Constants!$B$14),$AG437))</f>
        <v/>
      </c>
      <c r="BB437" s="103"/>
      <c r="BC437" s="104" t="str">
        <f aca="false">IF(ISBLANK($C437),"",TRIM(AK437&amp;" "&amp;AO437))</f>
        <v/>
      </c>
      <c r="BD437" s="105" t="str">
        <f aca="false">IF(ISBLANK($C437),"",IF($AG437&lt;&gt;Constants!$B$7,$AG437,AR437))</f>
        <v/>
      </c>
      <c r="BE437" s="105" t="str">
        <f aca="false">IF(ISBLANK($C437),"",IF($AG437&lt;&gt;Constants!$B$7,$AG437,AM437))</f>
        <v/>
      </c>
      <c r="BF437" s="105" t="str">
        <f aca="false">IF(ISBLANK($C437),"",IF($AG437&lt;&gt;Constants!$B$7,$AG437,AQ437))</f>
        <v/>
      </c>
      <c r="BG437" s="106" t="str">
        <f aca="false">IF(ISBLANK($C437),"",IF($AG437&lt;&gt;Constants!$B$7, $AG437 ,AS437))</f>
        <v/>
      </c>
      <c r="BH437" s="107" t="str">
        <f aca="false">IF(ISBLANK($C437),"",IF($AG437&lt;&gt;Constants!$B$7, $AG437 ,AH437))</f>
        <v/>
      </c>
      <c r="BI437" s="105" t="str">
        <f aca="false">IF(ISBLANK(C437),"",BA437)</f>
        <v/>
      </c>
      <c r="BJ437" s="105" t="str">
        <f aca="false">IF(ISBLANK(C437),"",AZ437)</f>
        <v/>
      </c>
      <c r="BK437" s="108" t="str">
        <f aca="false">IF(ISBLANK(C437),"",IFERROR(_xlfn.SWITCH(BJ437, Constants!$B$4, COUNTA($C$8:$C936)+2, Constants!$B$5, COUNTA($C$8:$C936)+1, Constants!$B$6, COUNTA($C$8:$C936)),BJ437))</f>
        <v/>
      </c>
      <c r="BL437" s="5"/>
      <c r="BM437" s="109" t="n">
        <f aca="false">IF(OR(ISNUMBER(BJ437),BJ437="DQ",BJ437="P",BJ437="NS"),
    1,
    0
)</f>
        <v>0</v>
      </c>
      <c r="BN437" s="109" t="n">
        <v>430</v>
      </c>
      <c r="BO437" s="109" t="str">
        <f aca="false">IF(ISBLANK($C437),"",IF(ISNUMBER(BK437),BK437+ROW($B437)/1000,""))</f>
        <v/>
      </c>
      <c r="BP437" s="109" t="str">
        <f aca="false">IF(ISNUMBER(BO437), RANK(BO437,BO$8:BO$507,1), "")</f>
        <v/>
      </c>
      <c r="BQ437" s="109" t="str">
        <f aca="false">IF(ISBLANK($C437),
    "",
    $B437
)</f>
        <v/>
      </c>
      <c r="BR437" s="109" t="str">
        <f aca="false">IF(ISBLANK($C437),
    "",
    $C437
)</f>
        <v/>
      </c>
      <c r="BS437" s="109" t="str">
        <f aca="false">IF(ISBLANK($C437),
    "",
    $D437
)</f>
        <v/>
      </c>
      <c r="BT437" s="110" t="str">
        <f aca="false">BH437</f>
        <v/>
      </c>
      <c r="BU437" s="111" t="str">
        <f aca="false">BG437</f>
        <v/>
      </c>
      <c r="BV437" s="109" t="str">
        <f aca="false">IF(ISBLANK($C437),
    "",
    BJ437
)</f>
        <v/>
      </c>
      <c r="BW437" s="112" t="str">
        <f aca="false">IF(BN437&gt;BM$7,
    "",
    VLOOKUP(BN437,BP$8:BV936,7,FALSE())
)</f>
        <v/>
      </c>
      <c r="BX437" s="113" t="str">
        <f aca="false">IF(BN437&gt;BM$7,
    "",
    VLOOKUP(BN437,BP$8:BV936,2,FALSE())
)</f>
        <v/>
      </c>
      <c r="BY437" s="113" t="str">
        <f aca="false">IF(BN437&gt;BM$7,
    "",
    VLOOKUP(BN437,BP$8:BV936,3,FALSE())
)</f>
        <v/>
      </c>
      <c r="BZ437" s="113" t="str">
        <f aca="false">IF(BN437&gt;BM$7,
    "",
    VLOOKUP(BN437,BP$8:BV936,4,FALSE())
)</f>
        <v/>
      </c>
      <c r="CA437" s="113" t="str">
        <f aca="false">IF(BN437&gt;BM$7,
    "",
    VLOOKUP(BN437,BP$8:BV936,5,FALSE())
)</f>
        <v/>
      </c>
      <c r="CB437" s="114" t="str">
        <f aca="false">IF(BN437&gt;BM$7,
    "",
    VLOOKUP(BN437,BP$8:BV936,6,FALSE())
)</f>
        <v/>
      </c>
      <c r="CC437" s="53"/>
    </row>
    <row r="438" customFormat="false" ht="15.75" hidden="false" customHeight="false" outlineLevel="0" collapsed="false">
      <c r="A438" s="5"/>
      <c r="B438" s="125"/>
      <c r="C438" s="126"/>
      <c r="D438" s="115"/>
      <c r="E438" s="119"/>
      <c r="F438" s="119"/>
      <c r="G438" s="91"/>
      <c r="H438" s="92"/>
      <c r="I438" s="92"/>
      <c r="J438" s="128"/>
      <c r="K438" s="128"/>
      <c r="L438" s="128"/>
      <c r="M438" s="94"/>
      <c r="N438" s="94"/>
      <c r="O438" s="94"/>
      <c r="P438" s="95"/>
      <c r="Q438" s="96"/>
      <c r="R438" s="128"/>
      <c r="S438" s="98"/>
      <c r="T438" s="99"/>
      <c r="U438" s="99" t="str">
        <f aca="false">IF(ISBLANK($C438),"",IF(G438=Constants!$B$2, TRUE(), IF(G438=Constants!$B$3, FALSE(), TRUE())))</f>
        <v/>
      </c>
      <c r="V438" s="99" t="str">
        <f aca="false">IF(ISBLANK($C438),"",IF(H438=Constants!$B$2, TRUE(), IF(H438=Constants!$B$3, FALSE(), TRUE())))</f>
        <v/>
      </c>
      <c r="W438" s="99" t="str">
        <f aca="false">IF(ISBLANK($C438),"",IF(I438=Constants!$B$2, TRUE(), IF(I438=Constants!$B$3, FALSE(), TRUE())))</f>
        <v/>
      </c>
      <c r="X438" s="99" t="str">
        <f aca="false">IF(ISBLANK($C438),"",IF(AND(ISNUMBER(J438),J438&gt;0),INT(J438),0))</f>
        <v/>
      </c>
      <c r="Y438" s="99" t="str">
        <f aca="false">IF(ISBLANK($C438),"",IF(K438=Constants!$B$2, TRUE(), IF(K438=Constants!$B$3, FALSE(), TRUE())))</f>
        <v/>
      </c>
      <c r="Z438" s="100" t="str">
        <f aca="false">IF(ISBLANK($C438),"",IF(AND(ISNUMBER(L438),L438&gt;0),INT(L438),0))</f>
        <v/>
      </c>
      <c r="AA438" s="101" t="str">
        <f aca="false">IF(ISBLANK($C438),"",IF(ISNUMBER(M438), M438, ""))</f>
        <v/>
      </c>
      <c r="AB438" s="101" t="str">
        <f aca="false">IF(ISBLANK($C438),"",IF(ISNUMBER(N438), N438, ""))</f>
        <v/>
      </c>
      <c r="AC438" s="101" t="str">
        <f aca="false">IF(ISBLANK($C438),"",IF(ISNUMBER(O438), O438, ""))</f>
        <v/>
      </c>
      <c r="AD438" s="102" t="str">
        <f aca="false">IF(ISBLANK($C438),"",IF(ISNUMBER(P438), P438, ""))</f>
        <v/>
      </c>
      <c r="AE438" s="102" t="str">
        <f aca="false">IF(ISBLANK($C438),"",IF(ISNUMBER(Q438), Q438, Constants!$B$13))</f>
        <v/>
      </c>
      <c r="AF438" s="99" t="str">
        <f aca="false">IF(ISBLANK($C438),"",IF(R438=Constants!$B$2, TRUE(), IF(R438=Constants!$B$3, FALSE(), FALSE())))</f>
        <v/>
      </c>
      <c r="AG438" s="99" t="str">
        <f aca="false">IF(ISBLANK(C438), "", IF(AF438, Constants!$B$4,IF(COUNTA(G438:P438)=0, Constants!$B$5, Constants!$B$7)))</f>
        <v/>
      </c>
      <c r="AH438" s="99" t="str">
        <f aca="false">IF(ISBLANK($C438), "",IF($AG438=Constants!$B$7,1,$AG438))</f>
        <v/>
      </c>
      <c r="AI438" s="99" t="str">
        <f aca="false">IF($AG438=Constants!$B$7,POWER(Constants!$B$11,X438)*POWER(Constants!$B$12,Z438),"")</f>
        <v/>
      </c>
      <c r="AJ438" s="99" t="str">
        <f aca="false">IF(AND($AG438=Constants!$B$7, U438, V438) ,IF(OR($AA438="",$AC438=""),"",MAX(0, $AC438-$AA438)),"")</f>
        <v/>
      </c>
      <c r="AK438" s="99" t="str">
        <f aca="false">IF(AND($AG438=Constants!$B$7, U438, V438),IF(OR($AA438="",$AC438=""),$AK$6,""),"")</f>
        <v/>
      </c>
      <c r="AL438" s="99" t="str">
        <f aca="false">IF($AG438=Constants!$B$7,IF(AND(U438,V438,W438,Y438),IF($AJ438="",0,IF($AJ$6=0,Constants!$B$9,Constants!$B$9*AJ438/$AJ$6)), 0),"")</f>
        <v/>
      </c>
      <c r="AM438" s="99" t="str">
        <f aca="false">IF(AL438&lt;&gt;"", AL438*AI438,"")</f>
        <v/>
      </c>
      <c r="AN438" s="99" t="str">
        <f aca="false">IF(AND($AG438=Constants!$B$7, U438, V438) ,IF($AB438="", "", IF(OR($AC438="",$AC438=0),"",MAX(0,1-ABS($AC438-$AB438)/$AC438))),"")</f>
        <v/>
      </c>
      <c r="AO438" s="99" t="str">
        <f aca="false">IF(AND($AG438=Constants!$B$7, U438, V438),IF(AND($AA438&lt;&gt;"",$AB438&lt;&gt;"",$AC438=0),$AO$6,""),"")</f>
        <v/>
      </c>
      <c r="AP438" s="99" t="str">
        <f aca="false">IF($AG438=Constants!$B$7 ,IF(AND(U438,V438,W438,Y438,ISNUMBER(AB438)),IF($AN438="",0,IF($AN$6=0,Constants!$B$10,Constants!$B$10*AN438/$AN$6)), 0),"")</f>
        <v/>
      </c>
      <c r="AQ438" s="99" t="str">
        <f aca="false">IF(AP438&lt;&gt;"", AP438*AI438,"")</f>
        <v/>
      </c>
      <c r="AR438" s="99" t="str">
        <f aca="false">IF($AG438=Constants!$B$7,IF($AD438="",0,IF($AR$6=0,Constants!$B$8,Constants!$B$8*AD438/$AR$6)),"")</f>
        <v/>
      </c>
      <c r="AS438" s="99" t="str">
        <f aca="false">IF($AG438&lt;&gt;Constants!$B$7,$AG438,IF(AK438&amp;AO438&lt;&gt;"",Constants!$B$14,AM438+AQ438+AR438))</f>
        <v/>
      </c>
      <c r="AT438" s="99" t="str">
        <f aca="false">IF(ISBLANK($C438),"",IF($AG438=Constants!$B$7,IF(ISNUMBER(AS438),RANK(AS438,$AS$8:$AS$507),Constants!$B$14),$AG438))</f>
        <v/>
      </c>
      <c r="AU438" s="99" t="str">
        <f aca="false">IF(ISBLANK($C438), "",AM438)</f>
        <v/>
      </c>
      <c r="AV438" s="99" t="str">
        <f aca="false">IF(ISBLANK($C438),"",IF($AG438=Constants!$B$7,RANK(AU438,AU$8:AU$507),$AG438))</f>
        <v/>
      </c>
      <c r="AW438" s="99" t="str">
        <f aca="false">IF(ISBLANK($C438), "",AR438)</f>
        <v/>
      </c>
      <c r="AX438" s="99" t="str">
        <f aca="false">IF(ISBLANK($C438),"",IF($AG438=Constants!$B$7,RANK(AW438,AW$8:AW$507),$AG438))</f>
        <v/>
      </c>
      <c r="AY438" s="99" t="str">
        <f aca="false">IF(ISBLANK($C438), "",AE438)</f>
        <v/>
      </c>
      <c r="AZ438" s="99" t="str">
        <f aca="false">IF(ISBLANK($C438),"",
IF($AG438=Constants!$B$7,
  IF(ISNUMBER(AT438),
    COUNTIFS($AT$8:$AT$507,"&lt;"&amp;$AT438)
    + COUNTIFS($AT$8:$AT$507,$AT438,$AV$8:$AV$507,"&lt;"&amp;$AV438)
    + COUNTIFS($AT$8:$AT$507,$AT438,$AV$8:$AV$507,$AV438,$AX$8:$AX$507,"&lt;"&amp;$AX438)
    + COUNTIFS($AT$8:$AT$507,$AT438,$AV$8:$AV$507,$AV438,$AX$8:$AX$507,$AX438,$AY$8:$AY$507,"&lt;"&amp;$AY438)
    + 1,
  Constants!$B$14),
$AG438))</f>
        <v/>
      </c>
      <c r="BA438" s="99" t="str">
        <f aca="false">IF(ISBLANK(C438),"",IF($AG438=Constants!$B$7, IF(ISNUMBER(AT438),AT438-AZ438,Constants!$B$14),$AG438))</f>
        <v/>
      </c>
      <c r="BB438" s="103"/>
      <c r="BC438" s="104" t="str">
        <f aca="false">IF(ISBLANK($C438),"",TRIM(AK438&amp;" "&amp;AO438))</f>
        <v/>
      </c>
      <c r="BD438" s="105" t="str">
        <f aca="false">IF(ISBLANK($C438),"",IF($AG438&lt;&gt;Constants!$B$7,$AG438,AR438))</f>
        <v/>
      </c>
      <c r="BE438" s="105" t="str">
        <f aca="false">IF(ISBLANK($C438),"",IF($AG438&lt;&gt;Constants!$B$7,$AG438,AM438))</f>
        <v/>
      </c>
      <c r="BF438" s="105" t="str">
        <f aca="false">IF(ISBLANK($C438),"",IF($AG438&lt;&gt;Constants!$B$7,$AG438,AQ438))</f>
        <v/>
      </c>
      <c r="BG438" s="106" t="str">
        <f aca="false">IF(ISBLANK($C438),"",IF($AG438&lt;&gt;Constants!$B$7, $AG438 ,AS438))</f>
        <v/>
      </c>
      <c r="BH438" s="107" t="str">
        <f aca="false">IF(ISBLANK($C438),"",IF($AG438&lt;&gt;Constants!$B$7, $AG438 ,AH438))</f>
        <v/>
      </c>
      <c r="BI438" s="105" t="str">
        <f aca="false">IF(ISBLANK(C438),"",BA438)</f>
        <v/>
      </c>
      <c r="BJ438" s="105" t="str">
        <f aca="false">IF(ISBLANK(C438),"",AZ438)</f>
        <v/>
      </c>
      <c r="BK438" s="108" t="str">
        <f aca="false">IF(ISBLANK(C438),"",IFERROR(_xlfn.SWITCH(BJ438, Constants!$B$4, COUNTA($C$8:$C937)+2, Constants!$B$5, COUNTA($C$8:$C937)+1, Constants!$B$6, COUNTA($C$8:$C937)),BJ438))</f>
        <v/>
      </c>
      <c r="BL438" s="5"/>
      <c r="BM438" s="109" t="n">
        <f aca="false">IF(OR(ISNUMBER(BJ438),BJ438="DQ",BJ438="P",BJ438="NS"),
    1,
    0
)</f>
        <v>0</v>
      </c>
      <c r="BN438" s="109" t="n">
        <v>431</v>
      </c>
      <c r="BO438" s="109" t="str">
        <f aca="false">IF(ISBLANK($C438),"",IF(ISNUMBER(BK438),BK438+ROW($B438)/1000,""))</f>
        <v/>
      </c>
      <c r="BP438" s="109" t="str">
        <f aca="false">IF(ISNUMBER(BO438), RANK(BO438,BO$8:BO$507,1), "")</f>
        <v/>
      </c>
      <c r="BQ438" s="109" t="str">
        <f aca="false">IF(ISBLANK($C438),
    "",
    $B438
)</f>
        <v/>
      </c>
      <c r="BR438" s="109" t="str">
        <f aca="false">IF(ISBLANK($C438),
    "",
    $C438
)</f>
        <v/>
      </c>
      <c r="BS438" s="109" t="str">
        <f aca="false">IF(ISBLANK($C438),
    "",
    $D438
)</f>
        <v/>
      </c>
      <c r="BT438" s="110" t="str">
        <f aca="false">BH438</f>
        <v/>
      </c>
      <c r="BU438" s="111" t="str">
        <f aca="false">BG438</f>
        <v/>
      </c>
      <c r="BV438" s="109" t="str">
        <f aca="false">IF(ISBLANK($C438),
    "",
    BJ438
)</f>
        <v/>
      </c>
      <c r="BW438" s="112" t="str">
        <f aca="false">IF(BN438&gt;BM$7,
    "",
    VLOOKUP(BN438,BP$8:BV937,7,FALSE())
)</f>
        <v/>
      </c>
      <c r="BX438" s="113" t="str">
        <f aca="false">IF(BN438&gt;BM$7,
    "",
    VLOOKUP(BN438,BP$8:BV937,2,FALSE())
)</f>
        <v/>
      </c>
      <c r="BY438" s="113" t="str">
        <f aca="false">IF(BN438&gt;BM$7,
    "",
    VLOOKUP(BN438,BP$8:BV937,3,FALSE())
)</f>
        <v/>
      </c>
      <c r="BZ438" s="113" t="str">
        <f aca="false">IF(BN438&gt;BM$7,
    "",
    VLOOKUP(BN438,BP$8:BV937,4,FALSE())
)</f>
        <v/>
      </c>
      <c r="CA438" s="113" t="str">
        <f aca="false">IF(BN438&gt;BM$7,
    "",
    VLOOKUP(BN438,BP$8:BV937,5,FALSE())
)</f>
        <v/>
      </c>
      <c r="CB438" s="114" t="str">
        <f aca="false">IF(BN438&gt;BM$7,
    "",
    VLOOKUP(BN438,BP$8:BV937,6,FALSE())
)</f>
        <v/>
      </c>
      <c r="CC438" s="53"/>
    </row>
    <row r="439" customFormat="false" ht="15.75" hidden="false" customHeight="false" outlineLevel="0" collapsed="false">
      <c r="A439" s="5"/>
      <c r="B439" s="125"/>
      <c r="C439" s="126"/>
      <c r="D439" s="115"/>
      <c r="E439" s="119"/>
      <c r="F439" s="119"/>
      <c r="G439" s="91"/>
      <c r="H439" s="92"/>
      <c r="I439" s="92"/>
      <c r="J439" s="128"/>
      <c r="K439" s="128"/>
      <c r="L439" s="128"/>
      <c r="M439" s="94"/>
      <c r="N439" s="94"/>
      <c r="O439" s="94"/>
      <c r="P439" s="95"/>
      <c r="Q439" s="96"/>
      <c r="R439" s="128"/>
      <c r="S439" s="98"/>
      <c r="T439" s="99"/>
      <c r="U439" s="99" t="str">
        <f aca="false">IF(ISBLANK($C439),"",IF(G439=Constants!$B$2, TRUE(), IF(G439=Constants!$B$3, FALSE(), TRUE())))</f>
        <v/>
      </c>
      <c r="V439" s="99" t="str">
        <f aca="false">IF(ISBLANK($C439),"",IF(H439=Constants!$B$2, TRUE(), IF(H439=Constants!$B$3, FALSE(), TRUE())))</f>
        <v/>
      </c>
      <c r="W439" s="99" t="str">
        <f aca="false">IF(ISBLANK($C439),"",IF(I439=Constants!$B$2, TRUE(), IF(I439=Constants!$B$3, FALSE(), TRUE())))</f>
        <v/>
      </c>
      <c r="X439" s="99" t="str">
        <f aca="false">IF(ISBLANK($C439),"",IF(AND(ISNUMBER(J439),J439&gt;0),INT(J439),0))</f>
        <v/>
      </c>
      <c r="Y439" s="99" t="str">
        <f aca="false">IF(ISBLANK($C439),"",IF(K439=Constants!$B$2, TRUE(), IF(K439=Constants!$B$3, FALSE(), TRUE())))</f>
        <v/>
      </c>
      <c r="Z439" s="100" t="str">
        <f aca="false">IF(ISBLANK($C439),"",IF(AND(ISNUMBER(L439),L439&gt;0),INT(L439),0))</f>
        <v/>
      </c>
      <c r="AA439" s="101" t="str">
        <f aca="false">IF(ISBLANK($C439),"",IF(ISNUMBER(M439), M439, ""))</f>
        <v/>
      </c>
      <c r="AB439" s="101" t="str">
        <f aca="false">IF(ISBLANK($C439),"",IF(ISNUMBER(N439), N439, ""))</f>
        <v/>
      </c>
      <c r="AC439" s="101" t="str">
        <f aca="false">IF(ISBLANK($C439),"",IF(ISNUMBER(O439), O439, ""))</f>
        <v/>
      </c>
      <c r="AD439" s="102" t="str">
        <f aca="false">IF(ISBLANK($C439),"",IF(ISNUMBER(P439), P439, ""))</f>
        <v/>
      </c>
      <c r="AE439" s="102" t="str">
        <f aca="false">IF(ISBLANK($C439),"",IF(ISNUMBER(Q439), Q439, Constants!$B$13))</f>
        <v/>
      </c>
      <c r="AF439" s="99" t="str">
        <f aca="false">IF(ISBLANK($C439),"",IF(R439=Constants!$B$2, TRUE(), IF(R439=Constants!$B$3, FALSE(), FALSE())))</f>
        <v/>
      </c>
      <c r="AG439" s="99" t="str">
        <f aca="false">IF(ISBLANK(C439), "", IF(AF439, Constants!$B$4,IF(COUNTA(G439:P439)=0, Constants!$B$5, Constants!$B$7)))</f>
        <v/>
      </c>
      <c r="AH439" s="99" t="str">
        <f aca="false">IF(ISBLANK($C439), "",IF($AG439=Constants!$B$7,1,$AG439))</f>
        <v/>
      </c>
      <c r="AI439" s="99" t="str">
        <f aca="false">IF($AG439=Constants!$B$7,POWER(Constants!$B$11,X439)*POWER(Constants!$B$12,Z439),"")</f>
        <v/>
      </c>
      <c r="AJ439" s="99" t="str">
        <f aca="false">IF(AND($AG439=Constants!$B$7, U439, V439) ,IF(OR($AA439="",$AC439=""),"",MAX(0, $AC439-$AA439)),"")</f>
        <v/>
      </c>
      <c r="AK439" s="99" t="str">
        <f aca="false">IF(AND($AG439=Constants!$B$7, U439, V439),IF(OR($AA439="",$AC439=""),$AK$6,""),"")</f>
        <v/>
      </c>
      <c r="AL439" s="99" t="str">
        <f aca="false">IF($AG439=Constants!$B$7,IF(AND(U439,V439,W439,Y439),IF($AJ439="",0,IF($AJ$6=0,Constants!$B$9,Constants!$B$9*AJ439/$AJ$6)), 0),"")</f>
        <v/>
      </c>
      <c r="AM439" s="99" t="str">
        <f aca="false">IF(AL439&lt;&gt;"", AL439*AI439,"")</f>
        <v/>
      </c>
      <c r="AN439" s="99" t="str">
        <f aca="false">IF(AND($AG439=Constants!$B$7, U439, V439) ,IF($AB439="", "", IF(OR($AC439="",$AC439=0),"",MAX(0,1-ABS($AC439-$AB439)/$AC439))),"")</f>
        <v/>
      </c>
      <c r="AO439" s="99" t="str">
        <f aca="false">IF(AND($AG439=Constants!$B$7, U439, V439),IF(AND($AA439&lt;&gt;"",$AB439&lt;&gt;"",$AC439=0),$AO$6,""),"")</f>
        <v/>
      </c>
      <c r="AP439" s="99" t="str">
        <f aca="false">IF($AG439=Constants!$B$7 ,IF(AND(U439,V439,W439,Y439,ISNUMBER(AB439)),IF($AN439="",0,IF($AN$6=0,Constants!$B$10,Constants!$B$10*AN439/$AN$6)), 0),"")</f>
        <v/>
      </c>
      <c r="AQ439" s="99" t="str">
        <f aca="false">IF(AP439&lt;&gt;"", AP439*AI439,"")</f>
        <v/>
      </c>
      <c r="AR439" s="99" t="str">
        <f aca="false">IF($AG439=Constants!$B$7,IF($AD439="",0,IF($AR$6=0,Constants!$B$8,Constants!$B$8*AD439/$AR$6)),"")</f>
        <v/>
      </c>
      <c r="AS439" s="99" t="str">
        <f aca="false">IF($AG439&lt;&gt;Constants!$B$7,$AG439,IF(AK439&amp;AO439&lt;&gt;"",Constants!$B$14,AM439+AQ439+AR439))</f>
        <v/>
      </c>
      <c r="AT439" s="99" t="str">
        <f aca="false">IF(ISBLANK($C439),"",IF($AG439=Constants!$B$7,IF(ISNUMBER(AS439),RANK(AS439,$AS$8:$AS$507),Constants!$B$14),$AG439))</f>
        <v/>
      </c>
      <c r="AU439" s="99" t="str">
        <f aca="false">IF(ISBLANK($C439), "",AM439)</f>
        <v/>
      </c>
      <c r="AV439" s="99" t="str">
        <f aca="false">IF(ISBLANK($C439),"",IF($AG439=Constants!$B$7,RANK(AU439,AU$8:AU$507),$AG439))</f>
        <v/>
      </c>
      <c r="AW439" s="99" t="str">
        <f aca="false">IF(ISBLANK($C439), "",AR439)</f>
        <v/>
      </c>
      <c r="AX439" s="99" t="str">
        <f aca="false">IF(ISBLANK($C439),"",IF($AG439=Constants!$B$7,RANK(AW439,AW$8:AW$507),$AG439))</f>
        <v/>
      </c>
      <c r="AY439" s="99" t="str">
        <f aca="false">IF(ISBLANK($C439), "",AE439)</f>
        <v/>
      </c>
      <c r="AZ439" s="99" t="str">
        <f aca="false">IF(ISBLANK($C439),"",
IF($AG439=Constants!$B$7,
  IF(ISNUMBER(AT439),
    COUNTIFS($AT$8:$AT$507,"&lt;"&amp;$AT439)
    + COUNTIFS($AT$8:$AT$507,$AT439,$AV$8:$AV$507,"&lt;"&amp;$AV439)
    + COUNTIFS($AT$8:$AT$507,$AT439,$AV$8:$AV$507,$AV439,$AX$8:$AX$507,"&lt;"&amp;$AX439)
    + COUNTIFS($AT$8:$AT$507,$AT439,$AV$8:$AV$507,$AV439,$AX$8:$AX$507,$AX439,$AY$8:$AY$507,"&lt;"&amp;$AY439)
    + 1,
  Constants!$B$14),
$AG439))</f>
        <v/>
      </c>
      <c r="BA439" s="99" t="str">
        <f aca="false">IF(ISBLANK(C439),"",IF($AG439=Constants!$B$7, IF(ISNUMBER(AT439),AT439-AZ439,Constants!$B$14),$AG439))</f>
        <v/>
      </c>
      <c r="BB439" s="103"/>
      <c r="BC439" s="104" t="str">
        <f aca="false">IF(ISBLANK($C439),"",TRIM(AK439&amp;" "&amp;AO439))</f>
        <v/>
      </c>
      <c r="BD439" s="105" t="str">
        <f aca="false">IF(ISBLANK($C439),"",IF($AG439&lt;&gt;Constants!$B$7,$AG439,AR439))</f>
        <v/>
      </c>
      <c r="BE439" s="105" t="str">
        <f aca="false">IF(ISBLANK($C439),"",IF($AG439&lt;&gt;Constants!$B$7,$AG439,AM439))</f>
        <v/>
      </c>
      <c r="BF439" s="105" t="str">
        <f aca="false">IF(ISBLANK($C439),"",IF($AG439&lt;&gt;Constants!$B$7,$AG439,AQ439))</f>
        <v/>
      </c>
      <c r="BG439" s="106" t="str">
        <f aca="false">IF(ISBLANK($C439),"",IF($AG439&lt;&gt;Constants!$B$7, $AG439 ,AS439))</f>
        <v/>
      </c>
      <c r="BH439" s="107" t="str">
        <f aca="false">IF(ISBLANK($C439),"",IF($AG439&lt;&gt;Constants!$B$7, $AG439 ,AH439))</f>
        <v/>
      </c>
      <c r="BI439" s="105" t="str">
        <f aca="false">IF(ISBLANK(C439),"",BA439)</f>
        <v/>
      </c>
      <c r="BJ439" s="105" t="str">
        <f aca="false">IF(ISBLANK(C439),"",AZ439)</f>
        <v/>
      </c>
      <c r="BK439" s="108" t="str">
        <f aca="false">IF(ISBLANK(C439),"",IFERROR(_xlfn.SWITCH(BJ439, Constants!$B$4, COUNTA($C$8:$C938)+2, Constants!$B$5, COUNTA($C$8:$C938)+1, Constants!$B$6, COUNTA($C$8:$C938)),BJ439))</f>
        <v/>
      </c>
      <c r="BL439" s="5"/>
      <c r="BM439" s="109" t="n">
        <f aca="false">IF(OR(ISNUMBER(BJ439),BJ439="DQ",BJ439="P",BJ439="NS"),
    1,
    0
)</f>
        <v>0</v>
      </c>
      <c r="BN439" s="109" t="n">
        <v>432</v>
      </c>
      <c r="BO439" s="109" t="str">
        <f aca="false">IF(ISBLANK($C439),"",IF(ISNUMBER(BK439),BK439+ROW($B439)/1000,""))</f>
        <v/>
      </c>
      <c r="BP439" s="109" t="str">
        <f aca="false">IF(ISNUMBER(BO439), RANK(BO439,BO$8:BO$507,1), "")</f>
        <v/>
      </c>
      <c r="BQ439" s="109" t="str">
        <f aca="false">IF(ISBLANK($C439),
    "",
    $B439
)</f>
        <v/>
      </c>
      <c r="BR439" s="109" t="str">
        <f aca="false">IF(ISBLANK($C439),
    "",
    $C439
)</f>
        <v/>
      </c>
      <c r="BS439" s="109" t="str">
        <f aca="false">IF(ISBLANK($C439),
    "",
    $D439
)</f>
        <v/>
      </c>
      <c r="BT439" s="110" t="str">
        <f aca="false">BH439</f>
        <v/>
      </c>
      <c r="BU439" s="111" t="str">
        <f aca="false">BG439</f>
        <v/>
      </c>
      <c r="BV439" s="109" t="str">
        <f aca="false">IF(ISBLANK($C439),
    "",
    BJ439
)</f>
        <v/>
      </c>
      <c r="BW439" s="112" t="str">
        <f aca="false">IF(BN439&gt;BM$7,
    "",
    VLOOKUP(BN439,BP$8:BV938,7,FALSE())
)</f>
        <v/>
      </c>
      <c r="BX439" s="113" t="str">
        <f aca="false">IF(BN439&gt;BM$7,
    "",
    VLOOKUP(BN439,BP$8:BV938,2,FALSE())
)</f>
        <v/>
      </c>
      <c r="BY439" s="113" t="str">
        <f aca="false">IF(BN439&gt;BM$7,
    "",
    VLOOKUP(BN439,BP$8:BV938,3,FALSE())
)</f>
        <v/>
      </c>
      <c r="BZ439" s="113" t="str">
        <f aca="false">IF(BN439&gt;BM$7,
    "",
    VLOOKUP(BN439,BP$8:BV938,4,FALSE())
)</f>
        <v/>
      </c>
      <c r="CA439" s="113" t="str">
        <f aca="false">IF(BN439&gt;BM$7,
    "",
    VLOOKUP(BN439,BP$8:BV938,5,FALSE())
)</f>
        <v/>
      </c>
      <c r="CB439" s="114" t="str">
        <f aca="false">IF(BN439&gt;BM$7,
    "",
    VLOOKUP(BN439,BP$8:BV938,6,FALSE())
)</f>
        <v/>
      </c>
      <c r="CC439" s="53"/>
    </row>
    <row r="440" customFormat="false" ht="15.75" hidden="false" customHeight="false" outlineLevel="0" collapsed="false">
      <c r="A440" s="5"/>
      <c r="B440" s="129"/>
      <c r="C440" s="55"/>
      <c r="D440" s="56"/>
      <c r="E440" s="123"/>
      <c r="F440" s="123"/>
      <c r="G440" s="58"/>
      <c r="H440" s="59"/>
      <c r="I440" s="59"/>
      <c r="J440" s="83"/>
      <c r="K440" s="83"/>
      <c r="L440" s="83"/>
      <c r="M440" s="61"/>
      <c r="N440" s="61"/>
      <c r="O440" s="61"/>
      <c r="P440" s="62"/>
      <c r="Q440" s="63"/>
      <c r="R440" s="83"/>
      <c r="S440" s="65"/>
      <c r="T440" s="66"/>
      <c r="U440" s="66" t="str">
        <f aca="false">IF(ISBLANK($C440),"",IF(G440=Constants!$B$2, TRUE(), IF(G440=Constants!$B$3, FALSE(), TRUE())))</f>
        <v/>
      </c>
      <c r="V440" s="66" t="str">
        <f aca="false">IF(ISBLANK($C440),"",IF(H440=Constants!$B$2, TRUE(), IF(H440=Constants!$B$3, FALSE(), TRUE())))</f>
        <v/>
      </c>
      <c r="W440" s="66" t="str">
        <f aca="false">IF(ISBLANK($C440),"",IF(I440=Constants!$B$2, TRUE(), IF(I440=Constants!$B$3, FALSE(), TRUE())))</f>
        <v/>
      </c>
      <c r="X440" s="66" t="str">
        <f aca="false">IF(ISBLANK($C440),"",IF(AND(ISNUMBER(J440),J440&gt;0),INT(J440),0))</f>
        <v/>
      </c>
      <c r="Y440" s="66" t="str">
        <f aca="false">IF(ISBLANK($C440),"",IF(K440=Constants!$B$2, TRUE(), IF(K440=Constants!$B$3, FALSE(), TRUE())))</f>
        <v/>
      </c>
      <c r="Z440" s="66" t="str">
        <f aca="false">IF(ISBLANK($C440),"",IF(AND(ISNUMBER(L440),L440&gt;0),INT(L440),0))</f>
        <v/>
      </c>
      <c r="AA440" s="68" t="str">
        <f aca="false">IF(ISBLANK($C440),"",IF(ISNUMBER(M440), M440, ""))</f>
        <v/>
      </c>
      <c r="AB440" s="68" t="str">
        <f aca="false">IF(ISBLANK($C440),"",IF(ISNUMBER(N440), N440, ""))</f>
        <v/>
      </c>
      <c r="AC440" s="68" t="str">
        <f aca="false">IF(ISBLANK($C440),"",IF(ISNUMBER(O440), O440, ""))</f>
        <v/>
      </c>
      <c r="AD440" s="69" t="str">
        <f aca="false">IF(ISBLANK($C440),"",IF(ISNUMBER(P440), P440, ""))</f>
        <v/>
      </c>
      <c r="AE440" s="69" t="str">
        <f aca="false">IF(ISBLANK($C440),"",IF(ISNUMBER(Q440), Q440, Constants!$B$13))</f>
        <v/>
      </c>
      <c r="AF440" s="66" t="str">
        <f aca="false">IF(ISBLANK($C440),"",IF(R440=Constants!$B$2, TRUE(), IF(R440=Constants!$B$3, FALSE(), FALSE())))</f>
        <v/>
      </c>
      <c r="AG440" s="66" t="str">
        <f aca="false">IF(ISBLANK(C440), "", IF(AF440, Constants!$B$4,IF(COUNTA(G440:P440)=0, Constants!$B$5, Constants!$B$7)))</f>
        <v/>
      </c>
      <c r="AH440" s="66" t="str">
        <f aca="false">IF(ISBLANK($C440), "",IF($AG440=Constants!$B$7,1,$AG440))</f>
        <v/>
      </c>
      <c r="AI440" s="66" t="str">
        <f aca="false">IF($AG440=Constants!$B$7,POWER(Constants!$B$11,X440)*POWER(Constants!$B$12,Z440),"")</f>
        <v/>
      </c>
      <c r="AJ440" s="66" t="str">
        <f aca="false">IF(AND($AG440=Constants!$B$7, U440, V440) ,IF(OR($AA440="",$AC440=""),"",MAX(0, $AC440-$AA440)),"")</f>
        <v/>
      </c>
      <c r="AK440" s="66" t="str">
        <f aca="false">IF(AND($AG440=Constants!$B$7, U440, V440),IF(OR($AA440="",$AC440=""),$AK$6,""),"")</f>
        <v/>
      </c>
      <c r="AL440" s="66" t="str">
        <f aca="false">IF($AG440=Constants!$B$7,IF(AND(U440,V440,W440,Y440),IF($AJ440="",0,IF($AJ$6=0,Constants!$B$9,Constants!$B$9*AJ440/$AJ$6)), 0),"")</f>
        <v/>
      </c>
      <c r="AM440" s="66" t="str">
        <f aca="false">IF(AL440&lt;&gt;"", AL440*AI440,"")</f>
        <v/>
      </c>
      <c r="AN440" s="66" t="str">
        <f aca="false">IF(AND($AG440=Constants!$B$7, U440, V440) ,IF($AB440="", "", IF(OR($AC440="",$AC440=0),"",MAX(0,1-ABS($AC440-$AB440)/$AC440))),"")</f>
        <v/>
      </c>
      <c r="AO440" s="66" t="str">
        <f aca="false">IF(AND($AG440=Constants!$B$7, U440, V440),IF(AND($AA440&lt;&gt;"",$AB440&lt;&gt;"",$AC440=0),$AO$6,""),"")</f>
        <v/>
      </c>
      <c r="AP440" s="66" t="str">
        <f aca="false">IF($AG440=Constants!$B$7 ,IF(AND(U440,V440,W440,Y440,ISNUMBER(AB440)),IF($AN440="",0,IF($AN$6=0,Constants!$B$10,Constants!$B$10*AN440/$AN$6)), 0),"")</f>
        <v/>
      </c>
      <c r="AQ440" s="66" t="str">
        <f aca="false">IF(AP440&lt;&gt;"", AP440*AI440,"")</f>
        <v/>
      </c>
      <c r="AR440" s="66" t="str">
        <f aca="false">IF($AG440=Constants!$B$7,IF($AD440="",0,IF($AR$6=0,Constants!$B$8,Constants!$B$8*AD440/$AR$6)),"")</f>
        <v/>
      </c>
      <c r="AS440" s="66" t="str">
        <f aca="false">IF($AG440&lt;&gt;Constants!$B$7,$AG440,IF(AK440&amp;AO440&lt;&gt;"",Constants!$B$14,AM440+AQ440+AR440))</f>
        <v/>
      </c>
      <c r="AT440" s="66" t="str">
        <f aca="false">IF(ISBLANK($C440),"",IF($AG440=Constants!$B$7,IF(ISNUMBER(AS440),RANK(AS440,$AS$8:$AS$507),Constants!$B$14),$AG440))</f>
        <v/>
      </c>
      <c r="AU440" s="66" t="str">
        <f aca="false">IF(ISBLANK($C440), "",AM440)</f>
        <v/>
      </c>
      <c r="AV440" s="66" t="str">
        <f aca="false">IF(ISBLANK($C440),"",IF($AG440=Constants!$B$7,RANK(AU440,AU$8:AU$507),$AG440))</f>
        <v/>
      </c>
      <c r="AW440" s="66" t="str">
        <f aca="false">IF(ISBLANK($C440), "",AR440)</f>
        <v/>
      </c>
      <c r="AX440" s="66" t="str">
        <f aca="false">IF(ISBLANK($C440),"",IF($AG440=Constants!$B$7,RANK(AW440,AW$8:AW$507),$AG440))</f>
        <v/>
      </c>
      <c r="AY440" s="66" t="str">
        <f aca="false">IF(ISBLANK($C440), "",AE440)</f>
        <v/>
      </c>
      <c r="AZ440" s="66" t="str">
        <f aca="false">IF(ISBLANK($C440),"",
IF($AG440=Constants!$B$7,
  IF(ISNUMBER(AT440),
    COUNTIFS($AT$8:$AT$507,"&lt;"&amp;$AT440)
    + COUNTIFS($AT$8:$AT$507,$AT440,$AV$8:$AV$507,"&lt;"&amp;$AV440)
    + COUNTIFS($AT$8:$AT$507,$AT440,$AV$8:$AV$507,$AV440,$AX$8:$AX$507,"&lt;"&amp;$AX440)
    + COUNTIFS($AT$8:$AT$507,$AT440,$AV$8:$AV$507,$AV440,$AX$8:$AX$507,$AX440,$AY$8:$AY$507,"&lt;"&amp;$AY440)
    + 1,
  Constants!$B$14),
$AG440))</f>
        <v/>
      </c>
      <c r="BA440" s="66" t="str">
        <f aca="false">IF(ISBLANK(C440),"",IF($AG440=Constants!$B$7, IF(ISNUMBER(AT440),AT440-AZ440,Constants!$B$14),$AG440))</f>
        <v/>
      </c>
      <c r="BB440" s="70"/>
      <c r="BC440" s="84" t="str">
        <f aca="false">IF(ISBLANK($C440),"",TRIM(AK440&amp;" "&amp;AO440))</f>
        <v/>
      </c>
      <c r="BD440" s="72" t="str">
        <f aca="false">IF(ISBLANK($C440),"",IF($AG440&lt;&gt;Constants!$B$7,$AG440,AR440))</f>
        <v/>
      </c>
      <c r="BE440" s="72" t="str">
        <f aca="false">IF(ISBLANK($C440),"",IF($AG440&lt;&gt;Constants!$B$7,$AG440,AM440))</f>
        <v/>
      </c>
      <c r="BF440" s="72" t="str">
        <f aca="false">IF(ISBLANK($C440),"",IF($AG440&lt;&gt;Constants!$B$7,$AG440,AQ440))</f>
        <v/>
      </c>
      <c r="BG440" s="73" t="str">
        <f aca="false">IF(ISBLANK($C440),"",IF($AG440&lt;&gt;Constants!$B$7, $AG440 ,AS440))</f>
        <v/>
      </c>
      <c r="BH440" s="74" t="str">
        <f aca="false">IF(ISBLANK($C440),"",IF($AG440&lt;&gt;Constants!$B$7, $AG440 ,AH440))</f>
        <v/>
      </c>
      <c r="BI440" s="72" t="str">
        <f aca="false">IF(ISBLANK(C440),"",BA440)</f>
        <v/>
      </c>
      <c r="BJ440" s="72" t="str">
        <f aca="false">IF(ISBLANK(C440),"",AZ440)</f>
        <v/>
      </c>
      <c r="BK440" s="75" t="str">
        <f aca="false">IF(ISBLANK(C440),"",IFERROR(_xlfn.SWITCH(BJ440, Constants!$B$4, COUNTA($C$8:$C939)+2, Constants!$B$5, COUNTA($C$8:$C939)+1, Constants!$B$6, COUNTA($C$8:$C939)),BJ440))</f>
        <v/>
      </c>
      <c r="BL440" s="5"/>
      <c r="BM440" s="76" t="n">
        <f aca="false">IF(OR(ISNUMBER(BJ440),BJ440="DQ",BJ440="P",BJ440="NS"),
    1,
    0
)</f>
        <v>0</v>
      </c>
      <c r="BN440" s="76" t="n">
        <v>433</v>
      </c>
      <c r="BO440" s="76" t="str">
        <f aca="false">IF(ISBLANK($C440),"",IF(ISNUMBER(BK440),BK440+ROW($B440)/1000,""))</f>
        <v/>
      </c>
      <c r="BP440" s="76" t="str">
        <f aca="false">IF(ISNUMBER(BO440), RANK(BO440,BO$8:BO$507,1), "")</f>
        <v/>
      </c>
      <c r="BQ440" s="76" t="str">
        <f aca="false">IF(ISBLANK($C440),
    "",
    $B440
)</f>
        <v/>
      </c>
      <c r="BR440" s="76" t="str">
        <f aca="false">IF(ISBLANK($C440),
    "",
    $C440
)</f>
        <v/>
      </c>
      <c r="BS440" s="76" t="str">
        <f aca="false">IF(ISBLANK($C440),
    "",
    $D440
)</f>
        <v/>
      </c>
      <c r="BT440" s="77" t="str">
        <f aca="false">BH440</f>
        <v/>
      </c>
      <c r="BU440" s="78" t="str">
        <f aca="false">BG440</f>
        <v/>
      </c>
      <c r="BV440" s="76" t="str">
        <f aca="false">IF(ISBLANK($C440),
    "",
    BJ440
)</f>
        <v/>
      </c>
      <c r="BW440" s="79" t="str">
        <f aca="false">IF(BN440&gt;BM$7,
    "",
    VLOOKUP(BN440,BP$8:BV939,7,FALSE())
)</f>
        <v/>
      </c>
      <c r="BX440" s="80" t="str">
        <f aca="false">IF(BN440&gt;BM$7,
    "",
    VLOOKUP(BN440,BP$8:BV939,2,FALSE())
)</f>
        <v/>
      </c>
      <c r="BY440" s="80" t="str">
        <f aca="false">IF(BN440&gt;BM$7,
    "",
    VLOOKUP(BN440,BP$8:BV939,3,FALSE())
)</f>
        <v/>
      </c>
      <c r="BZ440" s="80" t="str">
        <f aca="false">IF(BN440&gt;BM$7,
    "",
    VLOOKUP(BN440,BP$8:BV939,4,FALSE())
)</f>
        <v/>
      </c>
      <c r="CA440" s="80" t="str">
        <f aca="false">IF(BN440&gt;BM$7,
    "",
    VLOOKUP(BN440,BP$8:BV939,5,FALSE())
)</f>
        <v/>
      </c>
      <c r="CB440" s="81" t="str">
        <f aca="false">IF(BN440&gt;BM$7,
    "",
    VLOOKUP(BN440,BP$8:BV939,6,FALSE())
)</f>
        <v/>
      </c>
      <c r="CC440" s="53"/>
    </row>
    <row r="441" customFormat="false" ht="15.75" hidden="false" customHeight="false" outlineLevel="0" collapsed="false">
      <c r="A441" s="5"/>
      <c r="B441" s="129"/>
      <c r="C441" s="55"/>
      <c r="D441" s="56"/>
      <c r="E441" s="123"/>
      <c r="F441" s="123"/>
      <c r="G441" s="58"/>
      <c r="H441" s="59"/>
      <c r="I441" s="59"/>
      <c r="J441" s="83"/>
      <c r="K441" s="83"/>
      <c r="L441" s="83"/>
      <c r="M441" s="61"/>
      <c r="N441" s="61"/>
      <c r="O441" s="61"/>
      <c r="P441" s="62"/>
      <c r="Q441" s="63"/>
      <c r="R441" s="83"/>
      <c r="S441" s="65"/>
      <c r="T441" s="66"/>
      <c r="U441" s="66" t="str">
        <f aca="false">IF(ISBLANK($C441),"",IF(G441=Constants!$B$2, TRUE(), IF(G441=Constants!$B$3, FALSE(), TRUE())))</f>
        <v/>
      </c>
      <c r="V441" s="66" t="str">
        <f aca="false">IF(ISBLANK($C441),"",IF(H441=Constants!$B$2, TRUE(), IF(H441=Constants!$B$3, FALSE(), TRUE())))</f>
        <v/>
      </c>
      <c r="W441" s="66" t="str">
        <f aca="false">IF(ISBLANK($C441),"",IF(I441=Constants!$B$2, TRUE(), IF(I441=Constants!$B$3, FALSE(), TRUE())))</f>
        <v/>
      </c>
      <c r="X441" s="66" t="str">
        <f aca="false">IF(ISBLANK($C441),"",IF(AND(ISNUMBER(J441),J441&gt;0),INT(J441),0))</f>
        <v/>
      </c>
      <c r="Y441" s="66" t="str">
        <f aca="false">IF(ISBLANK($C441),"",IF(K441=Constants!$B$2, TRUE(), IF(K441=Constants!$B$3, FALSE(), TRUE())))</f>
        <v/>
      </c>
      <c r="Z441" s="66" t="str">
        <f aca="false">IF(ISBLANK($C441),"",IF(AND(ISNUMBER(L441),L441&gt;0),INT(L441),0))</f>
        <v/>
      </c>
      <c r="AA441" s="68" t="str">
        <f aca="false">IF(ISBLANK($C441),"",IF(ISNUMBER(M441), M441, ""))</f>
        <v/>
      </c>
      <c r="AB441" s="68" t="str">
        <f aca="false">IF(ISBLANK($C441),"",IF(ISNUMBER(N441), N441, ""))</f>
        <v/>
      </c>
      <c r="AC441" s="68" t="str">
        <f aca="false">IF(ISBLANK($C441),"",IF(ISNUMBER(O441), O441, ""))</f>
        <v/>
      </c>
      <c r="AD441" s="69" t="str">
        <f aca="false">IF(ISBLANK($C441),"",IF(ISNUMBER(P441), P441, ""))</f>
        <v/>
      </c>
      <c r="AE441" s="69" t="str">
        <f aca="false">IF(ISBLANK($C441),"",IF(ISNUMBER(Q441), Q441, Constants!$B$13))</f>
        <v/>
      </c>
      <c r="AF441" s="66" t="str">
        <f aca="false">IF(ISBLANK($C441),"",IF(R441=Constants!$B$2, TRUE(), IF(R441=Constants!$B$3, FALSE(), FALSE())))</f>
        <v/>
      </c>
      <c r="AG441" s="66" t="str">
        <f aca="false">IF(ISBLANK(C441), "", IF(AF441, Constants!$B$4,IF(COUNTA(G441:P441)=0, Constants!$B$5, Constants!$B$7)))</f>
        <v/>
      </c>
      <c r="AH441" s="66" t="str">
        <f aca="false">IF(ISBLANK($C441), "",IF($AG441=Constants!$B$7,1,$AG441))</f>
        <v/>
      </c>
      <c r="AI441" s="66" t="str">
        <f aca="false">IF($AG441=Constants!$B$7,POWER(Constants!$B$11,X441)*POWER(Constants!$B$12,Z441),"")</f>
        <v/>
      </c>
      <c r="AJ441" s="66" t="str">
        <f aca="false">IF(AND($AG441=Constants!$B$7, U441, V441) ,IF(OR($AA441="",$AC441=""),"",MAX(0, $AC441-$AA441)),"")</f>
        <v/>
      </c>
      <c r="AK441" s="66" t="str">
        <f aca="false">IF(AND($AG441=Constants!$B$7, U441, V441),IF(OR($AA441="",$AC441=""),$AK$6,""),"")</f>
        <v/>
      </c>
      <c r="AL441" s="66" t="str">
        <f aca="false">IF($AG441=Constants!$B$7,IF(AND(U441,V441,W441,Y441),IF($AJ441="",0,IF($AJ$6=0,Constants!$B$9,Constants!$B$9*AJ441/$AJ$6)), 0),"")</f>
        <v/>
      </c>
      <c r="AM441" s="66" t="str">
        <f aca="false">IF(AL441&lt;&gt;"", AL441*AI441,"")</f>
        <v/>
      </c>
      <c r="AN441" s="66" t="str">
        <f aca="false">IF(AND($AG441=Constants!$B$7, U441, V441) ,IF($AB441="", "", IF(OR($AC441="",$AC441=0),"",MAX(0,1-ABS($AC441-$AB441)/$AC441))),"")</f>
        <v/>
      </c>
      <c r="AO441" s="66" t="str">
        <f aca="false">IF(AND($AG441=Constants!$B$7, U441, V441),IF(AND($AA441&lt;&gt;"",$AB441&lt;&gt;"",$AC441=0),$AO$6,""),"")</f>
        <v/>
      </c>
      <c r="AP441" s="66" t="str">
        <f aca="false">IF($AG441=Constants!$B$7 ,IF(AND(U441,V441,W441,Y441,ISNUMBER(AB441)),IF($AN441="",0,IF($AN$6=0,Constants!$B$10,Constants!$B$10*AN441/$AN$6)), 0),"")</f>
        <v/>
      </c>
      <c r="AQ441" s="66" t="str">
        <f aca="false">IF(AP441&lt;&gt;"", AP441*AI441,"")</f>
        <v/>
      </c>
      <c r="AR441" s="66" t="str">
        <f aca="false">IF($AG441=Constants!$B$7,IF($AD441="",0,IF($AR$6=0,Constants!$B$8,Constants!$B$8*AD441/$AR$6)),"")</f>
        <v/>
      </c>
      <c r="AS441" s="66" t="str">
        <f aca="false">IF($AG441&lt;&gt;Constants!$B$7,$AG441,IF(AK441&amp;AO441&lt;&gt;"",Constants!$B$14,AM441+AQ441+AR441))</f>
        <v/>
      </c>
      <c r="AT441" s="66" t="str">
        <f aca="false">IF(ISBLANK($C441),"",IF($AG441=Constants!$B$7,IF(ISNUMBER(AS441),RANK(AS441,$AS$8:$AS$507),Constants!$B$14),$AG441))</f>
        <v/>
      </c>
      <c r="AU441" s="66" t="str">
        <f aca="false">IF(ISBLANK($C441), "",AM441)</f>
        <v/>
      </c>
      <c r="AV441" s="66" t="str">
        <f aca="false">IF(ISBLANK($C441),"",IF($AG441=Constants!$B$7,RANK(AU441,AU$8:AU$507),$AG441))</f>
        <v/>
      </c>
      <c r="AW441" s="66" t="str">
        <f aca="false">IF(ISBLANK($C441), "",AR441)</f>
        <v/>
      </c>
      <c r="AX441" s="66" t="str">
        <f aca="false">IF(ISBLANK($C441),"",IF($AG441=Constants!$B$7,RANK(AW441,AW$8:AW$507),$AG441))</f>
        <v/>
      </c>
      <c r="AY441" s="66" t="str">
        <f aca="false">IF(ISBLANK($C441), "",AE441)</f>
        <v/>
      </c>
      <c r="AZ441" s="66" t="str">
        <f aca="false">IF(ISBLANK($C441),"",
IF($AG441=Constants!$B$7,
  IF(ISNUMBER(AT441),
    COUNTIFS($AT$8:$AT$507,"&lt;"&amp;$AT441)
    + COUNTIFS($AT$8:$AT$507,$AT441,$AV$8:$AV$507,"&lt;"&amp;$AV441)
    + COUNTIFS($AT$8:$AT$507,$AT441,$AV$8:$AV$507,$AV441,$AX$8:$AX$507,"&lt;"&amp;$AX441)
    + COUNTIFS($AT$8:$AT$507,$AT441,$AV$8:$AV$507,$AV441,$AX$8:$AX$507,$AX441,$AY$8:$AY$507,"&lt;"&amp;$AY441)
    + 1,
  Constants!$B$14),
$AG441))</f>
        <v/>
      </c>
      <c r="BA441" s="66" t="str">
        <f aca="false">IF(ISBLANK(C441),"",IF($AG441=Constants!$B$7, IF(ISNUMBER(AT441),AT441-AZ441,Constants!$B$14),$AG441))</f>
        <v/>
      </c>
      <c r="BB441" s="70"/>
      <c r="BC441" s="84" t="str">
        <f aca="false">IF(ISBLANK($C441),"",TRIM(AK441&amp;" "&amp;AO441))</f>
        <v/>
      </c>
      <c r="BD441" s="72" t="str">
        <f aca="false">IF(ISBLANK($C441),"",IF($AG441&lt;&gt;Constants!$B$7,$AG441,AR441))</f>
        <v/>
      </c>
      <c r="BE441" s="72" t="str">
        <f aca="false">IF(ISBLANK($C441),"",IF($AG441&lt;&gt;Constants!$B$7,$AG441,AM441))</f>
        <v/>
      </c>
      <c r="BF441" s="72" t="str">
        <f aca="false">IF(ISBLANK($C441),"",IF($AG441&lt;&gt;Constants!$B$7,$AG441,AQ441))</f>
        <v/>
      </c>
      <c r="BG441" s="73" t="str">
        <f aca="false">IF(ISBLANK($C441),"",IF($AG441&lt;&gt;Constants!$B$7, $AG441 ,AS441))</f>
        <v/>
      </c>
      <c r="BH441" s="74" t="str">
        <f aca="false">IF(ISBLANK($C441),"",IF($AG441&lt;&gt;Constants!$B$7, $AG441 ,AH441))</f>
        <v/>
      </c>
      <c r="BI441" s="72" t="str">
        <f aca="false">IF(ISBLANK(C441),"",BA441)</f>
        <v/>
      </c>
      <c r="BJ441" s="72" t="str">
        <f aca="false">IF(ISBLANK(C441),"",AZ441)</f>
        <v/>
      </c>
      <c r="BK441" s="75" t="str">
        <f aca="false">IF(ISBLANK(C441),"",IFERROR(_xlfn.SWITCH(BJ441, Constants!$B$4, COUNTA($C$8:$C940)+2, Constants!$B$5, COUNTA($C$8:$C940)+1, Constants!$B$6, COUNTA($C$8:$C940)),BJ441))</f>
        <v/>
      </c>
      <c r="BL441" s="5"/>
      <c r="BM441" s="76" t="n">
        <f aca="false">IF(OR(ISNUMBER(BJ441),BJ441="DQ",BJ441="P",BJ441="NS"),
    1,
    0
)</f>
        <v>0</v>
      </c>
      <c r="BN441" s="76" t="n">
        <v>434</v>
      </c>
      <c r="BO441" s="76" t="str">
        <f aca="false">IF(ISBLANK($C441),"",IF(ISNUMBER(BK441),BK441+ROW($B441)/1000,""))</f>
        <v/>
      </c>
      <c r="BP441" s="76" t="str">
        <f aca="false">IF(ISNUMBER(BO441), RANK(BO441,BO$8:BO$507,1), "")</f>
        <v/>
      </c>
      <c r="BQ441" s="76" t="str">
        <f aca="false">IF(ISBLANK($C441),
    "",
    $B441
)</f>
        <v/>
      </c>
      <c r="BR441" s="76" t="str">
        <f aca="false">IF(ISBLANK($C441),
    "",
    $C441
)</f>
        <v/>
      </c>
      <c r="BS441" s="76" t="str">
        <f aca="false">IF(ISBLANK($C441),
    "",
    $D441
)</f>
        <v/>
      </c>
      <c r="BT441" s="77" t="str">
        <f aca="false">BH441</f>
        <v/>
      </c>
      <c r="BU441" s="78" t="str">
        <f aca="false">BG441</f>
        <v/>
      </c>
      <c r="BV441" s="76" t="str">
        <f aca="false">IF(ISBLANK($C441),
    "",
    BJ441
)</f>
        <v/>
      </c>
      <c r="BW441" s="79" t="str">
        <f aca="false">IF(BN441&gt;BM$7,
    "",
    VLOOKUP(BN441,BP$8:BV940,7,FALSE())
)</f>
        <v/>
      </c>
      <c r="BX441" s="80" t="str">
        <f aca="false">IF(BN441&gt;BM$7,
    "",
    VLOOKUP(BN441,BP$8:BV940,2,FALSE())
)</f>
        <v/>
      </c>
      <c r="BY441" s="80" t="str">
        <f aca="false">IF(BN441&gt;BM$7,
    "",
    VLOOKUP(BN441,BP$8:BV940,3,FALSE())
)</f>
        <v/>
      </c>
      <c r="BZ441" s="80" t="str">
        <f aca="false">IF(BN441&gt;BM$7,
    "",
    VLOOKUP(BN441,BP$8:BV940,4,FALSE())
)</f>
        <v/>
      </c>
      <c r="CA441" s="80" t="str">
        <f aca="false">IF(BN441&gt;BM$7,
    "",
    VLOOKUP(BN441,BP$8:BV940,5,FALSE())
)</f>
        <v/>
      </c>
      <c r="CB441" s="81" t="str">
        <f aca="false">IF(BN441&gt;BM$7,
    "",
    VLOOKUP(BN441,BP$8:BV940,6,FALSE())
)</f>
        <v/>
      </c>
      <c r="CC441" s="53"/>
    </row>
    <row r="442" customFormat="false" ht="15.75" hidden="false" customHeight="false" outlineLevel="0" collapsed="false">
      <c r="A442" s="5"/>
      <c r="B442" s="129"/>
      <c r="C442" s="55"/>
      <c r="D442" s="56"/>
      <c r="E442" s="123"/>
      <c r="F442" s="123"/>
      <c r="G442" s="58"/>
      <c r="H442" s="59"/>
      <c r="I442" s="59"/>
      <c r="J442" s="83"/>
      <c r="K442" s="83"/>
      <c r="L442" s="83"/>
      <c r="M442" s="61"/>
      <c r="N442" s="61"/>
      <c r="O442" s="61"/>
      <c r="P442" s="62"/>
      <c r="Q442" s="63"/>
      <c r="R442" s="83"/>
      <c r="S442" s="65"/>
      <c r="T442" s="66"/>
      <c r="U442" s="66" t="str">
        <f aca="false">IF(ISBLANK($C442),"",IF(G442=Constants!$B$2, TRUE(), IF(G442=Constants!$B$3, FALSE(), TRUE())))</f>
        <v/>
      </c>
      <c r="V442" s="66" t="str">
        <f aca="false">IF(ISBLANK($C442),"",IF(H442=Constants!$B$2, TRUE(), IF(H442=Constants!$B$3, FALSE(), TRUE())))</f>
        <v/>
      </c>
      <c r="W442" s="66" t="str">
        <f aca="false">IF(ISBLANK($C442),"",IF(I442=Constants!$B$2, TRUE(), IF(I442=Constants!$B$3, FALSE(), TRUE())))</f>
        <v/>
      </c>
      <c r="X442" s="66" t="str">
        <f aca="false">IF(ISBLANK($C442),"",IF(AND(ISNUMBER(J442),J442&gt;0),INT(J442),0))</f>
        <v/>
      </c>
      <c r="Y442" s="66" t="str">
        <f aca="false">IF(ISBLANK($C442),"",IF(K442=Constants!$B$2, TRUE(), IF(K442=Constants!$B$3, FALSE(), TRUE())))</f>
        <v/>
      </c>
      <c r="Z442" s="66" t="str">
        <f aca="false">IF(ISBLANK($C442),"",IF(AND(ISNUMBER(L442),L442&gt;0),INT(L442),0))</f>
        <v/>
      </c>
      <c r="AA442" s="68" t="str">
        <f aca="false">IF(ISBLANK($C442),"",IF(ISNUMBER(M442), M442, ""))</f>
        <v/>
      </c>
      <c r="AB442" s="68" t="str">
        <f aca="false">IF(ISBLANK($C442),"",IF(ISNUMBER(N442), N442, ""))</f>
        <v/>
      </c>
      <c r="AC442" s="68" t="str">
        <f aca="false">IF(ISBLANK($C442),"",IF(ISNUMBER(O442), O442, ""))</f>
        <v/>
      </c>
      <c r="AD442" s="69" t="str">
        <f aca="false">IF(ISBLANK($C442),"",IF(ISNUMBER(P442), P442, ""))</f>
        <v/>
      </c>
      <c r="AE442" s="69" t="str">
        <f aca="false">IF(ISBLANK($C442),"",IF(ISNUMBER(Q442), Q442, Constants!$B$13))</f>
        <v/>
      </c>
      <c r="AF442" s="66" t="str">
        <f aca="false">IF(ISBLANK($C442),"",IF(R442=Constants!$B$2, TRUE(), IF(R442=Constants!$B$3, FALSE(), FALSE())))</f>
        <v/>
      </c>
      <c r="AG442" s="66" t="str">
        <f aca="false">IF(ISBLANK(C442), "", IF(AF442, Constants!$B$4,IF(COUNTA(G442:P442)=0, Constants!$B$5, Constants!$B$7)))</f>
        <v/>
      </c>
      <c r="AH442" s="66" t="str">
        <f aca="false">IF(ISBLANK($C442), "",IF($AG442=Constants!$B$7,1,$AG442))</f>
        <v/>
      </c>
      <c r="AI442" s="66" t="str">
        <f aca="false">IF($AG442=Constants!$B$7,POWER(Constants!$B$11,X442)*POWER(Constants!$B$12,Z442),"")</f>
        <v/>
      </c>
      <c r="AJ442" s="66" t="str">
        <f aca="false">IF(AND($AG442=Constants!$B$7, U442, V442) ,IF(OR($AA442="",$AC442=""),"",MAX(0, $AC442-$AA442)),"")</f>
        <v/>
      </c>
      <c r="AK442" s="66" t="str">
        <f aca="false">IF(AND($AG442=Constants!$B$7, U442, V442),IF(OR($AA442="",$AC442=""),$AK$6,""),"")</f>
        <v/>
      </c>
      <c r="AL442" s="66" t="str">
        <f aca="false">IF($AG442=Constants!$B$7,IF(AND(U442,V442,W442,Y442),IF($AJ442="",0,IF($AJ$6=0,Constants!$B$9,Constants!$B$9*AJ442/$AJ$6)), 0),"")</f>
        <v/>
      </c>
      <c r="AM442" s="66" t="str">
        <f aca="false">IF(AL442&lt;&gt;"", AL442*AI442,"")</f>
        <v/>
      </c>
      <c r="AN442" s="66" t="str">
        <f aca="false">IF(AND($AG442=Constants!$B$7, U442, V442) ,IF($AB442="", "", IF(OR($AC442="",$AC442=0),"",MAX(0,1-ABS($AC442-$AB442)/$AC442))),"")</f>
        <v/>
      </c>
      <c r="AO442" s="66" t="str">
        <f aca="false">IF(AND($AG442=Constants!$B$7, U442, V442),IF(AND($AA442&lt;&gt;"",$AB442&lt;&gt;"",$AC442=0),$AO$6,""),"")</f>
        <v/>
      </c>
      <c r="AP442" s="66" t="str">
        <f aca="false">IF($AG442=Constants!$B$7 ,IF(AND(U442,V442,W442,Y442,ISNUMBER(AB442)),IF($AN442="",0,IF($AN$6=0,Constants!$B$10,Constants!$B$10*AN442/$AN$6)), 0),"")</f>
        <v/>
      </c>
      <c r="AQ442" s="66" t="str">
        <f aca="false">IF(AP442&lt;&gt;"", AP442*AI442,"")</f>
        <v/>
      </c>
      <c r="AR442" s="66" t="str">
        <f aca="false">IF($AG442=Constants!$B$7,IF($AD442="",0,IF($AR$6=0,Constants!$B$8,Constants!$B$8*AD442/$AR$6)),"")</f>
        <v/>
      </c>
      <c r="AS442" s="66" t="str">
        <f aca="false">IF($AG442&lt;&gt;Constants!$B$7,$AG442,IF(AK442&amp;AO442&lt;&gt;"",Constants!$B$14,AM442+AQ442+AR442))</f>
        <v/>
      </c>
      <c r="AT442" s="66" t="str">
        <f aca="false">IF(ISBLANK($C442),"",IF($AG442=Constants!$B$7,IF(ISNUMBER(AS442),RANK(AS442,$AS$8:$AS$507),Constants!$B$14),$AG442))</f>
        <v/>
      </c>
      <c r="AU442" s="66" t="str">
        <f aca="false">IF(ISBLANK($C442), "",AM442)</f>
        <v/>
      </c>
      <c r="AV442" s="66" t="str">
        <f aca="false">IF(ISBLANK($C442),"",IF($AG442=Constants!$B$7,RANK(AU442,AU$8:AU$507),$AG442))</f>
        <v/>
      </c>
      <c r="AW442" s="66" t="str">
        <f aca="false">IF(ISBLANK($C442), "",AR442)</f>
        <v/>
      </c>
      <c r="AX442" s="66" t="str">
        <f aca="false">IF(ISBLANK($C442),"",IF($AG442=Constants!$B$7,RANK(AW442,AW$8:AW$507),$AG442))</f>
        <v/>
      </c>
      <c r="AY442" s="66" t="str">
        <f aca="false">IF(ISBLANK($C442), "",AE442)</f>
        <v/>
      </c>
      <c r="AZ442" s="66" t="str">
        <f aca="false">IF(ISBLANK($C442),"",
IF($AG442=Constants!$B$7,
  IF(ISNUMBER(AT442),
    COUNTIFS($AT$8:$AT$507,"&lt;"&amp;$AT442)
    + COUNTIFS($AT$8:$AT$507,$AT442,$AV$8:$AV$507,"&lt;"&amp;$AV442)
    + COUNTIFS($AT$8:$AT$507,$AT442,$AV$8:$AV$507,$AV442,$AX$8:$AX$507,"&lt;"&amp;$AX442)
    + COUNTIFS($AT$8:$AT$507,$AT442,$AV$8:$AV$507,$AV442,$AX$8:$AX$507,$AX442,$AY$8:$AY$507,"&lt;"&amp;$AY442)
    + 1,
  Constants!$B$14),
$AG442))</f>
        <v/>
      </c>
      <c r="BA442" s="66" t="str">
        <f aca="false">IF(ISBLANK(C442),"",IF($AG442=Constants!$B$7, IF(ISNUMBER(AT442),AT442-AZ442,Constants!$B$14),$AG442))</f>
        <v/>
      </c>
      <c r="BB442" s="70"/>
      <c r="BC442" s="84" t="str">
        <f aca="false">IF(ISBLANK($C442),"",TRIM(AK442&amp;" "&amp;AO442))</f>
        <v/>
      </c>
      <c r="BD442" s="72" t="str">
        <f aca="false">IF(ISBLANK($C442),"",IF($AG442&lt;&gt;Constants!$B$7,$AG442,AR442))</f>
        <v/>
      </c>
      <c r="BE442" s="72" t="str">
        <f aca="false">IF(ISBLANK($C442),"",IF($AG442&lt;&gt;Constants!$B$7,$AG442,AM442))</f>
        <v/>
      </c>
      <c r="BF442" s="72" t="str">
        <f aca="false">IF(ISBLANK($C442),"",IF($AG442&lt;&gt;Constants!$B$7,$AG442,AQ442))</f>
        <v/>
      </c>
      <c r="BG442" s="73" t="str">
        <f aca="false">IF(ISBLANK($C442),"",IF($AG442&lt;&gt;Constants!$B$7, $AG442 ,AS442))</f>
        <v/>
      </c>
      <c r="BH442" s="74" t="str">
        <f aca="false">IF(ISBLANK($C442),"",IF($AG442&lt;&gt;Constants!$B$7, $AG442 ,AH442))</f>
        <v/>
      </c>
      <c r="BI442" s="72" t="str">
        <f aca="false">IF(ISBLANK(C442),"",BA442)</f>
        <v/>
      </c>
      <c r="BJ442" s="72" t="str">
        <f aca="false">IF(ISBLANK(C442),"",AZ442)</f>
        <v/>
      </c>
      <c r="BK442" s="75" t="str">
        <f aca="false">IF(ISBLANK(C442),"",IFERROR(_xlfn.SWITCH(BJ442, Constants!$B$4, COUNTA($C$8:$C941)+2, Constants!$B$5, COUNTA($C$8:$C941)+1, Constants!$B$6, COUNTA($C$8:$C941)),BJ442))</f>
        <v/>
      </c>
      <c r="BL442" s="5"/>
      <c r="BM442" s="76" t="n">
        <f aca="false">IF(OR(ISNUMBER(BJ442),BJ442="DQ",BJ442="P",BJ442="NS"),
    1,
    0
)</f>
        <v>0</v>
      </c>
      <c r="BN442" s="76" t="n">
        <v>435</v>
      </c>
      <c r="BO442" s="76" t="str">
        <f aca="false">IF(ISBLANK($C442),"",IF(ISNUMBER(BK442),BK442+ROW($B442)/1000,""))</f>
        <v/>
      </c>
      <c r="BP442" s="76" t="str">
        <f aca="false">IF(ISNUMBER(BO442), RANK(BO442,BO$8:BO$507,1), "")</f>
        <v/>
      </c>
      <c r="BQ442" s="76" t="str">
        <f aca="false">IF(ISBLANK($C442),
    "",
    $B442
)</f>
        <v/>
      </c>
      <c r="BR442" s="76" t="str">
        <f aca="false">IF(ISBLANK($C442),
    "",
    $C442
)</f>
        <v/>
      </c>
      <c r="BS442" s="76" t="str">
        <f aca="false">IF(ISBLANK($C442),
    "",
    $D442
)</f>
        <v/>
      </c>
      <c r="BT442" s="77" t="str">
        <f aca="false">BH442</f>
        <v/>
      </c>
      <c r="BU442" s="78" t="str">
        <f aca="false">BG442</f>
        <v/>
      </c>
      <c r="BV442" s="76" t="str">
        <f aca="false">IF(ISBLANK($C442),
    "",
    BJ442
)</f>
        <v/>
      </c>
      <c r="BW442" s="79" t="str">
        <f aca="false">IF(BN442&gt;BM$7,
    "",
    VLOOKUP(BN442,BP$8:BV941,7,FALSE())
)</f>
        <v/>
      </c>
      <c r="BX442" s="80" t="str">
        <f aca="false">IF(BN442&gt;BM$7,
    "",
    VLOOKUP(BN442,BP$8:BV941,2,FALSE())
)</f>
        <v/>
      </c>
      <c r="BY442" s="80" t="str">
        <f aca="false">IF(BN442&gt;BM$7,
    "",
    VLOOKUP(BN442,BP$8:BV941,3,FALSE())
)</f>
        <v/>
      </c>
      <c r="BZ442" s="80" t="str">
        <f aca="false">IF(BN442&gt;BM$7,
    "",
    VLOOKUP(BN442,BP$8:BV941,4,FALSE())
)</f>
        <v/>
      </c>
      <c r="CA442" s="80" t="str">
        <f aca="false">IF(BN442&gt;BM$7,
    "",
    VLOOKUP(BN442,BP$8:BV941,5,FALSE())
)</f>
        <v/>
      </c>
      <c r="CB442" s="81" t="str">
        <f aca="false">IF(BN442&gt;BM$7,
    "",
    VLOOKUP(BN442,BP$8:BV941,6,FALSE())
)</f>
        <v/>
      </c>
      <c r="CC442" s="53"/>
    </row>
    <row r="443" customFormat="false" ht="15.75" hidden="false" customHeight="false" outlineLevel="0" collapsed="false">
      <c r="A443" s="5"/>
      <c r="B443" s="125"/>
      <c r="C443" s="126"/>
      <c r="D443" s="115"/>
      <c r="E443" s="119"/>
      <c r="F443" s="119"/>
      <c r="G443" s="91"/>
      <c r="H443" s="92"/>
      <c r="I443" s="92"/>
      <c r="J443" s="128"/>
      <c r="K443" s="128"/>
      <c r="L443" s="128"/>
      <c r="M443" s="94"/>
      <c r="N443" s="94"/>
      <c r="O443" s="94"/>
      <c r="P443" s="95"/>
      <c r="Q443" s="96"/>
      <c r="R443" s="128"/>
      <c r="S443" s="98"/>
      <c r="T443" s="99"/>
      <c r="U443" s="99" t="str">
        <f aca="false">IF(ISBLANK($C443),"",IF(G443=Constants!$B$2, TRUE(), IF(G443=Constants!$B$3, FALSE(), TRUE())))</f>
        <v/>
      </c>
      <c r="V443" s="99" t="str">
        <f aca="false">IF(ISBLANK($C443),"",IF(H443=Constants!$B$2, TRUE(), IF(H443=Constants!$B$3, FALSE(), TRUE())))</f>
        <v/>
      </c>
      <c r="W443" s="99" t="str">
        <f aca="false">IF(ISBLANK($C443),"",IF(I443=Constants!$B$2, TRUE(), IF(I443=Constants!$B$3, FALSE(), TRUE())))</f>
        <v/>
      </c>
      <c r="X443" s="99" t="str">
        <f aca="false">IF(ISBLANK($C443),"",IF(AND(ISNUMBER(J443),J443&gt;0),INT(J443),0))</f>
        <v/>
      </c>
      <c r="Y443" s="99" t="str">
        <f aca="false">IF(ISBLANK($C443),"",IF(K443=Constants!$B$2, TRUE(), IF(K443=Constants!$B$3, FALSE(), TRUE())))</f>
        <v/>
      </c>
      <c r="Z443" s="100" t="str">
        <f aca="false">IF(ISBLANK($C443),"",IF(AND(ISNUMBER(L443),L443&gt;0),INT(L443),0))</f>
        <v/>
      </c>
      <c r="AA443" s="101" t="str">
        <f aca="false">IF(ISBLANK($C443),"",IF(ISNUMBER(M443), M443, ""))</f>
        <v/>
      </c>
      <c r="AB443" s="101" t="str">
        <f aca="false">IF(ISBLANK($C443),"",IF(ISNUMBER(N443), N443, ""))</f>
        <v/>
      </c>
      <c r="AC443" s="101" t="str">
        <f aca="false">IF(ISBLANK($C443),"",IF(ISNUMBER(O443), O443, ""))</f>
        <v/>
      </c>
      <c r="AD443" s="102" t="str">
        <f aca="false">IF(ISBLANK($C443),"",IF(ISNUMBER(P443), P443, ""))</f>
        <v/>
      </c>
      <c r="AE443" s="102" t="str">
        <f aca="false">IF(ISBLANK($C443),"",IF(ISNUMBER(Q443), Q443, Constants!$B$13))</f>
        <v/>
      </c>
      <c r="AF443" s="99" t="str">
        <f aca="false">IF(ISBLANK($C443),"",IF(R443=Constants!$B$2, TRUE(), IF(R443=Constants!$B$3, FALSE(), FALSE())))</f>
        <v/>
      </c>
      <c r="AG443" s="99" t="str">
        <f aca="false">IF(ISBLANK(C443), "", IF(AF443, Constants!$B$4,IF(COUNTA(G443:P443)=0, Constants!$B$5, Constants!$B$7)))</f>
        <v/>
      </c>
      <c r="AH443" s="99" t="str">
        <f aca="false">IF(ISBLANK($C443), "",IF($AG443=Constants!$B$7,1,$AG443))</f>
        <v/>
      </c>
      <c r="AI443" s="99" t="str">
        <f aca="false">IF($AG443=Constants!$B$7,POWER(Constants!$B$11,X443)*POWER(Constants!$B$12,Z443),"")</f>
        <v/>
      </c>
      <c r="AJ443" s="99" t="str">
        <f aca="false">IF(AND($AG443=Constants!$B$7, U443, V443) ,IF(OR($AA443="",$AC443=""),"",MAX(0, $AC443-$AA443)),"")</f>
        <v/>
      </c>
      <c r="AK443" s="99" t="str">
        <f aca="false">IF(AND($AG443=Constants!$B$7, U443, V443),IF(OR($AA443="",$AC443=""),$AK$6,""),"")</f>
        <v/>
      </c>
      <c r="AL443" s="99" t="str">
        <f aca="false">IF($AG443=Constants!$B$7,IF(AND(U443,V443,W443,Y443),IF($AJ443="",0,IF($AJ$6=0,Constants!$B$9,Constants!$B$9*AJ443/$AJ$6)), 0),"")</f>
        <v/>
      </c>
      <c r="AM443" s="99" t="str">
        <f aca="false">IF(AL443&lt;&gt;"", AL443*AI443,"")</f>
        <v/>
      </c>
      <c r="AN443" s="99" t="str">
        <f aca="false">IF(AND($AG443=Constants!$B$7, U443, V443) ,IF($AB443="", "", IF(OR($AC443="",$AC443=0),"",MAX(0,1-ABS($AC443-$AB443)/$AC443))),"")</f>
        <v/>
      </c>
      <c r="AO443" s="99" t="str">
        <f aca="false">IF(AND($AG443=Constants!$B$7, U443, V443),IF(AND($AA443&lt;&gt;"",$AB443&lt;&gt;"",$AC443=0),$AO$6,""),"")</f>
        <v/>
      </c>
      <c r="AP443" s="99" t="str">
        <f aca="false">IF($AG443=Constants!$B$7 ,IF(AND(U443,V443,W443,Y443,ISNUMBER(AB443)),IF($AN443="",0,IF($AN$6=0,Constants!$B$10,Constants!$B$10*AN443/$AN$6)), 0),"")</f>
        <v/>
      </c>
      <c r="AQ443" s="99" t="str">
        <f aca="false">IF(AP443&lt;&gt;"", AP443*AI443,"")</f>
        <v/>
      </c>
      <c r="AR443" s="99" t="str">
        <f aca="false">IF($AG443=Constants!$B$7,IF($AD443="",0,IF($AR$6=0,Constants!$B$8,Constants!$B$8*AD443/$AR$6)),"")</f>
        <v/>
      </c>
      <c r="AS443" s="99" t="str">
        <f aca="false">IF($AG443&lt;&gt;Constants!$B$7,$AG443,IF(AK443&amp;AO443&lt;&gt;"",Constants!$B$14,AM443+AQ443+AR443))</f>
        <v/>
      </c>
      <c r="AT443" s="99" t="str">
        <f aca="false">IF(ISBLANK($C443),"",IF($AG443=Constants!$B$7,IF(ISNUMBER(AS443),RANK(AS443,$AS$8:$AS$507),Constants!$B$14),$AG443))</f>
        <v/>
      </c>
      <c r="AU443" s="99" t="str">
        <f aca="false">IF(ISBLANK($C443), "",AM443)</f>
        <v/>
      </c>
      <c r="AV443" s="99" t="str">
        <f aca="false">IF(ISBLANK($C443),"",IF($AG443=Constants!$B$7,RANK(AU443,AU$8:AU$507),$AG443))</f>
        <v/>
      </c>
      <c r="AW443" s="99" t="str">
        <f aca="false">IF(ISBLANK($C443), "",AR443)</f>
        <v/>
      </c>
      <c r="AX443" s="99" t="str">
        <f aca="false">IF(ISBLANK($C443),"",IF($AG443=Constants!$B$7,RANK(AW443,AW$8:AW$507),$AG443))</f>
        <v/>
      </c>
      <c r="AY443" s="99" t="str">
        <f aca="false">IF(ISBLANK($C443), "",AE443)</f>
        <v/>
      </c>
      <c r="AZ443" s="99" t="str">
        <f aca="false">IF(ISBLANK($C443),"",
IF($AG443=Constants!$B$7,
  IF(ISNUMBER(AT443),
    COUNTIFS($AT$8:$AT$507,"&lt;"&amp;$AT443)
    + COUNTIFS($AT$8:$AT$507,$AT443,$AV$8:$AV$507,"&lt;"&amp;$AV443)
    + COUNTIFS($AT$8:$AT$507,$AT443,$AV$8:$AV$507,$AV443,$AX$8:$AX$507,"&lt;"&amp;$AX443)
    + COUNTIFS($AT$8:$AT$507,$AT443,$AV$8:$AV$507,$AV443,$AX$8:$AX$507,$AX443,$AY$8:$AY$507,"&lt;"&amp;$AY443)
    + 1,
  Constants!$B$14),
$AG443))</f>
        <v/>
      </c>
      <c r="BA443" s="99" t="str">
        <f aca="false">IF(ISBLANK(C443),"",IF($AG443=Constants!$B$7, IF(ISNUMBER(AT443),AT443-AZ443,Constants!$B$14),$AG443))</f>
        <v/>
      </c>
      <c r="BB443" s="103"/>
      <c r="BC443" s="104" t="str">
        <f aca="false">IF(ISBLANK($C443),"",TRIM(AK443&amp;" "&amp;AO443))</f>
        <v/>
      </c>
      <c r="BD443" s="105" t="str">
        <f aca="false">IF(ISBLANK($C443),"",IF($AG443&lt;&gt;Constants!$B$7,$AG443,AR443))</f>
        <v/>
      </c>
      <c r="BE443" s="105" t="str">
        <f aca="false">IF(ISBLANK($C443),"",IF($AG443&lt;&gt;Constants!$B$7,$AG443,AM443))</f>
        <v/>
      </c>
      <c r="BF443" s="105" t="str">
        <f aca="false">IF(ISBLANK($C443),"",IF($AG443&lt;&gt;Constants!$B$7,$AG443,AQ443))</f>
        <v/>
      </c>
      <c r="BG443" s="106" t="str">
        <f aca="false">IF(ISBLANK($C443),"",IF($AG443&lt;&gt;Constants!$B$7, $AG443 ,AS443))</f>
        <v/>
      </c>
      <c r="BH443" s="107" t="str">
        <f aca="false">IF(ISBLANK($C443),"",IF($AG443&lt;&gt;Constants!$B$7, $AG443 ,AH443))</f>
        <v/>
      </c>
      <c r="BI443" s="105" t="str">
        <f aca="false">IF(ISBLANK(C443),"",BA443)</f>
        <v/>
      </c>
      <c r="BJ443" s="105" t="str">
        <f aca="false">IF(ISBLANK(C443),"",AZ443)</f>
        <v/>
      </c>
      <c r="BK443" s="108" t="str">
        <f aca="false">IF(ISBLANK(C443),"",IFERROR(_xlfn.SWITCH(BJ443, Constants!$B$4, COUNTA($C$8:$C942)+2, Constants!$B$5, COUNTA($C$8:$C942)+1, Constants!$B$6, COUNTA($C$8:$C942)),BJ443))</f>
        <v/>
      </c>
      <c r="BL443" s="5"/>
      <c r="BM443" s="109" t="n">
        <f aca="false">IF(OR(ISNUMBER(BJ443),BJ443="DQ",BJ443="P",BJ443="NS"),
    1,
    0
)</f>
        <v>0</v>
      </c>
      <c r="BN443" s="109" t="n">
        <v>436</v>
      </c>
      <c r="BO443" s="109" t="str">
        <f aca="false">IF(ISBLANK($C443),"",IF(ISNUMBER(BK443),BK443+ROW($B443)/1000,""))</f>
        <v/>
      </c>
      <c r="BP443" s="109" t="str">
        <f aca="false">IF(ISNUMBER(BO443), RANK(BO443,BO$8:BO$507,1), "")</f>
        <v/>
      </c>
      <c r="BQ443" s="109" t="str">
        <f aca="false">IF(ISBLANK($C443),
    "",
    $B443
)</f>
        <v/>
      </c>
      <c r="BR443" s="109" t="str">
        <f aca="false">IF(ISBLANK($C443),
    "",
    $C443
)</f>
        <v/>
      </c>
      <c r="BS443" s="109" t="str">
        <f aca="false">IF(ISBLANK($C443),
    "",
    $D443
)</f>
        <v/>
      </c>
      <c r="BT443" s="110" t="str">
        <f aca="false">BH443</f>
        <v/>
      </c>
      <c r="BU443" s="111" t="str">
        <f aca="false">BG443</f>
        <v/>
      </c>
      <c r="BV443" s="109" t="str">
        <f aca="false">IF(ISBLANK($C443),
    "",
    BJ443
)</f>
        <v/>
      </c>
      <c r="BW443" s="112" t="str">
        <f aca="false">IF(BN443&gt;BM$7,
    "",
    VLOOKUP(BN443,BP$8:BV942,7,FALSE())
)</f>
        <v/>
      </c>
      <c r="BX443" s="113" t="str">
        <f aca="false">IF(BN443&gt;BM$7,
    "",
    VLOOKUP(BN443,BP$8:BV942,2,FALSE())
)</f>
        <v/>
      </c>
      <c r="BY443" s="113" t="str">
        <f aca="false">IF(BN443&gt;BM$7,
    "",
    VLOOKUP(BN443,BP$8:BV942,3,FALSE())
)</f>
        <v/>
      </c>
      <c r="BZ443" s="113" t="str">
        <f aca="false">IF(BN443&gt;BM$7,
    "",
    VLOOKUP(BN443,BP$8:BV942,4,FALSE())
)</f>
        <v/>
      </c>
      <c r="CA443" s="113" t="str">
        <f aca="false">IF(BN443&gt;BM$7,
    "",
    VLOOKUP(BN443,BP$8:BV942,5,FALSE())
)</f>
        <v/>
      </c>
      <c r="CB443" s="114" t="str">
        <f aca="false">IF(BN443&gt;BM$7,
    "",
    VLOOKUP(BN443,BP$8:BV942,6,FALSE())
)</f>
        <v/>
      </c>
      <c r="CC443" s="53"/>
    </row>
    <row r="444" customFormat="false" ht="15.75" hidden="false" customHeight="false" outlineLevel="0" collapsed="false">
      <c r="A444" s="5"/>
      <c r="B444" s="125"/>
      <c r="C444" s="126"/>
      <c r="D444" s="115"/>
      <c r="E444" s="119"/>
      <c r="F444" s="119"/>
      <c r="G444" s="91"/>
      <c r="H444" s="92"/>
      <c r="I444" s="92"/>
      <c r="J444" s="128"/>
      <c r="K444" s="128"/>
      <c r="L444" s="128"/>
      <c r="M444" s="94"/>
      <c r="N444" s="94"/>
      <c r="O444" s="94"/>
      <c r="P444" s="95"/>
      <c r="Q444" s="96"/>
      <c r="R444" s="128"/>
      <c r="S444" s="98"/>
      <c r="T444" s="99"/>
      <c r="U444" s="99" t="str">
        <f aca="false">IF(ISBLANK($C444),"",IF(G444=Constants!$B$2, TRUE(), IF(G444=Constants!$B$3, FALSE(), TRUE())))</f>
        <v/>
      </c>
      <c r="V444" s="99" t="str">
        <f aca="false">IF(ISBLANK($C444),"",IF(H444=Constants!$B$2, TRUE(), IF(H444=Constants!$B$3, FALSE(), TRUE())))</f>
        <v/>
      </c>
      <c r="W444" s="99" t="str">
        <f aca="false">IF(ISBLANK($C444),"",IF(I444=Constants!$B$2, TRUE(), IF(I444=Constants!$B$3, FALSE(), TRUE())))</f>
        <v/>
      </c>
      <c r="X444" s="99" t="str">
        <f aca="false">IF(ISBLANK($C444),"",IF(AND(ISNUMBER(J444),J444&gt;0),INT(J444),0))</f>
        <v/>
      </c>
      <c r="Y444" s="99" t="str">
        <f aca="false">IF(ISBLANK($C444),"",IF(K444=Constants!$B$2, TRUE(), IF(K444=Constants!$B$3, FALSE(), TRUE())))</f>
        <v/>
      </c>
      <c r="Z444" s="100" t="str">
        <f aca="false">IF(ISBLANK($C444),"",IF(AND(ISNUMBER(L444),L444&gt;0),INT(L444),0))</f>
        <v/>
      </c>
      <c r="AA444" s="101" t="str">
        <f aca="false">IF(ISBLANK($C444),"",IF(ISNUMBER(M444), M444, ""))</f>
        <v/>
      </c>
      <c r="AB444" s="101" t="str">
        <f aca="false">IF(ISBLANK($C444),"",IF(ISNUMBER(N444), N444, ""))</f>
        <v/>
      </c>
      <c r="AC444" s="101" t="str">
        <f aca="false">IF(ISBLANK($C444),"",IF(ISNUMBER(O444), O444, ""))</f>
        <v/>
      </c>
      <c r="AD444" s="102" t="str">
        <f aca="false">IF(ISBLANK($C444),"",IF(ISNUMBER(P444), P444, ""))</f>
        <v/>
      </c>
      <c r="AE444" s="102" t="str">
        <f aca="false">IF(ISBLANK($C444),"",IF(ISNUMBER(Q444), Q444, Constants!$B$13))</f>
        <v/>
      </c>
      <c r="AF444" s="99" t="str">
        <f aca="false">IF(ISBLANK($C444),"",IF(R444=Constants!$B$2, TRUE(), IF(R444=Constants!$B$3, FALSE(), FALSE())))</f>
        <v/>
      </c>
      <c r="AG444" s="99" t="str">
        <f aca="false">IF(ISBLANK(C444), "", IF(AF444, Constants!$B$4,IF(COUNTA(G444:P444)=0, Constants!$B$5, Constants!$B$7)))</f>
        <v/>
      </c>
      <c r="AH444" s="99" t="str">
        <f aca="false">IF(ISBLANK($C444), "",IF($AG444=Constants!$B$7,1,$AG444))</f>
        <v/>
      </c>
      <c r="AI444" s="99" t="str">
        <f aca="false">IF($AG444=Constants!$B$7,POWER(Constants!$B$11,X444)*POWER(Constants!$B$12,Z444),"")</f>
        <v/>
      </c>
      <c r="AJ444" s="99" t="str">
        <f aca="false">IF(AND($AG444=Constants!$B$7, U444, V444) ,IF(OR($AA444="",$AC444=""),"",MAX(0, $AC444-$AA444)),"")</f>
        <v/>
      </c>
      <c r="AK444" s="99" t="str">
        <f aca="false">IF(AND($AG444=Constants!$B$7, U444, V444),IF(OR($AA444="",$AC444=""),$AK$6,""),"")</f>
        <v/>
      </c>
      <c r="AL444" s="99" t="str">
        <f aca="false">IF($AG444=Constants!$B$7,IF(AND(U444,V444,W444,Y444),IF($AJ444="",0,IF($AJ$6=0,Constants!$B$9,Constants!$B$9*AJ444/$AJ$6)), 0),"")</f>
        <v/>
      </c>
      <c r="AM444" s="99" t="str">
        <f aca="false">IF(AL444&lt;&gt;"", AL444*AI444,"")</f>
        <v/>
      </c>
      <c r="AN444" s="99" t="str">
        <f aca="false">IF(AND($AG444=Constants!$B$7, U444, V444) ,IF($AB444="", "", IF(OR($AC444="",$AC444=0),"",MAX(0,1-ABS($AC444-$AB444)/$AC444))),"")</f>
        <v/>
      </c>
      <c r="AO444" s="99" t="str">
        <f aca="false">IF(AND($AG444=Constants!$B$7, U444, V444),IF(AND($AA444&lt;&gt;"",$AB444&lt;&gt;"",$AC444=0),$AO$6,""),"")</f>
        <v/>
      </c>
      <c r="AP444" s="99" t="str">
        <f aca="false">IF($AG444=Constants!$B$7 ,IF(AND(U444,V444,W444,Y444,ISNUMBER(AB444)),IF($AN444="",0,IF($AN$6=0,Constants!$B$10,Constants!$B$10*AN444/$AN$6)), 0),"")</f>
        <v/>
      </c>
      <c r="AQ444" s="99" t="str">
        <f aca="false">IF(AP444&lt;&gt;"", AP444*AI444,"")</f>
        <v/>
      </c>
      <c r="AR444" s="99" t="str">
        <f aca="false">IF($AG444=Constants!$B$7,IF($AD444="",0,IF($AR$6=0,Constants!$B$8,Constants!$B$8*AD444/$AR$6)),"")</f>
        <v/>
      </c>
      <c r="AS444" s="99" t="str">
        <f aca="false">IF($AG444&lt;&gt;Constants!$B$7,$AG444,IF(AK444&amp;AO444&lt;&gt;"",Constants!$B$14,AM444+AQ444+AR444))</f>
        <v/>
      </c>
      <c r="AT444" s="99" t="str">
        <f aca="false">IF(ISBLANK($C444),"",IF($AG444=Constants!$B$7,IF(ISNUMBER(AS444),RANK(AS444,$AS$8:$AS$507),Constants!$B$14),$AG444))</f>
        <v/>
      </c>
      <c r="AU444" s="99" t="str">
        <f aca="false">IF(ISBLANK($C444), "",AM444)</f>
        <v/>
      </c>
      <c r="AV444" s="99" t="str">
        <f aca="false">IF(ISBLANK($C444),"",IF($AG444=Constants!$B$7,RANK(AU444,AU$8:AU$507),$AG444))</f>
        <v/>
      </c>
      <c r="AW444" s="99" t="str">
        <f aca="false">IF(ISBLANK($C444), "",AR444)</f>
        <v/>
      </c>
      <c r="AX444" s="99" t="str">
        <f aca="false">IF(ISBLANK($C444),"",IF($AG444=Constants!$B$7,RANK(AW444,AW$8:AW$507),$AG444))</f>
        <v/>
      </c>
      <c r="AY444" s="99" t="str">
        <f aca="false">IF(ISBLANK($C444), "",AE444)</f>
        <v/>
      </c>
      <c r="AZ444" s="99" t="str">
        <f aca="false">IF(ISBLANK($C444),"",
IF($AG444=Constants!$B$7,
  IF(ISNUMBER(AT444),
    COUNTIFS($AT$8:$AT$507,"&lt;"&amp;$AT444)
    + COUNTIFS($AT$8:$AT$507,$AT444,$AV$8:$AV$507,"&lt;"&amp;$AV444)
    + COUNTIFS($AT$8:$AT$507,$AT444,$AV$8:$AV$507,$AV444,$AX$8:$AX$507,"&lt;"&amp;$AX444)
    + COUNTIFS($AT$8:$AT$507,$AT444,$AV$8:$AV$507,$AV444,$AX$8:$AX$507,$AX444,$AY$8:$AY$507,"&lt;"&amp;$AY444)
    + 1,
  Constants!$B$14),
$AG444))</f>
        <v/>
      </c>
      <c r="BA444" s="99" t="str">
        <f aca="false">IF(ISBLANK(C444),"",IF($AG444=Constants!$B$7, IF(ISNUMBER(AT444),AT444-AZ444,Constants!$B$14),$AG444))</f>
        <v/>
      </c>
      <c r="BB444" s="103"/>
      <c r="BC444" s="104" t="str">
        <f aca="false">IF(ISBLANK($C444),"",TRIM(AK444&amp;" "&amp;AO444))</f>
        <v/>
      </c>
      <c r="BD444" s="105" t="str">
        <f aca="false">IF(ISBLANK($C444),"",IF($AG444&lt;&gt;Constants!$B$7,$AG444,AR444))</f>
        <v/>
      </c>
      <c r="BE444" s="105" t="str">
        <f aca="false">IF(ISBLANK($C444),"",IF($AG444&lt;&gt;Constants!$B$7,$AG444,AM444))</f>
        <v/>
      </c>
      <c r="BF444" s="105" t="str">
        <f aca="false">IF(ISBLANK($C444),"",IF($AG444&lt;&gt;Constants!$B$7,$AG444,AQ444))</f>
        <v/>
      </c>
      <c r="BG444" s="106" t="str">
        <f aca="false">IF(ISBLANK($C444),"",IF($AG444&lt;&gt;Constants!$B$7, $AG444 ,AS444))</f>
        <v/>
      </c>
      <c r="BH444" s="107" t="str">
        <f aca="false">IF(ISBLANK($C444),"",IF($AG444&lt;&gt;Constants!$B$7, $AG444 ,AH444))</f>
        <v/>
      </c>
      <c r="BI444" s="105" t="str">
        <f aca="false">IF(ISBLANK(C444),"",BA444)</f>
        <v/>
      </c>
      <c r="BJ444" s="105" t="str">
        <f aca="false">IF(ISBLANK(C444),"",AZ444)</f>
        <v/>
      </c>
      <c r="BK444" s="108" t="str">
        <f aca="false">IF(ISBLANK(C444),"",IFERROR(_xlfn.SWITCH(BJ444, Constants!$B$4, COUNTA($C$8:$C943)+2, Constants!$B$5, COUNTA($C$8:$C943)+1, Constants!$B$6, COUNTA($C$8:$C943)),BJ444))</f>
        <v/>
      </c>
      <c r="BL444" s="5"/>
      <c r="BM444" s="109" t="n">
        <f aca="false">IF(OR(ISNUMBER(BJ444),BJ444="DQ",BJ444="P",BJ444="NS"),
    1,
    0
)</f>
        <v>0</v>
      </c>
      <c r="BN444" s="109" t="n">
        <v>437</v>
      </c>
      <c r="BO444" s="109" t="str">
        <f aca="false">IF(ISBLANK($C444),"",IF(ISNUMBER(BK444),BK444+ROW($B444)/1000,""))</f>
        <v/>
      </c>
      <c r="BP444" s="109" t="str">
        <f aca="false">IF(ISNUMBER(BO444), RANK(BO444,BO$8:BO$507,1), "")</f>
        <v/>
      </c>
      <c r="BQ444" s="109" t="str">
        <f aca="false">IF(ISBLANK($C444),
    "",
    $B444
)</f>
        <v/>
      </c>
      <c r="BR444" s="109" t="str">
        <f aca="false">IF(ISBLANK($C444),
    "",
    $C444
)</f>
        <v/>
      </c>
      <c r="BS444" s="109" t="str">
        <f aca="false">IF(ISBLANK($C444),
    "",
    $D444
)</f>
        <v/>
      </c>
      <c r="BT444" s="110" t="str">
        <f aca="false">BH444</f>
        <v/>
      </c>
      <c r="BU444" s="111" t="str">
        <f aca="false">BG444</f>
        <v/>
      </c>
      <c r="BV444" s="109" t="str">
        <f aca="false">IF(ISBLANK($C444),
    "",
    BJ444
)</f>
        <v/>
      </c>
      <c r="BW444" s="112" t="str">
        <f aca="false">IF(BN444&gt;BM$7,
    "",
    VLOOKUP(BN444,BP$8:BV943,7,FALSE())
)</f>
        <v/>
      </c>
      <c r="BX444" s="113" t="str">
        <f aca="false">IF(BN444&gt;BM$7,
    "",
    VLOOKUP(BN444,BP$8:BV943,2,FALSE())
)</f>
        <v/>
      </c>
      <c r="BY444" s="113" t="str">
        <f aca="false">IF(BN444&gt;BM$7,
    "",
    VLOOKUP(BN444,BP$8:BV943,3,FALSE())
)</f>
        <v/>
      </c>
      <c r="BZ444" s="113" t="str">
        <f aca="false">IF(BN444&gt;BM$7,
    "",
    VLOOKUP(BN444,BP$8:BV943,4,FALSE())
)</f>
        <v/>
      </c>
      <c r="CA444" s="113" t="str">
        <f aca="false">IF(BN444&gt;BM$7,
    "",
    VLOOKUP(BN444,BP$8:BV943,5,FALSE())
)</f>
        <v/>
      </c>
      <c r="CB444" s="114" t="str">
        <f aca="false">IF(BN444&gt;BM$7,
    "",
    VLOOKUP(BN444,BP$8:BV943,6,FALSE())
)</f>
        <v/>
      </c>
      <c r="CC444" s="53"/>
    </row>
    <row r="445" customFormat="false" ht="15.75" hidden="false" customHeight="false" outlineLevel="0" collapsed="false">
      <c r="A445" s="5"/>
      <c r="B445" s="125"/>
      <c r="C445" s="126"/>
      <c r="D445" s="115"/>
      <c r="E445" s="119"/>
      <c r="F445" s="119"/>
      <c r="G445" s="91"/>
      <c r="H445" s="92"/>
      <c r="I445" s="92"/>
      <c r="J445" s="128"/>
      <c r="K445" s="128"/>
      <c r="L445" s="128"/>
      <c r="M445" s="94"/>
      <c r="N445" s="94"/>
      <c r="O445" s="94"/>
      <c r="P445" s="95"/>
      <c r="Q445" s="96"/>
      <c r="R445" s="128"/>
      <c r="S445" s="98"/>
      <c r="T445" s="99"/>
      <c r="U445" s="99" t="str">
        <f aca="false">IF(ISBLANK($C445),"",IF(G445=Constants!$B$2, TRUE(), IF(G445=Constants!$B$3, FALSE(), TRUE())))</f>
        <v/>
      </c>
      <c r="V445" s="99" t="str">
        <f aca="false">IF(ISBLANK($C445),"",IF(H445=Constants!$B$2, TRUE(), IF(H445=Constants!$B$3, FALSE(), TRUE())))</f>
        <v/>
      </c>
      <c r="W445" s="99" t="str">
        <f aca="false">IF(ISBLANK($C445),"",IF(I445=Constants!$B$2, TRUE(), IF(I445=Constants!$B$3, FALSE(), TRUE())))</f>
        <v/>
      </c>
      <c r="X445" s="99" t="str">
        <f aca="false">IF(ISBLANK($C445),"",IF(AND(ISNUMBER(J445),J445&gt;0),INT(J445),0))</f>
        <v/>
      </c>
      <c r="Y445" s="99" t="str">
        <f aca="false">IF(ISBLANK($C445),"",IF(K445=Constants!$B$2, TRUE(), IF(K445=Constants!$B$3, FALSE(), TRUE())))</f>
        <v/>
      </c>
      <c r="Z445" s="100" t="str">
        <f aca="false">IF(ISBLANK($C445),"",IF(AND(ISNUMBER(L445),L445&gt;0),INT(L445),0))</f>
        <v/>
      </c>
      <c r="AA445" s="101" t="str">
        <f aca="false">IF(ISBLANK($C445),"",IF(ISNUMBER(M445), M445, ""))</f>
        <v/>
      </c>
      <c r="AB445" s="101" t="str">
        <f aca="false">IF(ISBLANK($C445),"",IF(ISNUMBER(N445), N445, ""))</f>
        <v/>
      </c>
      <c r="AC445" s="101" t="str">
        <f aca="false">IF(ISBLANK($C445),"",IF(ISNUMBER(O445), O445, ""))</f>
        <v/>
      </c>
      <c r="AD445" s="102" t="str">
        <f aca="false">IF(ISBLANK($C445),"",IF(ISNUMBER(P445), P445, ""))</f>
        <v/>
      </c>
      <c r="AE445" s="102" t="str">
        <f aca="false">IF(ISBLANK($C445),"",IF(ISNUMBER(Q445), Q445, Constants!$B$13))</f>
        <v/>
      </c>
      <c r="AF445" s="99" t="str">
        <f aca="false">IF(ISBLANK($C445),"",IF(R445=Constants!$B$2, TRUE(), IF(R445=Constants!$B$3, FALSE(), FALSE())))</f>
        <v/>
      </c>
      <c r="AG445" s="99" t="str">
        <f aca="false">IF(ISBLANK(C445), "", IF(AF445, Constants!$B$4,IF(COUNTA(G445:P445)=0, Constants!$B$5, Constants!$B$7)))</f>
        <v/>
      </c>
      <c r="AH445" s="99" t="str">
        <f aca="false">IF(ISBLANK($C445), "",IF($AG445=Constants!$B$7,1,$AG445))</f>
        <v/>
      </c>
      <c r="AI445" s="99" t="str">
        <f aca="false">IF($AG445=Constants!$B$7,POWER(Constants!$B$11,X445)*POWER(Constants!$B$12,Z445),"")</f>
        <v/>
      </c>
      <c r="AJ445" s="99" t="str">
        <f aca="false">IF(AND($AG445=Constants!$B$7, U445, V445) ,IF(OR($AA445="",$AC445=""),"",MAX(0, $AC445-$AA445)),"")</f>
        <v/>
      </c>
      <c r="AK445" s="99" t="str">
        <f aca="false">IF(AND($AG445=Constants!$B$7, U445, V445),IF(OR($AA445="",$AC445=""),$AK$6,""),"")</f>
        <v/>
      </c>
      <c r="AL445" s="99" t="str">
        <f aca="false">IF($AG445=Constants!$B$7,IF(AND(U445,V445,W445,Y445),IF($AJ445="",0,IF($AJ$6=0,Constants!$B$9,Constants!$B$9*AJ445/$AJ$6)), 0),"")</f>
        <v/>
      </c>
      <c r="AM445" s="99" t="str">
        <f aca="false">IF(AL445&lt;&gt;"", AL445*AI445,"")</f>
        <v/>
      </c>
      <c r="AN445" s="99" t="str">
        <f aca="false">IF(AND($AG445=Constants!$B$7, U445, V445) ,IF($AB445="", "", IF(OR($AC445="",$AC445=0),"",MAX(0,1-ABS($AC445-$AB445)/$AC445))),"")</f>
        <v/>
      </c>
      <c r="AO445" s="99" t="str">
        <f aca="false">IF(AND($AG445=Constants!$B$7, U445, V445),IF(AND($AA445&lt;&gt;"",$AB445&lt;&gt;"",$AC445=0),$AO$6,""),"")</f>
        <v/>
      </c>
      <c r="AP445" s="99" t="str">
        <f aca="false">IF($AG445=Constants!$B$7 ,IF(AND(U445,V445,W445,Y445,ISNUMBER(AB445)),IF($AN445="",0,IF($AN$6=0,Constants!$B$10,Constants!$B$10*AN445/$AN$6)), 0),"")</f>
        <v/>
      </c>
      <c r="AQ445" s="99" t="str">
        <f aca="false">IF(AP445&lt;&gt;"", AP445*AI445,"")</f>
        <v/>
      </c>
      <c r="AR445" s="99" t="str">
        <f aca="false">IF($AG445=Constants!$B$7,IF($AD445="",0,IF($AR$6=0,Constants!$B$8,Constants!$B$8*AD445/$AR$6)),"")</f>
        <v/>
      </c>
      <c r="AS445" s="99" t="str">
        <f aca="false">IF($AG445&lt;&gt;Constants!$B$7,$AG445,IF(AK445&amp;AO445&lt;&gt;"",Constants!$B$14,AM445+AQ445+AR445))</f>
        <v/>
      </c>
      <c r="AT445" s="99" t="str">
        <f aca="false">IF(ISBLANK($C445),"",IF($AG445=Constants!$B$7,IF(ISNUMBER(AS445),RANK(AS445,$AS$8:$AS$507),Constants!$B$14),$AG445))</f>
        <v/>
      </c>
      <c r="AU445" s="99" t="str">
        <f aca="false">IF(ISBLANK($C445), "",AM445)</f>
        <v/>
      </c>
      <c r="AV445" s="99" t="str">
        <f aca="false">IF(ISBLANK($C445),"",IF($AG445=Constants!$B$7,RANK(AU445,AU$8:AU$507),$AG445))</f>
        <v/>
      </c>
      <c r="AW445" s="99" t="str">
        <f aca="false">IF(ISBLANK($C445), "",AR445)</f>
        <v/>
      </c>
      <c r="AX445" s="99" t="str">
        <f aca="false">IF(ISBLANK($C445),"",IF($AG445=Constants!$B$7,RANK(AW445,AW$8:AW$507),$AG445))</f>
        <v/>
      </c>
      <c r="AY445" s="99" t="str">
        <f aca="false">IF(ISBLANK($C445), "",AE445)</f>
        <v/>
      </c>
      <c r="AZ445" s="99" t="str">
        <f aca="false">IF(ISBLANK($C445),"",
IF($AG445=Constants!$B$7,
  IF(ISNUMBER(AT445),
    COUNTIFS($AT$8:$AT$507,"&lt;"&amp;$AT445)
    + COUNTIFS($AT$8:$AT$507,$AT445,$AV$8:$AV$507,"&lt;"&amp;$AV445)
    + COUNTIFS($AT$8:$AT$507,$AT445,$AV$8:$AV$507,$AV445,$AX$8:$AX$507,"&lt;"&amp;$AX445)
    + COUNTIFS($AT$8:$AT$507,$AT445,$AV$8:$AV$507,$AV445,$AX$8:$AX$507,$AX445,$AY$8:$AY$507,"&lt;"&amp;$AY445)
    + 1,
  Constants!$B$14),
$AG445))</f>
        <v/>
      </c>
      <c r="BA445" s="99" t="str">
        <f aca="false">IF(ISBLANK(C445),"",IF($AG445=Constants!$B$7, IF(ISNUMBER(AT445),AT445-AZ445,Constants!$B$14),$AG445))</f>
        <v/>
      </c>
      <c r="BB445" s="103"/>
      <c r="BC445" s="104" t="str">
        <f aca="false">IF(ISBLANK($C445),"",TRIM(AK445&amp;" "&amp;AO445))</f>
        <v/>
      </c>
      <c r="BD445" s="105" t="str">
        <f aca="false">IF(ISBLANK($C445),"",IF($AG445&lt;&gt;Constants!$B$7,$AG445,AR445))</f>
        <v/>
      </c>
      <c r="BE445" s="105" t="str">
        <f aca="false">IF(ISBLANK($C445),"",IF($AG445&lt;&gt;Constants!$B$7,$AG445,AM445))</f>
        <v/>
      </c>
      <c r="BF445" s="105" t="str">
        <f aca="false">IF(ISBLANK($C445),"",IF($AG445&lt;&gt;Constants!$B$7,$AG445,AQ445))</f>
        <v/>
      </c>
      <c r="BG445" s="106" t="str">
        <f aca="false">IF(ISBLANK($C445),"",IF($AG445&lt;&gt;Constants!$B$7, $AG445 ,AS445))</f>
        <v/>
      </c>
      <c r="BH445" s="107" t="str">
        <f aca="false">IF(ISBLANK($C445),"",IF($AG445&lt;&gt;Constants!$B$7, $AG445 ,AH445))</f>
        <v/>
      </c>
      <c r="BI445" s="105" t="str">
        <f aca="false">IF(ISBLANK(C445),"",BA445)</f>
        <v/>
      </c>
      <c r="BJ445" s="105" t="str">
        <f aca="false">IF(ISBLANK(C445),"",AZ445)</f>
        <v/>
      </c>
      <c r="BK445" s="108" t="str">
        <f aca="false">IF(ISBLANK(C445),"",IFERROR(_xlfn.SWITCH(BJ445, Constants!$B$4, COUNTA($C$8:$C944)+2, Constants!$B$5, COUNTA($C$8:$C944)+1, Constants!$B$6, COUNTA($C$8:$C944)),BJ445))</f>
        <v/>
      </c>
      <c r="BL445" s="5"/>
      <c r="BM445" s="109" t="n">
        <f aca="false">IF(OR(ISNUMBER(BJ445),BJ445="DQ",BJ445="P",BJ445="NS"),
    1,
    0
)</f>
        <v>0</v>
      </c>
      <c r="BN445" s="109" t="n">
        <v>438</v>
      </c>
      <c r="BO445" s="109" t="str">
        <f aca="false">IF(ISBLANK($C445),"",IF(ISNUMBER(BK445),BK445+ROW($B445)/1000,""))</f>
        <v/>
      </c>
      <c r="BP445" s="109" t="str">
        <f aca="false">IF(ISNUMBER(BO445), RANK(BO445,BO$8:BO$507,1), "")</f>
        <v/>
      </c>
      <c r="BQ445" s="109" t="str">
        <f aca="false">IF(ISBLANK($C445),
    "",
    $B445
)</f>
        <v/>
      </c>
      <c r="BR445" s="109" t="str">
        <f aca="false">IF(ISBLANK($C445),
    "",
    $C445
)</f>
        <v/>
      </c>
      <c r="BS445" s="109" t="str">
        <f aca="false">IF(ISBLANK($C445),
    "",
    $D445
)</f>
        <v/>
      </c>
      <c r="BT445" s="110" t="str">
        <f aca="false">BH445</f>
        <v/>
      </c>
      <c r="BU445" s="111" t="str">
        <f aca="false">BG445</f>
        <v/>
      </c>
      <c r="BV445" s="109" t="str">
        <f aca="false">IF(ISBLANK($C445),
    "",
    BJ445
)</f>
        <v/>
      </c>
      <c r="BW445" s="112" t="str">
        <f aca="false">IF(BN445&gt;BM$7,
    "",
    VLOOKUP(BN445,BP$8:BV944,7,FALSE())
)</f>
        <v/>
      </c>
      <c r="BX445" s="113" t="str">
        <f aca="false">IF(BN445&gt;BM$7,
    "",
    VLOOKUP(BN445,BP$8:BV944,2,FALSE())
)</f>
        <v/>
      </c>
      <c r="BY445" s="113" t="str">
        <f aca="false">IF(BN445&gt;BM$7,
    "",
    VLOOKUP(BN445,BP$8:BV944,3,FALSE())
)</f>
        <v/>
      </c>
      <c r="BZ445" s="113" t="str">
        <f aca="false">IF(BN445&gt;BM$7,
    "",
    VLOOKUP(BN445,BP$8:BV944,4,FALSE())
)</f>
        <v/>
      </c>
      <c r="CA445" s="113" t="str">
        <f aca="false">IF(BN445&gt;BM$7,
    "",
    VLOOKUP(BN445,BP$8:BV944,5,FALSE())
)</f>
        <v/>
      </c>
      <c r="CB445" s="114" t="str">
        <f aca="false">IF(BN445&gt;BM$7,
    "",
    VLOOKUP(BN445,BP$8:BV944,6,FALSE())
)</f>
        <v/>
      </c>
      <c r="CC445" s="53"/>
    </row>
    <row r="446" customFormat="false" ht="15.75" hidden="false" customHeight="false" outlineLevel="0" collapsed="false">
      <c r="A446" s="5"/>
      <c r="B446" s="129"/>
      <c r="C446" s="55"/>
      <c r="D446" s="56"/>
      <c r="E446" s="123"/>
      <c r="F446" s="123"/>
      <c r="G446" s="58"/>
      <c r="H446" s="59"/>
      <c r="I446" s="59"/>
      <c r="J446" s="83"/>
      <c r="K446" s="83"/>
      <c r="L446" s="83"/>
      <c r="M446" s="61"/>
      <c r="N446" s="61"/>
      <c r="O446" s="61"/>
      <c r="P446" s="62"/>
      <c r="Q446" s="63"/>
      <c r="R446" s="83"/>
      <c r="S446" s="65"/>
      <c r="T446" s="66"/>
      <c r="U446" s="66" t="str">
        <f aca="false">IF(ISBLANK($C446),"",IF(G446=Constants!$B$2, TRUE(), IF(G446=Constants!$B$3, FALSE(), TRUE())))</f>
        <v/>
      </c>
      <c r="V446" s="66" t="str">
        <f aca="false">IF(ISBLANK($C446),"",IF(H446=Constants!$B$2, TRUE(), IF(H446=Constants!$B$3, FALSE(), TRUE())))</f>
        <v/>
      </c>
      <c r="W446" s="66" t="str">
        <f aca="false">IF(ISBLANK($C446),"",IF(I446=Constants!$B$2, TRUE(), IF(I446=Constants!$B$3, FALSE(), TRUE())))</f>
        <v/>
      </c>
      <c r="X446" s="66" t="str">
        <f aca="false">IF(ISBLANK($C446),"",IF(AND(ISNUMBER(J446),J446&gt;0),INT(J446),0))</f>
        <v/>
      </c>
      <c r="Y446" s="66" t="str">
        <f aca="false">IF(ISBLANK($C446),"",IF(K446=Constants!$B$2, TRUE(), IF(K446=Constants!$B$3, FALSE(), TRUE())))</f>
        <v/>
      </c>
      <c r="Z446" s="66" t="str">
        <f aca="false">IF(ISBLANK($C446),"",IF(AND(ISNUMBER(L446),L446&gt;0),INT(L446),0))</f>
        <v/>
      </c>
      <c r="AA446" s="68" t="str">
        <f aca="false">IF(ISBLANK($C446),"",IF(ISNUMBER(M446), M446, ""))</f>
        <v/>
      </c>
      <c r="AB446" s="68" t="str">
        <f aca="false">IF(ISBLANK($C446),"",IF(ISNUMBER(N446), N446, ""))</f>
        <v/>
      </c>
      <c r="AC446" s="68" t="str">
        <f aca="false">IF(ISBLANK($C446),"",IF(ISNUMBER(O446), O446, ""))</f>
        <v/>
      </c>
      <c r="AD446" s="69" t="str">
        <f aca="false">IF(ISBLANK($C446),"",IF(ISNUMBER(P446), P446, ""))</f>
        <v/>
      </c>
      <c r="AE446" s="69" t="str">
        <f aca="false">IF(ISBLANK($C446),"",IF(ISNUMBER(Q446), Q446, Constants!$B$13))</f>
        <v/>
      </c>
      <c r="AF446" s="66" t="str">
        <f aca="false">IF(ISBLANK($C446),"",IF(R446=Constants!$B$2, TRUE(), IF(R446=Constants!$B$3, FALSE(), FALSE())))</f>
        <v/>
      </c>
      <c r="AG446" s="66" t="str">
        <f aca="false">IF(ISBLANK(C446), "", IF(AF446, Constants!$B$4,IF(COUNTA(G446:P446)=0, Constants!$B$5, Constants!$B$7)))</f>
        <v/>
      </c>
      <c r="AH446" s="66" t="str">
        <f aca="false">IF(ISBLANK($C446), "",IF($AG446=Constants!$B$7,1,$AG446))</f>
        <v/>
      </c>
      <c r="AI446" s="66" t="str">
        <f aca="false">IF($AG446=Constants!$B$7,POWER(Constants!$B$11,X446)*POWER(Constants!$B$12,Z446),"")</f>
        <v/>
      </c>
      <c r="AJ446" s="66" t="str">
        <f aca="false">IF(AND($AG446=Constants!$B$7, U446, V446) ,IF(OR($AA446="",$AC446=""),"",MAX(0, $AC446-$AA446)),"")</f>
        <v/>
      </c>
      <c r="AK446" s="66" t="str">
        <f aca="false">IF(AND($AG446=Constants!$B$7, U446, V446),IF(OR($AA446="",$AC446=""),$AK$6,""),"")</f>
        <v/>
      </c>
      <c r="AL446" s="66" t="str">
        <f aca="false">IF($AG446=Constants!$B$7,IF(AND(U446,V446,W446,Y446),IF($AJ446="",0,IF($AJ$6=0,Constants!$B$9,Constants!$B$9*AJ446/$AJ$6)), 0),"")</f>
        <v/>
      </c>
      <c r="AM446" s="66" t="str">
        <f aca="false">IF(AL446&lt;&gt;"", AL446*AI446,"")</f>
        <v/>
      </c>
      <c r="AN446" s="66" t="str">
        <f aca="false">IF(AND($AG446=Constants!$B$7, U446, V446) ,IF($AB446="", "", IF(OR($AC446="",$AC446=0),"",MAX(0,1-ABS($AC446-$AB446)/$AC446))),"")</f>
        <v/>
      </c>
      <c r="AO446" s="66" t="str">
        <f aca="false">IF(AND($AG446=Constants!$B$7, U446, V446),IF(AND($AA446&lt;&gt;"",$AB446&lt;&gt;"",$AC446=0),$AO$6,""),"")</f>
        <v/>
      </c>
      <c r="AP446" s="66" t="str">
        <f aca="false">IF($AG446=Constants!$B$7 ,IF(AND(U446,V446,W446,Y446,ISNUMBER(AB446)),IF($AN446="",0,IF($AN$6=0,Constants!$B$10,Constants!$B$10*AN446/$AN$6)), 0),"")</f>
        <v/>
      </c>
      <c r="AQ446" s="66" t="str">
        <f aca="false">IF(AP446&lt;&gt;"", AP446*AI446,"")</f>
        <v/>
      </c>
      <c r="AR446" s="66" t="str">
        <f aca="false">IF($AG446=Constants!$B$7,IF($AD446="",0,IF($AR$6=0,Constants!$B$8,Constants!$B$8*AD446/$AR$6)),"")</f>
        <v/>
      </c>
      <c r="AS446" s="66" t="str">
        <f aca="false">IF($AG446&lt;&gt;Constants!$B$7,$AG446,IF(AK446&amp;AO446&lt;&gt;"",Constants!$B$14,AM446+AQ446+AR446))</f>
        <v/>
      </c>
      <c r="AT446" s="66" t="str">
        <f aca="false">IF(ISBLANK($C446),"",IF($AG446=Constants!$B$7,IF(ISNUMBER(AS446),RANK(AS446,$AS$8:$AS$507),Constants!$B$14),$AG446))</f>
        <v/>
      </c>
      <c r="AU446" s="66" t="str">
        <f aca="false">IF(ISBLANK($C446), "",AM446)</f>
        <v/>
      </c>
      <c r="AV446" s="66" t="str">
        <f aca="false">IF(ISBLANK($C446),"",IF($AG446=Constants!$B$7,RANK(AU446,AU$8:AU$507),$AG446))</f>
        <v/>
      </c>
      <c r="AW446" s="66" t="str">
        <f aca="false">IF(ISBLANK($C446), "",AR446)</f>
        <v/>
      </c>
      <c r="AX446" s="66" t="str">
        <f aca="false">IF(ISBLANK($C446),"",IF($AG446=Constants!$B$7,RANK(AW446,AW$8:AW$507),$AG446))</f>
        <v/>
      </c>
      <c r="AY446" s="66" t="str">
        <f aca="false">IF(ISBLANK($C446), "",AE446)</f>
        <v/>
      </c>
      <c r="AZ446" s="66" t="str">
        <f aca="false">IF(ISBLANK($C446),"",
IF($AG446=Constants!$B$7,
  IF(ISNUMBER(AT446),
    COUNTIFS($AT$8:$AT$507,"&lt;"&amp;$AT446)
    + COUNTIFS($AT$8:$AT$507,$AT446,$AV$8:$AV$507,"&lt;"&amp;$AV446)
    + COUNTIFS($AT$8:$AT$507,$AT446,$AV$8:$AV$507,$AV446,$AX$8:$AX$507,"&lt;"&amp;$AX446)
    + COUNTIFS($AT$8:$AT$507,$AT446,$AV$8:$AV$507,$AV446,$AX$8:$AX$507,$AX446,$AY$8:$AY$507,"&lt;"&amp;$AY446)
    + 1,
  Constants!$B$14),
$AG446))</f>
        <v/>
      </c>
      <c r="BA446" s="66" t="str">
        <f aca="false">IF(ISBLANK(C446),"",IF($AG446=Constants!$B$7, IF(ISNUMBER(AT446),AT446-AZ446,Constants!$B$14),$AG446))</f>
        <v/>
      </c>
      <c r="BB446" s="70"/>
      <c r="BC446" s="84" t="str">
        <f aca="false">IF(ISBLANK($C446),"",TRIM(AK446&amp;" "&amp;AO446))</f>
        <v/>
      </c>
      <c r="BD446" s="72" t="str">
        <f aca="false">IF(ISBLANK($C446),"",IF($AG446&lt;&gt;Constants!$B$7,$AG446,AR446))</f>
        <v/>
      </c>
      <c r="BE446" s="72" t="str">
        <f aca="false">IF(ISBLANK($C446),"",IF($AG446&lt;&gt;Constants!$B$7,$AG446,AM446))</f>
        <v/>
      </c>
      <c r="BF446" s="72" t="str">
        <f aca="false">IF(ISBLANK($C446),"",IF($AG446&lt;&gt;Constants!$B$7,$AG446,AQ446))</f>
        <v/>
      </c>
      <c r="BG446" s="73" t="str">
        <f aca="false">IF(ISBLANK($C446),"",IF($AG446&lt;&gt;Constants!$B$7, $AG446 ,AS446))</f>
        <v/>
      </c>
      <c r="BH446" s="74" t="str">
        <f aca="false">IF(ISBLANK($C446),"",IF($AG446&lt;&gt;Constants!$B$7, $AG446 ,AH446))</f>
        <v/>
      </c>
      <c r="BI446" s="72" t="str">
        <f aca="false">IF(ISBLANK(C446),"",BA446)</f>
        <v/>
      </c>
      <c r="BJ446" s="72" t="str">
        <f aca="false">IF(ISBLANK(C446),"",AZ446)</f>
        <v/>
      </c>
      <c r="BK446" s="75" t="str">
        <f aca="false">IF(ISBLANK(C446),"",IFERROR(_xlfn.SWITCH(BJ446, Constants!$B$4, COUNTA($C$8:$C945)+2, Constants!$B$5, COUNTA($C$8:$C945)+1, Constants!$B$6, COUNTA($C$8:$C945)),BJ446))</f>
        <v/>
      </c>
      <c r="BL446" s="5"/>
      <c r="BM446" s="76" t="n">
        <f aca="false">IF(OR(ISNUMBER(BJ446),BJ446="DQ",BJ446="P",BJ446="NS"),
    1,
    0
)</f>
        <v>0</v>
      </c>
      <c r="BN446" s="76" t="n">
        <v>439</v>
      </c>
      <c r="BO446" s="76" t="str">
        <f aca="false">IF(ISBLANK($C446),"",IF(ISNUMBER(BK446),BK446+ROW($B446)/1000,""))</f>
        <v/>
      </c>
      <c r="BP446" s="76" t="str">
        <f aca="false">IF(ISNUMBER(BO446), RANK(BO446,BO$8:BO$507,1), "")</f>
        <v/>
      </c>
      <c r="BQ446" s="76" t="str">
        <f aca="false">IF(ISBLANK($C446),
    "",
    $B446
)</f>
        <v/>
      </c>
      <c r="BR446" s="76" t="str">
        <f aca="false">IF(ISBLANK($C446),
    "",
    $C446
)</f>
        <v/>
      </c>
      <c r="BS446" s="76" t="str">
        <f aca="false">IF(ISBLANK($C446),
    "",
    $D446
)</f>
        <v/>
      </c>
      <c r="BT446" s="77" t="str">
        <f aca="false">BH446</f>
        <v/>
      </c>
      <c r="BU446" s="78" t="str">
        <f aca="false">BG446</f>
        <v/>
      </c>
      <c r="BV446" s="76" t="str">
        <f aca="false">IF(ISBLANK($C446),
    "",
    BJ446
)</f>
        <v/>
      </c>
      <c r="BW446" s="79" t="str">
        <f aca="false">IF(BN446&gt;BM$7,
    "",
    VLOOKUP(BN446,BP$8:BV945,7,FALSE())
)</f>
        <v/>
      </c>
      <c r="BX446" s="80" t="str">
        <f aca="false">IF(BN446&gt;BM$7,
    "",
    VLOOKUP(BN446,BP$8:BV945,2,FALSE())
)</f>
        <v/>
      </c>
      <c r="BY446" s="80" t="str">
        <f aca="false">IF(BN446&gt;BM$7,
    "",
    VLOOKUP(BN446,BP$8:BV945,3,FALSE())
)</f>
        <v/>
      </c>
      <c r="BZ446" s="80" t="str">
        <f aca="false">IF(BN446&gt;BM$7,
    "",
    VLOOKUP(BN446,BP$8:BV945,4,FALSE())
)</f>
        <v/>
      </c>
      <c r="CA446" s="80" t="str">
        <f aca="false">IF(BN446&gt;BM$7,
    "",
    VLOOKUP(BN446,BP$8:BV945,5,FALSE())
)</f>
        <v/>
      </c>
      <c r="CB446" s="81" t="str">
        <f aca="false">IF(BN446&gt;BM$7,
    "",
    VLOOKUP(BN446,BP$8:BV945,6,FALSE())
)</f>
        <v/>
      </c>
      <c r="CC446" s="53"/>
    </row>
    <row r="447" customFormat="false" ht="15.75" hidden="false" customHeight="false" outlineLevel="0" collapsed="false">
      <c r="A447" s="5"/>
      <c r="B447" s="129"/>
      <c r="C447" s="55"/>
      <c r="D447" s="56"/>
      <c r="E447" s="123"/>
      <c r="F447" s="123"/>
      <c r="G447" s="58"/>
      <c r="H447" s="59"/>
      <c r="I447" s="59"/>
      <c r="J447" s="83"/>
      <c r="K447" s="83"/>
      <c r="L447" s="83"/>
      <c r="M447" s="61"/>
      <c r="N447" s="61"/>
      <c r="O447" s="61"/>
      <c r="P447" s="62"/>
      <c r="Q447" s="63"/>
      <c r="R447" s="83"/>
      <c r="S447" s="65"/>
      <c r="T447" s="66"/>
      <c r="U447" s="66" t="str">
        <f aca="false">IF(ISBLANK($C447),"",IF(G447=Constants!$B$2, TRUE(), IF(G447=Constants!$B$3, FALSE(), TRUE())))</f>
        <v/>
      </c>
      <c r="V447" s="66" t="str">
        <f aca="false">IF(ISBLANK($C447),"",IF(H447=Constants!$B$2, TRUE(), IF(H447=Constants!$B$3, FALSE(), TRUE())))</f>
        <v/>
      </c>
      <c r="W447" s="66" t="str">
        <f aca="false">IF(ISBLANK($C447),"",IF(I447=Constants!$B$2, TRUE(), IF(I447=Constants!$B$3, FALSE(), TRUE())))</f>
        <v/>
      </c>
      <c r="X447" s="66" t="str">
        <f aca="false">IF(ISBLANK($C447),"",IF(AND(ISNUMBER(J447),J447&gt;0),INT(J447),0))</f>
        <v/>
      </c>
      <c r="Y447" s="66" t="str">
        <f aca="false">IF(ISBLANK($C447),"",IF(K447=Constants!$B$2, TRUE(), IF(K447=Constants!$B$3, FALSE(), TRUE())))</f>
        <v/>
      </c>
      <c r="Z447" s="66" t="str">
        <f aca="false">IF(ISBLANK($C447),"",IF(AND(ISNUMBER(L447),L447&gt;0),INT(L447),0))</f>
        <v/>
      </c>
      <c r="AA447" s="68" t="str">
        <f aca="false">IF(ISBLANK($C447),"",IF(ISNUMBER(M447), M447, ""))</f>
        <v/>
      </c>
      <c r="AB447" s="68" t="str">
        <f aca="false">IF(ISBLANK($C447),"",IF(ISNUMBER(N447), N447, ""))</f>
        <v/>
      </c>
      <c r="AC447" s="68" t="str">
        <f aca="false">IF(ISBLANK($C447),"",IF(ISNUMBER(O447), O447, ""))</f>
        <v/>
      </c>
      <c r="AD447" s="69" t="str">
        <f aca="false">IF(ISBLANK($C447),"",IF(ISNUMBER(P447), P447, ""))</f>
        <v/>
      </c>
      <c r="AE447" s="69" t="str">
        <f aca="false">IF(ISBLANK($C447),"",IF(ISNUMBER(Q447), Q447, Constants!$B$13))</f>
        <v/>
      </c>
      <c r="AF447" s="66" t="str">
        <f aca="false">IF(ISBLANK($C447),"",IF(R447=Constants!$B$2, TRUE(), IF(R447=Constants!$B$3, FALSE(), FALSE())))</f>
        <v/>
      </c>
      <c r="AG447" s="66" t="str">
        <f aca="false">IF(ISBLANK(C447), "", IF(AF447, Constants!$B$4,IF(COUNTA(G447:P447)=0, Constants!$B$5, Constants!$B$7)))</f>
        <v/>
      </c>
      <c r="AH447" s="66" t="str">
        <f aca="false">IF(ISBLANK($C447), "",IF($AG447=Constants!$B$7,1,$AG447))</f>
        <v/>
      </c>
      <c r="AI447" s="66" t="str">
        <f aca="false">IF($AG447=Constants!$B$7,POWER(Constants!$B$11,X447)*POWER(Constants!$B$12,Z447),"")</f>
        <v/>
      </c>
      <c r="AJ447" s="66" t="str">
        <f aca="false">IF(AND($AG447=Constants!$B$7, U447, V447) ,IF(OR($AA447="",$AC447=""),"",MAX(0, $AC447-$AA447)),"")</f>
        <v/>
      </c>
      <c r="AK447" s="66" t="str">
        <f aca="false">IF(AND($AG447=Constants!$B$7, U447, V447),IF(OR($AA447="",$AC447=""),$AK$6,""),"")</f>
        <v/>
      </c>
      <c r="AL447" s="66" t="str">
        <f aca="false">IF($AG447=Constants!$B$7,IF(AND(U447,V447,W447,Y447),IF($AJ447="",0,IF($AJ$6=0,Constants!$B$9,Constants!$B$9*AJ447/$AJ$6)), 0),"")</f>
        <v/>
      </c>
      <c r="AM447" s="66" t="str">
        <f aca="false">IF(AL447&lt;&gt;"", AL447*AI447,"")</f>
        <v/>
      </c>
      <c r="AN447" s="66" t="str">
        <f aca="false">IF(AND($AG447=Constants!$B$7, U447, V447) ,IF($AB447="", "", IF(OR($AC447="",$AC447=0),"",MAX(0,1-ABS($AC447-$AB447)/$AC447))),"")</f>
        <v/>
      </c>
      <c r="AO447" s="66" t="str">
        <f aca="false">IF(AND($AG447=Constants!$B$7, U447, V447),IF(AND($AA447&lt;&gt;"",$AB447&lt;&gt;"",$AC447=0),$AO$6,""),"")</f>
        <v/>
      </c>
      <c r="AP447" s="66" t="str">
        <f aca="false">IF($AG447=Constants!$B$7 ,IF(AND(U447,V447,W447,Y447,ISNUMBER(AB447)),IF($AN447="",0,IF($AN$6=0,Constants!$B$10,Constants!$B$10*AN447/$AN$6)), 0),"")</f>
        <v/>
      </c>
      <c r="AQ447" s="66" t="str">
        <f aca="false">IF(AP447&lt;&gt;"", AP447*AI447,"")</f>
        <v/>
      </c>
      <c r="AR447" s="66" t="str">
        <f aca="false">IF($AG447=Constants!$B$7,IF($AD447="",0,IF($AR$6=0,Constants!$B$8,Constants!$B$8*AD447/$AR$6)),"")</f>
        <v/>
      </c>
      <c r="AS447" s="66" t="str">
        <f aca="false">IF($AG447&lt;&gt;Constants!$B$7,$AG447,IF(AK447&amp;AO447&lt;&gt;"",Constants!$B$14,AM447+AQ447+AR447))</f>
        <v/>
      </c>
      <c r="AT447" s="66" t="str">
        <f aca="false">IF(ISBLANK($C447),"",IF($AG447=Constants!$B$7,IF(ISNUMBER(AS447),RANK(AS447,$AS$8:$AS$507),Constants!$B$14),$AG447))</f>
        <v/>
      </c>
      <c r="AU447" s="66" t="str">
        <f aca="false">IF(ISBLANK($C447), "",AM447)</f>
        <v/>
      </c>
      <c r="AV447" s="66" t="str">
        <f aca="false">IF(ISBLANK($C447),"",IF($AG447=Constants!$B$7,RANK(AU447,AU$8:AU$507),$AG447))</f>
        <v/>
      </c>
      <c r="AW447" s="66" t="str">
        <f aca="false">IF(ISBLANK($C447), "",AR447)</f>
        <v/>
      </c>
      <c r="AX447" s="66" t="str">
        <f aca="false">IF(ISBLANK($C447),"",IF($AG447=Constants!$B$7,RANK(AW447,AW$8:AW$507),$AG447))</f>
        <v/>
      </c>
      <c r="AY447" s="66" t="str">
        <f aca="false">IF(ISBLANK($C447), "",AE447)</f>
        <v/>
      </c>
      <c r="AZ447" s="66" t="str">
        <f aca="false">IF(ISBLANK($C447),"",
IF($AG447=Constants!$B$7,
  IF(ISNUMBER(AT447),
    COUNTIFS($AT$8:$AT$507,"&lt;"&amp;$AT447)
    + COUNTIFS($AT$8:$AT$507,$AT447,$AV$8:$AV$507,"&lt;"&amp;$AV447)
    + COUNTIFS($AT$8:$AT$507,$AT447,$AV$8:$AV$507,$AV447,$AX$8:$AX$507,"&lt;"&amp;$AX447)
    + COUNTIFS($AT$8:$AT$507,$AT447,$AV$8:$AV$507,$AV447,$AX$8:$AX$507,$AX447,$AY$8:$AY$507,"&lt;"&amp;$AY447)
    + 1,
  Constants!$B$14),
$AG447))</f>
        <v/>
      </c>
      <c r="BA447" s="66" t="str">
        <f aca="false">IF(ISBLANK(C447),"",IF($AG447=Constants!$B$7, IF(ISNUMBER(AT447),AT447-AZ447,Constants!$B$14),$AG447))</f>
        <v/>
      </c>
      <c r="BB447" s="70"/>
      <c r="BC447" s="84" t="str">
        <f aca="false">IF(ISBLANK($C447),"",TRIM(AK447&amp;" "&amp;AO447))</f>
        <v/>
      </c>
      <c r="BD447" s="72" t="str">
        <f aca="false">IF(ISBLANK($C447),"",IF($AG447&lt;&gt;Constants!$B$7,$AG447,AR447))</f>
        <v/>
      </c>
      <c r="BE447" s="72" t="str">
        <f aca="false">IF(ISBLANK($C447),"",IF($AG447&lt;&gt;Constants!$B$7,$AG447,AM447))</f>
        <v/>
      </c>
      <c r="BF447" s="72" t="str">
        <f aca="false">IF(ISBLANK($C447),"",IF($AG447&lt;&gt;Constants!$B$7,$AG447,AQ447))</f>
        <v/>
      </c>
      <c r="BG447" s="73" t="str">
        <f aca="false">IF(ISBLANK($C447),"",IF($AG447&lt;&gt;Constants!$B$7, $AG447 ,AS447))</f>
        <v/>
      </c>
      <c r="BH447" s="74" t="str">
        <f aca="false">IF(ISBLANK($C447),"",IF($AG447&lt;&gt;Constants!$B$7, $AG447 ,AH447))</f>
        <v/>
      </c>
      <c r="BI447" s="72" t="str">
        <f aca="false">IF(ISBLANK(C447),"",BA447)</f>
        <v/>
      </c>
      <c r="BJ447" s="72" t="str">
        <f aca="false">IF(ISBLANK(C447),"",AZ447)</f>
        <v/>
      </c>
      <c r="BK447" s="75" t="str">
        <f aca="false">IF(ISBLANK(C447),"",IFERROR(_xlfn.SWITCH(BJ447, Constants!$B$4, COUNTA($C$8:$C946)+2, Constants!$B$5, COUNTA($C$8:$C946)+1, Constants!$B$6, COUNTA($C$8:$C946)),BJ447))</f>
        <v/>
      </c>
      <c r="BL447" s="5"/>
      <c r="BM447" s="76" t="n">
        <f aca="false">IF(OR(ISNUMBER(BJ447),BJ447="DQ",BJ447="P",BJ447="NS"),
    1,
    0
)</f>
        <v>0</v>
      </c>
      <c r="BN447" s="76" t="n">
        <v>440</v>
      </c>
      <c r="BO447" s="76" t="str">
        <f aca="false">IF(ISBLANK($C447),"",IF(ISNUMBER(BK447),BK447+ROW($B447)/1000,""))</f>
        <v/>
      </c>
      <c r="BP447" s="76" t="str">
        <f aca="false">IF(ISNUMBER(BO447), RANK(BO447,BO$8:BO$507,1), "")</f>
        <v/>
      </c>
      <c r="BQ447" s="76" t="str">
        <f aca="false">IF(ISBLANK($C447),
    "",
    $B447
)</f>
        <v/>
      </c>
      <c r="BR447" s="76" t="str">
        <f aca="false">IF(ISBLANK($C447),
    "",
    $C447
)</f>
        <v/>
      </c>
      <c r="BS447" s="76" t="str">
        <f aca="false">IF(ISBLANK($C447),
    "",
    $D447
)</f>
        <v/>
      </c>
      <c r="BT447" s="77" t="str">
        <f aca="false">BH447</f>
        <v/>
      </c>
      <c r="BU447" s="78" t="str">
        <f aca="false">BG447</f>
        <v/>
      </c>
      <c r="BV447" s="76" t="str">
        <f aca="false">IF(ISBLANK($C447),
    "",
    BJ447
)</f>
        <v/>
      </c>
      <c r="BW447" s="79" t="str">
        <f aca="false">IF(BN447&gt;BM$7,
    "",
    VLOOKUP(BN447,BP$8:BV946,7,FALSE())
)</f>
        <v/>
      </c>
      <c r="BX447" s="80" t="str">
        <f aca="false">IF(BN447&gt;BM$7,
    "",
    VLOOKUP(BN447,BP$8:BV946,2,FALSE())
)</f>
        <v/>
      </c>
      <c r="BY447" s="80" t="str">
        <f aca="false">IF(BN447&gt;BM$7,
    "",
    VLOOKUP(BN447,BP$8:BV946,3,FALSE())
)</f>
        <v/>
      </c>
      <c r="BZ447" s="80" t="str">
        <f aca="false">IF(BN447&gt;BM$7,
    "",
    VLOOKUP(BN447,BP$8:BV946,4,FALSE())
)</f>
        <v/>
      </c>
      <c r="CA447" s="80" t="str">
        <f aca="false">IF(BN447&gt;BM$7,
    "",
    VLOOKUP(BN447,BP$8:BV946,5,FALSE())
)</f>
        <v/>
      </c>
      <c r="CB447" s="81" t="str">
        <f aca="false">IF(BN447&gt;BM$7,
    "",
    VLOOKUP(BN447,BP$8:BV946,6,FALSE())
)</f>
        <v/>
      </c>
      <c r="CC447" s="53"/>
    </row>
    <row r="448" customFormat="false" ht="15.75" hidden="false" customHeight="false" outlineLevel="0" collapsed="false">
      <c r="A448" s="5"/>
      <c r="B448" s="129"/>
      <c r="C448" s="55"/>
      <c r="D448" s="56"/>
      <c r="E448" s="123"/>
      <c r="F448" s="123"/>
      <c r="G448" s="58"/>
      <c r="H448" s="59"/>
      <c r="I448" s="59"/>
      <c r="J448" s="83"/>
      <c r="K448" s="83"/>
      <c r="L448" s="83"/>
      <c r="M448" s="61"/>
      <c r="N448" s="61"/>
      <c r="O448" s="61"/>
      <c r="P448" s="62"/>
      <c r="Q448" s="63"/>
      <c r="R448" s="83"/>
      <c r="S448" s="65"/>
      <c r="T448" s="66"/>
      <c r="U448" s="66" t="str">
        <f aca="false">IF(ISBLANK($C448),"",IF(G448=Constants!$B$2, TRUE(), IF(G448=Constants!$B$3, FALSE(), TRUE())))</f>
        <v/>
      </c>
      <c r="V448" s="66" t="str">
        <f aca="false">IF(ISBLANK($C448),"",IF(H448=Constants!$B$2, TRUE(), IF(H448=Constants!$B$3, FALSE(), TRUE())))</f>
        <v/>
      </c>
      <c r="W448" s="66" t="str">
        <f aca="false">IF(ISBLANK($C448),"",IF(I448=Constants!$B$2, TRUE(), IF(I448=Constants!$B$3, FALSE(), TRUE())))</f>
        <v/>
      </c>
      <c r="X448" s="66" t="str">
        <f aca="false">IF(ISBLANK($C448),"",IF(AND(ISNUMBER(J448),J448&gt;0),INT(J448),0))</f>
        <v/>
      </c>
      <c r="Y448" s="66" t="str">
        <f aca="false">IF(ISBLANK($C448),"",IF(K448=Constants!$B$2, TRUE(), IF(K448=Constants!$B$3, FALSE(), TRUE())))</f>
        <v/>
      </c>
      <c r="Z448" s="66" t="str">
        <f aca="false">IF(ISBLANK($C448),"",IF(AND(ISNUMBER(L448),L448&gt;0),INT(L448),0))</f>
        <v/>
      </c>
      <c r="AA448" s="68" t="str">
        <f aca="false">IF(ISBLANK($C448),"",IF(ISNUMBER(M448), M448, ""))</f>
        <v/>
      </c>
      <c r="AB448" s="68" t="str">
        <f aca="false">IF(ISBLANK($C448),"",IF(ISNUMBER(N448), N448, ""))</f>
        <v/>
      </c>
      <c r="AC448" s="68" t="str">
        <f aca="false">IF(ISBLANK($C448),"",IF(ISNUMBER(O448), O448, ""))</f>
        <v/>
      </c>
      <c r="AD448" s="69" t="str">
        <f aca="false">IF(ISBLANK($C448),"",IF(ISNUMBER(P448), P448, ""))</f>
        <v/>
      </c>
      <c r="AE448" s="69" t="str">
        <f aca="false">IF(ISBLANK($C448),"",IF(ISNUMBER(Q448), Q448, Constants!$B$13))</f>
        <v/>
      </c>
      <c r="AF448" s="66" t="str">
        <f aca="false">IF(ISBLANK($C448),"",IF(R448=Constants!$B$2, TRUE(), IF(R448=Constants!$B$3, FALSE(), FALSE())))</f>
        <v/>
      </c>
      <c r="AG448" s="66" t="str">
        <f aca="false">IF(ISBLANK(C448), "", IF(AF448, Constants!$B$4,IF(COUNTA(G448:P448)=0, Constants!$B$5, Constants!$B$7)))</f>
        <v/>
      </c>
      <c r="AH448" s="66" t="str">
        <f aca="false">IF(ISBLANK($C448), "",IF($AG448=Constants!$B$7,1,$AG448))</f>
        <v/>
      </c>
      <c r="AI448" s="66" t="str">
        <f aca="false">IF($AG448=Constants!$B$7,POWER(Constants!$B$11,X448)*POWER(Constants!$B$12,Z448),"")</f>
        <v/>
      </c>
      <c r="AJ448" s="66" t="str">
        <f aca="false">IF(AND($AG448=Constants!$B$7, U448, V448) ,IF(OR($AA448="",$AC448=""),"",MAX(0, $AC448-$AA448)),"")</f>
        <v/>
      </c>
      <c r="AK448" s="66" t="str">
        <f aca="false">IF(AND($AG448=Constants!$B$7, U448, V448),IF(OR($AA448="",$AC448=""),$AK$6,""),"")</f>
        <v/>
      </c>
      <c r="AL448" s="66" t="str">
        <f aca="false">IF($AG448=Constants!$B$7,IF(AND(U448,V448,W448,Y448),IF($AJ448="",0,IF($AJ$6=0,Constants!$B$9,Constants!$B$9*AJ448/$AJ$6)), 0),"")</f>
        <v/>
      </c>
      <c r="AM448" s="66" t="str">
        <f aca="false">IF(AL448&lt;&gt;"", AL448*AI448,"")</f>
        <v/>
      </c>
      <c r="AN448" s="66" t="str">
        <f aca="false">IF(AND($AG448=Constants!$B$7, U448, V448) ,IF($AB448="", "", IF(OR($AC448="",$AC448=0),"",MAX(0,1-ABS($AC448-$AB448)/$AC448))),"")</f>
        <v/>
      </c>
      <c r="AO448" s="66" t="str">
        <f aca="false">IF(AND($AG448=Constants!$B$7, U448, V448),IF(AND($AA448&lt;&gt;"",$AB448&lt;&gt;"",$AC448=0),$AO$6,""),"")</f>
        <v/>
      </c>
      <c r="AP448" s="66" t="str">
        <f aca="false">IF($AG448=Constants!$B$7 ,IF(AND(U448,V448,W448,Y448,ISNUMBER(AB448)),IF($AN448="",0,IF($AN$6=0,Constants!$B$10,Constants!$B$10*AN448/$AN$6)), 0),"")</f>
        <v/>
      </c>
      <c r="AQ448" s="66" t="str">
        <f aca="false">IF(AP448&lt;&gt;"", AP448*AI448,"")</f>
        <v/>
      </c>
      <c r="AR448" s="66" t="str">
        <f aca="false">IF($AG448=Constants!$B$7,IF($AD448="",0,IF($AR$6=0,Constants!$B$8,Constants!$B$8*AD448/$AR$6)),"")</f>
        <v/>
      </c>
      <c r="AS448" s="66" t="str">
        <f aca="false">IF($AG448&lt;&gt;Constants!$B$7,$AG448,IF(AK448&amp;AO448&lt;&gt;"",Constants!$B$14,AM448+AQ448+AR448))</f>
        <v/>
      </c>
      <c r="AT448" s="66" t="str">
        <f aca="false">IF(ISBLANK($C448),"",IF($AG448=Constants!$B$7,IF(ISNUMBER(AS448),RANK(AS448,$AS$8:$AS$507),Constants!$B$14),$AG448))</f>
        <v/>
      </c>
      <c r="AU448" s="66" t="str">
        <f aca="false">IF(ISBLANK($C448), "",AM448)</f>
        <v/>
      </c>
      <c r="AV448" s="66" t="str">
        <f aca="false">IF(ISBLANK($C448),"",IF($AG448=Constants!$B$7,RANK(AU448,AU$8:AU$507),$AG448))</f>
        <v/>
      </c>
      <c r="AW448" s="66" t="str">
        <f aca="false">IF(ISBLANK($C448), "",AR448)</f>
        <v/>
      </c>
      <c r="AX448" s="66" t="str">
        <f aca="false">IF(ISBLANK($C448),"",IF($AG448=Constants!$B$7,RANK(AW448,AW$8:AW$507),$AG448))</f>
        <v/>
      </c>
      <c r="AY448" s="66" t="str">
        <f aca="false">IF(ISBLANK($C448), "",AE448)</f>
        <v/>
      </c>
      <c r="AZ448" s="66" t="str">
        <f aca="false">IF(ISBLANK($C448),"",
IF($AG448=Constants!$B$7,
  IF(ISNUMBER(AT448),
    COUNTIFS($AT$8:$AT$507,"&lt;"&amp;$AT448)
    + COUNTIFS($AT$8:$AT$507,$AT448,$AV$8:$AV$507,"&lt;"&amp;$AV448)
    + COUNTIFS($AT$8:$AT$507,$AT448,$AV$8:$AV$507,$AV448,$AX$8:$AX$507,"&lt;"&amp;$AX448)
    + COUNTIFS($AT$8:$AT$507,$AT448,$AV$8:$AV$507,$AV448,$AX$8:$AX$507,$AX448,$AY$8:$AY$507,"&lt;"&amp;$AY448)
    + 1,
  Constants!$B$14),
$AG448))</f>
        <v/>
      </c>
      <c r="BA448" s="66" t="str">
        <f aca="false">IF(ISBLANK(C448),"",IF($AG448=Constants!$B$7, IF(ISNUMBER(AT448),AT448-AZ448,Constants!$B$14),$AG448))</f>
        <v/>
      </c>
      <c r="BB448" s="70"/>
      <c r="BC448" s="84" t="str">
        <f aca="false">IF(ISBLANK($C448),"",TRIM(AK448&amp;" "&amp;AO448))</f>
        <v/>
      </c>
      <c r="BD448" s="72" t="str">
        <f aca="false">IF(ISBLANK($C448),"",IF($AG448&lt;&gt;Constants!$B$7,$AG448,AR448))</f>
        <v/>
      </c>
      <c r="BE448" s="72" t="str">
        <f aca="false">IF(ISBLANK($C448),"",IF($AG448&lt;&gt;Constants!$B$7,$AG448,AM448))</f>
        <v/>
      </c>
      <c r="BF448" s="72" t="str">
        <f aca="false">IF(ISBLANK($C448),"",IF($AG448&lt;&gt;Constants!$B$7,$AG448,AQ448))</f>
        <v/>
      </c>
      <c r="BG448" s="73" t="str">
        <f aca="false">IF(ISBLANK($C448),"",IF($AG448&lt;&gt;Constants!$B$7, $AG448 ,AS448))</f>
        <v/>
      </c>
      <c r="BH448" s="74" t="str">
        <f aca="false">IF(ISBLANK($C448),"",IF($AG448&lt;&gt;Constants!$B$7, $AG448 ,AH448))</f>
        <v/>
      </c>
      <c r="BI448" s="72" t="str">
        <f aca="false">IF(ISBLANK(C448),"",BA448)</f>
        <v/>
      </c>
      <c r="BJ448" s="72" t="str">
        <f aca="false">IF(ISBLANK(C448),"",AZ448)</f>
        <v/>
      </c>
      <c r="BK448" s="75" t="str">
        <f aca="false">IF(ISBLANK(C448),"",IFERROR(_xlfn.SWITCH(BJ448, Constants!$B$4, COUNTA($C$8:$C947)+2, Constants!$B$5, COUNTA($C$8:$C947)+1, Constants!$B$6, COUNTA($C$8:$C947)),BJ448))</f>
        <v/>
      </c>
      <c r="BL448" s="5"/>
      <c r="BM448" s="76" t="n">
        <f aca="false">IF(OR(ISNUMBER(BJ448),BJ448="DQ",BJ448="P",BJ448="NS"),
    1,
    0
)</f>
        <v>0</v>
      </c>
      <c r="BN448" s="76" t="n">
        <v>441</v>
      </c>
      <c r="BO448" s="76" t="str">
        <f aca="false">IF(ISBLANK($C448),"",IF(ISNUMBER(BK448),BK448+ROW($B448)/1000,""))</f>
        <v/>
      </c>
      <c r="BP448" s="76" t="str">
        <f aca="false">IF(ISNUMBER(BO448), RANK(BO448,BO$8:BO$507,1), "")</f>
        <v/>
      </c>
      <c r="BQ448" s="76" t="str">
        <f aca="false">IF(ISBLANK($C448),
    "",
    $B448
)</f>
        <v/>
      </c>
      <c r="BR448" s="76" t="str">
        <f aca="false">IF(ISBLANK($C448),
    "",
    $C448
)</f>
        <v/>
      </c>
      <c r="BS448" s="76" t="str">
        <f aca="false">IF(ISBLANK($C448),
    "",
    $D448
)</f>
        <v/>
      </c>
      <c r="BT448" s="77" t="str">
        <f aca="false">BH448</f>
        <v/>
      </c>
      <c r="BU448" s="78" t="str">
        <f aca="false">BG448</f>
        <v/>
      </c>
      <c r="BV448" s="76" t="str">
        <f aca="false">IF(ISBLANK($C448),
    "",
    BJ448
)</f>
        <v/>
      </c>
      <c r="BW448" s="79" t="str">
        <f aca="false">IF(BN448&gt;BM$7,
    "",
    VLOOKUP(BN448,BP$8:BV947,7,FALSE())
)</f>
        <v/>
      </c>
      <c r="BX448" s="80" t="str">
        <f aca="false">IF(BN448&gt;BM$7,
    "",
    VLOOKUP(BN448,BP$8:BV947,2,FALSE())
)</f>
        <v/>
      </c>
      <c r="BY448" s="80" t="str">
        <f aca="false">IF(BN448&gt;BM$7,
    "",
    VLOOKUP(BN448,BP$8:BV947,3,FALSE())
)</f>
        <v/>
      </c>
      <c r="BZ448" s="80" t="str">
        <f aca="false">IF(BN448&gt;BM$7,
    "",
    VLOOKUP(BN448,BP$8:BV947,4,FALSE())
)</f>
        <v/>
      </c>
      <c r="CA448" s="80" t="str">
        <f aca="false">IF(BN448&gt;BM$7,
    "",
    VLOOKUP(BN448,BP$8:BV947,5,FALSE())
)</f>
        <v/>
      </c>
      <c r="CB448" s="81" t="str">
        <f aca="false">IF(BN448&gt;BM$7,
    "",
    VLOOKUP(BN448,BP$8:BV947,6,FALSE())
)</f>
        <v/>
      </c>
      <c r="CC448" s="53"/>
    </row>
    <row r="449" customFormat="false" ht="15.75" hidden="false" customHeight="false" outlineLevel="0" collapsed="false">
      <c r="A449" s="5"/>
      <c r="B449" s="125"/>
      <c r="C449" s="126"/>
      <c r="D449" s="115"/>
      <c r="E449" s="119"/>
      <c r="F449" s="119"/>
      <c r="G449" s="91"/>
      <c r="H449" s="92"/>
      <c r="I449" s="92"/>
      <c r="J449" s="128"/>
      <c r="K449" s="128"/>
      <c r="L449" s="128"/>
      <c r="M449" s="94"/>
      <c r="N449" s="94"/>
      <c r="O449" s="94"/>
      <c r="P449" s="95"/>
      <c r="Q449" s="96"/>
      <c r="R449" s="128"/>
      <c r="S449" s="98"/>
      <c r="T449" s="99"/>
      <c r="U449" s="99" t="str">
        <f aca="false">IF(ISBLANK($C449),"",IF(G449=Constants!$B$2, TRUE(), IF(G449=Constants!$B$3, FALSE(), TRUE())))</f>
        <v/>
      </c>
      <c r="V449" s="99" t="str">
        <f aca="false">IF(ISBLANK($C449),"",IF(H449=Constants!$B$2, TRUE(), IF(H449=Constants!$B$3, FALSE(), TRUE())))</f>
        <v/>
      </c>
      <c r="W449" s="99" t="str">
        <f aca="false">IF(ISBLANK($C449),"",IF(I449=Constants!$B$2, TRUE(), IF(I449=Constants!$B$3, FALSE(), TRUE())))</f>
        <v/>
      </c>
      <c r="X449" s="99" t="str">
        <f aca="false">IF(ISBLANK($C449),"",IF(AND(ISNUMBER(J449),J449&gt;0),INT(J449),0))</f>
        <v/>
      </c>
      <c r="Y449" s="99" t="str">
        <f aca="false">IF(ISBLANK($C449),"",IF(K449=Constants!$B$2, TRUE(), IF(K449=Constants!$B$3, FALSE(), TRUE())))</f>
        <v/>
      </c>
      <c r="Z449" s="100" t="str">
        <f aca="false">IF(ISBLANK($C449),"",IF(AND(ISNUMBER(L449),L449&gt;0),INT(L449),0))</f>
        <v/>
      </c>
      <c r="AA449" s="101" t="str">
        <f aca="false">IF(ISBLANK($C449),"",IF(ISNUMBER(M449), M449, ""))</f>
        <v/>
      </c>
      <c r="AB449" s="101" t="str">
        <f aca="false">IF(ISBLANK($C449),"",IF(ISNUMBER(N449), N449, ""))</f>
        <v/>
      </c>
      <c r="AC449" s="101" t="str">
        <f aca="false">IF(ISBLANK($C449),"",IF(ISNUMBER(O449), O449, ""))</f>
        <v/>
      </c>
      <c r="AD449" s="102" t="str">
        <f aca="false">IF(ISBLANK($C449),"",IF(ISNUMBER(P449), P449, ""))</f>
        <v/>
      </c>
      <c r="AE449" s="102" t="str">
        <f aca="false">IF(ISBLANK($C449),"",IF(ISNUMBER(Q449), Q449, Constants!$B$13))</f>
        <v/>
      </c>
      <c r="AF449" s="99" t="str">
        <f aca="false">IF(ISBLANK($C449),"",IF(R449=Constants!$B$2, TRUE(), IF(R449=Constants!$B$3, FALSE(), FALSE())))</f>
        <v/>
      </c>
      <c r="AG449" s="99" t="str">
        <f aca="false">IF(ISBLANK(C449), "", IF(AF449, Constants!$B$4,IF(COUNTA(G449:P449)=0, Constants!$B$5, Constants!$B$7)))</f>
        <v/>
      </c>
      <c r="AH449" s="99" t="str">
        <f aca="false">IF(ISBLANK($C449), "",IF($AG449=Constants!$B$7,1,$AG449))</f>
        <v/>
      </c>
      <c r="AI449" s="99" t="str">
        <f aca="false">IF($AG449=Constants!$B$7,POWER(Constants!$B$11,X449)*POWER(Constants!$B$12,Z449),"")</f>
        <v/>
      </c>
      <c r="AJ449" s="99" t="str">
        <f aca="false">IF(AND($AG449=Constants!$B$7, U449, V449) ,IF(OR($AA449="",$AC449=""),"",MAX(0, $AC449-$AA449)),"")</f>
        <v/>
      </c>
      <c r="AK449" s="99" t="str">
        <f aca="false">IF(AND($AG449=Constants!$B$7, U449, V449),IF(OR($AA449="",$AC449=""),$AK$6,""),"")</f>
        <v/>
      </c>
      <c r="AL449" s="99" t="str">
        <f aca="false">IF($AG449=Constants!$B$7,IF(AND(U449,V449,W449,Y449),IF($AJ449="",0,IF($AJ$6=0,Constants!$B$9,Constants!$B$9*AJ449/$AJ$6)), 0),"")</f>
        <v/>
      </c>
      <c r="AM449" s="99" t="str">
        <f aca="false">IF(AL449&lt;&gt;"", AL449*AI449,"")</f>
        <v/>
      </c>
      <c r="AN449" s="99" t="str">
        <f aca="false">IF(AND($AG449=Constants!$B$7, U449, V449) ,IF($AB449="", "", IF(OR($AC449="",$AC449=0),"",MAX(0,1-ABS($AC449-$AB449)/$AC449))),"")</f>
        <v/>
      </c>
      <c r="AO449" s="99" t="str">
        <f aca="false">IF(AND($AG449=Constants!$B$7, U449, V449),IF(AND($AA449&lt;&gt;"",$AB449&lt;&gt;"",$AC449=0),$AO$6,""),"")</f>
        <v/>
      </c>
      <c r="AP449" s="99" t="str">
        <f aca="false">IF($AG449=Constants!$B$7 ,IF(AND(U449,V449,W449,Y449,ISNUMBER(AB449)),IF($AN449="",0,IF($AN$6=0,Constants!$B$10,Constants!$B$10*AN449/$AN$6)), 0),"")</f>
        <v/>
      </c>
      <c r="AQ449" s="99" t="str">
        <f aca="false">IF(AP449&lt;&gt;"", AP449*AI449,"")</f>
        <v/>
      </c>
      <c r="AR449" s="99" t="str">
        <f aca="false">IF($AG449=Constants!$B$7,IF($AD449="",0,IF($AR$6=0,Constants!$B$8,Constants!$B$8*AD449/$AR$6)),"")</f>
        <v/>
      </c>
      <c r="AS449" s="99" t="str">
        <f aca="false">IF($AG449&lt;&gt;Constants!$B$7,$AG449,IF(AK449&amp;AO449&lt;&gt;"",Constants!$B$14,AM449+AQ449+AR449))</f>
        <v/>
      </c>
      <c r="AT449" s="99" t="str">
        <f aca="false">IF(ISBLANK($C449),"",IF($AG449=Constants!$B$7,IF(ISNUMBER(AS449),RANK(AS449,$AS$8:$AS$507),Constants!$B$14),$AG449))</f>
        <v/>
      </c>
      <c r="AU449" s="99" t="str">
        <f aca="false">IF(ISBLANK($C449), "",AM449)</f>
        <v/>
      </c>
      <c r="AV449" s="99" t="str">
        <f aca="false">IF(ISBLANK($C449),"",IF($AG449=Constants!$B$7,RANK(AU449,AU$8:AU$507),$AG449))</f>
        <v/>
      </c>
      <c r="AW449" s="99" t="str">
        <f aca="false">IF(ISBLANK($C449), "",AR449)</f>
        <v/>
      </c>
      <c r="AX449" s="99" t="str">
        <f aca="false">IF(ISBLANK($C449),"",IF($AG449=Constants!$B$7,RANK(AW449,AW$8:AW$507),$AG449))</f>
        <v/>
      </c>
      <c r="AY449" s="99" t="str">
        <f aca="false">IF(ISBLANK($C449), "",AE449)</f>
        <v/>
      </c>
      <c r="AZ449" s="99" t="str">
        <f aca="false">IF(ISBLANK($C449),"",
IF($AG449=Constants!$B$7,
  IF(ISNUMBER(AT449),
    COUNTIFS($AT$8:$AT$507,"&lt;"&amp;$AT449)
    + COUNTIFS($AT$8:$AT$507,$AT449,$AV$8:$AV$507,"&lt;"&amp;$AV449)
    + COUNTIFS($AT$8:$AT$507,$AT449,$AV$8:$AV$507,$AV449,$AX$8:$AX$507,"&lt;"&amp;$AX449)
    + COUNTIFS($AT$8:$AT$507,$AT449,$AV$8:$AV$507,$AV449,$AX$8:$AX$507,$AX449,$AY$8:$AY$507,"&lt;"&amp;$AY449)
    + 1,
  Constants!$B$14),
$AG449))</f>
        <v/>
      </c>
      <c r="BA449" s="99" t="str">
        <f aca="false">IF(ISBLANK(C449),"",IF($AG449=Constants!$B$7, IF(ISNUMBER(AT449),AT449-AZ449,Constants!$B$14),$AG449))</f>
        <v/>
      </c>
      <c r="BB449" s="103"/>
      <c r="BC449" s="104" t="str">
        <f aca="false">IF(ISBLANK($C449),"",TRIM(AK449&amp;" "&amp;AO449))</f>
        <v/>
      </c>
      <c r="BD449" s="105" t="str">
        <f aca="false">IF(ISBLANK($C449),"",IF($AG449&lt;&gt;Constants!$B$7,$AG449,AR449))</f>
        <v/>
      </c>
      <c r="BE449" s="105" t="str">
        <f aca="false">IF(ISBLANK($C449),"",IF($AG449&lt;&gt;Constants!$B$7,$AG449,AM449))</f>
        <v/>
      </c>
      <c r="BF449" s="105" t="str">
        <f aca="false">IF(ISBLANK($C449),"",IF($AG449&lt;&gt;Constants!$B$7,$AG449,AQ449))</f>
        <v/>
      </c>
      <c r="BG449" s="106" t="str">
        <f aca="false">IF(ISBLANK($C449),"",IF($AG449&lt;&gt;Constants!$B$7, $AG449 ,AS449))</f>
        <v/>
      </c>
      <c r="BH449" s="107" t="str">
        <f aca="false">IF(ISBLANK($C449),"",IF($AG449&lt;&gt;Constants!$B$7, $AG449 ,AH449))</f>
        <v/>
      </c>
      <c r="BI449" s="105" t="str">
        <f aca="false">IF(ISBLANK(C449),"",BA449)</f>
        <v/>
      </c>
      <c r="BJ449" s="105" t="str">
        <f aca="false">IF(ISBLANK(C449),"",AZ449)</f>
        <v/>
      </c>
      <c r="BK449" s="108" t="str">
        <f aca="false">IF(ISBLANK(C449),"",IFERROR(_xlfn.SWITCH(BJ449, Constants!$B$4, COUNTA($C$8:$C948)+2, Constants!$B$5, COUNTA($C$8:$C948)+1, Constants!$B$6, COUNTA($C$8:$C948)),BJ449))</f>
        <v/>
      </c>
      <c r="BL449" s="5"/>
      <c r="BM449" s="109" t="n">
        <f aca="false">IF(OR(ISNUMBER(BJ449),BJ449="DQ",BJ449="P",BJ449="NS"),
    1,
    0
)</f>
        <v>0</v>
      </c>
      <c r="BN449" s="109" t="n">
        <v>442</v>
      </c>
      <c r="BO449" s="109" t="str">
        <f aca="false">IF(ISBLANK($C449),"",IF(ISNUMBER(BK449),BK449+ROW($B449)/1000,""))</f>
        <v/>
      </c>
      <c r="BP449" s="109" t="str">
        <f aca="false">IF(ISNUMBER(BO449), RANK(BO449,BO$8:BO$507,1), "")</f>
        <v/>
      </c>
      <c r="BQ449" s="109" t="str">
        <f aca="false">IF(ISBLANK($C449),
    "",
    $B449
)</f>
        <v/>
      </c>
      <c r="BR449" s="109" t="str">
        <f aca="false">IF(ISBLANK($C449),
    "",
    $C449
)</f>
        <v/>
      </c>
      <c r="BS449" s="109" t="str">
        <f aca="false">IF(ISBLANK($C449),
    "",
    $D449
)</f>
        <v/>
      </c>
      <c r="BT449" s="110" t="str">
        <f aca="false">BH449</f>
        <v/>
      </c>
      <c r="BU449" s="111" t="str">
        <f aca="false">BG449</f>
        <v/>
      </c>
      <c r="BV449" s="109" t="str">
        <f aca="false">IF(ISBLANK($C449),
    "",
    BJ449
)</f>
        <v/>
      </c>
      <c r="BW449" s="112" t="str">
        <f aca="false">IF(BN449&gt;BM$7,
    "",
    VLOOKUP(BN449,BP$8:BV948,7,FALSE())
)</f>
        <v/>
      </c>
      <c r="BX449" s="113" t="str">
        <f aca="false">IF(BN449&gt;BM$7,
    "",
    VLOOKUP(BN449,BP$8:BV948,2,FALSE())
)</f>
        <v/>
      </c>
      <c r="BY449" s="113" t="str">
        <f aca="false">IF(BN449&gt;BM$7,
    "",
    VLOOKUP(BN449,BP$8:BV948,3,FALSE())
)</f>
        <v/>
      </c>
      <c r="BZ449" s="113" t="str">
        <f aca="false">IF(BN449&gt;BM$7,
    "",
    VLOOKUP(BN449,BP$8:BV948,4,FALSE())
)</f>
        <v/>
      </c>
      <c r="CA449" s="113" t="str">
        <f aca="false">IF(BN449&gt;BM$7,
    "",
    VLOOKUP(BN449,BP$8:BV948,5,FALSE())
)</f>
        <v/>
      </c>
      <c r="CB449" s="114" t="str">
        <f aca="false">IF(BN449&gt;BM$7,
    "",
    VLOOKUP(BN449,BP$8:BV948,6,FALSE())
)</f>
        <v/>
      </c>
      <c r="CC449" s="53"/>
    </row>
    <row r="450" customFormat="false" ht="15.75" hidden="false" customHeight="false" outlineLevel="0" collapsed="false">
      <c r="A450" s="5"/>
      <c r="B450" s="125"/>
      <c r="C450" s="126"/>
      <c r="D450" s="115"/>
      <c r="E450" s="119"/>
      <c r="F450" s="119"/>
      <c r="G450" s="91"/>
      <c r="H450" s="92"/>
      <c r="I450" s="92"/>
      <c r="J450" s="128"/>
      <c r="K450" s="128"/>
      <c r="L450" s="128"/>
      <c r="M450" s="94"/>
      <c r="N450" s="94"/>
      <c r="O450" s="94"/>
      <c r="P450" s="95"/>
      <c r="Q450" s="96"/>
      <c r="R450" s="128"/>
      <c r="S450" s="98"/>
      <c r="T450" s="99"/>
      <c r="U450" s="99" t="str">
        <f aca="false">IF(ISBLANK($C450),"",IF(G450=Constants!$B$2, TRUE(), IF(G450=Constants!$B$3, FALSE(), TRUE())))</f>
        <v/>
      </c>
      <c r="V450" s="99" t="str">
        <f aca="false">IF(ISBLANK($C450),"",IF(H450=Constants!$B$2, TRUE(), IF(H450=Constants!$B$3, FALSE(), TRUE())))</f>
        <v/>
      </c>
      <c r="W450" s="99" t="str">
        <f aca="false">IF(ISBLANK($C450),"",IF(I450=Constants!$B$2, TRUE(), IF(I450=Constants!$B$3, FALSE(), TRUE())))</f>
        <v/>
      </c>
      <c r="X450" s="99" t="str">
        <f aca="false">IF(ISBLANK($C450),"",IF(AND(ISNUMBER(J450),J450&gt;0),INT(J450),0))</f>
        <v/>
      </c>
      <c r="Y450" s="99" t="str">
        <f aca="false">IF(ISBLANK($C450),"",IF(K450=Constants!$B$2, TRUE(), IF(K450=Constants!$B$3, FALSE(), TRUE())))</f>
        <v/>
      </c>
      <c r="Z450" s="100" t="str">
        <f aca="false">IF(ISBLANK($C450),"",IF(AND(ISNUMBER(L450),L450&gt;0),INT(L450),0))</f>
        <v/>
      </c>
      <c r="AA450" s="101" t="str">
        <f aca="false">IF(ISBLANK($C450),"",IF(ISNUMBER(M450), M450, ""))</f>
        <v/>
      </c>
      <c r="AB450" s="101" t="str">
        <f aca="false">IF(ISBLANK($C450),"",IF(ISNUMBER(N450), N450, ""))</f>
        <v/>
      </c>
      <c r="AC450" s="101" t="str">
        <f aca="false">IF(ISBLANK($C450),"",IF(ISNUMBER(O450), O450, ""))</f>
        <v/>
      </c>
      <c r="AD450" s="102" t="str">
        <f aca="false">IF(ISBLANK($C450),"",IF(ISNUMBER(P450), P450, ""))</f>
        <v/>
      </c>
      <c r="AE450" s="102" t="str">
        <f aca="false">IF(ISBLANK($C450),"",IF(ISNUMBER(Q450), Q450, Constants!$B$13))</f>
        <v/>
      </c>
      <c r="AF450" s="99" t="str">
        <f aca="false">IF(ISBLANK($C450),"",IF(R450=Constants!$B$2, TRUE(), IF(R450=Constants!$B$3, FALSE(), FALSE())))</f>
        <v/>
      </c>
      <c r="AG450" s="99" t="str">
        <f aca="false">IF(ISBLANK(C450), "", IF(AF450, Constants!$B$4,IF(COUNTA(G450:P450)=0, Constants!$B$5, Constants!$B$7)))</f>
        <v/>
      </c>
      <c r="AH450" s="99" t="str">
        <f aca="false">IF(ISBLANK($C450), "",IF($AG450=Constants!$B$7,1,$AG450))</f>
        <v/>
      </c>
      <c r="AI450" s="99" t="str">
        <f aca="false">IF($AG450=Constants!$B$7,POWER(Constants!$B$11,X450)*POWER(Constants!$B$12,Z450),"")</f>
        <v/>
      </c>
      <c r="AJ450" s="99" t="str">
        <f aca="false">IF(AND($AG450=Constants!$B$7, U450, V450) ,IF(OR($AA450="",$AC450=""),"",MAX(0, $AC450-$AA450)),"")</f>
        <v/>
      </c>
      <c r="AK450" s="99" t="str">
        <f aca="false">IF(AND($AG450=Constants!$B$7, U450, V450),IF(OR($AA450="",$AC450=""),$AK$6,""),"")</f>
        <v/>
      </c>
      <c r="AL450" s="99" t="str">
        <f aca="false">IF($AG450=Constants!$B$7,IF(AND(U450,V450,W450,Y450),IF($AJ450="",0,IF($AJ$6=0,Constants!$B$9,Constants!$B$9*AJ450/$AJ$6)), 0),"")</f>
        <v/>
      </c>
      <c r="AM450" s="99" t="str">
        <f aca="false">IF(AL450&lt;&gt;"", AL450*AI450,"")</f>
        <v/>
      </c>
      <c r="AN450" s="99" t="str">
        <f aca="false">IF(AND($AG450=Constants!$B$7, U450, V450) ,IF($AB450="", "", IF(OR($AC450="",$AC450=0),"",MAX(0,1-ABS($AC450-$AB450)/$AC450))),"")</f>
        <v/>
      </c>
      <c r="AO450" s="99" t="str">
        <f aca="false">IF(AND($AG450=Constants!$B$7, U450, V450),IF(AND($AA450&lt;&gt;"",$AB450&lt;&gt;"",$AC450=0),$AO$6,""),"")</f>
        <v/>
      </c>
      <c r="AP450" s="99" t="str">
        <f aca="false">IF($AG450=Constants!$B$7 ,IF(AND(U450,V450,W450,Y450,ISNUMBER(AB450)),IF($AN450="",0,IF($AN$6=0,Constants!$B$10,Constants!$B$10*AN450/$AN$6)), 0),"")</f>
        <v/>
      </c>
      <c r="AQ450" s="99" t="str">
        <f aca="false">IF(AP450&lt;&gt;"", AP450*AI450,"")</f>
        <v/>
      </c>
      <c r="AR450" s="99" t="str">
        <f aca="false">IF($AG450=Constants!$B$7,IF($AD450="",0,IF($AR$6=0,Constants!$B$8,Constants!$B$8*AD450/$AR$6)),"")</f>
        <v/>
      </c>
      <c r="AS450" s="99" t="str">
        <f aca="false">IF($AG450&lt;&gt;Constants!$B$7,$AG450,IF(AK450&amp;AO450&lt;&gt;"",Constants!$B$14,AM450+AQ450+AR450))</f>
        <v/>
      </c>
      <c r="AT450" s="99" t="str">
        <f aca="false">IF(ISBLANK($C450),"",IF($AG450=Constants!$B$7,IF(ISNUMBER(AS450),RANK(AS450,$AS$8:$AS$507),Constants!$B$14),$AG450))</f>
        <v/>
      </c>
      <c r="AU450" s="99" t="str">
        <f aca="false">IF(ISBLANK($C450), "",AM450)</f>
        <v/>
      </c>
      <c r="AV450" s="99" t="str">
        <f aca="false">IF(ISBLANK($C450),"",IF($AG450=Constants!$B$7,RANK(AU450,AU$8:AU$507),$AG450))</f>
        <v/>
      </c>
      <c r="AW450" s="99" t="str">
        <f aca="false">IF(ISBLANK($C450), "",AR450)</f>
        <v/>
      </c>
      <c r="AX450" s="99" t="str">
        <f aca="false">IF(ISBLANK($C450),"",IF($AG450=Constants!$B$7,RANK(AW450,AW$8:AW$507),$AG450))</f>
        <v/>
      </c>
      <c r="AY450" s="99" t="str">
        <f aca="false">IF(ISBLANK($C450), "",AE450)</f>
        <v/>
      </c>
      <c r="AZ450" s="99" t="str">
        <f aca="false">IF(ISBLANK($C450),"",
IF($AG450=Constants!$B$7,
  IF(ISNUMBER(AT450),
    COUNTIFS($AT$8:$AT$507,"&lt;"&amp;$AT450)
    + COUNTIFS($AT$8:$AT$507,$AT450,$AV$8:$AV$507,"&lt;"&amp;$AV450)
    + COUNTIFS($AT$8:$AT$507,$AT450,$AV$8:$AV$507,$AV450,$AX$8:$AX$507,"&lt;"&amp;$AX450)
    + COUNTIFS($AT$8:$AT$507,$AT450,$AV$8:$AV$507,$AV450,$AX$8:$AX$507,$AX450,$AY$8:$AY$507,"&lt;"&amp;$AY450)
    + 1,
  Constants!$B$14),
$AG450))</f>
        <v/>
      </c>
      <c r="BA450" s="99" t="str">
        <f aca="false">IF(ISBLANK(C450),"",IF($AG450=Constants!$B$7, IF(ISNUMBER(AT450),AT450-AZ450,Constants!$B$14),$AG450))</f>
        <v/>
      </c>
      <c r="BB450" s="103"/>
      <c r="BC450" s="104" t="str">
        <f aca="false">IF(ISBLANK($C450),"",TRIM(AK450&amp;" "&amp;AO450))</f>
        <v/>
      </c>
      <c r="BD450" s="105" t="str">
        <f aca="false">IF(ISBLANK($C450),"",IF($AG450&lt;&gt;Constants!$B$7,$AG450,AR450))</f>
        <v/>
      </c>
      <c r="BE450" s="105" t="str">
        <f aca="false">IF(ISBLANK($C450),"",IF($AG450&lt;&gt;Constants!$B$7,$AG450,AM450))</f>
        <v/>
      </c>
      <c r="BF450" s="105" t="str">
        <f aca="false">IF(ISBLANK($C450),"",IF($AG450&lt;&gt;Constants!$B$7,$AG450,AQ450))</f>
        <v/>
      </c>
      <c r="BG450" s="106" t="str">
        <f aca="false">IF(ISBLANK($C450),"",IF($AG450&lt;&gt;Constants!$B$7, $AG450 ,AS450))</f>
        <v/>
      </c>
      <c r="BH450" s="107" t="str">
        <f aca="false">IF(ISBLANK($C450),"",IF($AG450&lt;&gt;Constants!$B$7, $AG450 ,AH450))</f>
        <v/>
      </c>
      <c r="BI450" s="105" t="str">
        <f aca="false">IF(ISBLANK(C450),"",BA450)</f>
        <v/>
      </c>
      <c r="BJ450" s="105" t="str">
        <f aca="false">IF(ISBLANK(C450),"",AZ450)</f>
        <v/>
      </c>
      <c r="BK450" s="108" t="str">
        <f aca="false">IF(ISBLANK(C450),"",IFERROR(_xlfn.SWITCH(BJ450, Constants!$B$4, COUNTA($C$8:$C949)+2, Constants!$B$5, COUNTA($C$8:$C949)+1, Constants!$B$6, COUNTA($C$8:$C949)),BJ450))</f>
        <v/>
      </c>
      <c r="BL450" s="5"/>
      <c r="BM450" s="109" t="n">
        <f aca="false">IF(OR(ISNUMBER(BJ450),BJ450="DQ",BJ450="P",BJ450="NS"),
    1,
    0
)</f>
        <v>0</v>
      </c>
      <c r="BN450" s="109" t="n">
        <v>443</v>
      </c>
      <c r="BO450" s="109" t="str">
        <f aca="false">IF(ISBLANK($C450),"",IF(ISNUMBER(BK450),BK450+ROW($B450)/1000,""))</f>
        <v/>
      </c>
      <c r="BP450" s="109" t="str">
        <f aca="false">IF(ISNUMBER(BO450), RANK(BO450,BO$8:BO$507,1), "")</f>
        <v/>
      </c>
      <c r="BQ450" s="109" t="str">
        <f aca="false">IF(ISBLANK($C450),
    "",
    $B450
)</f>
        <v/>
      </c>
      <c r="BR450" s="109" t="str">
        <f aca="false">IF(ISBLANK($C450),
    "",
    $C450
)</f>
        <v/>
      </c>
      <c r="BS450" s="109" t="str">
        <f aca="false">IF(ISBLANK($C450),
    "",
    $D450
)</f>
        <v/>
      </c>
      <c r="BT450" s="110" t="str">
        <f aca="false">BH450</f>
        <v/>
      </c>
      <c r="BU450" s="111" t="str">
        <f aca="false">BG450</f>
        <v/>
      </c>
      <c r="BV450" s="109" t="str">
        <f aca="false">IF(ISBLANK($C450),
    "",
    BJ450
)</f>
        <v/>
      </c>
      <c r="BW450" s="112" t="str">
        <f aca="false">IF(BN450&gt;BM$7,
    "",
    VLOOKUP(BN450,BP$8:BV949,7,FALSE())
)</f>
        <v/>
      </c>
      <c r="BX450" s="113" t="str">
        <f aca="false">IF(BN450&gt;BM$7,
    "",
    VLOOKUP(BN450,BP$8:BV949,2,FALSE())
)</f>
        <v/>
      </c>
      <c r="BY450" s="113" t="str">
        <f aca="false">IF(BN450&gt;BM$7,
    "",
    VLOOKUP(BN450,BP$8:BV949,3,FALSE())
)</f>
        <v/>
      </c>
      <c r="BZ450" s="113" t="str">
        <f aca="false">IF(BN450&gt;BM$7,
    "",
    VLOOKUP(BN450,BP$8:BV949,4,FALSE())
)</f>
        <v/>
      </c>
      <c r="CA450" s="113" t="str">
        <f aca="false">IF(BN450&gt;BM$7,
    "",
    VLOOKUP(BN450,BP$8:BV949,5,FALSE())
)</f>
        <v/>
      </c>
      <c r="CB450" s="114" t="str">
        <f aca="false">IF(BN450&gt;BM$7,
    "",
    VLOOKUP(BN450,BP$8:BV949,6,FALSE())
)</f>
        <v/>
      </c>
      <c r="CC450" s="53"/>
    </row>
    <row r="451" customFormat="false" ht="15.75" hidden="false" customHeight="false" outlineLevel="0" collapsed="false">
      <c r="A451" s="5"/>
      <c r="B451" s="125"/>
      <c r="C451" s="126"/>
      <c r="D451" s="115"/>
      <c r="E451" s="119"/>
      <c r="F451" s="119"/>
      <c r="G451" s="91"/>
      <c r="H451" s="92"/>
      <c r="I451" s="92"/>
      <c r="J451" s="128"/>
      <c r="K451" s="128"/>
      <c r="L451" s="128"/>
      <c r="M451" s="94"/>
      <c r="N451" s="94"/>
      <c r="O451" s="94"/>
      <c r="P451" s="95"/>
      <c r="Q451" s="96"/>
      <c r="R451" s="128"/>
      <c r="S451" s="98"/>
      <c r="T451" s="99"/>
      <c r="U451" s="99" t="str">
        <f aca="false">IF(ISBLANK($C451),"",IF(G451=Constants!$B$2, TRUE(), IF(G451=Constants!$B$3, FALSE(), TRUE())))</f>
        <v/>
      </c>
      <c r="V451" s="99" t="str">
        <f aca="false">IF(ISBLANK($C451),"",IF(H451=Constants!$B$2, TRUE(), IF(H451=Constants!$B$3, FALSE(), TRUE())))</f>
        <v/>
      </c>
      <c r="W451" s="99" t="str">
        <f aca="false">IF(ISBLANK($C451),"",IF(I451=Constants!$B$2, TRUE(), IF(I451=Constants!$B$3, FALSE(), TRUE())))</f>
        <v/>
      </c>
      <c r="X451" s="99" t="str">
        <f aca="false">IF(ISBLANK($C451),"",IF(AND(ISNUMBER(J451),J451&gt;0),INT(J451),0))</f>
        <v/>
      </c>
      <c r="Y451" s="99" t="str">
        <f aca="false">IF(ISBLANK($C451),"",IF(K451=Constants!$B$2, TRUE(), IF(K451=Constants!$B$3, FALSE(), TRUE())))</f>
        <v/>
      </c>
      <c r="Z451" s="100" t="str">
        <f aca="false">IF(ISBLANK($C451),"",IF(AND(ISNUMBER(L451),L451&gt;0),INT(L451),0))</f>
        <v/>
      </c>
      <c r="AA451" s="101" t="str">
        <f aca="false">IF(ISBLANK($C451),"",IF(ISNUMBER(M451), M451, ""))</f>
        <v/>
      </c>
      <c r="AB451" s="101" t="str">
        <f aca="false">IF(ISBLANK($C451),"",IF(ISNUMBER(N451), N451, ""))</f>
        <v/>
      </c>
      <c r="AC451" s="101" t="str">
        <f aca="false">IF(ISBLANK($C451),"",IF(ISNUMBER(O451), O451, ""))</f>
        <v/>
      </c>
      <c r="AD451" s="102" t="str">
        <f aca="false">IF(ISBLANK($C451),"",IF(ISNUMBER(P451), P451, ""))</f>
        <v/>
      </c>
      <c r="AE451" s="102" t="str">
        <f aca="false">IF(ISBLANK($C451),"",IF(ISNUMBER(Q451), Q451, Constants!$B$13))</f>
        <v/>
      </c>
      <c r="AF451" s="99" t="str">
        <f aca="false">IF(ISBLANK($C451),"",IF(R451=Constants!$B$2, TRUE(), IF(R451=Constants!$B$3, FALSE(), FALSE())))</f>
        <v/>
      </c>
      <c r="AG451" s="99" t="str">
        <f aca="false">IF(ISBLANK(C451), "", IF(AF451, Constants!$B$4,IF(COUNTA(G451:P451)=0, Constants!$B$5, Constants!$B$7)))</f>
        <v/>
      </c>
      <c r="AH451" s="99" t="str">
        <f aca="false">IF(ISBLANK($C451), "",IF($AG451=Constants!$B$7,1,$AG451))</f>
        <v/>
      </c>
      <c r="AI451" s="99" t="str">
        <f aca="false">IF($AG451=Constants!$B$7,POWER(Constants!$B$11,X451)*POWER(Constants!$B$12,Z451),"")</f>
        <v/>
      </c>
      <c r="AJ451" s="99" t="str">
        <f aca="false">IF(AND($AG451=Constants!$B$7, U451, V451) ,IF(OR($AA451="",$AC451=""),"",MAX(0, $AC451-$AA451)),"")</f>
        <v/>
      </c>
      <c r="AK451" s="99" t="str">
        <f aca="false">IF(AND($AG451=Constants!$B$7, U451, V451),IF(OR($AA451="",$AC451=""),$AK$6,""),"")</f>
        <v/>
      </c>
      <c r="AL451" s="99" t="str">
        <f aca="false">IF($AG451=Constants!$B$7,IF(AND(U451,V451,W451,Y451),IF($AJ451="",0,IF($AJ$6=0,Constants!$B$9,Constants!$B$9*AJ451/$AJ$6)), 0),"")</f>
        <v/>
      </c>
      <c r="AM451" s="99" t="str">
        <f aca="false">IF(AL451&lt;&gt;"", AL451*AI451,"")</f>
        <v/>
      </c>
      <c r="AN451" s="99" t="str">
        <f aca="false">IF(AND($AG451=Constants!$B$7, U451, V451) ,IF($AB451="", "", IF(OR($AC451="",$AC451=0),"",MAX(0,1-ABS($AC451-$AB451)/$AC451))),"")</f>
        <v/>
      </c>
      <c r="AO451" s="99" t="str">
        <f aca="false">IF(AND($AG451=Constants!$B$7, U451, V451),IF(AND($AA451&lt;&gt;"",$AB451&lt;&gt;"",$AC451=0),$AO$6,""),"")</f>
        <v/>
      </c>
      <c r="AP451" s="99" t="str">
        <f aca="false">IF($AG451=Constants!$B$7 ,IF(AND(U451,V451,W451,Y451,ISNUMBER(AB451)),IF($AN451="",0,IF($AN$6=0,Constants!$B$10,Constants!$B$10*AN451/$AN$6)), 0),"")</f>
        <v/>
      </c>
      <c r="AQ451" s="99" t="str">
        <f aca="false">IF(AP451&lt;&gt;"", AP451*AI451,"")</f>
        <v/>
      </c>
      <c r="AR451" s="99" t="str">
        <f aca="false">IF($AG451=Constants!$B$7,IF($AD451="",0,IF($AR$6=0,Constants!$B$8,Constants!$B$8*AD451/$AR$6)),"")</f>
        <v/>
      </c>
      <c r="AS451" s="99" t="str">
        <f aca="false">IF($AG451&lt;&gt;Constants!$B$7,$AG451,IF(AK451&amp;AO451&lt;&gt;"",Constants!$B$14,AM451+AQ451+AR451))</f>
        <v/>
      </c>
      <c r="AT451" s="99" t="str">
        <f aca="false">IF(ISBLANK($C451),"",IF($AG451=Constants!$B$7,IF(ISNUMBER(AS451),RANK(AS451,$AS$8:$AS$507),Constants!$B$14),$AG451))</f>
        <v/>
      </c>
      <c r="AU451" s="99" t="str">
        <f aca="false">IF(ISBLANK($C451), "",AM451)</f>
        <v/>
      </c>
      <c r="AV451" s="99" t="str">
        <f aca="false">IF(ISBLANK($C451),"",IF($AG451=Constants!$B$7,RANK(AU451,AU$8:AU$507),$AG451))</f>
        <v/>
      </c>
      <c r="AW451" s="99" t="str">
        <f aca="false">IF(ISBLANK($C451), "",AR451)</f>
        <v/>
      </c>
      <c r="AX451" s="99" t="str">
        <f aca="false">IF(ISBLANK($C451),"",IF($AG451=Constants!$B$7,RANK(AW451,AW$8:AW$507),$AG451))</f>
        <v/>
      </c>
      <c r="AY451" s="99" t="str">
        <f aca="false">IF(ISBLANK($C451), "",AE451)</f>
        <v/>
      </c>
      <c r="AZ451" s="99" t="str">
        <f aca="false">IF(ISBLANK($C451),"",
IF($AG451=Constants!$B$7,
  IF(ISNUMBER(AT451),
    COUNTIFS($AT$8:$AT$507,"&lt;"&amp;$AT451)
    + COUNTIFS($AT$8:$AT$507,$AT451,$AV$8:$AV$507,"&lt;"&amp;$AV451)
    + COUNTIFS($AT$8:$AT$507,$AT451,$AV$8:$AV$507,$AV451,$AX$8:$AX$507,"&lt;"&amp;$AX451)
    + COUNTIFS($AT$8:$AT$507,$AT451,$AV$8:$AV$507,$AV451,$AX$8:$AX$507,$AX451,$AY$8:$AY$507,"&lt;"&amp;$AY451)
    + 1,
  Constants!$B$14),
$AG451))</f>
        <v/>
      </c>
      <c r="BA451" s="99" t="str">
        <f aca="false">IF(ISBLANK(C451),"",IF($AG451=Constants!$B$7, IF(ISNUMBER(AT451),AT451-AZ451,Constants!$B$14),$AG451))</f>
        <v/>
      </c>
      <c r="BB451" s="103"/>
      <c r="BC451" s="104" t="str">
        <f aca="false">IF(ISBLANK($C451),"",TRIM(AK451&amp;" "&amp;AO451))</f>
        <v/>
      </c>
      <c r="BD451" s="105" t="str">
        <f aca="false">IF(ISBLANK($C451),"",IF($AG451&lt;&gt;Constants!$B$7,$AG451,AR451))</f>
        <v/>
      </c>
      <c r="BE451" s="105" t="str">
        <f aca="false">IF(ISBLANK($C451),"",IF($AG451&lt;&gt;Constants!$B$7,$AG451,AM451))</f>
        <v/>
      </c>
      <c r="BF451" s="105" t="str">
        <f aca="false">IF(ISBLANK($C451),"",IF($AG451&lt;&gt;Constants!$B$7,$AG451,AQ451))</f>
        <v/>
      </c>
      <c r="BG451" s="106" t="str">
        <f aca="false">IF(ISBLANK($C451),"",IF($AG451&lt;&gt;Constants!$B$7, $AG451 ,AS451))</f>
        <v/>
      </c>
      <c r="BH451" s="107" t="str">
        <f aca="false">IF(ISBLANK($C451),"",IF($AG451&lt;&gt;Constants!$B$7, $AG451 ,AH451))</f>
        <v/>
      </c>
      <c r="BI451" s="105" t="str">
        <f aca="false">IF(ISBLANK(C451),"",BA451)</f>
        <v/>
      </c>
      <c r="BJ451" s="105" t="str">
        <f aca="false">IF(ISBLANK(C451),"",AZ451)</f>
        <v/>
      </c>
      <c r="BK451" s="108" t="str">
        <f aca="false">IF(ISBLANK(C451),"",IFERROR(_xlfn.SWITCH(BJ451, Constants!$B$4, COUNTA($C$8:$C950)+2, Constants!$B$5, COUNTA($C$8:$C950)+1, Constants!$B$6, COUNTA($C$8:$C950)),BJ451))</f>
        <v/>
      </c>
      <c r="BL451" s="5"/>
      <c r="BM451" s="109" t="n">
        <f aca="false">IF(OR(ISNUMBER(BJ451),BJ451="DQ",BJ451="P",BJ451="NS"),
    1,
    0
)</f>
        <v>0</v>
      </c>
      <c r="BN451" s="109" t="n">
        <v>444</v>
      </c>
      <c r="BO451" s="109" t="str">
        <f aca="false">IF(ISBLANK($C451),"",IF(ISNUMBER(BK451),BK451+ROW($B451)/1000,""))</f>
        <v/>
      </c>
      <c r="BP451" s="109" t="str">
        <f aca="false">IF(ISNUMBER(BO451), RANK(BO451,BO$8:BO$507,1), "")</f>
        <v/>
      </c>
      <c r="BQ451" s="109" t="str">
        <f aca="false">IF(ISBLANK($C451),
    "",
    $B451
)</f>
        <v/>
      </c>
      <c r="BR451" s="109" t="str">
        <f aca="false">IF(ISBLANK($C451),
    "",
    $C451
)</f>
        <v/>
      </c>
      <c r="BS451" s="109" t="str">
        <f aca="false">IF(ISBLANK($C451),
    "",
    $D451
)</f>
        <v/>
      </c>
      <c r="BT451" s="110" t="str">
        <f aca="false">BH451</f>
        <v/>
      </c>
      <c r="BU451" s="111" t="str">
        <f aca="false">BG451</f>
        <v/>
      </c>
      <c r="BV451" s="109" t="str">
        <f aca="false">IF(ISBLANK($C451),
    "",
    BJ451
)</f>
        <v/>
      </c>
      <c r="BW451" s="112" t="str">
        <f aca="false">IF(BN451&gt;BM$7,
    "",
    VLOOKUP(BN451,BP$8:BV950,7,FALSE())
)</f>
        <v/>
      </c>
      <c r="BX451" s="113" t="str">
        <f aca="false">IF(BN451&gt;BM$7,
    "",
    VLOOKUP(BN451,BP$8:BV950,2,FALSE())
)</f>
        <v/>
      </c>
      <c r="BY451" s="113" t="str">
        <f aca="false">IF(BN451&gt;BM$7,
    "",
    VLOOKUP(BN451,BP$8:BV950,3,FALSE())
)</f>
        <v/>
      </c>
      <c r="BZ451" s="113" t="str">
        <f aca="false">IF(BN451&gt;BM$7,
    "",
    VLOOKUP(BN451,BP$8:BV950,4,FALSE())
)</f>
        <v/>
      </c>
      <c r="CA451" s="113" t="str">
        <f aca="false">IF(BN451&gt;BM$7,
    "",
    VLOOKUP(BN451,BP$8:BV950,5,FALSE())
)</f>
        <v/>
      </c>
      <c r="CB451" s="114" t="str">
        <f aca="false">IF(BN451&gt;BM$7,
    "",
    VLOOKUP(BN451,BP$8:BV950,6,FALSE())
)</f>
        <v/>
      </c>
      <c r="CC451" s="53"/>
    </row>
    <row r="452" customFormat="false" ht="15.75" hidden="false" customHeight="false" outlineLevel="0" collapsed="false">
      <c r="A452" s="5"/>
      <c r="B452" s="129"/>
      <c r="C452" s="55"/>
      <c r="D452" s="56"/>
      <c r="E452" s="123"/>
      <c r="F452" s="123"/>
      <c r="G452" s="58"/>
      <c r="H452" s="59"/>
      <c r="I452" s="59"/>
      <c r="J452" s="83"/>
      <c r="K452" s="83"/>
      <c r="L452" s="83"/>
      <c r="M452" s="61"/>
      <c r="N452" s="61"/>
      <c r="O452" s="61"/>
      <c r="P452" s="62"/>
      <c r="Q452" s="63"/>
      <c r="R452" s="83"/>
      <c r="S452" s="65"/>
      <c r="T452" s="66"/>
      <c r="U452" s="66" t="str">
        <f aca="false">IF(ISBLANK($C452),"",IF(G452=Constants!$B$2, TRUE(), IF(G452=Constants!$B$3, FALSE(), TRUE())))</f>
        <v/>
      </c>
      <c r="V452" s="66" t="str">
        <f aca="false">IF(ISBLANK($C452),"",IF(H452=Constants!$B$2, TRUE(), IF(H452=Constants!$B$3, FALSE(), TRUE())))</f>
        <v/>
      </c>
      <c r="W452" s="66" t="str">
        <f aca="false">IF(ISBLANK($C452),"",IF(I452=Constants!$B$2, TRUE(), IF(I452=Constants!$B$3, FALSE(), TRUE())))</f>
        <v/>
      </c>
      <c r="X452" s="66" t="str">
        <f aca="false">IF(ISBLANK($C452),"",IF(AND(ISNUMBER(J452),J452&gt;0),INT(J452),0))</f>
        <v/>
      </c>
      <c r="Y452" s="66" t="str">
        <f aca="false">IF(ISBLANK($C452),"",IF(K452=Constants!$B$2, TRUE(), IF(K452=Constants!$B$3, FALSE(), TRUE())))</f>
        <v/>
      </c>
      <c r="Z452" s="66" t="str">
        <f aca="false">IF(ISBLANK($C452),"",IF(AND(ISNUMBER(L452),L452&gt;0),INT(L452),0))</f>
        <v/>
      </c>
      <c r="AA452" s="68" t="str">
        <f aca="false">IF(ISBLANK($C452),"",IF(ISNUMBER(M452), M452, ""))</f>
        <v/>
      </c>
      <c r="AB452" s="68" t="str">
        <f aca="false">IF(ISBLANK($C452),"",IF(ISNUMBER(N452), N452, ""))</f>
        <v/>
      </c>
      <c r="AC452" s="68" t="str">
        <f aca="false">IF(ISBLANK($C452),"",IF(ISNUMBER(O452), O452, ""))</f>
        <v/>
      </c>
      <c r="AD452" s="69" t="str">
        <f aca="false">IF(ISBLANK($C452),"",IF(ISNUMBER(P452), P452, ""))</f>
        <v/>
      </c>
      <c r="AE452" s="69" t="str">
        <f aca="false">IF(ISBLANK($C452),"",IF(ISNUMBER(Q452), Q452, Constants!$B$13))</f>
        <v/>
      </c>
      <c r="AF452" s="66" t="str">
        <f aca="false">IF(ISBLANK($C452),"",IF(R452=Constants!$B$2, TRUE(), IF(R452=Constants!$B$3, FALSE(), FALSE())))</f>
        <v/>
      </c>
      <c r="AG452" s="66" t="str">
        <f aca="false">IF(ISBLANK(C452), "", IF(AF452, Constants!$B$4,IF(COUNTA(G452:P452)=0, Constants!$B$5, Constants!$B$7)))</f>
        <v/>
      </c>
      <c r="AH452" s="66" t="str">
        <f aca="false">IF(ISBLANK($C452), "",IF($AG452=Constants!$B$7,1,$AG452))</f>
        <v/>
      </c>
      <c r="AI452" s="66" t="str">
        <f aca="false">IF($AG452=Constants!$B$7,POWER(Constants!$B$11,X452)*POWER(Constants!$B$12,Z452),"")</f>
        <v/>
      </c>
      <c r="AJ452" s="66" t="str">
        <f aca="false">IF(AND($AG452=Constants!$B$7, U452, V452) ,IF(OR($AA452="",$AC452=""),"",MAX(0, $AC452-$AA452)),"")</f>
        <v/>
      </c>
      <c r="AK452" s="66" t="str">
        <f aca="false">IF(AND($AG452=Constants!$B$7, U452, V452),IF(OR($AA452="",$AC452=""),$AK$6,""),"")</f>
        <v/>
      </c>
      <c r="AL452" s="66" t="str">
        <f aca="false">IF($AG452=Constants!$B$7,IF(AND(U452,V452,W452,Y452),IF($AJ452="",0,IF($AJ$6=0,Constants!$B$9,Constants!$B$9*AJ452/$AJ$6)), 0),"")</f>
        <v/>
      </c>
      <c r="AM452" s="66" t="str">
        <f aca="false">IF(AL452&lt;&gt;"", AL452*AI452,"")</f>
        <v/>
      </c>
      <c r="AN452" s="66" t="str">
        <f aca="false">IF(AND($AG452=Constants!$B$7, U452, V452) ,IF($AB452="", "", IF(OR($AC452="",$AC452=0),"",MAX(0,1-ABS($AC452-$AB452)/$AC452))),"")</f>
        <v/>
      </c>
      <c r="AO452" s="66" t="str">
        <f aca="false">IF(AND($AG452=Constants!$B$7, U452, V452),IF(AND($AA452&lt;&gt;"",$AB452&lt;&gt;"",$AC452=0),$AO$6,""),"")</f>
        <v/>
      </c>
      <c r="AP452" s="66" t="str">
        <f aca="false">IF($AG452=Constants!$B$7 ,IF(AND(U452,V452,W452,Y452,ISNUMBER(AB452)),IF($AN452="",0,IF($AN$6=0,Constants!$B$10,Constants!$B$10*AN452/$AN$6)), 0),"")</f>
        <v/>
      </c>
      <c r="AQ452" s="66" t="str">
        <f aca="false">IF(AP452&lt;&gt;"", AP452*AI452,"")</f>
        <v/>
      </c>
      <c r="AR452" s="66" t="str">
        <f aca="false">IF($AG452=Constants!$B$7,IF($AD452="",0,IF($AR$6=0,Constants!$B$8,Constants!$B$8*AD452/$AR$6)),"")</f>
        <v/>
      </c>
      <c r="AS452" s="66" t="str">
        <f aca="false">IF($AG452&lt;&gt;Constants!$B$7,$AG452,IF(AK452&amp;AO452&lt;&gt;"",Constants!$B$14,AM452+AQ452+AR452))</f>
        <v/>
      </c>
      <c r="AT452" s="66" t="str">
        <f aca="false">IF(ISBLANK($C452),"",IF($AG452=Constants!$B$7,IF(ISNUMBER(AS452),RANK(AS452,$AS$8:$AS$507),Constants!$B$14),$AG452))</f>
        <v/>
      </c>
      <c r="AU452" s="66" t="str">
        <f aca="false">IF(ISBLANK($C452), "",AM452)</f>
        <v/>
      </c>
      <c r="AV452" s="66" t="str">
        <f aca="false">IF(ISBLANK($C452),"",IF($AG452=Constants!$B$7,RANK(AU452,AU$8:AU$507),$AG452))</f>
        <v/>
      </c>
      <c r="AW452" s="66" t="str">
        <f aca="false">IF(ISBLANK($C452), "",AR452)</f>
        <v/>
      </c>
      <c r="AX452" s="66" t="str">
        <f aca="false">IF(ISBLANK($C452),"",IF($AG452=Constants!$B$7,RANK(AW452,AW$8:AW$507),$AG452))</f>
        <v/>
      </c>
      <c r="AY452" s="66" t="str">
        <f aca="false">IF(ISBLANK($C452), "",AE452)</f>
        <v/>
      </c>
      <c r="AZ452" s="66" t="str">
        <f aca="false">IF(ISBLANK($C452),"",
IF($AG452=Constants!$B$7,
  IF(ISNUMBER(AT452),
    COUNTIFS($AT$8:$AT$507,"&lt;"&amp;$AT452)
    + COUNTIFS($AT$8:$AT$507,$AT452,$AV$8:$AV$507,"&lt;"&amp;$AV452)
    + COUNTIFS($AT$8:$AT$507,$AT452,$AV$8:$AV$507,$AV452,$AX$8:$AX$507,"&lt;"&amp;$AX452)
    + COUNTIFS($AT$8:$AT$507,$AT452,$AV$8:$AV$507,$AV452,$AX$8:$AX$507,$AX452,$AY$8:$AY$507,"&lt;"&amp;$AY452)
    + 1,
  Constants!$B$14),
$AG452))</f>
        <v/>
      </c>
      <c r="BA452" s="66" t="str">
        <f aca="false">IF(ISBLANK(C452),"",IF($AG452=Constants!$B$7, IF(ISNUMBER(AT452),AT452-AZ452,Constants!$B$14),$AG452))</f>
        <v/>
      </c>
      <c r="BB452" s="70"/>
      <c r="BC452" s="84" t="str">
        <f aca="false">IF(ISBLANK($C452),"",TRIM(AK452&amp;" "&amp;AO452))</f>
        <v/>
      </c>
      <c r="BD452" s="72" t="str">
        <f aca="false">IF(ISBLANK($C452),"",IF($AG452&lt;&gt;Constants!$B$7,$AG452,AR452))</f>
        <v/>
      </c>
      <c r="BE452" s="72" t="str">
        <f aca="false">IF(ISBLANK($C452),"",IF($AG452&lt;&gt;Constants!$B$7,$AG452,AM452))</f>
        <v/>
      </c>
      <c r="BF452" s="72" t="str">
        <f aca="false">IF(ISBLANK($C452),"",IF($AG452&lt;&gt;Constants!$B$7,$AG452,AQ452))</f>
        <v/>
      </c>
      <c r="BG452" s="73" t="str">
        <f aca="false">IF(ISBLANK($C452),"",IF($AG452&lt;&gt;Constants!$B$7, $AG452 ,AS452))</f>
        <v/>
      </c>
      <c r="BH452" s="74" t="str">
        <f aca="false">IF(ISBLANK($C452),"",IF($AG452&lt;&gt;Constants!$B$7, $AG452 ,AH452))</f>
        <v/>
      </c>
      <c r="BI452" s="72" t="str">
        <f aca="false">IF(ISBLANK(C452),"",BA452)</f>
        <v/>
      </c>
      <c r="BJ452" s="72" t="str">
        <f aca="false">IF(ISBLANK(C452),"",AZ452)</f>
        <v/>
      </c>
      <c r="BK452" s="75" t="str">
        <f aca="false">IF(ISBLANK(C452),"",IFERROR(_xlfn.SWITCH(BJ452, Constants!$B$4, COUNTA($C$8:$C951)+2, Constants!$B$5, COUNTA($C$8:$C951)+1, Constants!$B$6, COUNTA($C$8:$C951)),BJ452))</f>
        <v/>
      </c>
      <c r="BL452" s="5"/>
      <c r="BM452" s="76" t="n">
        <f aca="false">IF(OR(ISNUMBER(BJ452),BJ452="DQ",BJ452="P",BJ452="NS"),
    1,
    0
)</f>
        <v>0</v>
      </c>
      <c r="BN452" s="76" t="n">
        <v>445</v>
      </c>
      <c r="BO452" s="76" t="str">
        <f aca="false">IF(ISBLANK($C452),"",IF(ISNUMBER(BK452),BK452+ROW($B452)/1000,""))</f>
        <v/>
      </c>
      <c r="BP452" s="76" t="str">
        <f aca="false">IF(ISNUMBER(BO452), RANK(BO452,BO$8:BO$507,1), "")</f>
        <v/>
      </c>
      <c r="BQ452" s="76" t="str">
        <f aca="false">IF(ISBLANK($C452),
    "",
    $B452
)</f>
        <v/>
      </c>
      <c r="BR452" s="76" t="str">
        <f aca="false">IF(ISBLANK($C452),
    "",
    $C452
)</f>
        <v/>
      </c>
      <c r="BS452" s="76" t="str">
        <f aca="false">IF(ISBLANK($C452),
    "",
    $D452
)</f>
        <v/>
      </c>
      <c r="BT452" s="77" t="str">
        <f aca="false">BH452</f>
        <v/>
      </c>
      <c r="BU452" s="78" t="str">
        <f aca="false">BG452</f>
        <v/>
      </c>
      <c r="BV452" s="76" t="str">
        <f aca="false">IF(ISBLANK($C452),
    "",
    BJ452
)</f>
        <v/>
      </c>
      <c r="BW452" s="79" t="str">
        <f aca="false">IF(BN452&gt;BM$7,
    "",
    VLOOKUP(BN452,BP$8:BV951,7,FALSE())
)</f>
        <v/>
      </c>
      <c r="BX452" s="80" t="str">
        <f aca="false">IF(BN452&gt;BM$7,
    "",
    VLOOKUP(BN452,BP$8:BV951,2,FALSE())
)</f>
        <v/>
      </c>
      <c r="BY452" s="80" t="str">
        <f aca="false">IF(BN452&gt;BM$7,
    "",
    VLOOKUP(BN452,BP$8:BV951,3,FALSE())
)</f>
        <v/>
      </c>
      <c r="BZ452" s="80" t="str">
        <f aca="false">IF(BN452&gt;BM$7,
    "",
    VLOOKUP(BN452,BP$8:BV951,4,FALSE())
)</f>
        <v/>
      </c>
      <c r="CA452" s="80" t="str">
        <f aca="false">IF(BN452&gt;BM$7,
    "",
    VLOOKUP(BN452,BP$8:BV951,5,FALSE())
)</f>
        <v/>
      </c>
      <c r="CB452" s="81" t="str">
        <f aca="false">IF(BN452&gt;BM$7,
    "",
    VLOOKUP(BN452,BP$8:BV951,6,FALSE())
)</f>
        <v/>
      </c>
      <c r="CC452" s="53"/>
    </row>
    <row r="453" customFormat="false" ht="15.75" hidden="false" customHeight="false" outlineLevel="0" collapsed="false">
      <c r="A453" s="5"/>
      <c r="B453" s="129"/>
      <c r="C453" s="55"/>
      <c r="D453" s="56"/>
      <c r="E453" s="123"/>
      <c r="F453" s="123"/>
      <c r="G453" s="58"/>
      <c r="H453" s="59"/>
      <c r="I453" s="59"/>
      <c r="J453" s="83"/>
      <c r="K453" s="83"/>
      <c r="L453" s="83"/>
      <c r="M453" s="61"/>
      <c r="N453" s="61"/>
      <c r="O453" s="61"/>
      <c r="P453" s="62"/>
      <c r="Q453" s="63"/>
      <c r="R453" s="83"/>
      <c r="S453" s="65"/>
      <c r="T453" s="66"/>
      <c r="U453" s="66" t="str">
        <f aca="false">IF(ISBLANK($C453),"",IF(G453=Constants!$B$2, TRUE(), IF(G453=Constants!$B$3, FALSE(), TRUE())))</f>
        <v/>
      </c>
      <c r="V453" s="66" t="str">
        <f aca="false">IF(ISBLANK($C453),"",IF(H453=Constants!$B$2, TRUE(), IF(H453=Constants!$B$3, FALSE(), TRUE())))</f>
        <v/>
      </c>
      <c r="W453" s="66" t="str">
        <f aca="false">IF(ISBLANK($C453),"",IF(I453=Constants!$B$2, TRUE(), IF(I453=Constants!$B$3, FALSE(), TRUE())))</f>
        <v/>
      </c>
      <c r="X453" s="66" t="str">
        <f aca="false">IF(ISBLANK($C453),"",IF(AND(ISNUMBER(J453),J453&gt;0),INT(J453),0))</f>
        <v/>
      </c>
      <c r="Y453" s="66" t="str">
        <f aca="false">IF(ISBLANK($C453),"",IF(K453=Constants!$B$2, TRUE(), IF(K453=Constants!$B$3, FALSE(), TRUE())))</f>
        <v/>
      </c>
      <c r="Z453" s="66" t="str">
        <f aca="false">IF(ISBLANK($C453),"",IF(AND(ISNUMBER(L453),L453&gt;0),INT(L453),0))</f>
        <v/>
      </c>
      <c r="AA453" s="68" t="str">
        <f aca="false">IF(ISBLANK($C453),"",IF(ISNUMBER(M453), M453, ""))</f>
        <v/>
      </c>
      <c r="AB453" s="68" t="str">
        <f aca="false">IF(ISBLANK($C453),"",IF(ISNUMBER(N453), N453, ""))</f>
        <v/>
      </c>
      <c r="AC453" s="68" t="str">
        <f aca="false">IF(ISBLANK($C453),"",IF(ISNUMBER(O453), O453, ""))</f>
        <v/>
      </c>
      <c r="AD453" s="69" t="str">
        <f aca="false">IF(ISBLANK($C453),"",IF(ISNUMBER(P453), P453, ""))</f>
        <v/>
      </c>
      <c r="AE453" s="69" t="str">
        <f aca="false">IF(ISBLANK($C453),"",IF(ISNUMBER(Q453), Q453, Constants!$B$13))</f>
        <v/>
      </c>
      <c r="AF453" s="66" t="str">
        <f aca="false">IF(ISBLANK($C453),"",IF(R453=Constants!$B$2, TRUE(), IF(R453=Constants!$B$3, FALSE(), FALSE())))</f>
        <v/>
      </c>
      <c r="AG453" s="66" t="str">
        <f aca="false">IF(ISBLANK(C453), "", IF(AF453, Constants!$B$4,IF(COUNTA(G453:P453)=0, Constants!$B$5, Constants!$B$7)))</f>
        <v/>
      </c>
      <c r="AH453" s="66" t="str">
        <f aca="false">IF(ISBLANK($C453), "",IF($AG453=Constants!$B$7,1,$AG453))</f>
        <v/>
      </c>
      <c r="AI453" s="66" t="str">
        <f aca="false">IF($AG453=Constants!$B$7,POWER(Constants!$B$11,X453)*POWER(Constants!$B$12,Z453),"")</f>
        <v/>
      </c>
      <c r="AJ453" s="66" t="str">
        <f aca="false">IF(AND($AG453=Constants!$B$7, U453, V453) ,IF(OR($AA453="",$AC453=""),"",MAX(0, $AC453-$AA453)),"")</f>
        <v/>
      </c>
      <c r="AK453" s="66" t="str">
        <f aca="false">IF(AND($AG453=Constants!$B$7, U453, V453),IF(OR($AA453="",$AC453=""),$AK$6,""),"")</f>
        <v/>
      </c>
      <c r="AL453" s="66" t="str">
        <f aca="false">IF($AG453=Constants!$B$7,IF(AND(U453,V453,W453,Y453),IF($AJ453="",0,IF($AJ$6=0,Constants!$B$9,Constants!$B$9*AJ453/$AJ$6)), 0),"")</f>
        <v/>
      </c>
      <c r="AM453" s="66" t="str">
        <f aca="false">IF(AL453&lt;&gt;"", AL453*AI453,"")</f>
        <v/>
      </c>
      <c r="AN453" s="66" t="str">
        <f aca="false">IF(AND($AG453=Constants!$B$7, U453, V453) ,IF($AB453="", "", IF(OR($AC453="",$AC453=0),"",MAX(0,1-ABS($AC453-$AB453)/$AC453))),"")</f>
        <v/>
      </c>
      <c r="AO453" s="66" t="str">
        <f aca="false">IF(AND($AG453=Constants!$B$7, U453, V453),IF(AND($AA453&lt;&gt;"",$AB453&lt;&gt;"",$AC453=0),$AO$6,""),"")</f>
        <v/>
      </c>
      <c r="AP453" s="66" t="str">
        <f aca="false">IF($AG453=Constants!$B$7 ,IF(AND(U453,V453,W453,Y453,ISNUMBER(AB453)),IF($AN453="",0,IF($AN$6=0,Constants!$B$10,Constants!$B$10*AN453/$AN$6)), 0),"")</f>
        <v/>
      </c>
      <c r="AQ453" s="66" t="str">
        <f aca="false">IF(AP453&lt;&gt;"", AP453*AI453,"")</f>
        <v/>
      </c>
      <c r="AR453" s="66" t="str">
        <f aca="false">IF($AG453=Constants!$B$7,IF($AD453="",0,IF($AR$6=0,Constants!$B$8,Constants!$B$8*AD453/$AR$6)),"")</f>
        <v/>
      </c>
      <c r="AS453" s="66" t="str">
        <f aca="false">IF($AG453&lt;&gt;Constants!$B$7,$AG453,IF(AK453&amp;AO453&lt;&gt;"",Constants!$B$14,AM453+AQ453+AR453))</f>
        <v/>
      </c>
      <c r="AT453" s="66" t="str">
        <f aca="false">IF(ISBLANK($C453),"",IF($AG453=Constants!$B$7,IF(ISNUMBER(AS453),RANK(AS453,$AS$8:$AS$507),Constants!$B$14),$AG453))</f>
        <v/>
      </c>
      <c r="AU453" s="66" t="str">
        <f aca="false">IF(ISBLANK($C453), "",AM453)</f>
        <v/>
      </c>
      <c r="AV453" s="66" t="str">
        <f aca="false">IF(ISBLANK($C453),"",IF($AG453=Constants!$B$7,RANK(AU453,AU$8:AU$507),$AG453))</f>
        <v/>
      </c>
      <c r="AW453" s="66" t="str">
        <f aca="false">IF(ISBLANK($C453), "",AR453)</f>
        <v/>
      </c>
      <c r="AX453" s="66" t="str">
        <f aca="false">IF(ISBLANK($C453),"",IF($AG453=Constants!$B$7,RANK(AW453,AW$8:AW$507),$AG453))</f>
        <v/>
      </c>
      <c r="AY453" s="66" t="str">
        <f aca="false">IF(ISBLANK($C453), "",AE453)</f>
        <v/>
      </c>
      <c r="AZ453" s="66" t="str">
        <f aca="false">IF(ISBLANK($C453),"",
IF($AG453=Constants!$B$7,
  IF(ISNUMBER(AT453),
    COUNTIFS($AT$8:$AT$507,"&lt;"&amp;$AT453)
    + COUNTIFS($AT$8:$AT$507,$AT453,$AV$8:$AV$507,"&lt;"&amp;$AV453)
    + COUNTIFS($AT$8:$AT$507,$AT453,$AV$8:$AV$507,$AV453,$AX$8:$AX$507,"&lt;"&amp;$AX453)
    + COUNTIFS($AT$8:$AT$507,$AT453,$AV$8:$AV$507,$AV453,$AX$8:$AX$507,$AX453,$AY$8:$AY$507,"&lt;"&amp;$AY453)
    + 1,
  Constants!$B$14),
$AG453))</f>
        <v/>
      </c>
      <c r="BA453" s="66" t="str">
        <f aca="false">IF(ISBLANK(C453),"",IF($AG453=Constants!$B$7, IF(ISNUMBER(AT453),AT453-AZ453,Constants!$B$14),$AG453))</f>
        <v/>
      </c>
      <c r="BB453" s="70"/>
      <c r="BC453" s="84" t="str">
        <f aca="false">IF(ISBLANK($C453),"",TRIM(AK453&amp;" "&amp;AO453))</f>
        <v/>
      </c>
      <c r="BD453" s="72" t="str">
        <f aca="false">IF(ISBLANK($C453),"",IF($AG453&lt;&gt;Constants!$B$7,$AG453,AR453))</f>
        <v/>
      </c>
      <c r="BE453" s="72" t="str">
        <f aca="false">IF(ISBLANK($C453),"",IF($AG453&lt;&gt;Constants!$B$7,$AG453,AM453))</f>
        <v/>
      </c>
      <c r="BF453" s="72" t="str">
        <f aca="false">IF(ISBLANK($C453),"",IF($AG453&lt;&gt;Constants!$B$7,$AG453,AQ453))</f>
        <v/>
      </c>
      <c r="BG453" s="73" t="str">
        <f aca="false">IF(ISBLANK($C453),"",IF($AG453&lt;&gt;Constants!$B$7, $AG453 ,AS453))</f>
        <v/>
      </c>
      <c r="BH453" s="74" t="str">
        <f aca="false">IF(ISBLANK($C453),"",IF($AG453&lt;&gt;Constants!$B$7, $AG453 ,AH453))</f>
        <v/>
      </c>
      <c r="BI453" s="72" t="str">
        <f aca="false">IF(ISBLANK(C453),"",BA453)</f>
        <v/>
      </c>
      <c r="BJ453" s="72" t="str">
        <f aca="false">IF(ISBLANK(C453),"",AZ453)</f>
        <v/>
      </c>
      <c r="BK453" s="75" t="str">
        <f aca="false">IF(ISBLANK(C453),"",IFERROR(_xlfn.SWITCH(BJ453, Constants!$B$4, COUNTA($C$8:$C952)+2, Constants!$B$5, COUNTA($C$8:$C952)+1, Constants!$B$6, COUNTA($C$8:$C952)),BJ453))</f>
        <v/>
      </c>
      <c r="BL453" s="5"/>
      <c r="BM453" s="76" t="n">
        <f aca="false">IF(OR(ISNUMBER(BJ453),BJ453="DQ",BJ453="P",BJ453="NS"),
    1,
    0
)</f>
        <v>0</v>
      </c>
      <c r="BN453" s="76" t="n">
        <v>446</v>
      </c>
      <c r="BO453" s="76" t="str">
        <f aca="false">IF(ISBLANK($C453),"",IF(ISNUMBER(BK453),BK453+ROW($B453)/1000,""))</f>
        <v/>
      </c>
      <c r="BP453" s="76" t="str">
        <f aca="false">IF(ISNUMBER(BO453), RANK(BO453,BO$8:BO$507,1), "")</f>
        <v/>
      </c>
      <c r="BQ453" s="76" t="str">
        <f aca="false">IF(ISBLANK($C453),
    "",
    $B453
)</f>
        <v/>
      </c>
      <c r="BR453" s="76" t="str">
        <f aca="false">IF(ISBLANK($C453),
    "",
    $C453
)</f>
        <v/>
      </c>
      <c r="BS453" s="76" t="str">
        <f aca="false">IF(ISBLANK($C453),
    "",
    $D453
)</f>
        <v/>
      </c>
      <c r="BT453" s="77" t="str">
        <f aca="false">BH453</f>
        <v/>
      </c>
      <c r="BU453" s="78" t="str">
        <f aca="false">BG453</f>
        <v/>
      </c>
      <c r="BV453" s="76" t="str">
        <f aca="false">IF(ISBLANK($C453),
    "",
    BJ453
)</f>
        <v/>
      </c>
      <c r="BW453" s="79" t="str">
        <f aca="false">IF(BN453&gt;BM$7,
    "",
    VLOOKUP(BN453,BP$8:BV952,7,FALSE())
)</f>
        <v/>
      </c>
      <c r="BX453" s="80" t="str">
        <f aca="false">IF(BN453&gt;BM$7,
    "",
    VLOOKUP(BN453,BP$8:BV952,2,FALSE())
)</f>
        <v/>
      </c>
      <c r="BY453" s="80" t="str">
        <f aca="false">IF(BN453&gt;BM$7,
    "",
    VLOOKUP(BN453,BP$8:BV952,3,FALSE())
)</f>
        <v/>
      </c>
      <c r="BZ453" s="80" t="str">
        <f aca="false">IF(BN453&gt;BM$7,
    "",
    VLOOKUP(BN453,BP$8:BV952,4,FALSE())
)</f>
        <v/>
      </c>
      <c r="CA453" s="80" t="str">
        <f aca="false">IF(BN453&gt;BM$7,
    "",
    VLOOKUP(BN453,BP$8:BV952,5,FALSE())
)</f>
        <v/>
      </c>
      <c r="CB453" s="81" t="str">
        <f aca="false">IF(BN453&gt;BM$7,
    "",
    VLOOKUP(BN453,BP$8:BV952,6,FALSE())
)</f>
        <v/>
      </c>
      <c r="CC453" s="53"/>
    </row>
    <row r="454" customFormat="false" ht="15.75" hidden="false" customHeight="false" outlineLevel="0" collapsed="false">
      <c r="A454" s="5"/>
      <c r="B454" s="129"/>
      <c r="C454" s="55"/>
      <c r="D454" s="56"/>
      <c r="E454" s="123"/>
      <c r="F454" s="123"/>
      <c r="G454" s="58"/>
      <c r="H454" s="59"/>
      <c r="I454" s="59"/>
      <c r="J454" s="83"/>
      <c r="K454" s="83"/>
      <c r="L454" s="83"/>
      <c r="M454" s="61"/>
      <c r="N454" s="61"/>
      <c r="O454" s="61"/>
      <c r="P454" s="62"/>
      <c r="Q454" s="63"/>
      <c r="R454" s="83"/>
      <c r="S454" s="65"/>
      <c r="T454" s="66"/>
      <c r="U454" s="66" t="str">
        <f aca="false">IF(ISBLANK($C454),"",IF(G454=Constants!$B$2, TRUE(), IF(G454=Constants!$B$3, FALSE(), TRUE())))</f>
        <v/>
      </c>
      <c r="V454" s="66" t="str">
        <f aca="false">IF(ISBLANK($C454),"",IF(H454=Constants!$B$2, TRUE(), IF(H454=Constants!$B$3, FALSE(), TRUE())))</f>
        <v/>
      </c>
      <c r="W454" s="66" t="str">
        <f aca="false">IF(ISBLANK($C454),"",IF(I454=Constants!$B$2, TRUE(), IF(I454=Constants!$B$3, FALSE(), TRUE())))</f>
        <v/>
      </c>
      <c r="X454" s="66" t="str">
        <f aca="false">IF(ISBLANK($C454),"",IF(AND(ISNUMBER(J454),J454&gt;0),INT(J454),0))</f>
        <v/>
      </c>
      <c r="Y454" s="66" t="str">
        <f aca="false">IF(ISBLANK($C454),"",IF(K454=Constants!$B$2, TRUE(), IF(K454=Constants!$B$3, FALSE(), TRUE())))</f>
        <v/>
      </c>
      <c r="Z454" s="66" t="str">
        <f aca="false">IF(ISBLANK($C454),"",IF(AND(ISNUMBER(L454),L454&gt;0),INT(L454),0))</f>
        <v/>
      </c>
      <c r="AA454" s="68" t="str">
        <f aca="false">IF(ISBLANK($C454),"",IF(ISNUMBER(M454), M454, ""))</f>
        <v/>
      </c>
      <c r="AB454" s="68" t="str">
        <f aca="false">IF(ISBLANK($C454),"",IF(ISNUMBER(N454), N454, ""))</f>
        <v/>
      </c>
      <c r="AC454" s="68" t="str">
        <f aca="false">IF(ISBLANK($C454),"",IF(ISNUMBER(O454), O454, ""))</f>
        <v/>
      </c>
      <c r="AD454" s="69" t="str">
        <f aca="false">IF(ISBLANK($C454),"",IF(ISNUMBER(P454), P454, ""))</f>
        <v/>
      </c>
      <c r="AE454" s="69" t="str">
        <f aca="false">IF(ISBLANK($C454),"",IF(ISNUMBER(Q454), Q454, Constants!$B$13))</f>
        <v/>
      </c>
      <c r="AF454" s="66" t="str">
        <f aca="false">IF(ISBLANK($C454),"",IF(R454=Constants!$B$2, TRUE(), IF(R454=Constants!$B$3, FALSE(), FALSE())))</f>
        <v/>
      </c>
      <c r="AG454" s="66" t="str">
        <f aca="false">IF(ISBLANK(C454), "", IF(AF454, Constants!$B$4,IF(COUNTA(G454:P454)=0, Constants!$B$5, Constants!$B$7)))</f>
        <v/>
      </c>
      <c r="AH454" s="66" t="str">
        <f aca="false">IF(ISBLANK($C454), "",IF($AG454=Constants!$B$7,1,$AG454))</f>
        <v/>
      </c>
      <c r="AI454" s="66" t="str">
        <f aca="false">IF($AG454=Constants!$B$7,POWER(Constants!$B$11,X454)*POWER(Constants!$B$12,Z454),"")</f>
        <v/>
      </c>
      <c r="AJ454" s="66" t="str">
        <f aca="false">IF(AND($AG454=Constants!$B$7, U454, V454) ,IF(OR($AA454="",$AC454=""),"",MAX(0, $AC454-$AA454)),"")</f>
        <v/>
      </c>
      <c r="AK454" s="66" t="str">
        <f aca="false">IF(AND($AG454=Constants!$B$7, U454, V454),IF(OR($AA454="",$AC454=""),$AK$6,""),"")</f>
        <v/>
      </c>
      <c r="AL454" s="66" t="str">
        <f aca="false">IF($AG454=Constants!$B$7,IF(AND(U454,V454,W454,Y454),IF($AJ454="",0,IF($AJ$6=0,Constants!$B$9,Constants!$B$9*AJ454/$AJ$6)), 0),"")</f>
        <v/>
      </c>
      <c r="AM454" s="66" t="str">
        <f aca="false">IF(AL454&lt;&gt;"", AL454*AI454,"")</f>
        <v/>
      </c>
      <c r="AN454" s="66" t="str">
        <f aca="false">IF(AND($AG454=Constants!$B$7, U454, V454) ,IF($AB454="", "", IF(OR($AC454="",$AC454=0),"",MAX(0,1-ABS($AC454-$AB454)/$AC454))),"")</f>
        <v/>
      </c>
      <c r="AO454" s="66" t="str">
        <f aca="false">IF(AND($AG454=Constants!$B$7, U454, V454),IF(AND($AA454&lt;&gt;"",$AB454&lt;&gt;"",$AC454=0),$AO$6,""),"")</f>
        <v/>
      </c>
      <c r="AP454" s="66" t="str">
        <f aca="false">IF($AG454=Constants!$B$7 ,IF(AND(U454,V454,W454,Y454,ISNUMBER(AB454)),IF($AN454="",0,IF($AN$6=0,Constants!$B$10,Constants!$B$10*AN454/$AN$6)), 0),"")</f>
        <v/>
      </c>
      <c r="AQ454" s="66" t="str">
        <f aca="false">IF(AP454&lt;&gt;"", AP454*AI454,"")</f>
        <v/>
      </c>
      <c r="AR454" s="66" t="str">
        <f aca="false">IF($AG454=Constants!$B$7,IF($AD454="",0,IF($AR$6=0,Constants!$B$8,Constants!$B$8*AD454/$AR$6)),"")</f>
        <v/>
      </c>
      <c r="AS454" s="66" t="str">
        <f aca="false">IF($AG454&lt;&gt;Constants!$B$7,$AG454,IF(AK454&amp;AO454&lt;&gt;"",Constants!$B$14,AM454+AQ454+AR454))</f>
        <v/>
      </c>
      <c r="AT454" s="66" t="str">
        <f aca="false">IF(ISBLANK($C454),"",IF($AG454=Constants!$B$7,IF(ISNUMBER(AS454),RANK(AS454,$AS$8:$AS$507),Constants!$B$14),$AG454))</f>
        <v/>
      </c>
      <c r="AU454" s="66" t="str">
        <f aca="false">IF(ISBLANK($C454), "",AM454)</f>
        <v/>
      </c>
      <c r="AV454" s="66" t="str">
        <f aca="false">IF(ISBLANK($C454),"",IF($AG454=Constants!$B$7,RANK(AU454,AU$8:AU$507),$AG454))</f>
        <v/>
      </c>
      <c r="AW454" s="66" t="str">
        <f aca="false">IF(ISBLANK($C454), "",AR454)</f>
        <v/>
      </c>
      <c r="AX454" s="66" t="str">
        <f aca="false">IF(ISBLANK($C454),"",IF($AG454=Constants!$B$7,RANK(AW454,AW$8:AW$507),$AG454))</f>
        <v/>
      </c>
      <c r="AY454" s="66" t="str">
        <f aca="false">IF(ISBLANK($C454), "",AE454)</f>
        <v/>
      </c>
      <c r="AZ454" s="66" t="str">
        <f aca="false">IF(ISBLANK($C454),"",
IF($AG454=Constants!$B$7,
  IF(ISNUMBER(AT454),
    COUNTIFS($AT$8:$AT$507,"&lt;"&amp;$AT454)
    + COUNTIFS($AT$8:$AT$507,$AT454,$AV$8:$AV$507,"&lt;"&amp;$AV454)
    + COUNTIFS($AT$8:$AT$507,$AT454,$AV$8:$AV$507,$AV454,$AX$8:$AX$507,"&lt;"&amp;$AX454)
    + COUNTIFS($AT$8:$AT$507,$AT454,$AV$8:$AV$507,$AV454,$AX$8:$AX$507,$AX454,$AY$8:$AY$507,"&lt;"&amp;$AY454)
    + 1,
  Constants!$B$14),
$AG454))</f>
        <v/>
      </c>
      <c r="BA454" s="66" t="str">
        <f aca="false">IF(ISBLANK(C454),"",IF($AG454=Constants!$B$7, IF(ISNUMBER(AT454),AT454-AZ454,Constants!$B$14),$AG454))</f>
        <v/>
      </c>
      <c r="BB454" s="70"/>
      <c r="BC454" s="84" t="str">
        <f aca="false">IF(ISBLANK($C454),"",TRIM(AK454&amp;" "&amp;AO454))</f>
        <v/>
      </c>
      <c r="BD454" s="72" t="str">
        <f aca="false">IF(ISBLANK($C454),"",IF($AG454&lt;&gt;Constants!$B$7,$AG454,AR454))</f>
        <v/>
      </c>
      <c r="BE454" s="72" t="str">
        <f aca="false">IF(ISBLANK($C454),"",IF($AG454&lt;&gt;Constants!$B$7,$AG454,AM454))</f>
        <v/>
      </c>
      <c r="BF454" s="72" t="str">
        <f aca="false">IF(ISBLANK($C454),"",IF($AG454&lt;&gt;Constants!$B$7,$AG454,AQ454))</f>
        <v/>
      </c>
      <c r="BG454" s="73" t="str">
        <f aca="false">IF(ISBLANK($C454),"",IF($AG454&lt;&gt;Constants!$B$7, $AG454 ,AS454))</f>
        <v/>
      </c>
      <c r="BH454" s="74" t="str">
        <f aca="false">IF(ISBLANK($C454),"",IF($AG454&lt;&gt;Constants!$B$7, $AG454 ,AH454))</f>
        <v/>
      </c>
      <c r="BI454" s="72" t="str">
        <f aca="false">IF(ISBLANK(C454),"",BA454)</f>
        <v/>
      </c>
      <c r="BJ454" s="72" t="str">
        <f aca="false">IF(ISBLANK(C454),"",AZ454)</f>
        <v/>
      </c>
      <c r="BK454" s="75" t="str">
        <f aca="false">IF(ISBLANK(C454),"",IFERROR(_xlfn.SWITCH(BJ454, Constants!$B$4, COUNTA($C$8:$C953)+2, Constants!$B$5, COUNTA($C$8:$C953)+1, Constants!$B$6, COUNTA($C$8:$C953)),BJ454))</f>
        <v/>
      </c>
      <c r="BL454" s="5"/>
      <c r="BM454" s="76" t="n">
        <f aca="false">IF(OR(ISNUMBER(BJ454),BJ454="DQ",BJ454="P",BJ454="NS"),
    1,
    0
)</f>
        <v>0</v>
      </c>
      <c r="BN454" s="76" t="n">
        <v>447</v>
      </c>
      <c r="BO454" s="76" t="str">
        <f aca="false">IF(ISBLANK($C454),"",IF(ISNUMBER(BK454),BK454+ROW($B454)/1000,""))</f>
        <v/>
      </c>
      <c r="BP454" s="76" t="str">
        <f aca="false">IF(ISNUMBER(BO454), RANK(BO454,BO$8:BO$507,1), "")</f>
        <v/>
      </c>
      <c r="BQ454" s="76" t="str">
        <f aca="false">IF(ISBLANK($C454),
    "",
    $B454
)</f>
        <v/>
      </c>
      <c r="BR454" s="76" t="str">
        <f aca="false">IF(ISBLANK($C454),
    "",
    $C454
)</f>
        <v/>
      </c>
      <c r="BS454" s="76" t="str">
        <f aca="false">IF(ISBLANK($C454),
    "",
    $D454
)</f>
        <v/>
      </c>
      <c r="BT454" s="77" t="str">
        <f aca="false">BH454</f>
        <v/>
      </c>
      <c r="BU454" s="78" t="str">
        <f aca="false">BG454</f>
        <v/>
      </c>
      <c r="BV454" s="76" t="str">
        <f aca="false">IF(ISBLANK($C454),
    "",
    BJ454
)</f>
        <v/>
      </c>
      <c r="BW454" s="79" t="str">
        <f aca="false">IF(BN454&gt;BM$7,
    "",
    VLOOKUP(BN454,BP$8:BV953,7,FALSE())
)</f>
        <v/>
      </c>
      <c r="BX454" s="80" t="str">
        <f aca="false">IF(BN454&gt;BM$7,
    "",
    VLOOKUP(BN454,BP$8:BV953,2,FALSE())
)</f>
        <v/>
      </c>
      <c r="BY454" s="80" t="str">
        <f aca="false">IF(BN454&gt;BM$7,
    "",
    VLOOKUP(BN454,BP$8:BV953,3,FALSE())
)</f>
        <v/>
      </c>
      <c r="BZ454" s="80" t="str">
        <f aca="false">IF(BN454&gt;BM$7,
    "",
    VLOOKUP(BN454,BP$8:BV953,4,FALSE())
)</f>
        <v/>
      </c>
      <c r="CA454" s="80" t="str">
        <f aca="false">IF(BN454&gt;BM$7,
    "",
    VLOOKUP(BN454,BP$8:BV953,5,FALSE())
)</f>
        <v/>
      </c>
      <c r="CB454" s="81" t="str">
        <f aca="false">IF(BN454&gt;BM$7,
    "",
    VLOOKUP(BN454,BP$8:BV953,6,FALSE())
)</f>
        <v/>
      </c>
      <c r="CC454" s="53"/>
    </row>
    <row r="455" customFormat="false" ht="15.75" hidden="false" customHeight="false" outlineLevel="0" collapsed="false">
      <c r="A455" s="5"/>
      <c r="B455" s="125"/>
      <c r="C455" s="126"/>
      <c r="D455" s="115"/>
      <c r="E455" s="119"/>
      <c r="F455" s="119"/>
      <c r="G455" s="91"/>
      <c r="H455" s="92"/>
      <c r="I455" s="92"/>
      <c r="J455" s="128"/>
      <c r="K455" s="128"/>
      <c r="L455" s="128"/>
      <c r="M455" s="94"/>
      <c r="N455" s="94"/>
      <c r="O455" s="94"/>
      <c r="P455" s="95"/>
      <c r="Q455" s="96"/>
      <c r="R455" s="128"/>
      <c r="S455" s="98"/>
      <c r="T455" s="99"/>
      <c r="U455" s="99" t="str">
        <f aca="false">IF(ISBLANK($C455),"",IF(G455=Constants!$B$2, TRUE(), IF(G455=Constants!$B$3, FALSE(), TRUE())))</f>
        <v/>
      </c>
      <c r="V455" s="99" t="str">
        <f aca="false">IF(ISBLANK($C455),"",IF(H455=Constants!$B$2, TRUE(), IF(H455=Constants!$B$3, FALSE(), TRUE())))</f>
        <v/>
      </c>
      <c r="W455" s="99" t="str">
        <f aca="false">IF(ISBLANK($C455),"",IF(I455=Constants!$B$2, TRUE(), IF(I455=Constants!$B$3, FALSE(), TRUE())))</f>
        <v/>
      </c>
      <c r="X455" s="99" t="str">
        <f aca="false">IF(ISBLANK($C455),"",IF(AND(ISNUMBER(J455),J455&gt;0),INT(J455),0))</f>
        <v/>
      </c>
      <c r="Y455" s="99" t="str">
        <f aca="false">IF(ISBLANK($C455),"",IF(K455=Constants!$B$2, TRUE(), IF(K455=Constants!$B$3, FALSE(), TRUE())))</f>
        <v/>
      </c>
      <c r="Z455" s="100" t="str">
        <f aca="false">IF(ISBLANK($C455),"",IF(AND(ISNUMBER(L455),L455&gt;0),INT(L455),0))</f>
        <v/>
      </c>
      <c r="AA455" s="101" t="str">
        <f aca="false">IF(ISBLANK($C455),"",IF(ISNUMBER(M455), M455, ""))</f>
        <v/>
      </c>
      <c r="AB455" s="101" t="str">
        <f aca="false">IF(ISBLANK($C455),"",IF(ISNUMBER(N455), N455, ""))</f>
        <v/>
      </c>
      <c r="AC455" s="101" t="str">
        <f aca="false">IF(ISBLANK($C455),"",IF(ISNUMBER(O455), O455, ""))</f>
        <v/>
      </c>
      <c r="AD455" s="102" t="str">
        <f aca="false">IF(ISBLANK($C455),"",IF(ISNUMBER(P455), P455, ""))</f>
        <v/>
      </c>
      <c r="AE455" s="102" t="str">
        <f aca="false">IF(ISBLANK($C455),"",IF(ISNUMBER(Q455), Q455, Constants!$B$13))</f>
        <v/>
      </c>
      <c r="AF455" s="99" t="str">
        <f aca="false">IF(ISBLANK($C455),"",IF(R455=Constants!$B$2, TRUE(), IF(R455=Constants!$B$3, FALSE(), FALSE())))</f>
        <v/>
      </c>
      <c r="AG455" s="99" t="str">
        <f aca="false">IF(ISBLANK(C455), "", IF(AF455, Constants!$B$4,IF(COUNTA(G455:P455)=0, Constants!$B$5, Constants!$B$7)))</f>
        <v/>
      </c>
      <c r="AH455" s="99" t="str">
        <f aca="false">IF(ISBLANK($C455), "",IF($AG455=Constants!$B$7,1,$AG455))</f>
        <v/>
      </c>
      <c r="AI455" s="99" t="str">
        <f aca="false">IF($AG455=Constants!$B$7,POWER(Constants!$B$11,X455)*POWER(Constants!$B$12,Z455),"")</f>
        <v/>
      </c>
      <c r="AJ455" s="99" t="str">
        <f aca="false">IF(AND($AG455=Constants!$B$7, U455, V455) ,IF(OR($AA455="",$AC455=""),"",MAX(0, $AC455-$AA455)),"")</f>
        <v/>
      </c>
      <c r="AK455" s="99" t="str">
        <f aca="false">IF(AND($AG455=Constants!$B$7, U455, V455),IF(OR($AA455="",$AC455=""),$AK$6,""),"")</f>
        <v/>
      </c>
      <c r="AL455" s="99" t="str">
        <f aca="false">IF($AG455=Constants!$B$7,IF(AND(U455,V455,W455,Y455),IF($AJ455="",0,IF($AJ$6=0,Constants!$B$9,Constants!$B$9*AJ455/$AJ$6)), 0),"")</f>
        <v/>
      </c>
      <c r="AM455" s="99" t="str">
        <f aca="false">IF(AL455&lt;&gt;"", AL455*AI455,"")</f>
        <v/>
      </c>
      <c r="AN455" s="99" t="str">
        <f aca="false">IF(AND($AG455=Constants!$B$7, U455, V455) ,IF($AB455="", "", IF(OR($AC455="",$AC455=0),"",MAX(0,1-ABS($AC455-$AB455)/$AC455))),"")</f>
        <v/>
      </c>
      <c r="AO455" s="99" t="str">
        <f aca="false">IF(AND($AG455=Constants!$B$7, U455, V455),IF(AND($AA455&lt;&gt;"",$AB455&lt;&gt;"",$AC455=0),$AO$6,""),"")</f>
        <v/>
      </c>
      <c r="AP455" s="99" t="str">
        <f aca="false">IF($AG455=Constants!$B$7 ,IF(AND(U455,V455,W455,Y455,ISNUMBER(AB455)),IF($AN455="",0,IF($AN$6=0,Constants!$B$10,Constants!$B$10*AN455/$AN$6)), 0),"")</f>
        <v/>
      </c>
      <c r="AQ455" s="99" t="str">
        <f aca="false">IF(AP455&lt;&gt;"", AP455*AI455,"")</f>
        <v/>
      </c>
      <c r="AR455" s="99" t="str">
        <f aca="false">IF($AG455=Constants!$B$7,IF($AD455="",0,IF($AR$6=0,Constants!$B$8,Constants!$B$8*AD455/$AR$6)),"")</f>
        <v/>
      </c>
      <c r="AS455" s="99" t="str">
        <f aca="false">IF($AG455&lt;&gt;Constants!$B$7,$AG455,IF(AK455&amp;AO455&lt;&gt;"",Constants!$B$14,AM455+AQ455+AR455))</f>
        <v/>
      </c>
      <c r="AT455" s="99" t="str">
        <f aca="false">IF(ISBLANK($C455),"",IF($AG455=Constants!$B$7,IF(ISNUMBER(AS455),RANK(AS455,$AS$8:$AS$507),Constants!$B$14),$AG455))</f>
        <v/>
      </c>
      <c r="AU455" s="99" t="str">
        <f aca="false">IF(ISBLANK($C455), "",AM455)</f>
        <v/>
      </c>
      <c r="AV455" s="99" t="str">
        <f aca="false">IF(ISBLANK($C455),"",IF($AG455=Constants!$B$7,RANK(AU455,AU$8:AU$507),$AG455))</f>
        <v/>
      </c>
      <c r="AW455" s="99" t="str">
        <f aca="false">IF(ISBLANK($C455), "",AR455)</f>
        <v/>
      </c>
      <c r="AX455" s="99" t="str">
        <f aca="false">IF(ISBLANK($C455),"",IF($AG455=Constants!$B$7,RANK(AW455,AW$8:AW$507),$AG455))</f>
        <v/>
      </c>
      <c r="AY455" s="99" t="str">
        <f aca="false">IF(ISBLANK($C455), "",AE455)</f>
        <v/>
      </c>
      <c r="AZ455" s="99" t="str">
        <f aca="false">IF(ISBLANK($C455),"",
IF($AG455=Constants!$B$7,
  IF(ISNUMBER(AT455),
    COUNTIFS($AT$8:$AT$507,"&lt;"&amp;$AT455)
    + COUNTIFS($AT$8:$AT$507,$AT455,$AV$8:$AV$507,"&lt;"&amp;$AV455)
    + COUNTIFS($AT$8:$AT$507,$AT455,$AV$8:$AV$507,$AV455,$AX$8:$AX$507,"&lt;"&amp;$AX455)
    + COUNTIFS($AT$8:$AT$507,$AT455,$AV$8:$AV$507,$AV455,$AX$8:$AX$507,$AX455,$AY$8:$AY$507,"&lt;"&amp;$AY455)
    + 1,
  Constants!$B$14),
$AG455))</f>
        <v/>
      </c>
      <c r="BA455" s="99" t="str">
        <f aca="false">IF(ISBLANK(C455),"",IF($AG455=Constants!$B$7, IF(ISNUMBER(AT455),AT455-AZ455,Constants!$B$14),$AG455))</f>
        <v/>
      </c>
      <c r="BB455" s="103"/>
      <c r="BC455" s="104" t="str">
        <f aca="false">IF(ISBLANK($C455),"",TRIM(AK455&amp;" "&amp;AO455))</f>
        <v/>
      </c>
      <c r="BD455" s="105" t="str">
        <f aca="false">IF(ISBLANK($C455),"",IF($AG455&lt;&gt;Constants!$B$7,$AG455,AR455))</f>
        <v/>
      </c>
      <c r="BE455" s="105" t="str">
        <f aca="false">IF(ISBLANK($C455),"",IF($AG455&lt;&gt;Constants!$B$7,$AG455,AM455))</f>
        <v/>
      </c>
      <c r="BF455" s="105" t="str">
        <f aca="false">IF(ISBLANK($C455),"",IF($AG455&lt;&gt;Constants!$B$7,$AG455,AQ455))</f>
        <v/>
      </c>
      <c r="BG455" s="106" t="str">
        <f aca="false">IF(ISBLANK($C455),"",IF($AG455&lt;&gt;Constants!$B$7, $AG455 ,AS455))</f>
        <v/>
      </c>
      <c r="BH455" s="107" t="str">
        <f aca="false">IF(ISBLANK($C455),"",IF($AG455&lt;&gt;Constants!$B$7, $AG455 ,AH455))</f>
        <v/>
      </c>
      <c r="BI455" s="105" t="str">
        <f aca="false">IF(ISBLANK(C455),"",BA455)</f>
        <v/>
      </c>
      <c r="BJ455" s="105" t="str">
        <f aca="false">IF(ISBLANK(C455),"",AZ455)</f>
        <v/>
      </c>
      <c r="BK455" s="108" t="str">
        <f aca="false">IF(ISBLANK(C455),"",IFERROR(_xlfn.SWITCH(BJ455, Constants!$B$4, COUNTA($C$8:$C954)+2, Constants!$B$5, COUNTA($C$8:$C954)+1, Constants!$B$6, COUNTA($C$8:$C954)),BJ455))</f>
        <v/>
      </c>
      <c r="BL455" s="5"/>
      <c r="BM455" s="109" t="n">
        <f aca="false">IF(OR(ISNUMBER(BJ455),BJ455="DQ",BJ455="P",BJ455="NS"),
    1,
    0
)</f>
        <v>0</v>
      </c>
      <c r="BN455" s="109" t="n">
        <v>448</v>
      </c>
      <c r="BO455" s="109" t="str">
        <f aca="false">IF(ISBLANK($C455),"",IF(ISNUMBER(BK455),BK455+ROW($B455)/1000,""))</f>
        <v/>
      </c>
      <c r="BP455" s="109" t="str">
        <f aca="false">IF(ISNUMBER(BO455), RANK(BO455,BO$8:BO$507,1), "")</f>
        <v/>
      </c>
      <c r="BQ455" s="109" t="str">
        <f aca="false">IF(ISBLANK($C455),
    "",
    $B455
)</f>
        <v/>
      </c>
      <c r="BR455" s="109" t="str">
        <f aca="false">IF(ISBLANK($C455),
    "",
    $C455
)</f>
        <v/>
      </c>
      <c r="BS455" s="109" t="str">
        <f aca="false">IF(ISBLANK($C455),
    "",
    $D455
)</f>
        <v/>
      </c>
      <c r="BT455" s="110" t="str">
        <f aca="false">BH455</f>
        <v/>
      </c>
      <c r="BU455" s="111" t="str">
        <f aca="false">BG455</f>
        <v/>
      </c>
      <c r="BV455" s="109" t="str">
        <f aca="false">IF(ISBLANK($C455),
    "",
    BJ455
)</f>
        <v/>
      </c>
      <c r="BW455" s="112" t="str">
        <f aca="false">IF(BN455&gt;BM$7,
    "",
    VLOOKUP(BN455,BP$8:BV954,7,FALSE())
)</f>
        <v/>
      </c>
      <c r="BX455" s="113" t="str">
        <f aca="false">IF(BN455&gt;BM$7,
    "",
    VLOOKUP(BN455,BP$8:BV954,2,FALSE())
)</f>
        <v/>
      </c>
      <c r="BY455" s="113" t="str">
        <f aca="false">IF(BN455&gt;BM$7,
    "",
    VLOOKUP(BN455,BP$8:BV954,3,FALSE())
)</f>
        <v/>
      </c>
      <c r="BZ455" s="113" t="str">
        <f aca="false">IF(BN455&gt;BM$7,
    "",
    VLOOKUP(BN455,BP$8:BV954,4,FALSE())
)</f>
        <v/>
      </c>
      <c r="CA455" s="113" t="str">
        <f aca="false">IF(BN455&gt;BM$7,
    "",
    VLOOKUP(BN455,BP$8:BV954,5,FALSE())
)</f>
        <v/>
      </c>
      <c r="CB455" s="114" t="str">
        <f aca="false">IF(BN455&gt;BM$7,
    "",
    VLOOKUP(BN455,BP$8:BV954,6,FALSE())
)</f>
        <v/>
      </c>
      <c r="CC455" s="53"/>
    </row>
    <row r="456" customFormat="false" ht="15.75" hidden="false" customHeight="false" outlineLevel="0" collapsed="false">
      <c r="A456" s="5"/>
      <c r="B456" s="125"/>
      <c r="C456" s="126"/>
      <c r="D456" s="115"/>
      <c r="E456" s="119"/>
      <c r="F456" s="119"/>
      <c r="G456" s="91"/>
      <c r="H456" s="92"/>
      <c r="I456" s="92"/>
      <c r="J456" s="128"/>
      <c r="K456" s="128"/>
      <c r="L456" s="128"/>
      <c r="M456" s="94"/>
      <c r="N456" s="94"/>
      <c r="O456" s="94"/>
      <c r="P456" s="95"/>
      <c r="Q456" s="96"/>
      <c r="R456" s="128"/>
      <c r="S456" s="98"/>
      <c r="T456" s="99"/>
      <c r="U456" s="99" t="str">
        <f aca="false">IF(ISBLANK($C456),"",IF(G456=Constants!$B$2, TRUE(), IF(G456=Constants!$B$3, FALSE(), TRUE())))</f>
        <v/>
      </c>
      <c r="V456" s="99" t="str">
        <f aca="false">IF(ISBLANK($C456),"",IF(H456=Constants!$B$2, TRUE(), IF(H456=Constants!$B$3, FALSE(), TRUE())))</f>
        <v/>
      </c>
      <c r="W456" s="99" t="str">
        <f aca="false">IF(ISBLANK($C456),"",IF(I456=Constants!$B$2, TRUE(), IF(I456=Constants!$B$3, FALSE(), TRUE())))</f>
        <v/>
      </c>
      <c r="X456" s="99" t="str">
        <f aca="false">IF(ISBLANK($C456),"",IF(AND(ISNUMBER(J456),J456&gt;0),INT(J456),0))</f>
        <v/>
      </c>
      <c r="Y456" s="99" t="str">
        <f aca="false">IF(ISBLANK($C456),"",IF(K456=Constants!$B$2, TRUE(), IF(K456=Constants!$B$3, FALSE(), TRUE())))</f>
        <v/>
      </c>
      <c r="Z456" s="100" t="str">
        <f aca="false">IF(ISBLANK($C456),"",IF(AND(ISNUMBER(L456),L456&gt;0),INT(L456),0))</f>
        <v/>
      </c>
      <c r="AA456" s="101" t="str">
        <f aca="false">IF(ISBLANK($C456),"",IF(ISNUMBER(M456), M456, ""))</f>
        <v/>
      </c>
      <c r="AB456" s="101" t="str">
        <f aca="false">IF(ISBLANK($C456),"",IF(ISNUMBER(N456), N456, ""))</f>
        <v/>
      </c>
      <c r="AC456" s="101" t="str">
        <f aca="false">IF(ISBLANK($C456),"",IF(ISNUMBER(O456), O456, ""))</f>
        <v/>
      </c>
      <c r="AD456" s="102" t="str">
        <f aca="false">IF(ISBLANK($C456),"",IF(ISNUMBER(P456), P456, ""))</f>
        <v/>
      </c>
      <c r="AE456" s="102" t="str">
        <f aca="false">IF(ISBLANK($C456),"",IF(ISNUMBER(Q456), Q456, Constants!$B$13))</f>
        <v/>
      </c>
      <c r="AF456" s="99" t="str">
        <f aca="false">IF(ISBLANK($C456),"",IF(R456=Constants!$B$2, TRUE(), IF(R456=Constants!$B$3, FALSE(), FALSE())))</f>
        <v/>
      </c>
      <c r="AG456" s="99" t="str">
        <f aca="false">IF(ISBLANK(C456), "", IF(AF456, Constants!$B$4,IF(COUNTA(G456:P456)=0, Constants!$B$5, Constants!$B$7)))</f>
        <v/>
      </c>
      <c r="AH456" s="99" t="str">
        <f aca="false">IF(ISBLANK($C456), "",IF($AG456=Constants!$B$7,1,$AG456))</f>
        <v/>
      </c>
      <c r="AI456" s="99" t="str">
        <f aca="false">IF($AG456=Constants!$B$7,POWER(Constants!$B$11,X456)*POWER(Constants!$B$12,Z456),"")</f>
        <v/>
      </c>
      <c r="AJ456" s="99" t="str">
        <f aca="false">IF(AND($AG456=Constants!$B$7, U456, V456) ,IF(OR($AA456="",$AC456=""),"",MAX(0, $AC456-$AA456)),"")</f>
        <v/>
      </c>
      <c r="AK456" s="99" t="str">
        <f aca="false">IF(AND($AG456=Constants!$B$7, U456, V456),IF(OR($AA456="",$AC456=""),$AK$6,""),"")</f>
        <v/>
      </c>
      <c r="AL456" s="99" t="str">
        <f aca="false">IF($AG456=Constants!$B$7,IF(AND(U456,V456,W456,Y456),IF($AJ456="",0,IF($AJ$6=0,Constants!$B$9,Constants!$B$9*AJ456/$AJ$6)), 0),"")</f>
        <v/>
      </c>
      <c r="AM456" s="99" t="str">
        <f aca="false">IF(AL456&lt;&gt;"", AL456*AI456,"")</f>
        <v/>
      </c>
      <c r="AN456" s="99" t="str">
        <f aca="false">IF(AND($AG456=Constants!$B$7, U456, V456) ,IF($AB456="", "", IF(OR($AC456="",$AC456=0),"",MAX(0,1-ABS($AC456-$AB456)/$AC456))),"")</f>
        <v/>
      </c>
      <c r="AO456" s="99" t="str">
        <f aca="false">IF(AND($AG456=Constants!$B$7, U456, V456),IF(AND($AA456&lt;&gt;"",$AB456&lt;&gt;"",$AC456=0),$AO$6,""),"")</f>
        <v/>
      </c>
      <c r="AP456" s="99" t="str">
        <f aca="false">IF($AG456=Constants!$B$7 ,IF(AND(U456,V456,W456,Y456,ISNUMBER(AB456)),IF($AN456="",0,IF($AN$6=0,Constants!$B$10,Constants!$B$10*AN456/$AN$6)), 0),"")</f>
        <v/>
      </c>
      <c r="AQ456" s="99" t="str">
        <f aca="false">IF(AP456&lt;&gt;"", AP456*AI456,"")</f>
        <v/>
      </c>
      <c r="AR456" s="99" t="str">
        <f aca="false">IF($AG456=Constants!$B$7,IF($AD456="",0,IF($AR$6=0,Constants!$B$8,Constants!$B$8*AD456/$AR$6)),"")</f>
        <v/>
      </c>
      <c r="AS456" s="99" t="str">
        <f aca="false">IF($AG456&lt;&gt;Constants!$B$7,$AG456,IF(AK456&amp;AO456&lt;&gt;"",Constants!$B$14,AM456+AQ456+AR456))</f>
        <v/>
      </c>
      <c r="AT456" s="99" t="str">
        <f aca="false">IF(ISBLANK($C456),"",IF($AG456=Constants!$B$7,IF(ISNUMBER(AS456),RANK(AS456,$AS$8:$AS$507),Constants!$B$14),$AG456))</f>
        <v/>
      </c>
      <c r="AU456" s="99" t="str">
        <f aca="false">IF(ISBLANK($C456), "",AM456)</f>
        <v/>
      </c>
      <c r="AV456" s="99" t="str">
        <f aca="false">IF(ISBLANK($C456),"",IF($AG456=Constants!$B$7,RANK(AU456,AU$8:AU$507),$AG456))</f>
        <v/>
      </c>
      <c r="AW456" s="99" t="str">
        <f aca="false">IF(ISBLANK($C456), "",AR456)</f>
        <v/>
      </c>
      <c r="AX456" s="99" t="str">
        <f aca="false">IF(ISBLANK($C456),"",IF($AG456=Constants!$B$7,RANK(AW456,AW$8:AW$507),$AG456))</f>
        <v/>
      </c>
      <c r="AY456" s="99" t="str">
        <f aca="false">IF(ISBLANK($C456), "",AE456)</f>
        <v/>
      </c>
      <c r="AZ456" s="99" t="str">
        <f aca="false">IF(ISBLANK($C456),"",
IF($AG456=Constants!$B$7,
  IF(ISNUMBER(AT456),
    COUNTIFS($AT$8:$AT$507,"&lt;"&amp;$AT456)
    + COUNTIFS($AT$8:$AT$507,$AT456,$AV$8:$AV$507,"&lt;"&amp;$AV456)
    + COUNTIFS($AT$8:$AT$507,$AT456,$AV$8:$AV$507,$AV456,$AX$8:$AX$507,"&lt;"&amp;$AX456)
    + COUNTIFS($AT$8:$AT$507,$AT456,$AV$8:$AV$507,$AV456,$AX$8:$AX$507,$AX456,$AY$8:$AY$507,"&lt;"&amp;$AY456)
    + 1,
  Constants!$B$14),
$AG456))</f>
        <v/>
      </c>
      <c r="BA456" s="99" t="str">
        <f aca="false">IF(ISBLANK(C456),"",IF($AG456=Constants!$B$7, IF(ISNUMBER(AT456),AT456-AZ456,Constants!$B$14),$AG456))</f>
        <v/>
      </c>
      <c r="BB456" s="103"/>
      <c r="BC456" s="104" t="str">
        <f aca="false">IF(ISBLANK($C456),"",TRIM(AK456&amp;" "&amp;AO456))</f>
        <v/>
      </c>
      <c r="BD456" s="105" t="str">
        <f aca="false">IF(ISBLANK($C456),"",IF($AG456&lt;&gt;Constants!$B$7,$AG456,AR456))</f>
        <v/>
      </c>
      <c r="BE456" s="105" t="str">
        <f aca="false">IF(ISBLANK($C456),"",IF($AG456&lt;&gt;Constants!$B$7,$AG456,AM456))</f>
        <v/>
      </c>
      <c r="BF456" s="105" t="str">
        <f aca="false">IF(ISBLANK($C456),"",IF($AG456&lt;&gt;Constants!$B$7,$AG456,AQ456))</f>
        <v/>
      </c>
      <c r="BG456" s="106" t="str">
        <f aca="false">IF(ISBLANK($C456),"",IF($AG456&lt;&gt;Constants!$B$7, $AG456 ,AS456))</f>
        <v/>
      </c>
      <c r="BH456" s="107" t="str">
        <f aca="false">IF(ISBLANK($C456),"",IF($AG456&lt;&gt;Constants!$B$7, $AG456 ,AH456))</f>
        <v/>
      </c>
      <c r="BI456" s="105" t="str">
        <f aca="false">IF(ISBLANK(C456),"",BA456)</f>
        <v/>
      </c>
      <c r="BJ456" s="105" t="str">
        <f aca="false">IF(ISBLANK(C456),"",AZ456)</f>
        <v/>
      </c>
      <c r="BK456" s="108" t="str">
        <f aca="false">IF(ISBLANK(C456),"",IFERROR(_xlfn.SWITCH(BJ456, Constants!$B$4, COUNTA($C$8:$C955)+2, Constants!$B$5, COUNTA($C$8:$C955)+1, Constants!$B$6, COUNTA($C$8:$C955)),BJ456))</f>
        <v/>
      </c>
      <c r="BL456" s="5"/>
      <c r="BM456" s="109" t="n">
        <f aca="false">IF(OR(ISNUMBER(BJ456),BJ456="DQ",BJ456="P",BJ456="NS"),
    1,
    0
)</f>
        <v>0</v>
      </c>
      <c r="BN456" s="109" t="n">
        <v>449</v>
      </c>
      <c r="BO456" s="109" t="str">
        <f aca="false">IF(ISBLANK($C456),"",IF(ISNUMBER(BK456),BK456+ROW($B456)/1000,""))</f>
        <v/>
      </c>
      <c r="BP456" s="109" t="str">
        <f aca="false">IF(ISNUMBER(BO456), RANK(BO456,BO$8:BO$507,1), "")</f>
        <v/>
      </c>
      <c r="BQ456" s="109" t="str">
        <f aca="false">IF(ISBLANK($C456),
    "",
    $B456
)</f>
        <v/>
      </c>
      <c r="BR456" s="109" t="str">
        <f aca="false">IF(ISBLANK($C456),
    "",
    $C456
)</f>
        <v/>
      </c>
      <c r="BS456" s="109" t="str">
        <f aca="false">IF(ISBLANK($C456),
    "",
    $D456
)</f>
        <v/>
      </c>
      <c r="BT456" s="110" t="str">
        <f aca="false">BH456</f>
        <v/>
      </c>
      <c r="BU456" s="111" t="str">
        <f aca="false">BG456</f>
        <v/>
      </c>
      <c r="BV456" s="109" t="str">
        <f aca="false">IF(ISBLANK($C456),
    "",
    BJ456
)</f>
        <v/>
      </c>
      <c r="BW456" s="112" t="str">
        <f aca="false">IF(BN456&gt;BM$7,
    "",
    VLOOKUP(BN456,BP$8:BV955,7,FALSE())
)</f>
        <v/>
      </c>
      <c r="BX456" s="113" t="str">
        <f aca="false">IF(BN456&gt;BM$7,
    "",
    VLOOKUP(BN456,BP$8:BV955,2,FALSE())
)</f>
        <v/>
      </c>
      <c r="BY456" s="113" t="str">
        <f aca="false">IF(BN456&gt;BM$7,
    "",
    VLOOKUP(BN456,BP$8:BV955,3,FALSE())
)</f>
        <v/>
      </c>
      <c r="BZ456" s="113" t="str">
        <f aca="false">IF(BN456&gt;BM$7,
    "",
    VLOOKUP(BN456,BP$8:BV955,4,FALSE())
)</f>
        <v/>
      </c>
      <c r="CA456" s="113" t="str">
        <f aca="false">IF(BN456&gt;BM$7,
    "",
    VLOOKUP(BN456,BP$8:BV955,5,FALSE())
)</f>
        <v/>
      </c>
      <c r="CB456" s="114" t="str">
        <f aca="false">IF(BN456&gt;BM$7,
    "",
    VLOOKUP(BN456,BP$8:BV955,6,FALSE())
)</f>
        <v/>
      </c>
      <c r="CC456" s="53"/>
    </row>
    <row r="457" customFormat="false" ht="15.75" hidden="false" customHeight="false" outlineLevel="0" collapsed="false">
      <c r="A457" s="5"/>
      <c r="B457" s="125"/>
      <c r="C457" s="126"/>
      <c r="D457" s="115"/>
      <c r="E457" s="119"/>
      <c r="F457" s="119"/>
      <c r="G457" s="91"/>
      <c r="H457" s="92"/>
      <c r="I457" s="92"/>
      <c r="J457" s="128"/>
      <c r="K457" s="128"/>
      <c r="L457" s="128"/>
      <c r="M457" s="94"/>
      <c r="N457" s="94"/>
      <c r="O457" s="94"/>
      <c r="P457" s="95"/>
      <c r="Q457" s="96"/>
      <c r="R457" s="128"/>
      <c r="S457" s="98"/>
      <c r="T457" s="99"/>
      <c r="U457" s="99" t="str">
        <f aca="false">IF(ISBLANK($C457),"",IF(G457=Constants!$B$2, TRUE(), IF(G457=Constants!$B$3, FALSE(), TRUE())))</f>
        <v/>
      </c>
      <c r="V457" s="99" t="str">
        <f aca="false">IF(ISBLANK($C457),"",IF(H457=Constants!$B$2, TRUE(), IF(H457=Constants!$B$3, FALSE(), TRUE())))</f>
        <v/>
      </c>
      <c r="W457" s="99" t="str">
        <f aca="false">IF(ISBLANK($C457),"",IF(I457=Constants!$B$2, TRUE(), IF(I457=Constants!$B$3, FALSE(), TRUE())))</f>
        <v/>
      </c>
      <c r="X457" s="99" t="str">
        <f aca="false">IF(ISBLANK($C457),"",IF(AND(ISNUMBER(J457),J457&gt;0),INT(J457),0))</f>
        <v/>
      </c>
      <c r="Y457" s="99" t="str">
        <f aca="false">IF(ISBLANK($C457),"",IF(K457=Constants!$B$2, TRUE(), IF(K457=Constants!$B$3, FALSE(), TRUE())))</f>
        <v/>
      </c>
      <c r="Z457" s="100" t="str">
        <f aca="false">IF(ISBLANK($C457),"",IF(AND(ISNUMBER(L457),L457&gt;0),INT(L457),0))</f>
        <v/>
      </c>
      <c r="AA457" s="101" t="str">
        <f aca="false">IF(ISBLANK($C457),"",IF(ISNUMBER(M457), M457, ""))</f>
        <v/>
      </c>
      <c r="AB457" s="101" t="str">
        <f aca="false">IF(ISBLANK($C457),"",IF(ISNUMBER(N457), N457, ""))</f>
        <v/>
      </c>
      <c r="AC457" s="101" t="str">
        <f aca="false">IF(ISBLANK($C457),"",IF(ISNUMBER(O457), O457, ""))</f>
        <v/>
      </c>
      <c r="AD457" s="102" t="str">
        <f aca="false">IF(ISBLANK($C457),"",IF(ISNUMBER(P457), P457, ""))</f>
        <v/>
      </c>
      <c r="AE457" s="102" t="str">
        <f aca="false">IF(ISBLANK($C457),"",IF(ISNUMBER(Q457), Q457, Constants!$B$13))</f>
        <v/>
      </c>
      <c r="AF457" s="99" t="str">
        <f aca="false">IF(ISBLANK($C457),"",IF(R457=Constants!$B$2, TRUE(), IF(R457=Constants!$B$3, FALSE(), FALSE())))</f>
        <v/>
      </c>
      <c r="AG457" s="99" t="str">
        <f aca="false">IF(ISBLANK(C457), "", IF(AF457, Constants!$B$4,IF(COUNTA(G457:P457)=0, Constants!$B$5, Constants!$B$7)))</f>
        <v/>
      </c>
      <c r="AH457" s="99" t="str">
        <f aca="false">IF(ISBLANK($C457), "",IF($AG457=Constants!$B$7,1,$AG457))</f>
        <v/>
      </c>
      <c r="AI457" s="99" t="str">
        <f aca="false">IF($AG457=Constants!$B$7,POWER(Constants!$B$11,X457)*POWER(Constants!$B$12,Z457),"")</f>
        <v/>
      </c>
      <c r="AJ457" s="99" t="str">
        <f aca="false">IF(AND($AG457=Constants!$B$7, U457, V457) ,IF(OR($AA457="",$AC457=""),"",MAX(0, $AC457-$AA457)),"")</f>
        <v/>
      </c>
      <c r="AK457" s="99" t="str">
        <f aca="false">IF(AND($AG457=Constants!$B$7, U457, V457),IF(OR($AA457="",$AC457=""),$AK$6,""),"")</f>
        <v/>
      </c>
      <c r="AL457" s="99" t="str">
        <f aca="false">IF($AG457=Constants!$B$7,IF(AND(U457,V457,W457,Y457),IF($AJ457="",0,IF($AJ$6=0,Constants!$B$9,Constants!$B$9*AJ457/$AJ$6)), 0),"")</f>
        <v/>
      </c>
      <c r="AM457" s="99" t="str">
        <f aca="false">IF(AL457&lt;&gt;"", AL457*AI457,"")</f>
        <v/>
      </c>
      <c r="AN457" s="99" t="str">
        <f aca="false">IF(AND($AG457=Constants!$B$7, U457, V457) ,IF($AB457="", "", IF(OR($AC457="",$AC457=0),"",MAX(0,1-ABS($AC457-$AB457)/$AC457))),"")</f>
        <v/>
      </c>
      <c r="AO457" s="99" t="str">
        <f aca="false">IF(AND($AG457=Constants!$B$7, U457, V457),IF(AND($AA457&lt;&gt;"",$AB457&lt;&gt;"",$AC457=0),$AO$6,""),"")</f>
        <v/>
      </c>
      <c r="AP457" s="99" t="str">
        <f aca="false">IF($AG457=Constants!$B$7 ,IF(AND(U457,V457,W457,Y457,ISNUMBER(AB457)),IF($AN457="",0,IF($AN$6=0,Constants!$B$10,Constants!$B$10*AN457/$AN$6)), 0),"")</f>
        <v/>
      </c>
      <c r="AQ457" s="99" t="str">
        <f aca="false">IF(AP457&lt;&gt;"", AP457*AI457,"")</f>
        <v/>
      </c>
      <c r="AR457" s="99" t="str">
        <f aca="false">IF($AG457=Constants!$B$7,IF($AD457="",0,IF($AR$6=0,Constants!$B$8,Constants!$B$8*AD457/$AR$6)),"")</f>
        <v/>
      </c>
      <c r="AS457" s="99" t="str">
        <f aca="false">IF($AG457&lt;&gt;Constants!$B$7,$AG457,IF(AK457&amp;AO457&lt;&gt;"",Constants!$B$14,AM457+AQ457+AR457))</f>
        <v/>
      </c>
      <c r="AT457" s="99" t="str">
        <f aca="false">IF(ISBLANK($C457),"",IF($AG457=Constants!$B$7,IF(ISNUMBER(AS457),RANK(AS457,$AS$8:$AS$507),Constants!$B$14),$AG457))</f>
        <v/>
      </c>
      <c r="AU457" s="99" t="str">
        <f aca="false">IF(ISBLANK($C457), "",AM457)</f>
        <v/>
      </c>
      <c r="AV457" s="99" t="str">
        <f aca="false">IF(ISBLANK($C457),"",IF($AG457=Constants!$B$7,RANK(AU457,AU$8:AU$507),$AG457))</f>
        <v/>
      </c>
      <c r="AW457" s="99" t="str">
        <f aca="false">IF(ISBLANK($C457), "",AR457)</f>
        <v/>
      </c>
      <c r="AX457" s="99" t="str">
        <f aca="false">IF(ISBLANK($C457),"",IF($AG457=Constants!$B$7,RANK(AW457,AW$8:AW$507),$AG457))</f>
        <v/>
      </c>
      <c r="AY457" s="99" t="str">
        <f aca="false">IF(ISBLANK($C457), "",AE457)</f>
        <v/>
      </c>
      <c r="AZ457" s="99" t="str">
        <f aca="false">IF(ISBLANK($C457),"",
IF($AG457=Constants!$B$7,
  IF(ISNUMBER(AT457),
    COUNTIFS($AT$8:$AT$507,"&lt;"&amp;$AT457)
    + COUNTIFS($AT$8:$AT$507,$AT457,$AV$8:$AV$507,"&lt;"&amp;$AV457)
    + COUNTIFS($AT$8:$AT$507,$AT457,$AV$8:$AV$507,$AV457,$AX$8:$AX$507,"&lt;"&amp;$AX457)
    + COUNTIFS($AT$8:$AT$507,$AT457,$AV$8:$AV$507,$AV457,$AX$8:$AX$507,$AX457,$AY$8:$AY$507,"&lt;"&amp;$AY457)
    + 1,
  Constants!$B$14),
$AG457))</f>
        <v/>
      </c>
      <c r="BA457" s="99" t="str">
        <f aca="false">IF(ISBLANK(C457),"",IF($AG457=Constants!$B$7, IF(ISNUMBER(AT457),AT457-AZ457,Constants!$B$14),$AG457))</f>
        <v/>
      </c>
      <c r="BB457" s="103"/>
      <c r="BC457" s="104" t="str">
        <f aca="false">IF(ISBLANK($C457),"",TRIM(AK457&amp;" "&amp;AO457))</f>
        <v/>
      </c>
      <c r="BD457" s="105" t="str">
        <f aca="false">IF(ISBLANK($C457),"",IF($AG457&lt;&gt;Constants!$B$7,$AG457,AR457))</f>
        <v/>
      </c>
      <c r="BE457" s="105" t="str">
        <f aca="false">IF(ISBLANK($C457),"",IF($AG457&lt;&gt;Constants!$B$7,$AG457,AM457))</f>
        <v/>
      </c>
      <c r="BF457" s="105" t="str">
        <f aca="false">IF(ISBLANK($C457),"",IF($AG457&lt;&gt;Constants!$B$7,$AG457,AQ457))</f>
        <v/>
      </c>
      <c r="BG457" s="106" t="str">
        <f aca="false">IF(ISBLANK($C457),"",IF($AG457&lt;&gt;Constants!$B$7, $AG457 ,AS457))</f>
        <v/>
      </c>
      <c r="BH457" s="107" t="str">
        <f aca="false">IF(ISBLANK($C457),"",IF($AG457&lt;&gt;Constants!$B$7, $AG457 ,AH457))</f>
        <v/>
      </c>
      <c r="BI457" s="105" t="str">
        <f aca="false">IF(ISBLANK(C457),"",BA457)</f>
        <v/>
      </c>
      <c r="BJ457" s="105" t="str">
        <f aca="false">IF(ISBLANK(C457),"",AZ457)</f>
        <v/>
      </c>
      <c r="BK457" s="108" t="str">
        <f aca="false">IF(ISBLANK(C457),"",IFERROR(_xlfn.SWITCH(BJ457, Constants!$B$4, COUNTA($C$8:$C956)+2, Constants!$B$5, COUNTA($C$8:$C956)+1, Constants!$B$6, COUNTA($C$8:$C956)),BJ457))</f>
        <v/>
      </c>
      <c r="BL457" s="5"/>
      <c r="BM457" s="109" t="n">
        <f aca="false">IF(OR(ISNUMBER(BJ457),BJ457="DQ",BJ457="P",BJ457="NS"),
    1,
    0
)</f>
        <v>0</v>
      </c>
      <c r="BN457" s="109" t="n">
        <v>450</v>
      </c>
      <c r="BO457" s="109" t="str">
        <f aca="false">IF(ISBLANK($C457),"",IF(ISNUMBER(BK457),BK457+ROW($B457)/1000,""))</f>
        <v/>
      </c>
      <c r="BP457" s="109" t="str">
        <f aca="false">IF(ISNUMBER(BO457), RANK(BO457,BO$8:BO$507,1), "")</f>
        <v/>
      </c>
      <c r="BQ457" s="109" t="str">
        <f aca="false">IF(ISBLANK($C457),
    "",
    $B457
)</f>
        <v/>
      </c>
      <c r="BR457" s="109" t="str">
        <f aca="false">IF(ISBLANK($C457),
    "",
    $C457
)</f>
        <v/>
      </c>
      <c r="BS457" s="109" t="str">
        <f aca="false">IF(ISBLANK($C457),
    "",
    $D457
)</f>
        <v/>
      </c>
      <c r="BT457" s="110" t="str">
        <f aca="false">BH457</f>
        <v/>
      </c>
      <c r="BU457" s="111" t="str">
        <f aca="false">BG457</f>
        <v/>
      </c>
      <c r="BV457" s="109" t="str">
        <f aca="false">IF(ISBLANK($C457),
    "",
    BJ457
)</f>
        <v/>
      </c>
      <c r="BW457" s="112" t="str">
        <f aca="false">IF(BN457&gt;BM$7,
    "",
    VLOOKUP(BN457,BP$8:BV956,7,FALSE())
)</f>
        <v/>
      </c>
      <c r="BX457" s="113" t="str">
        <f aca="false">IF(BN457&gt;BM$7,
    "",
    VLOOKUP(BN457,BP$8:BV956,2,FALSE())
)</f>
        <v/>
      </c>
      <c r="BY457" s="113" t="str">
        <f aca="false">IF(BN457&gt;BM$7,
    "",
    VLOOKUP(BN457,BP$8:BV956,3,FALSE())
)</f>
        <v/>
      </c>
      <c r="BZ457" s="113" t="str">
        <f aca="false">IF(BN457&gt;BM$7,
    "",
    VLOOKUP(BN457,BP$8:BV956,4,FALSE())
)</f>
        <v/>
      </c>
      <c r="CA457" s="113" t="str">
        <f aca="false">IF(BN457&gt;BM$7,
    "",
    VLOOKUP(BN457,BP$8:BV956,5,FALSE())
)</f>
        <v/>
      </c>
      <c r="CB457" s="114" t="str">
        <f aca="false">IF(BN457&gt;BM$7,
    "",
    VLOOKUP(BN457,BP$8:BV956,6,FALSE())
)</f>
        <v/>
      </c>
      <c r="CC457" s="53"/>
    </row>
    <row r="458" customFormat="false" ht="15.75" hidden="false" customHeight="false" outlineLevel="0" collapsed="false">
      <c r="A458" s="5"/>
      <c r="B458" s="129"/>
      <c r="C458" s="55"/>
      <c r="D458" s="56"/>
      <c r="E458" s="123"/>
      <c r="F458" s="123"/>
      <c r="G458" s="58"/>
      <c r="H458" s="59"/>
      <c r="I458" s="59"/>
      <c r="J458" s="83"/>
      <c r="K458" s="83"/>
      <c r="L458" s="83"/>
      <c r="M458" s="61"/>
      <c r="N458" s="61"/>
      <c r="O458" s="61"/>
      <c r="P458" s="62"/>
      <c r="Q458" s="63"/>
      <c r="R458" s="83"/>
      <c r="S458" s="65"/>
      <c r="T458" s="66"/>
      <c r="U458" s="66" t="str">
        <f aca="false">IF(ISBLANK($C458),"",IF(G458=Constants!$B$2, TRUE(), IF(G458=Constants!$B$3, FALSE(), TRUE())))</f>
        <v/>
      </c>
      <c r="V458" s="66" t="str">
        <f aca="false">IF(ISBLANK($C458),"",IF(H458=Constants!$B$2, TRUE(), IF(H458=Constants!$B$3, FALSE(), TRUE())))</f>
        <v/>
      </c>
      <c r="W458" s="66" t="str">
        <f aca="false">IF(ISBLANK($C458),"",IF(I458=Constants!$B$2, TRUE(), IF(I458=Constants!$B$3, FALSE(), TRUE())))</f>
        <v/>
      </c>
      <c r="X458" s="66" t="str">
        <f aca="false">IF(ISBLANK($C458),"",IF(AND(ISNUMBER(J458),J458&gt;0),INT(J458),0))</f>
        <v/>
      </c>
      <c r="Y458" s="66" t="str">
        <f aca="false">IF(ISBLANK($C458),"",IF(K458=Constants!$B$2, TRUE(), IF(K458=Constants!$B$3, FALSE(), TRUE())))</f>
        <v/>
      </c>
      <c r="Z458" s="66" t="str">
        <f aca="false">IF(ISBLANK($C458),"",IF(AND(ISNUMBER(L458),L458&gt;0),INT(L458),0))</f>
        <v/>
      </c>
      <c r="AA458" s="68" t="str">
        <f aca="false">IF(ISBLANK($C458),"",IF(ISNUMBER(M458), M458, ""))</f>
        <v/>
      </c>
      <c r="AB458" s="68" t="str">
        <f aca="false">IF(ISBLANK($C458),"",IF(ISNUMBER(N458), N458, ""))</f>
        <v/>
      </c>
      <c r="AC458" s="68" t="str">
        <f aca="false">IF(ISBLANK($C458),"",IF(ISNUMBER(O458), O458, ""))</f>
        <v/>
      </c>
      <c r="AD458" s="69" t="str">
        <f aca="false">IF(ISBLANK($C458),"",IF(ISNUMBER(P458), P458, ""))</f>
        <v/>
      </c>
      <c r="AE458" s="69" t="str">
        <f aca="false">IF(ISBLANK($C458),"",IF(ISNUMBER(Q458), Q458, Constants!$B$13))</f>
        <v/>
      </c>
      <c r="AF458" s="66" t="str">
        <f aca="false">IF(ISBLANK($C458),"",IF(R458=Constants!$B$2, TRUE(), IF(R458=Constants!$B$3, FALSE(), FALSE())))</f>
        <v/>
      </c>
      <c r="AG458" s="66" t="str">
        <f aca="false">IF(ISBLANK(C458), "", IF(AF458, Constants!$B$4,IF(COUNTA(G458:P458)=0, Constants!$B$5, Constants!$B$7)))</f>
        <v/>
      </c>
      <c r="AH458" s="66" t="str">
        <f aca="false">IF(ISBLANK($C458), "",IF($AG458=Constants!$B$7,1,$AG458))</f>
        <v/>
      </c>
      <c r="AI458" s="66" t="str">
        <f aca="false">IF($AG458=Constants!$B$7,POWER(Constants!$B$11,X458)*POWER(Constants!$B$12,Z458),"")</f>
        <v/>
      </c>
      <c r="AJ458" s="66" t="str">
        <f aca="false">IF(AND($AG458=Constants!$B$7, U458, V458) ,IF(OR($AA458="",$AC458=""),"",MAX(0, $AC458-$AA458)),"")</f>
        <v/>
      </c>
      <c r="AK458" s="66" t="str">
        <f aca="false">IF(AND($AG458=Constants!$B$7, U458, V458),IF(OR($AA458="",$AC458=""),$AK$6,""),"")</f>
        <v/>
      </c>
      <c r="AL458" s="66" t="str">
        <f aca="false">IF($AG458=Constants!$B$7,IF(AND(U458,V458,W458,Y458),IF($AJ458="",0,IF($AJ$6=0,Constants!$B$9,Constants!$B$9*AJ458/$AJ$6)), 0),"")</f>
        <v/>
      </c>
      <c r="AM458" s="66" t="str">
        <f aca="false">IF(AL458&lt;&gt;"", AL458*AI458,"")</f>
        <v/>
      </c>
      <c r="AN458" s="66" t="str">
        <f aca="false">IF(AND($AG458=Constants!$B$7, U458, V458) ,IF($AB458="", "", IF(OR($AC458="",$AC458=0),"",MAX(0,1-ABS($AC458-$AB458)/$AC458))),"")</f>
        <v/>
      </c>
      <c r="AO458" s="66" t="str">
        <f aca="false">IF(AND($AG458=Constants!$B$7, U458, V458),IF(AND($AA458&lt;&gt;"",$AB458&lt;&gt;"",$AC458=0),$AO$6,""),"")</f>
        <v/>
      </c>
      <c r="AP458" s="66" t="str">
        <f aca="false">IF($AG458=Constants!$B$7 ,IF(AND(U458,V458,W458,Y458,ISNUMBER(AB458)),IF($AN458="",0,IF($AN$6=0,Constants!$B$10,Constants!$B$10*AN458/$AN$6)), 0),"")</f>
        <v/>
      </c>
      <c r="AQ458" s="66" t="str">
        <f aca="false">IF(AP458&lt;&gt;"", AP458*AI458,"")</f>
        <v/>
      </c>
      <c r="AR458" s="66" t="str">
        <f aca="false">IF($AG458=Constants!$B$7,IF($AD458="",0,IF($AR$6=0,Constants!$B$8,Constants!$B$8*AD458/$AR$6)),"")</f>
        <v/>
      </c>
      <c r="AS458" s="66" t="str">
        <f aca="false">IF($AG458&lt;&gt;Constants!$B$7,$AG458,IF(AK458&amp;AO458&lt;&gt;"",Constants!$B$14,AM458+AQ458+AR458))</f>
        <v/>
      </c>
      <c r="AT458" s="66" t="str">
        <f aca="false">IF(ISBLANK($C458),"",IF($AG458=Constants!$B$7,IF(ISNUMBER(AS458),RANK(AS458,$AS$8:$AS$507),Constants!$B$14),$AG458))</f>
        <v/>
      </c>
      <c r="AU458" s="66" t="str">
        <f aca="false">IF(ISBLANK($C458), "",AM458)</f>
        <v/>
      </c>
      <c r="AV458" s="66" t="str">
        <f aca="false">IF(ISBLANK($C458),"",IF($AG458=Constants!$B$7,RANK(AU458,AU$8:AU$507),$AG458))</f>
        <v/>
      </c>
      <c r="AW458" s="66" t="str">
        <f aca="false">IF(ISBLANK($C458), "",AR458)</f>
        <v/>
      </c>
      <c r="AX458" s="66" t="str">
        <f aca="false">IF(ISBLANK($C458),"",IF($AG458=Constants!$B$7,RANK(AW458,AW$8:AW$507),$AG458))</f>
        <v/>
      </c>
      <c r="AY458" s="66" t="str">
        <f aca="false">IF(ISBLANK($C458), "",AE458)</f>
        <v/>
      </c>
      <c r="AZ458" s="66" t="str">
        <f aca="false">IF(ISBLANK($C458),"",
IF($AG458=Constants!$B$7,
  IF(ISNUMBER(AT458),
    COUNTIFS($AT$8:$AT$507,"&lt;"&amp;$AT458)
    + COUNTIFS($AT$8:$AT$507,$AT458,$AV$8:$AV$507,"&lt;"&amp;$AV458)
    + COUNTIFS($AT$8:$AT$507,$AT458,$AV$8:$AV$507,$AV458,$AX$8:$AX$507,"&lt;"&amp;$AX458)
    + COUNTIFS($AT$8:$AT$507,$AT458,$AV$8:$AV$507,$AV458,$AX$8:$AX$507,$AX458,$AY$8:$AY$507,"&lt;"&amp;$AY458)
    + 1,
  Constants!$B$14),
$AG458))</f>
        <v/>
      </c>
      <c r="BA458" s="66" t="str">
        <f aca="false">IF(ISBLANK(C458),"",IF($AG458=Constants!$B$7, IF(ISNUMBER(AT458),AT458-AZ458,Constants!$B$14),$AG458))</f>
        <v/>
      </c>
      <c r="BB458" s="70"/>
      <c r="BC458" s="84" t="str">
        <f aca="false">IF(ISBLANK($C458),"",TRIM(AK458&amp;" "&amp;AO458))</f>
        <v/>
      </c>
      <c r="BD458" s="72" t="str">
        <f aca="false">IF(ISBLANK($C458),"",IF($AG458&lt;&gt;Constants!$B$7,$AG458,AR458))</f>
        <v/>
      </c>
      <c r="BE458" s="72" t="str">
        <f aca="false">IF(ISBLANK($C458),"",IF($AG458&lt;&gt;Constants!$B$7,$AG458,AM458))</f>
        <v/>
      </c>
      <c r="BF458" s="72" t="str">
        <f aca="false">IF(ISBLANK($C458),"",IF($AG458&lt;&gt;Constants!$B$7,$AG458,AQ458))</f>
        <v/>
      </c>
      <c r="BG458" s="73" t="str">
        <f aca="false">IF(ISBLANK($C458),"",IF($AG458&lt;&gt;Constants!$B$7, $AG458 ,AS458))</f>
        <v/>
      </c>
      <c r="BH458" s="74" t="str">
        <f aca="false">IF(ISBLANK($C458),"",IF($AG458&lt;&gt;Constants!$B$7, $AG458 ,AH458))</f>
        <v/>
      </c>
      <c r="BI458" s="72" t="str">
        <f aca="false">IF(ISBLANK(C458),"",BA458)</f>
        <v/>
      </c>
      <c r="BJ458" s="72" t="str">
        <f aca="false">IF(ISBLANK(C458),"",AZ458)</f>
        <v/>
      </c>
      <c r="BK458" s="75" t="str">
        <f aca="false">IF(ISBLANK(C458),"",IFERROR(_xlfn.SWITCH(BJ458, Constants!$B$4, COUNTA($C$8:$C957)+2, Constants!$B$5, COUNTA($C$8:$C957)+1, Constants!$B$6, COUNTA($C$8:$C957)),BJ458))</f>
        <v/>
      </c>
      <c r="BL458" s="5"/>
      <c r="BM458" s="76" t="n">
        <f aca="false">IF(OR(ISNUMBER(BJ458),BJ458="DQ",BJ458="P",BJ458="NS"),
    1,
    0
)</f>
        <v>0</v>
      </c>
      <c r="BN458" s="76" t="n">
        <v>451</v>
      </c>
      <c r="BO458" s="76" t="str">
        <f aca="false">IF(ISBLANK($C458),"",IF(ISNUMBER(BK458),BK458+ROW($B458)/1000,""))</f>
        <v/>
      </c>
      <c r="BP458" s="76" t="str">
        <f aca="false">IF(ISNUMBER(BO458), RANK(BO458,BO$8:BO$507,1), "")</f>
        <v/>
      </c>
      <c r="BQ458" s="76" t="str">
        <f aca="false">IF(ISBLANK($C458),
    "",
    $B458
)</f>
        <v/>
      </c>
      <c r="BR458" s="76" t="str">
        <f aca="false">IF(ISBLANK($C458),
    "",
    $C458
)</f>
        <v/>
      </c>
      <c r="BS458" s="76" t="str">
        <f aca="false">IF(ISBLANK($C458),
    "",
    $D458
)</f>
        <v/>
      </c>
      <c r="BT458" s="77" t="str">
        <f aca="false">BH458</f>
        <v/>
      </c>
      <c r="BU458" s="78" t="str">
        <f aca="false">BG458</f>
        <v/>
      </c>
      <c r="BV458" s="76" t="str">
        <f aca="false">IF(ISBLANK($C458),
    "",
    BJ458
)</f>
        <v/>
      </c>
      <c r="BW458" s="79" t="str">
        <f aca="false">IF(BN458&gt;BM$7,
    "",
    VLOOKUP(BN458,BP$8:BV957,7,FALSE())
)</f>
        <v/>
      </c>
      <c r="BX458" s="80" t="str">
        <f aca="false">IF(BN458&gt;BM$7,
    "",
    VLOOKUP(BN458,BP$8:BV957,2,FALSE())
)</f>
        <v/>
      </c>
      <c r="BY458" s="80" t="str">
        <f aca="false">IF(BN458&gt;BM$7,
    "",
    VLOOKUP(BN458,BP$8:BV957,3,FALSE())
)</f>
        <v/>
      </c>
      <c r="BZ458" s="80" t="str">
        <f aca="false">IF(BN458&gt;BM$7,
    "",
    VLOOKUP(BN458,BP$8:BV957,4,FALSE())
)</f>
        <v/>
      </c>
      <c r="CA458" s="80" t="str">
        <f aca="false">IF(BN458&gt;BM$7,
    "",
    VLOOKUP(BN458,BP$8:BV957,5,FALSE())
)</f>
        <v/>
      </c>
      <c r="CB458" s="81" t="str">
        <f aca="false">IF(BN458&gt;BM$7,
    "",
    VLOOKUP(BN458,BP$8:BV957,6,FALSE())
)</f>
        <v/>
      </c>
      <c r="CC458" s="53"/>
    </row>
    <row r="459" customFormat="false" ht="15.75" hidden="false" customHeight="false" outlineLevel="0" collapsed="false">
      <c r="A459" s="5"/>
      <c r="B459" s="129"/>
      <c r="C459" s="55"/>
      <c r="D459" s="56"/>
      <c r="E459" s="123"/>
      <c r="F459" s="123"/>
      <c r="G459" s="58"/>
      <c r="H459" s="59"/>
      <c r="I459" s="59"/>
      <c r="J459" s="83"/>
      <c r="K459" s="83"/>
      <c r="L459" s="83"/>
      <c r="M459" s="61"/>
      <c r="N459" s="61"/>
      <c r="O459" s="61"/>
      <c r="P459" s="62"/>
      <c r="Q459" s="63"/>
      <c r="R459" s="83"/>
      <c r="S459" s="65"/>
      <c r="T459" s="66"/>
      <c r="U459" s="66" t="str">
        <f aca="false">IF(ISBLANK($C459),"",IF(G459=Constants!$B$2, TRUE(), IF(G459=Constants!$B$3, FALSE(), TRUE())))</f>
        <v/>
      </c>
      <c r="V459" s="66" t="str">
        <f aca="false">IF(ISBLANK($C459),"",IF(H459=Constants!$B$2, TRUE(), IF(H459=Constants!$B$3, FALSE(), TRUE())))</f>
        <v/>
      </c>
      <c r="W459" s="66" t="str">
        <f aca="false">IF(ISBLANK($C459),"",IF(I459=Constants!$B$2, TRUE(), IF(I459=Constants!$B$3, FALSE(), TRUE())))</f>
        <v/>
      </c>
      <c r="X459" s="66" t="str">
        <f aca="false">IF(ISBLANK($C459),"",IF(AND(ISNUMBER(J459),J459&gt;0),INT(J459),0))</f>
        <v/>
      </c>
      <c r="Y459" s="66" t="str">
        <f aca="false">IF(ISBLANK($C459),"",IF(K459=Constants!$B$2, TRUE(), IF(K459=Constants!$B$3, FALSE(), TRUE())))</f>
        <v/>
      </c>
      <c r="Z459" s="66" t="str">
        <f aca="false">IF(ISBLANK($C459),"",IF(AND(ISNUMBER(L459),L459&gt;0),INT(L459),0))</f>
        <v/>
      </c>
      <c r="AA459" s="68" t="str">
        <f aca="false">IF(ISBLANK($C459),"",IF(ISNUMBER(M459), M459, ""))</f>
        <v/>
      </c>
      <c r="AB459" s="68" t="str">
        <f aca="false">IF(ISBLANK($C459),"",IF(ISNUMBER(N459), N459, ""))</f>
        <v/>
      </c>
      <c r="AC459" s="68" t="str">
        <f aca="false">IF(ISBLANK($C459),"",IF(ISNUMBER(O459), O459, ""))</f>
        <v/>
      </c>
      <c r="AD459" s="69" t="str">
        <f aca="false">IF(ISBLANK($C459),"",IF(ISNUMBER(P459), P459, ""))</f>
        <v/>
      </c>
      <c r="AE459" s="69" t="str">
        <f aca="false">IF(ISBLANK($C459),"",IF(ISNUMBER(Q459), Q459, Constants!$B$13))</f>
        <v/>
      </c>
      <c r="AF459" s="66" t="str">
        <f aca="false">IF(ISBLANK($C459),"",IF(R459=Constants!$B$2, TRUE(), IF(R459=Constants!$B$3, FALSE(), FALSE())))</f>
        <v/>
      </c>
      <c r="AG459" s="66" t="str">
        <f aca="false">IF(ISBLANK(C459), "", IF(AF459, Constants!$B$4,IF(COUNTA(G459:P459)=0, Constants!$B$5, Constants!$B$7)))</f>
        <v/>
      </c>
      <c r="AH459" s="66" t="str">
        <f aca="false">IF(ISBLANK($C459), "",IF($AG459=Constants!$B$7,1,$AG459))</f>
        <v/>
      </c>
      <c r="AI459" s="66" t="str">
        <f aca="false">IF($AG459=Constants!$B$7,POWER(Constants!$B$11,X459)*POWER(Constants!$B$12,Z459),"")</f>
        <v/>
      </c>
      <c r="AJ459" s="66" t="str">
        <f aca="false">IF(AND($AG459=Constants!$B$7, U459, V459) ,IF(OR($AA459="",$AC459=""),"",MAX(0, $AC459-$AA459)),"")</f>
        <v/>
      </c>
      <c r="AK459" s="66" t="str">
        <f aca="false">IF(AND($AG459=Constants!$B$7, U459, V459),IF(OR($AA459="",$AC459=""),$AK$6,""),"")</f>
        <v/>
      </c>
      <c r="AL459" s="66" t="str">
        <f aca="false">IF($AG459=Constants!$B$7,IF(AND(U459,V459,W459,Y459),IF($AJ459="",0,IF($AJ$6=0,Constants!$B$9,Constants!$B$9*AJ459/$AJ$6)), 0),"")</f>
        <v/>
      </c>
      <c r="AM459" s="66" t="str">
        <f aca="false">IF(AL459&lt;&gt;"", AL459*AI459,"")</f>
        <v/>
      </c>
      <c r="AN459" s="66" t="str">
        <f aca="false">IF(AND($AG459=Constants!$B$7, U459, V459) ,IF($AB459="", "", IF(OR($AC459="",$AC459=0),"",MAX(0,1-ABS($AC459-$AB459)/$AC459))),"")</f>
        <v/>
      </c>
      <c r="AO459" s="66" t="str">
        <f aca="false">IF(AND($AG459=Constants!$B$7, U459, V459),IF(AND($AA459&lt;&gt;"",$AB459&lt;&gt;"",$AC459=0),$AO$6,""),"")</f>
        <v/>
      </c>
      <c r="AP459" s="66" t="str">
        <f aca="false">IF($AG459=Constants!$B$7 ,IF(AND(U459,V459,W459,Y459,ISNUMBER(AB459)),IF($AN459="",0,IF($AN$6=0,Constants!$B$10,Constants!$B$10*AN459/$AN$6)), 0),"")</f>
        <v/>
      </c>
      <c r="AQ459" s="66" t="str">
        <f aca="false">IF(AP459&lt;&gt;"", AP459*AI459,"")</f>
        <v/>
      </c>
      <c r="AR459" s="66" t="str">
        <f aca="false">IF($AG459=Constants!$B$7,IF($AD459="",0,IF($AR$6=0,Constants!$B$8,Constants!$B$8*AD459/$AR$6)),"")</f>
        <v/>
      </c>
      <c r="AS459" s="66" t="str">
        <f aca="false">IF($AG459&lt;&gt;Constants!$B$7,$AG459,IF(AK459&amp;AO459&lt;&gt;"",Constants!$B$14,AM459+AQ459+AR459))</f>
        <v/>
      </c>
      <c r="AT459" s="66" t="str">
        <f aca="false">IF(ISBLANK($C459),"",IF($AG459=Constants!$B$7,IF(ISNUMBER(AS459),RANK(AS459,$AS$8:$AS$507),Constants!$B$14),$AG459))</f>
        <v/>
      </c>
      <c r="AU459" s="66" t="str">
        <f aca="false">IF(ISBLANK($C459), "",AM459)</f>
        <v/>
      </c>
      <c r="AV459" s="66" t="str">
        <f aca="false">IF(ISBLANK($C459),"",IF($AG459=Constants!$B$7,RANK(AU459,AU$8:AU$507),$AG459))</f>
        <v/>
      </c>
      <c r="AW459" s="66" t="str">
        <f aca="false">IF(ISBLANK($C459), "",AR459)</f>
        <v/>
      </c>
      <c r="AX459" s="66" t="str">
        <f aca="false">IF(ISBLANK($C459),"",IF($AG459=Constants!$B$7,RANK(AW459,AW$8:AW$507),$AG459))</f>
        <v/>
      </c>
      <c r="AY459" s="66" t="str">
        <f aca="false">IF(ISBLANK($C459), "",AE459)</f>
        <v/>
      </c>
      <c r="AZ459" s="66" t="str">
        <f aca="false">IF(ISBLANK($C459),"",
IF($AG459=Constants!$B$7,
  IF(ISNUMBER(AT459),
    COUNTIFS($AT$8:$AT$507,"&lt;"&amp;$AT459)
    + COUNTIFS($AT$8:$AT$507,$AT459,$AV$8:$AV$507,"&lt;"&amp;$AV459)
    + COUNTIFS($AT$8:$AT$507,$AT459,$AV$8:$AV$507,$AV459,$AX$8:$AX$507,"&lt;"&amp;$AX459)
    + COUNTIFS($AT$8:$AT$507,$AT459,$AV$8:$AV$507,$AV459,$AX$8:$AX$507,$AX459,$AY$8:$AY$507,"&lt;"&amp;$AY459)
    + 1,
  Constants!$B$14),
$AG459))</f>
        <v/>
      </c>
      <c r="BA459" s="66" t="str">
        <f aca="false">IF(ISBLANK(C459),"",IF($AG459=Constants!$B$7, IF(ISNUMBER(AT459),AT459-AZ459,Constants!$B$14),$AG459))</f>
        <v/>
      </c>
      <c r="BB459" s="70"/>
      <c r="BC459" s="84" t="str">
        <f aca="false">IF(ISBLANK($C459),"",TRIM(AK459&amp;" "&amp;AO459))</f>
        <v/>
      </c>
      <c r="BD459" s="72" t="str">
        <f aca="false">IF(ISBLANK($C459),"",IF($AG459&lt;&gt;Constants!$B$7,$AG459,AR459))</f>
        <v/>
      </c>
      <c r="BE459" s="72" t="str">
        <f aca="false">IF(ISBLANK($C459),"",IF($AG459&lt;&gt;Constants!$B$7,$AG459,AM459))</f>
        <v/>
      </c>
      <c r="BF459" s="72" t="str">
        <f aca="false">IF(ISBLANK($C459),"",IF($AG459&lt;&gt;Constants!$B$7,$AG459,AQ459))</f>
        <v/>
      </c>
      <c r="BG459" s="73" t="str">
        <f aca="false">IF(ISBLANK($C459),"",IF($AG459&lt;&gt;Constants!$B$7, $AG459 ,AS459))</f>
        <v/>
      </c>
      <c r="BH459" s="74" t="str">
        <f aca="false">IF(ISBLANK($C459),"",IF($AG459&lt;&gt;Constants!$B$7, $AG459 ,AH459))</f>
        <v/>
      </c>
      <c r="BI459" s="72" t="str">
        <f aca="false">IF(ISBLANK(C459),"",BA459)</f>
        <v/>
      </c>
      <c r="BJ459" s="72" t="str">
        <f aca="false">IF(ISBLANK(C459),"",AZ459)</f>
        <v/>
      </c>
      <c r="BK459" s="75" t="str">
        <f aca="false">IF(ISBLANK(C459),"",IFERROR(_xlfn.SWITCH(BJ459, Constants!$B$4, COUNTA($C$8:$C958)+2, Constants!$B$5, COUNTA($C$8:$C958)+1, Constants!$B$6, COUNTA($C$8:$C958)),BJ459))</f>
        <v/>
      </c>
      <c r="BL459" s="5"/>
      <c r="BM459" s="76" t="n">
        <f aca="false">IF(OR(ISNUMBER(BJ459),BJ459="DQ",BJ459="P",BJ459="NS"),
    1,
    0
)</f>
        <v>0</v>
      </c>
      <c r="BN459" s="76" t="n">
        <v>452</v>
      </c>
      <c r="BO459" s="76" t="str">
        <f aca="false">IF(ISBLANK($C459),"",IF(ISNUMBER(BK459),BK459+ROW($B459)/1000,""))</f>
        <v/>
      </c>
      <c r="BP459" s="76" t="str">
        <f aca="false">IF(ISNUMBER(BO459), RANK(BO459,BO$8:BO$507,1), "")</f>
        <v/>
      </c>
      <c r="BQ459" s="76" t="str">
        <f aca="false">IF(ISBLANK($C459),
    "",
    $B459
)</f>
        <v/>
      </c>
      <c r="BR459" s="76" t="str">
        <f aca="false">IF(ISBLANK($C459),
    "",
    $C459
)</f>
        <v/>
      </c>
      <c r="BS459" s="76" t="str">
        <f aca="false">IF(ISBLANK($C459),
    "",
    $D459
)</f>
        <v/>
      </c>
      <c r="BT459" s="77" t="str">
        <f aca="false">BH459</f>
        <v/>
      </c>
      <c r="BU459" s="78" t="str">
        <f aca="false">BG459</f>
        <v/>
      </c>
      <c r="BV459" s="76" t="str">
        <f aca="false">IF(ISBLANK($C459),
    "",
    BJ459
)</f>
        <v/>
      </c>
      <c r="BW459" s="79" t="str">
        <f aca="false">IF(BN459&gt;BM$7,
    "",
    VLOOKUP(BN459,BP$8:BV958,7,FALSE())
)</f>
        <v/>
      </c>
      <c r="BX459" s="80" t="str">
        <f aca="false">IF(BN459&gt;BM$7,
    "",
    VLOOKUP(BN459,BP$8:BV958,2,FALSE())
)</f>
        <v/>
      </c>
      <c r="BY459" s="80" t="str">
        <f aca="false">IF(BN459&gt;BM$7,
    "",
    VLOOKUP(BN459,BP$8:BV958,3,FALSE())
)</f>
        <v/>
      </c>
      <c r="BZ459" s="80" t="str">
        <f aca="false">IF(BN459&gt;BM$7,
    "",
    VLOOKUP(BN459,BP$8:BV958,4,FALSE())
)</f>
        <v/>
      </c>
      <c r="CA459" s="80" t="str">
        <f aca="false">IF(BN459&gt;BM$7,
    "",
    VLOOKUP(BN459,BP$8:BV958,5,FALSE())
)</f>
        <v/>
      </c>
      <c r="CB459" s="81" t="str">
        <f aca="false">IF(BN459&gt;BM$7,
    "",
    VLOOKUP(BN459,BP$8:BV958,6,FALSE())
)</f>
        <v/>
      </c>
      <c r="CC459" s="53"/>
    </row>
    <row r="460" customFormat="false" ht="15.75" hidden="false" customHeight="false" outlineLevel="0" collapsed="false">
      <c r="A460" s="5"/>
      <c r="B460" s="129"/>
      <c r="C460" s="55"/>
      <c r="D460" s="56"/>
      <c r="E460" s="123"/>
      <c r="F460" s="123"/>
      <c r="G460" s="58"/>
      <c r="H460" s="59"/>
      <c r="I460" s="59"/>
      <c r="J460" s="83"/>
      <c r="K460" s="83"/>
      <c r="L460" s="83"/>
      <c r="M460" s="61"/>
      <c r="N460" s="61"/>
      <c r="O460" s="61"/>
      <c r="P460" s="62"/>
      <c r="Q460" s="63"/>
      <c r="R460" s="83"/>
      <c r="S460" s="65"/>
      <c r="T460" s="66"/>
      <c r="U460" s="66" t="str">
        <f aca="false">IF(ISBLANK($C460),"",IF(G460=Constants!$B$2, TRUE(), IF(G460=Constants!$B$3, FALSE(), TRUE())))</f>
        <v/>
      </c>
      <c r="V460" s="66" t="str">
        <f aca="false">IF(ISBLANK($C460),"",IF(H460=Constants!$B$2, TRUE(), IF(H460=Constants!$B$3, FALSE(), TRUE())))</f>
        <v/>
      </c>
      <c r="W460" s="66" t="str">
        <f aca="false">IF(ISBLANK($C460),"",IF(I460=Constants!$B$2, TRUE(), IF(I460=Constants!$B$3, FALSE(), TRUE())))</f>
        <v/>
      </c>
      <c r="X460" s="66" t="str">
        <f aca="false">IF(ISBLANK($C460),"",IF(AND(ISNUMBER(J460),J460&gt;0),INT(J460),0))</f>
        <v/>
      </c>
      <c r="Y460" s="66" t="str">
        <f aca="false">IF(ISBLANK($C460),"",IF(K460=Constants!$B$2, TRUE(), IF(K460=Constants!$B$3, FALSE(), TRUE())))</f>
        <v/>
      </c>
      <c r="Z460" s="66" t="str">
        <f aca="false">IF(ISBLANK($C460),"",IF(AND(ISNUMBER(L460),L460&gt;0),INT(L460),0))</f>
        <v/>
      </c>
      <c r="AA460" s="68" t="str">
        <f aca="false">IF(ISBLANK($C460),"",IF(ISNUMBER(M460), M460, ""))</f>
        <v/>
      </c>
      <c r="AB460" s="68" t="str">
        <f aca="false">IF(ISBLANK($C460),"",IF(ISNUMBER(N460), N460, ""))</f>
        <v/>
      </c>
      <c r="AC460" s="68" t="str">
        <f aca="false">IF(ISBLANK($C460),"",IF(ISNUMBER(O460), O460, ""))</f>
        <v/>
      </c>
      <c r="AD460" s="69" t="str">
        <f aca="false">IF(ISBLANK($C460),"",IF(ISNUMBER(P460), P460, ""))</f>
        <v/>
      </c>
      <c r="AE460" s="69" t="str">
        <f aca="false">IF(ISBLANK($C460),"",IF(ISNUMBER(Q460), Q460, Constants!$B$13))</f>
        <v/>
      </c>
      <c r="AF460" s="66" t="str">
        <f aca="false">IF(ISBLANK($C460),"",IF(R460=Constants!$B$2, TRUE(), IF(R460=Constants!$B$3, FALSE(), FALSE())))</f>
        <v/>
      </c>
      <c r="AG460" s="66" t="str">
        <f aca="false">IF(ISBLANK(C460), "", IF(AF460, Constants!$B$4,IF(COUNTA(G460:P460)=0, Constants!$B$5, Constants!$B$7)))</f>
        <v/>
      </c>
      <c r="AH460" s="66" t="str">
        <f aca="false">IF(ISBLANK($C460), "",IF($AG460=Constants!$B$7,1,$AG460))</f>
        <v/>
      </c>
      <c r="AI460" s="66" t="str">
        <f aca="false">IF($AG460=Constants!$B$7,POWER(Constants!$B$11,X460)*POWER(Constants!$B$12,Z460),"")</f>
        <v/>
      </c>
      <c r="AJ460" s="66" t="str">
        <f aca="false">IF(AND($AG460=Constants!$B$7, U460, V460) ,IF(OR($AA460="",$AC460=""),"",MAX(0, $AC460-$AA460)),"")</f>
        <v/>
      </c>
      <c r="AK460" s="66" t="str">
        <f aca="false">IF(AND($AG460=Constants!$B$7, U460, V460),IF(OR($AA460="",$AC460=""),$AK$6,""),"")</f>
        <v/>
      </c>
      <c r="AL460" s="66" t="str">
        <f aca="false">IF($AG460=Constants!$B$7,IF(AND(U460,V460,W460,Y460),IF($AJ460="",0,IF($AJ$6=0,Constants!$B$9,Constants!$B$9*AJ460/$AJ$6)), 0),"")</f>
        <v/>
      </c>
      <c r="AM460" s="66" t="str">
        <f aca="false">IF(AL460&lt;&gt;"", AL460*AI460,"")</f>
        <v/>
      </c>
      <c r="AN460" s="66" t="str">
        <f aca="false">IF(AND($AG460=Constants!$B$7, U460, V460) ,IF($AB460="", "", IF(OR($AC460="",$AC460=0),"",MAX(0,1-ABS($AC460-$AB460)/$AC460))),"")</f>
        <v/>
      </c>
      <c r="AO460" s="66" t="str">
        <f aca="false">IF(AND($AG460=Constants!$B$7, U460, V460),IF(AND($AA460&lt;&gt;"",$AB460&lt;&gt;"",$AC460=0),$AO$6,""),"")</f>
        <v/>
      </c>
      <c r="AP460" s="66" t="str">
        <f aca="false">IF($AG460=Constants!$B$7 ,IF(AND(U460,V460,W460,Y460,ISNUMBER(AB460)),IF($AN460="",0,IF($AN$6=0,Constants!$B$10,Constants!$B$10*AN460/$AN$6)), 0),"")</f>
        <v/>
      </c>
      <c r="AQ460" s="66" t="str">
        <f aca="false">IF(AP460&lt;&gt;"", AP460*AI460,"")</f>
        <v/>
      </c>
      <c r="AR460" s="66" t="str">
        <f aca="false">IF($AG460=Constants!$B$7,IF($AD460="",0,IF($AR$6=0,Constants!$B$8,Constants!$B$8*AD460/$AR$6)),"")</f>
        <v/>
      </c>
      <c r="AS460" s="66" t="str">
        <f aca="false">IF($AG460&lt;&gt;Constants!$B$7,$AG460,IF(AK460&amp;AO460&lt;&gt;"",Constants!$B$14,AM460+AQ460+AR460))</f>
        <v/>
      </c>
      <c r="AT460" s="66" t="str">
        <f aca="false">IF(ISBLANK($C460),"",IF($AG460=Constants!$B$7,IF(ISNUMBER(AS460),RANK(AS460,$AS$8:$AS$507),Constants!$B$14),$AG460))</f>
        <v/>
      </c>
      <c r="AU460" s="66" t="str">
        <f aca="false">IF(ISBLANK($C460), "",AM460)</f>
        <v/>
      </c>
      <c r="AV460" s="66" t="str">
        <f aca="false">IF(ISBLANK($C460),"",IF($AG460=Constants!$B$7,RANK(AU460,AU$8:AU$507),$AG460))</f>
        <v/>
      </c>
      <c r="AW460" s="66" t="str">
        <f aca="false">IF(ISBLANK($C460), "",AR460)</f>
        <v/>
      </c>
      <c r="AX460" s="66" t="str">
        <f aca="false">IF(ISBLANK($C460),"",IF($AG460=Constants!$B$7,RANK(AW460,AW$8:AW$507),$AG460))</f>
        <v/>
      </c>
      <c r="AY460" s="66" t="str">
        <f aca="false">IF(ISBLANK($C460), "",AE460)</f>
        <v/>
      </c>
      <c r="AZ460" s="66" t="str">
        <f aca="false">IF(ISBLANK($C460),"",
IF($AG460=Constants!$B$7,
  IF(ISNUMBER(AT460),
    COUNTIFS($AT$8:$AT$507,"&lt;"&amp;$AT460)
    + COUNTIFS($AT$8:$AT$507,$AT460,$AV$8:$AV$507,"&lt;"&amp;$AV460)
    + COUNTIFS($AT$8:$AT$507,$AT460,$AV$8:$AV$507,$AV460,$AX$8:$AX$507,"&lt;"&amp;$AX460)
    + COUNTIFS($AT$8:$AT$507,$AT460,$AV$8:$AV$507,$AV460,$AX$8:$AX$507,$AX460,$AY$8:$AY$507,"&lt;"&amp;$AY460)
    + 1,
  Constants!$B$14),
$AG460))</f>
        <v/>
      </c>
      <c r="BA460" s="66" t="str">
        <f aca="false">IF(ISBLANK(C460),"",IF($AG460=Constants!$B$7, IF(ISNUMBER(AT460),AT460-AZ460,Constants!$B$14),$AG460))</f>
        <v/>
      </c>
      <c r="BB460" s="70"/>
      <c r="BC460" s="84" t="str">
        <f aca="false">IF(ISBLANK($C460),"",TRIM(AK460&amp;" "&amp;AO460))</f>
        <v/>
      </c>
      <c r="BD460" s="72" t="str">
        <f aca="false">IF(ISBLANK($C460),"",IF($AG460&lt;&gt;Constants!$B$7,$AG460,AR460))</f>
        <v/>
      </c>
      <c r="BE460" s="72" t="str">
        <f aca="false">IF(ISBLANK($C460),"",IF($AG460&lt;&gt;Constants!$B$7,$AG460,AM460))</f>
        <v/>
      </c>
      <c r="BF460" s="72" t="str">
        <f aca="false">IF(ISBLANK($C460),"",IF($AG460&lt;&gt;Constants!$B$7,$AG460,AQ460))</f>
        <v/>
      </c>
      <c r="BG460" s="73" t="str">
        <f aca="false">IF(ISBLANK($C460),"",IF($AG460&lt;&gt;Constants!$B$7, $AG460 ,AS460))</f>
        <v/>
      </c>
      <c r="BH460" s="74" t="str">
        <f aca="false">IF(ISBLANK($C460),"",IF($AG460&lt;&gt;Constants!$B$7, $AG460 ,AH460))</f>
        <v/>
      </c>
      <c r="BI460" s="72" t="str">
        <f aca="false">IF(ISBLANK(C460),"",BA460)</f>
        <v/>
      </c>
      <c r="BJ460" s="72" t="str">
        <f aca="false">IF(ISBLANK(C460),"",AZ460)</f>
        <v/>
      </c>
      <c r="BK460" s="75" t="str">
        <f aca="false">IF(ISBLANK(C460),"",IFERROR(_xlfn.SWITCH(BJ460, Constants!$B$4, COUNTA($C$8:$C959)+2, Constants!$B$5, COUNTA($C$8:$C959)+1, Constants!$B$6, COUNTA($C$8:$C959)),BJ460))</f>
        <v/>
      </c>
      <c r="BL460" s="5"/>
      <c r="BM460" s="76" t="n">
        <f aca="false">IF(OR(ISNUMBER(BJ460),BJ460="DQ",BJ460="P",BJ460="NS"),
    1,
    0
)</f>
        <v>0</v>
      </c>
      <c r="BN460" s="76" t="n">
        <v>453</v>
      </c>
      <c r="BO460" s="76" t="str">
        <f aca="false">IF(ISBLANK($C460),"",IF(ISNUMBER(BK460),BK460+ROW($B460)/1000,""))</f>
        <v/>
      </c>
      <c r="BP460" s="76" t="str">
        <f aca="false">IF(ISNUMBER(BO460), RANK(BO460,BO$8:BO$507,1), "")</f>
        <v/>
      </c>
      <c r="BQ460" s="76" t="str">
        <f aca="false">IF(ISBLANK($C460),
    "",
    $B460
)</f>
        <v/>
      </c>
      <c r="BR460" s="76" t="str">
        <f aca="false">IF(ISBLANK($C460),
    "",
    $C460
)</f>
        <v/>
      </c>
      <c r="BS460" s="76" t="str">
        <f aca="false">IF(ISBLANK($C460),
    "",
    $D460
)</f>
        <v/>
      </c>
      <c r="BT460" s="77" t="str">
        <f aca="false">BH460</f>
        <v/>
      </c>
      <c r="BU460" s="78" t="str">
        <f aca="false">BG460</f>
        <v/>
      </c>
      <c r="BV460" s="76" t="str">
        <f aca="false">IF(ISBLANK($C460),
    "",
    BJ460
)</f>
        <v/>
      </c>
      <c r="BW460" s="79" t="str">
        <f aca="false">IF(BN460&gt;BM$7,
    "",
    VLOOKUP(BN460,BP$8:BV959,7,FALSE())
)</f>
        <v/>
      </c>
      <c r="BX460" s="80" t="str">
        <f aca="false">IF(BN460&gt;BM$7,
    "",
    VLOOKUP(BN460,BP$8:BV959,2,FALSE())
)</f>
        <v/>
      </c>
      <c r="BY460" s="80" t="str">
        <f aca="false">IF(BN460&gt;BM$7,
    "",
    VLOOKUP(BN460,BP$8:BV959,3,FALSE())
)</f>
        <v/>
      </c>
      <c r="BZ460" s="80" t="str">
        <f aca="false">IF(BN460&gt;BM$7,
    "",
    VLOOKUP(BN460,BP$8:BV959,4,FALSE())
)</f>
        <v/>
      </c>
      <c r="CA460" s="80" t="str">
        <f aca="false">IF(BN460&gt;BM$7,
    "",
    VLOOKUP(BN460,BP$8:BV959,5,FALSE())
)</f>
        <v/>
      </c>
      <c r="CB460" s="81" t="str">
        <f aca="false">IF(BN460&gt;BM$7,
    "",
    VLOOKUP(BN460,BP$8:BV959,6,FALSE())
)</f>
        <v/>
      </c>
      <c r="CC460" s="53"/>
    </row>
    <row r="461" customFormat="false" ht="15.75" hidden="false" customHeight="false" outlineLevel="0" collapsed="false">
      <c r="A461" s="5"/>
      <c r="B461" s="125"/>
      <c r="C461" s="126"/>
      <c r="D461" s="115"/>
      <c r="E461" s="119"/>
      <c r="F461" s="119"/>
      <c r="G461" s="91"/>
      <c r="H461" s="92"/>
      <c r="I461" s="92"/>
      <c r="J461" s="128"/>
      <c r="K461" s="128"/>
      <c r="L461" s="128"/>
      <c r="M461" s="94"/>
      <c r="N461" s="94"/>
      <c r="O461" s="94"/>
      <c r="P461" s="95"/>
      <c r="Q461" s="96"/>
      <c r="R461" s="128"/>
      <c r="S461" s="98"/>
      <c r="T461" s="99"/>
      <c r="U461" s="99" t="str">
        <f aca="false">IF(ISBLANK($C461),"",IF(G461=Constants!$B$2, TRUE(), IF(G461=Constants!$B$3, FALSE(), TRUE())))</f>
        <v/>
      </c>
      <c r="V461" s="99" t="str">
        <f aca="false">IF(ISBLANK($C461),"",IF(H461=Constants!$B$2, TRUE(), IF(H461=Constants!$B$3, FALSE(), TRUE())))</f>
        <v/>
      </c>
      <c r="W461" s="99" t="str">
        <f aca="false">IF(ISBLANK($C461),"",IF(I461=Constants!$B$2, TRUE(), IF(I461=Constants!$B$3, FALSE(), TRUE())))</f>
        <v/>
      </c>
      <c r="X461" s="99" t="str">
        <f aca="false">IF(ISBLANK($C461),"",IF(AND(ISNUMBER(J461),J461&gt;0),INT(J461),0))</f>
        <v/>
      </c>
      <c r="Y461" s="99" t="str">
        <f aca="false">IF(ISBLANK($C461),"",IF(K461=Constants!$B$2, TRUE(), IF(K461=Constants!$B$3, FALSE(), TRUE())))</f>
        <v/>
      </c>
      <c r="Z461" s="100" t="str">
        <f aca="false">IF(ISBLANK($C461),"",IF(AND(ISNUMBER(L461),L461&gt;0),INT(L461),0))</f>
        <v/>
      </c>
      <c r="AA461" s="101" t="str">
        <f aca="false">IF(ISBLANK($C461),"",IF(ISNUMBER(M461), M461, ""))</f>
        <v/>
      </c>
      <c r="AB461" s="101" t="str">
        <f aca="false">IF(ISBLANK($C461),"",IF(ISNUMBER(N461), N461, ""))</f>
        <v/>
      </c>
      <c r="AC461" s="101" t="str">
        <f aca="false">IF(ISBLANK($C461),"",IF(ISNUMBER(O461), O461, ""))</f>
        <v/>
      </c>
      <c r="AD461" s="102" t="str">
        <f aca="false">IF(ISBLANK($C461),"",IF(ISNUMBER(P461), P461, ""))</f>
        <v/>
      </c>
      <c r="AE461" s="102" t="str">
        <f aca="false">IF(ISBLANK($C461),"",IF(ISNUMBER(Q461), Q461, Constants!$B$13))</f>
        <v/>
      </c>
      <c r="AF461" s="99" t="str">
        <f aca="false">IF(ISBLANK($C461),"",IF(R461=Constants!$B$2, TRUE(), IF(R461=Constants!$B$3, FALSE(), FALSE())))</f>
        <v/>
      </c>
      <c r="AG461" s="99" t="str">
        <f aca="false">IF(ISBLANK(C461), "", IF(AF461, Constants!$B$4,IF(COUNTA(G461:P461)=0, Constants!$B$5, Constants!$B$7)))</f>
        <v/>
      </c>
      <c r="AH461" s="99" t="str">
        <f aca="false">IF(ISBLANK($C461), "",IF($AG461=Constants!$B$7,1,$AG461))</f>
        <v/>
      </c>
      <c r="AI461" s="99" t="str">
        <f aca="false">IF($AG461=Constants!$B$7,POWER(Constants!$B$11,X461)*POWER(Constants!$B$12,Z461),"")</f>
        <v/>
      </c>
      <c r="AJ461" s="99" t="str">
        <f aca="false">IF(AND($AG461=Constants!$B$7, U461, V461) ,IF(OR($AA461="",$AC461=""),"",MAX(0, $AC461-$AA461)),"")</f>
        <v/>
      </c>
      <c r="AK461" s="99" t="str">
        <f aca="false">IF(AND($AG461=Constants!$B$7, U461, V461),IF(OR($AA461="",$AC461=""),$AK$6,""),"")</f>
        <v/>
      </c>
      <c r="AL461" s="99" t="str">
        <f aca="false">IF($AG461=Constants!$B$7,IF(AND(U461,V461,W461,Y461),IF($AJ461="",0,IF($AJ$6=0,Constants!$B$9,Constants!$B$9*AJ461/$AJ$6)), 0),"")</f>
        <v/>
      </c>
      <c r="AM461" s="99" t="str">
        <f aca="false">IF(AL461&lt;&gt;"", AL461*AI461,"")</f>
        <v/>
      </c>
      <c r="AN461" s="99" t="str">
        <f aca="false">IF(AND($AG461=Constants!$B$7, U461, V461) ,IF($AB461="", "", IF(OR($AC461="",$AC461=0),"",MAX(0,1-ABS($AC461-$AB461)/$AC461))),"")</f>
        <v/>
      </c>
      <c r="AO461" s="99" t="str">
        <f aca="false">IF(AND($AG461=Constants!$B$7, U461, V461),IF(AND($AA461&lt;&gt;"",$AB461&lt;&gt;"",$AC461=0),$AO$6,""),"")</f>
        <v/>
      </c>
      <c r="AP461" s="99" t="str">
        <f aca="false">IF($AG461=Constants!$B$7 ,IF(AND(U461,V461,W461,Y461,ISNUMBER(AB461)),IF($AN461="",0,IF($AN$6=0,Constants!$B$10,Constants!$B$10*AN461/$AN$6)), 0),"")</f>
        <v/>
      </c>
      <c r="AQ461" s="99" t="str">
        <f aca="false">IF(AP461&lt;&gt;"", AP461*AI461,"")</f>
        <v/>
      </c>
      <c r="AR461" s="99" t="str">
        <f aca="false">IF($AG461=Constants!$B$7,IF($AD461="",0,IF($AR$6=0,Constants!$B$8,Constants!$B$8*AD461/$AR$6)),"")</f>
        <v/>
      </c>
      <c r="AS461" s="99" t="str">
        <f aca="false">IF($AG461&lt;&gt;Constants!$B$7,$AG461,IF(AK461&amp;AO461&lt;&gt;"",Constants!$B$14,AM461+AQ461+AR461))</f>
        <v/>
      </c>
      <c r="AT461" s="99" t="str">
        <f aca="false">IF(ISBLANK($C461),"",IF($AG461=Constants!$B$7,IF(ISNUMBER(AS461),RANK(AS461,$AS$8:$AS$507),Constants!$B$14),$AG461))</f>
        <v/>
      </c>
      <c r="AU461" s="99" t="str">
        <f aca="false">IF(ISBLANK($C461), "",AM461)</f>
        <v/>
      </c>
      <c r="AV461" s="99" t="str">
        <f aca="false">IF(ISBLANK($C461),"",IF($AG461=Constants!$B$7,RANK(AU461,AU$8:AU$507),$AG461))</f>
        <v/>
      </c>
      <c r="AW461" s="99" t="str">
        <f aca="false">IF(ISBLANK($C461), "",AR461)</f>
        <v/>
      </c>
      <c r="AX461" s="99" t="str">
        <f aca="false">IF(ISBLANK($C461),"",IF($AG461=Constants!$B$7,RANK(AW461,AW$8:AW$507),$AG461))</f>
        <v/>
      </c>
      <c r="AY461" s="99" t="str">
        <f aca="false">IF(ISBLANK($C461), "",AE461)</f>
        <v/>
      </c>
      <c r="AZ461" s="99" t="str">
        <f aca="false">IF(ISBLANK($C461),"",
IF($AG461=Constants!$B$7,
  IF(ISNUMBER(AT461),
    COUNTIFS($AT$8:$AT$507,"&lt;"&amp;$AT461)
    + COUNTIFS($AT$8:$AT$507,$AT461,$AV$8:$AV$507,"&lt;"&amp;$AV461)
    + COUNTIFS($AT$8:$AT$507,$AT461,$AV$8:$AV$507,$AV461,$AX$8:$AX$507,"&lt;"&amp;$AX461)
    + COUNTIFS($AT$8:$AT$507,$AT461,$AV$8:$AV$507,$AV461,$AX$8:$AX$507,$AX461,$AY$8:$AY$507,"&lt;"&amp;$AY461)
    + 1,
  Constants!$B$14),
$AG461))</f>
        <v/>
      </c>
      <c r="BA461" s="99" t="str">
        <f aca="false">IF(ISBLANK(C461),"",IF($AG461=Constants!$B$7, IF(ISNUMBER(AT461),AT461-AZ461,Constants!$B$14),$AG461))</f>
        <v/>
      </c>
      <c r="BB461" s="103"/>
      <c r="BC461" s="104" t="str">
        <f aca="false">IF(ISBLANK($C461),"",TRIM(AK461&amp;" "&amp;AO461))</f>
        <v/>
      </c>
      <c r="BD461" s="105" t="str">
        <f aca="false">IF(ISBLANK($C461),"",IF($AG461&lt;&gt;Constants!$B$7,$AG461,AR461))</f>
        <v/>
      </c>
      <c r="BE461" s="105" t="str">
        <f aca="false">IF(ISBLANK($C461),"",IF($AG461&lt;&gt;Constants!$B$7,$AG461,AM461))</f>
        <v/>
      </c>
      <c r="BF461" s="105" t="str">
        <f aca="false">IF(ISBLANK($C461),"",IF($AG461&lt;&gt;Constants!$B$7,$AG461,AQ461))</f>
        <v/>
      </c>
      <c r="BG461" s="106" t="str">
        <f aca="false">IF(ISBLANK($C461),"",IF($AG461&lt;&gt;Constants!$B$7, $AG461 ,AS461))</f>
        <v/>
      </c>
      <c r="BH461" s="107" t="str">
        <f aca="false">IF(ISBLANK($C461),"",IF($AG461&lt;&gt;Constants!$B$7, $AG461 ,AH461))</f>
        <v/>
      </c>
      <c r="BI461" s="105" t="str">
        <f aca="false">IF(ISBLANK(C461),"",BA461)</f>
        <v/>
      </c>
      <c r="BJ461" s="105" t="str">
        <f aca="false">IF(ISBLANK(C461),"",AZ461)</f>
        <v/>
      </c>
      <c r="BK461" s="108" t="str">
        <f aca="false">IF(ISBLANK(C461),"",IFERROR(_xlfn.SWITCH(BJ461, Constants!$B$4, COUNTA($C$8:$C960)+2, Constants!$B$5, COUNTA($C$8:$C960)+1, Constants!$B$6, COUNTA($C$8:$C960)),BJ461))</f>
        <v/>
      </c>
      <c r="BL461" s="5"/>
      <c r="BM461" s="109" t="n">
        <f aca="false">IF(OR(ISNUMBER(BJ461),BJ461="DQ",BJ461="P",BJ461="NS"),
    1,
    0
)</f>
        <v>0</v>
      </c>
      <c r="BN461" s="109" t="n">
        <v>454</v>
      </c>
      <c r="BO461" s="109" t="str">
        <f aca="false">IF(ISBLANK($C461),"",IF(ISNUMBER(BK461),BK461+ROW($B461)/1000,""))</f>
        <v/>
      </c>
      <c r="BP461" s="109" t="str">
        <f aca="false">IF(ISNUMBER(BO461), RANK(BO461,BO$8:BO$507,1), "")</f>
        <v/>
      </c>
      <c r="BQ461" s="109" t="str">
        <f aca="false">IF(ISBLANK($C461),
    "",
    $B461
)</f>
        <v/>
      </c>
      <c r="BR461" s="109" t="str">
        <f aca="false">IF(ISBLANK($C461),
    "",
    $C461
)</f>
        <v/>
      </c>
      <c r="BS461" s="109" t="str">
        <f aca="false">IF(ISBLANK($C461),
    "",
    $D461
)</f>
        <v/>
      </c>
      <c r="BT461" s="110" t="str">
        <f aca="false">BH461</f>
        <v/>
      </c>
      <c r="BU461" s="111" t="str">
        <f aca="false">BG461</f>
        <v/>
      </c>
      <c r="BV461" s="109" t="str">
        <f aca="false">IF(ISBLANK($C461),
    "",
    BJ461
)</f>
        <v/>
      </c>
      <c r="BW461" s="112" t="str">
        <f aca="false">IF(BN461&gt;BM$7,
    "",
    VLOOKUP(BN461,BP$8:BV960,7,FALSE())
)</f>
        <v/>
      </c>
      <c r="BX461" s="113" t="str">
        <f aca="false">IF(BN461&gt;BM$7,
    "",
    VLOOKUP(BN461,BP$8:BV960,2,FALSE())
)</f>
        <v/>
      </c>
      <c r="BY461" s="113" t="str">
        <f aca="false">IF(BN461&gt;BM$7,
    "",
    VLOOKUP(BN461,BP$8:BV960,3,FALSE())
)</f>
        <v/>
      </c>
      <c r="BZ461" s="113" t="str">
        <f aca="false">IF(BN461&gt;BM$7,
    "",
    VLOOKUP(BN461,BP$8:BV960,4,FALSE())
)</f>
        <v/>
      </c>
      <c r="CA461" s="113" t="str">
        <f aca="false">IF(BN461&gt;BM$7,
    "",
    VLOOKUP(BN461,BP$8:BV960,5,FALSE())
)</f>
        <v/>
      </c>
      <c r="CB461" s="114" t="str">
        <f aca="false">IF(BN461&gt;BM$7,
    "",
    VLOOKUP(BN461,BP$8:BV960,6,FALSE())
)</f>
        <v/>
      </c>
      <c r="CC461" s="53"/>
    </row>
    <row r="462" customFormat="false" ht="15.75" hidden="false" customHeight="false" outlineLevel="0" collapsed="false">
      <c r="A462" s="5"/>
      <c r="B462" s="125"/>
      <c r="C462" s="126"/>
      <c r="D462" s="115"/>
      <c r="E462" s="119"/>
      <c r="F462" s="119"/>
      <c r="G462" s="91"/>
      <c r="H462" s="92"/>
      <c r="I462" s="92"/>
      <c r="J462" s="128"/>
      <c r="K462" s="128"/>
      <c r="L462" s="128"/>
      <c r="M462" s="94"/>
      <c r="N462" s="94"/>
      <c r="O462" s="94"/>
      <c r="P462" s="95"/>
      <c r="Q462" s="96"/>
      <c r="R462" s="128"/>
      <c r="S462" s="98"/>
      <c r="T462" s="99"/>
      <c r="U462" s="99" t="str">
        <f aca="false">IF(ISBLANK($C462),"",IF(G462=Constants!$B$2, TRUE(), IF(G462=Constants!$B$3, FALSE(), TRUE())))</f>
        <v/>
      </c>
      <c r="V462" s="99" t="str">
        <f aca="false">IF(ISBLANK($C462),"",IF(H462=Constants!$B$2, TRUE(), IF(H462=Constants!$B$3, FALSE(), TRUE())))</f>
        <v/>
      </c>
      <c r="W462" s="99" t="str">
        <f aca="false">IF(ISBLANK($C462),"",IF(I462=Constants!$B$2, TRUE(), IF(I462=Constants!$B$3, FALSE(), TRUE())))</f>
        <v/>
      </c>
      <c r="X462" s="99" t="str">
        <f aca="false">IF(ISBLANK($C462),"",IF(AND(ISNUMBER(J462),J462&gt;0),INT(J462),0))</f>
        <v/>
      </c>
      <c r="Y462" s="99" t="str">
        <f aca="false">IF(ISBLANK($C462),"",IF(K462=Constants!$B$2, TRUE(), IF(K462=Constants!$B$3, FALSE(), TRUE())))</f>
        <v/>
      </c>
      <c r="Z462" s="100" t="str">
        <f aca="false">IF(ISBLANK($C462),"",IF(AND(ISNUMBER(L462),L462&gt;0),INT(L462),0))</f>
        <v/>
      </c>
      <c r="AA462" s="101" t="str">
        <f aca="false">IF(ISBLANK($C462),"",IF(ISNUMBER(M462), M462, ""))</f>
        <v/>
      </c>
      <c r="AB462" s="101" t="str">
        <f aca="false">IF(ISBLANK($C462),"",IF(ISNUMBER(N462), N462, ""))</f>
        <v/>
      </c>
      <c r="AC462" s="101" t="str">
        <f aca="false">IF(ISBLANK($C462),"",IF(ISNUMBER(O462), O462, ""))</f>
        <v/>
      </c>
      <c r="AD462" s="102" t="str">
        <f aca="false">IF(ISBLANK($C462),"",IF(ISNUMBER(P462), P462, ""))</f>
        <v/>
      </c>
      <c r="AE462" s="102" t="str">
        <f aca="false">IF(ISBLANK($C462),"",IF(ISNUMBER(Q462), Q462, Constants!$B$13))</f>
        <v/>
      </c>
      <c r="AF462" s="99" t="str">
        <f aca="false">IF(ISBLANK($C462),"",IF(R462=Constants!$B$2, TRUE(), IF(R462=Constants!$B$3, FALSE(), FALSE())))</f>
        <v/>
      </c>
      <c r="AG462" s="99" t="str">
        <f aca="false">IF(ISBLANK(C462), "", IF(AF462, Constants!$B$4,IF(COUNTA(G462:P462)=0, Constants!$B$5, Constants!$B$7)))</f>
        <v/>
      </c>
      <c r="AH462" s="99" t="str">
        <f aca="false">IF(ISBLANK($C462), "",IF($AG462=Constants!$B$7,1,$AG462))</f>
        <v/>
      </c>
      <c r="AI462" s="99" t="str">
        <f aca="false">IF($AG462=Constants!$B$7,POWER(Constants!$B$11,X462)*POWER(Constants!$B$12,Z462),"")</f>
        <v/>
      </c>
      <c r="AJ462" s="99" t="str">
        <f aca="false">IF(AND($AG462=Constants!$B$7, U462, V462) ,IF(OR($AA462="",$AC462=""),"",MAX(0, $AC462-$AA462)),"")</f>
        <v/>
      </c>
      <c r="AK462" s="99" t="str">
        <f aca="false">IF(AND($AG462=Constants!$B$7, U462, V462),IF(OR($AA462="",$AC462=""),$AK$6,""),"")</f>
        <v/>
      </c>
      <c r="AL462" s="99" t="str">
        <f aca="false">IF($AG462=Constants!$B$7,IF(AND(U462,V462,W462,Y462),IF($AJ462="",0,IF($AJ$6=0,Constants!$B$9,Constants!$B$9*AJ462/$AJ$6)), 0),"")</f>
        <v/>
      </c>
      <c r="AM462" s="99" t="str">
        <f aca="false">IF(AL462&lt;&gt;"", AL462*AI462,"")</f>
        <v/>
      </c>
      <c r="AN462" s="99" t="str">
        <f aca="false">IF(AND($AG462=Constants!$B$7, U462, V462) ,IF($AB462="", "", IF(OR($AC462="",$AC462=0),"",MAX(0,1-ABS($AC462-$AB462)/$AC462))),"")</f>
        <v/>
      </c>
      <c r="AO462" s="99" t="str">
        <f aca="false">IF(AND($AG462=Constants!$B$7, U462, V462),IF(AND($AA462&lt;&gt;"",$AB462&lt;&gt;"",$AC462=0),$AO$6,""),"")</f>
        <v/>
      </c>
      <c r="AP462" s="99" t="str">
        <f aca="false">IF($AG462=Constants!$B$7 ,IF(AND(U462,V462,W462,Y462,ISNUMBER(AB462)),IF($AN462="",0,IF($AN$6=0,Constants!$B$10,Constants!$B$10*AN462/$AN$6)), 0),"")</f>
        <v/>
      </c>
      <c r="AQ462" s="99" t="str">
        <f aca="false">IF(AP462&lt;&gt;"", AP462*AI462,"")</f>
        <v/>
      </c>
      <c r="AR462" s="99" t="str">
        <f aca="false">IF($AG462=Constants!$B$7,IF($AD462="",0,IF($AR$6=0,Constants!$B$8,Constants!$B$8*AD462/$AR$6)),"")</f>
        <v/>
      </c>
      <c r="AS462" s="99" t="str">
        <f aca="false">IF($AG462&lt;&gt;Constants!$B$7,$AG462,IF(AK462&amp;AO462&lt;&gt;"",Constants!$B$14,AM462+AQ462+AR462))</f>
        <v/>
      </c>
      <c r="AT462" s="99" t="str">
        <f aca="false">IF(ISBLANK($C462),"",IF($AG462=Constants!$B$7,IF(ISNUMBER(AS462),RANK(AS462,$AS$8:$AS$507),Constants!$B$14),$AG462))</f>
        <v/>
      </c>
      <c r="AU462" s="99" t="str">
        <f aca="false">IF(ISBLANK($C462), "",AM462)</f>
        <v/>
      </c>
      <c r="AV462" s="99" t="str">
        <f aca="false">IF(ISBLANK($C462),"",IF($AG462=Constants!$B$7,RANK(AU462,AU$8:AU$507),$AG462))</f>
        <v/>
      </c>
      <c r="AW462" s="99" t="str">
        <f aca="false">IF(ISBLANK($C462), "",AR462)</f>
        <v/>
      </c>
      <c r="AX462" s="99" t="str">
        <f aca="false">IF(ISBLANK($C462),"",IF($AG462=Constants!$B$7,RANK(AW462,AW$8:AW$507),$AG462))</f>
        <v/>
      </c>
      <c r="AY462" s="99" t="str">
        <f aca="false">IF(ISBLANK($C462), "",AE462)</f>
        <v/>
      </c>
      <c r="AZ462" s="99" t="str">
        <f aca="false">IF(ISBLANK($C462),"",
IF($AG462=Constants!$B$7,
  IF(ISNUMBER(AT462),
    COUNTIFS($AT$8:$AT$507,"&lt;"&amp;$AT462)
    + COUNTIFS($AT$8:$AT$507,$AT462,$AV$8:$AV$507,"&lt;"&amp;$AV462)
    + COUNTIFS($AT$8:$AT$507,$AT462,$AV$8:$AV$507,$AV462,$AX$8:$AX$507,"&lt;"&amp;$AX462)
    + COUNTIFS($AT$8:$AT$507,$AT462,$AV$8:$AV$507,$AV462,$AX$8:$AX$507,$AX462,$AY$8:$AY$507,"&lt;"&amp;$AY462)
    + 1,
  Constants!$B$14),
$AG462))</f>
        <v/>
      </c>
      <c r="BA462" s="99" t="str">
        <f aca="false">IF(ISBLANK(C462),"",IF($AG462=Constants!$B$7, IF(ISNUMBER(AT462),AT462-AZ462,Constants!$B$14),$AG462))</f>
        <v/>
      </c>
      <c r="BB462" s="103"/>
      <c r="BC462" s="104" t="str">
        <f aca="false">IF(ISBLANK($C462),"",TRIM(AK462&amp;" "&amp;AO462))</f>
        <v/>
      </c>
      <c r="BD462" s="105" t="str">
        <f aca="false">IF(ISBLANK($C462),"",IF($AG462&lt;&gt;Constants!$B$7,$AG462,AR462))</f>
        <v/>
      </c>
      <c r="BE462" s="105" t="str">
        <f aca="false">IF(ISBLANK($C462),"",IF($AG462&lt;&gt;Constants!$B$7,$AG462,AM462))</f>
        <v/>
      </c>
      <c r="BF462" s="105" t="str">
        <f aca="false">IF(ISBLANK($C462),"",IF($AG462&lt;&gt;Constants!$B$7,$AG462,AQ462))</f>
        <v/>
      </c>
      <c r="BG462" s="106" t="str">
        <f aca="false">IF(ISBLANK($C462),"",IF($AG462&lt;&gt;Constants!$B$7, $AG462 ,AS462))</f>
        <v/>
      </c>
      <c r="BH462" s="107" t="str">
        <f aca="false">IF(ISBLANK($C462),"",IF($AG462&lt;&gt;Constants!$B$7, $AG462 ,AH462))</f>
        <v/>
      </c>
      <c r="BI462" s="105" t="str">
        <f aca="false">IF(ISBLANK(C462),"",BA462)</f>
        <v/>
      </c>
      <c r="BJ462" s="105" t="str">
        <f aca="false">IF(ISBLANK(C462),"",AZ462)</f>
        <v/>
      </c>
      <c r="BK462" s="108" t="str">
        <f aca="false">IF(ISBLANK(C462),"",IFERROR(_xlfn.SWITCH(BJ462, Constants!$B$4, COUNTA($C$8:$C961)+2, Constants!$B$5, COUNTA($C$8:$C961)+1, Constants!$B$6, COUNTA($C$8:$C961)),BJ462))</f>
        <v/>
      </c>
      <c r="BL462" s="5"/>
      <c r="BM462" s="109" t="n">
        <f aca="false">IF(OR(ISNUMBER(BJ462),BJ462="DQ",BJ462="P",BJ462="NS"),
    1,
    0
)</f>
        <v>0</v>
      </c>
      <c r="BN462" s="109" t="n">
        <v>455</v>
      </c>
      <c r="BO462" s="109" t="str">
        <f aca="false">IF(ISBLANK($C462),"",IF(ISNUMBER(BK462),BK462+ROW($B462)/1000,""))</f>
        <v/>
      </c>
      <c r="BP462" s="109" t="str">
        <f aca="false">IF(ISNUMBER(BO462), RANK(BO462,BO$8:BO$507,1), "")</f>
        <v/>
      </c>
      <c r="BQ462" s="109" t="str">
        <f aca="false">IF(ISBLANK($C462),
    "",
    $B462
)</f>
        <v/>
      </c>
      <c r="BR462" s="109" t="str">
        <f aca="false">IF(ISBLANK($C462),
    "",
    $C462
)</f>
        <v/>
      </c>
      <c r="BS462" s="109" t="str">
        <f aca="false">IF(ISBLANK($C462),
    "",
    $D462
)</f>
        <v/>
      </c>
      <c r="BT462" s="110" t="str">
        <f aca="false">BH462</f>
        <v/>
      </c>
      <c r="BU462" s="111" t="str">
        <f aca="false">BG462</f>
        <v/>
      </c>
      <c r="BV462" s="109" t="str">
        <f aca="false">IF(ISBLANK($C462),
    "",
    BJ462
)</f>
        <v/>
      </c>
      <c r="BW462" s="112" t="str">
        <f aca="false">IF(BN462&gt;BM$7,
    "",
    VLOOKUP(BN462,BP$8:BV961,7,FALSE())
)</f>
        <v/>
      </c>
      <c r="BX462" s="113" t="str">
        <f aca="false">IF(BN462&gt;BM$7,
    "",
    VLOOKUP(BN462,BP$8:BV961,2,FALSE())
)</f>
        <v/>
      </c>
      <c r="BY462" s="113" t="str">
        <f aca="false">IF(BN462&gt;BM$7,
    "",
    VLOOKUP(BN462,BP$8:BV961,3,FALSE())
)</f>
        <v/>
      </c>
      <c r="BZ462" s="113" t="str">
        <f aca="false">IF(BN462&gt;BM$7,
    "",
    VLOOKUP(BN462,BP$8:BV961,4,FALSE())
)</f>
        <v/>
      </c>
      <c r="CA462" s="113" t="str">
        <f aca="false">IF(BN462&gt;BM$7,
    "",
    VLOOKUP(BN462,BP$8:BV961,5,FALSE())
)</f>
        <v/>
      </c>
      <c r="CB462" s="114" t="str">
        <f aca="false">IF(BN462&gt;BM$7,
    "",
    VLOOKUP(BN462,BP$8:BV961,6,FALSE())
)</f>
        <v/>
      </c>
      <c r="CC462" s="53"/>
    </row>
    <row r="463" customFormat="false" ht="15.75" hidden="false" customHeight="false" outlineLevel="0" collapsed="false">
      <c r="A463" s="5"/>
      <c r="B463" s="125"/>
      <c r="C463" s="126"/>
      <c r="D463" s="115"/>
      <c r="E463" s="119"/>
      <c r="F463" s="119"/>
      <c r="G463" s="91"/>
      <c r="H463" s="92"/>
      <c r="I463" s="92"/>
      <c r="J463" s="128"/>
      <c r="K463" s="128"/>
      <c r="L463" s="128"/>
      <c r="M463" s="94"/>
      <c r="N463" s="94"/>
      <c r="O463" s="94"/>
      <c r="P463" s="95"/>
      <c r="Q463" s="96"/>
      <c r="R463" s="128"/>
      <c r="S463" s="98"/>
      <c r="T463" s="99"/>
      <c r="U463" s="99" t="str">
        <f aca="false">IF(ISBLANK($C463),"",IF(G463=Constants!$B$2, TRUE(), IF(G463=Constants!$B$3, FALSE(), TRUE())))</f>
        <v/>
      </c>
      <c r="V463" s="99" t="str">
        <f aca="false">IF(ISBLANK($C463),"",IF(H463=Constants!$B$2, TRUE(), IF(H463=Constants!$B$3, FALSE(), TRUE())))</f>
        <v/>
      </c>
      <c r="W463" s="99" t="str">
        <f aca="false">IF(ISBLANK($C463),"",IF(I463=Constants!$B$2, TRUE(), IF(I463=Constants!$B$3, FALSE(), TRUE())))</f>
        <v/>
      </c>
      <c r="X463" s="99" t="str">
        <f aca="false">IF(ISBLANK($C463),"",IF(AND(ISNUMBER(J463),J463&gt;0),INT(J463),0))</f>
        <v/>
      </c>
      <c r="Y463" s="99" t="str">
        <f aca="false">IF(ISBLANK($C463),"",IF(K463=Constants!$B$2, TRUE(), IF(K463=Constants!$B$3, FALSE(), TRUE())))</f>
        <v/>
      </c>
      <c r="Z463" s="100" t="str">
        <f aca="false">IF(ISBLANK($C463),"",IF(AND(ISNUMBER(L463),L463&gt;0),INT(L463),0))</f>
        <v/>
      </c>
      <c r="AA463" s="101" t="str">
        <f aca="false">IF(ISBLANK($C463),"",IF(ISNUMBER(M463), M463, ""))</f>
        <v/>
      </c>
      <c r="AB463" s="101" t="str">
        <f aca="false">IF(ISBLANK($C463),"",IF(ISNUMBER(N463), N463, ""))</f>
        <v/>
      </c>
      <c r="AC463" s="101" t="str">
        <f aca="false">IF(ISBLANK($C463),"",IF(ISNUMBER(O463), O463, ""))</f>
        <v/>
      </c>
      <c r="AD463" s="102" t="str">
        <f aca="false">IF(ISBLANK($C463),"",IF(ISNUMBER(P463), P463, ""))</f>
        <v/>
      </c>
      <c r="AE463" s="102" t="str">
        <f aca="false">IF(ISBLANK($C463),"",IF(ISNUMBER(Q463), Q463, Constants!$B$13))</f>
        <v/>
      </c>
      <c r="AF463" s="99" t="str">
        <f aca="false">IF(ISBLANK($C463),"",IF(R463=Constants!$B$2, TRUE(), IF(R463=Constants!$B$3, FALSE(), FALSE())))</f>
        <v/>
      </c>
      <c r="AG463" s="99" t="str">
        <f aca="false">IF(ISBLANK(C463), "", IF(AF463, Constants!$B$4,IF(COUNTA(G463:P463)=0, Constants!$B$5, Constants!$B$7)))</f>
        <v/>
      </c>
      <c r="AH463" s="99" t="str">
        <f aca="false">IF(ISBLANK($C463), "",IF($AG463=Constants!$B$7,1,$AG463))</f>
        <v/>
      </c>
      <c r="AI463" s="99" t="str">
        <f aca="false">IF($AG463=Constants!$B$7,POWER(Constants!$B$11,X463)*POWER(Constants!$B$12,Z463),"")</f>
        <v/>
      </c>
      <c r="AJ463" s="99" t="str">
        <f aca="false">IF(AND($AG463=Constants!$B$7, U463, V463) ,IF(OR($AA463="",$AC463=""),"",MAX(0, $AC463-$AA463)),"")</f>
        <v/>
      </c>
      <c r="AK463" s="99" t="str">
        <f aca="false">IF(AND($AG463=Constants!$B$7, U463, V463),IF(OR($AA463="",$AC463=""),$AK$6,""),"")</f>
        <v/>
      </c>
      <c r="AL463" s="99" t="str">
        <f aca="false">IF($AG463=Constants!$B$7,IF(AND(U463,V463,W463,Y463),IF($AJ463="",0,IF($AJ$6=0,Constants!$B$9,Constants!$B$9*AJ463/$AJ$6)), 0),"")</f>
        <v/>
      </c>
      <c r="AM463" s="99" t="str">
        <f aca="false">IF(AL463&lt;&gt;"", AL463*AI463,"")</f>
        <v/>
      </c>
      <c r="AN463" s="99" t="str">
        <f aca="false">IF(AND($AG463=Constants!$B$7, U463, V463) ,IF($AB463="", "", IF(OR($AC463="",$AC463=0),"",MAX(0,1-ABS($AC463-$AB463)/$AC463))),"")</f>
        <v/>
      </c>
      <c r="AO463" s="99" t="str">
        <f aca="false">IF(AND($AG463=Constants!$B$7, U463, V463),IF(AND($AA463&lt;&gt;"",$AB463&lt;&gt;"",$AC463=0),$AO$6,""),"")</f>
        <v/>
      </c>
      <c r="AP463" s="99" t="str">
        <f aca="false">IF($AG463=Constants!$B$7 ,IF(AND(U463,V463,W463,Y463,ISNUMBER(AB463)),IF($AN463="",0,IF($AN$6=0,Constants!$B$10,Constants!$B$10*AN463/$AN$6)), 0),"")</f>
        <v/>
      </c>
      <c r="AQ463" s="99" t="str">
        <f aca="false">IF(AP463&lt;&gt;"", AP463*AI463,"")</f>
        <v/>
      </c>
      <c r="AR463" s="99" t="str">
        <f aca="false">IF($AG463=Constants!$B$7,IF($AD463="",0,IF($AR$6=0,Constants!$B$8,Constants!$B$8*AD463/$AR$6)),"")</f>
        <v/>
      </c>
      <c r="AS463" s="99" t="str">
        <f aca="false">IF($AG463&lt;&gt;Constants!$B$7,$AG463,IF(AK463&amp;AO463&lt;&gt;"",Constants!$B$14,AM463+AQ463+AR463))</f>
        <v/>
      </c>
      <c r="AT463" s="99" t="str">
        <f aca="false">IF(ISBLANK($C463),"",IF($AG463=Constants!$B$7,IF(ISNUMBER(AS463),RANK(AS463,$AS$8:$AS$507),Constants!$B$14),$AG463))</f>
        <v/>
      </c>
      <c r="AU463" s="99" t="str">
        <f aca="false">IF(ISBLANK($C463), "",AM463)</f>
        <v/>
      </c>
      <c r="AV463" s="99" t="str">
        <f aca="false">IF(ISBLANK($C463),"",IF($AG463=Constants!$B$7,RANK(AU463,AU$8:AU$507),$AG463))</f>
        <v/>
      </c>
      <c r="AW463" s="99" t="str">
        <f aca="false">IF(ISBLANK($C463), "",AR463)</f>
        <v/>
      </c>
      <c r="AX463" s="99" t="str">
        <f aca="false">IF(ISBLANK($C463),"",IF($AG463=Constants!$B$7,RANK(AW463,AW$8:AW$507),$AG463))</f>
        <v/>
      </c>
      <c r="AY463" s="99" t="str">
        <f aca="false">IF(ISBLANK($C463), "",AE463)</f>
        <v/>
      </c>
      <c r="AZ463" s="99" t="str">
        <f aca="false">IF(ISBLANK($C463),"",
IF($AG463=Constants!$B$7,
  IF(ISNUMBER(AT463),
    COUNTIFS($AT$8:$AT$507,"&lt;"&amp;$AT463)
    + COUNTIFS($AT$8:$AT$507,$AT463,$AV$8:$AV$507,"&lt;"&amp;$AV463)
    + COUNTIFS($AT$8:$AT$507,$AT463,$AV$8:$AV$507,$AV463,$AX$8:$AX$507,"&lt;"&amp;$AX463)
    + COUNTIFS($AT$8:$AT$507,$AT463,$AV$8:$AV$507,$AV463,$AX$8:$AX$507,$AX463,$AY$8:$AY$507,"&lt;"&amp;$AY463)
    + 1,
  Constants!$B$14),
$AG463))</f>
        <v/>
      </c>
      <c r="BA463" s="99" t="str">
        <f aca="false">IF(ISBLANK(C463),"",IF($AG463=Constants!$B$7, IF(ISNUMBER(AT463),AT463-AZ463,Constants!$B$14),$AG463))</f>
        <v/>
      </c>
      <c r="BB463" s="103"/>
      <c r="BC463" s="104" t="str">
        <f aca="false">IF(ISBLANK($C463),"",TRIM(AK463&amp;" "&amp;AO463))</f>
        <v/>
      </c>
      <c r="BD463" s="105" t="str">
        <f aca="false">IF(ISBLANK($C463),"",IF($AG463&lt;&gt;Constants!$B$7,$AG463,AR463))</f>
        <v/>
      </c>
      <c r="BE463" s="105" t="str">
        <f aca="false">IF(ISBLANK($C463),"",IF($AG463&lt;&gt;Constants!$B$7,$AG463,AM463))</f>
        <v/>
      </c>
      <c r="BF463" s="105" t="str">
        <f aca="false">IF(ISBLANK($C463),"",IF($AG463&lt;&gt;Constants!$B$7,$AG463,AQ463))</f>
        <v/>
      </c>
      <c r="BG463" s="106" t="str">
        <f aca="false">IF(ISBLANK($C463),"",IF($AG463&lt;&gt;Constants!$B$7, $AG463 ,AS463))</f>
        <v/>
      </c>
      <c r="BH463" s="107" t="str">
        <f aca="false">IF(ISBLANK($C463),"",IF($AG463&lt;&gt;Constants!$B$7, $AG463 ,AH463))</f>
        <v/>
      </c>
      <c r="BI463" s="105" t="str">
        <f aca="false">IF(ISBLANK(C463),"",BA463)</f>
        <v/>
      </c>
      <c r="BJ463" s="105" t="str">
        <f aca="false">IF(ISBLANK(C463),"",AZ463)</f>
        <v/>
      </c>
      <c r="BK463" s="108" t="str">
        <f aca="false">IF(ISBLANK(C463),"",IFERROR(_xlfn.SWITCH(BJ463, Constants!$B$4, COUNTA($C$8:$C962)+2, Constants!$B$5, COUNTA($C$8:$C962)+1, Constants!$B$6, COUNTA($C$8:$C962)),BJ463))</f>
        <v/>
      </c>
      <c r="BL463" s="5"/>
      <c r="BM463" s="109" t="n">
        <f aca="false">IF(OR(ISNUMBER(BJ463),BJ463="DQ",BJ463="P",BJ463="NS"),
    1,
    0
)</f>
        <v>0</v>
      </c>
      <c r="BN463" s="109" t="n">
        <v>456</v>
      </c>
      <c r="BO463" s="109" t="str">
        <f aca="false">IF(ISBLANK($C463),"",IF(ISNUMBER(BK463),BK463+ROW($B463)/1000,""))</f>
        <v/>
      </c>
      <c r="BP463" s="109" t="str">
        <f aca="false">IF(ISNUMBER(BO463), RANK(BO463,BO$8:BO$507,1), "")</f>
        <v/>
      </c>
      <c r="BQ463" s="109" t="str">
        <f aca="false">IF(ISBLANK($C463),
    "",
    $B463
)</f>
        <v/>
      </c>
      <c r="BR463" s="109" t="str">
        <f aca="false">IF(ISBLANK($C463),
    "",
    $C463
)</f>
        <v/>
      </c>
      <c r="BS463" s="109" t="str">
        <f aca="false">IF(ISBLANK($C463),
    "",
    $D463
)</f>
        <v/>
      </c>
      <c r="BT463" s="110" t="str">
        <f aca="false">BH463</f>
        <v/>
      </c>
      <c r="BU463" s="111" t="str">
        <f aca="false">BG463</f>
        <v/>
      </c>
      <c r="BV463" s="109" t="str">
        <f aca="false">IF(ISBLANK($C463),
    "",
    BJ463
)</f>
        <v/>
      </c>
      <c r="BW463" s="112" t="str">
        <f aca="false">IF(BN463&gt;BM$7,
    "",
    VLOOKUP(BN463,BP$8:BV962,7,FALSE())
)</f>
        <v/>
      </c>
      <c r="BX463" s="113" t="str">
        <f aca="false">IF(BN463&gt;BM$7,
    "",
    VLOOKUP(BN463,BP$8:BV962,2,FALSE())
)</f>
        <v/>
      </c>
      <c r="BY463" s="113" t="str">
        <f aca="false">IF(BN463&gt;BM$7,
    "",
    VLOOKUP(BN463,BP$8:BV962,3,FALSE())
)</f>
        <v/>
      </c>
      <c r="BZ463" s="113" t="str">
        <f aca="false">IF(BN463&gt;BM$7,
    "",
    VLOOKUP(BN463,BP$8:BV962,4,FALSE())
)</f>
        <v/>
      </c>
      <c r="CA463" s="113" t="str">
        <f aca="false">IF(BN463&gt;BM$7,
    "",
    VLOOKUP(BN463,BP$8:BV962,5,FALSE())
)</f>
        <v/>
      </c>
      <c r="CB463" s="114" t="str">
        <f aca="false">IF(BN463&gt;BM$7,
    "",
    VLOOKUP(BN463,BP$8:BV962,6,FALSE())
)</f>
        <v/>
      </c>
      <c r="CC463" s="53"/>
    </row>
    <row r="464" customFormat="false" ht="15.75" hidden="false" customHeight="false" outlineLevel="0" collapsed="false">
      <c r="A464" s="5"/>
      <c r="B464" s="129"/>
      <c r="C464" s="55"/>
      <c r="D464" s="56"/>
      <c r="E464" s="123"/>
      <c r="F464" s="123"/>
      <c r="G464" s="58"/>
      <c r="H464" s="59"/>
      <c r="I464" s="59"/>
      <c r="J464" s="83"/>
      <c r="K464" s="83"/>
      <c r="L464" s="83"/>
      <c r="M464" s="61"/>
      <c r="N464" s="61"/>
      <c r="O464" s="61"/>
      <c r="P464" s="62"/>
      <c r="Q464" s="63"/>
      <c r="R464" s="83"/>
      <c r="S464" s="65"/>
      <c r="T464" s="66"/>
      <c r="U464" s="66" t="str">
        <f aca="false">IF(ISBLANK($C464),"",IF(G464=Constants!$B$2, TRUE(), IF(G464=Constants!$B$3, FALSE(), TRUE())))</f>
        <v/>
      </c>
      <c r="V464" s="66" t="str">
        <f aca="false">IF(ISBLANK($C464),"",IF(H464=Constants!$B$2, TRUE(), IF(H464=Constants!$B$3, FALSE(), TRUE())))</f>
        <v/>
      </c>
      <c r="W464" s="66" t="str">
        <f aca="false">IF(ISBLANK($C464),"",IF(I464=Constants!$B$2, TRUE(), IF(I464=Constants!$B$3, FALSE(), TRUE())))</f>
        <v/>
      </c>
      <c r="X464" s="66" t="str">
        <f aca="false">IF(ISBLANK($C464),"",IF(AND(ISNUMBER(J464),J464&gt;0),INT(J464),0))</f>
        <v/>
      </c>
      <c r="Y464" s="66" t="str">
        <f aca="false">IF(ISBLANK($C464),"",IF(K464=Constants!$B$2, TRUE(), IF(K464=Constants!$B$3, FALSE(), TRUE())))</f>
        <v/>
      </c>
      <c r="Z464" s="66" t="str">
        <f aca="false">IF(ISBLANK($C464),"",IF(AND(ISNUMBER(L464),L464&gt;0),INT(L464),0))</f>
        <v/>
      </c>
      <c r="AA464" s="68" t="str">
        <f aca="false">IF(ISBLANK($C464),"",IF(ISNUMBER(M464), M464, ""))</f>
        <v/>
      </c>
      <c r="AB464" s="68" t="str">
        <f aca="false">IF(ISBLANK($C464),"",IF(ISNUMBER(N464), N464, ""))</f>
        <v/>
      </c>
      <c r="AC464" s="68" t="str">
        <f aca="false">IF(ISBLANK($C464),"",IF(ISNUMBER(O464), O464, ""))</f>
        <v/>
      </c>
      <c r="AD464" s="69" t="str">
        <f aca="false">IF(ISBLANK($C464),"",IF(ISNUMBER(P464), P464, ""))</f>
        <v/>
      </c>
      <c r="AE464" s="69" t="str">
        <f aca="false">IF(ISBLANK($C464),"",IF(ISNUMBER(Q464), Q464, Constants!$B$13))</f>
        <v/>
      </c>
      <c r="AF464" s="66" t="str">
        <f aca="false">IF(ISBLANK($C464),"",IF(R464=Constants!$B$2, TRUE(), IF(R464=Constants!$B$3, FALSE(), FALSE())))</f>
        <v/>
      </c>
      <c r="AG464" s="66" t="str">
        <f aca="false">IF(ISBLANK(C464), "", IF(AF464, Constants!$B$4,IF(COUNTA(G464:P464)=0, Constants!$B$5, Constants!$B$7)))</f>
        <v/>
      </c>
      <c r="AH464" s="66" t="str">
        <f aca="false">IF(ISBLANK($C464), "",IF($AG464=Constants!$B$7,1,$AG464))</f>
        <v/>
      </c>
      <c r="AI464" s="66" t="str">
        <f aca="false">IF($AG464=Constants!$B$7,POWER(Constants!$B$11,X464)*POWER(Constants!$B$12,Z464),"")</f>
        <v/>
      </c>
      <c r="AJ464" s="66" t="str">
        <f aca="false">IF(AND($AG464=Constants!$B$7, U464, V464) ,IF(OR($AA464="",$AC464=""),"",MAX(0, $AC464-$AA464)),"")</f>
        <v/>
      </c>
      <c r="AK464" s="66" t="str">
        <f aca="false">IF(AND($AG464=Constants!$B$7, U464, V464),IF(OR($AA464="",$AC464=""),$AK$6,""),"")</f>
        <v/>
      </c>
      <c r="AL464" s="66" t="str">
        <f aca="false">IF($AG464=Constants!$B$7,IF(AND(U464,V464,W464,Y464),IF($AJ464="",0,IF($AJ$6=0,Constants!$B$9,Constants!$B$9*AJ464/$AJ$6)), 0),"")</f>
        <v/>
      </c>
      <c r="AM464" s="66" t="str">
        <f aca="false">IF(AL464&lt;&gt;"", AL464*AI464,"")</f>
        <v/>
      </c>
      <c r="AN464" s="66" t="str">
        <f aca="false">IF(AND($AG464=Constants!$B$7, U464, V464) ,IF($AB464="", "", IF(OR($AC464="",$AC464=0),"",MAX(0,1-ABS($AC464-$AB464)/$AC464))),"")</f>
        <v/>
      </c>
      <c r="AO464" s="66" t="str">
        <f aca="false">IF(AND($AG464=Constants!$B$7, U464, V464),IF(AND($AA464&lt;&gt;"",$AB464&lt;&gt;"",$AC464=0),$AO$6,""),"")</f>
        <v/>
      </c>
      <c r="AP464" s="66" t="str">
        <f aca="false">IF($AG464=Constants!$B$7 ,IF(AND(U464,V464,W464,Y464,ISNUMBER(AB464)),IF($AN464="",0,IF($AN$6=0,Constants!$B$10,Constants!$B$10*AN464/$AN$6)), 0),"")</f>
        <v/>
      </c>
      <c r="AQ464" s="66" t="str">
        <f aca="false">IF(AP464&lt;&gt;"", AP464*AI464,"")</f>
        <v/>
      </c>
      <c r="AR464" s="66" t="str">
        <f aca="false">IF($AG464=Constants!$B$7,IF($AD464="",0,IF($AR$6=0,Constants!$B$8,Constants!$B$8*AD464/$AR$6)),"")</f>
        <v/>
      </c>
      <c r="AS464" s="66" t="str">
        <f aca="false">IF($AG464&lt;&gt;Constants!$B$7,$AG464,IF(AK464&amp;AO464&lt;&gt;"",Constants!$B$14,AM464+AQ464+AR464))</f>
        <v/>
      </c>
      <c r="AT464" s="66" t="str">
        <f aca="false">IF(ISBLANK($C464),"",IF($AG464=Constants!$B$7,IF(ISNUMBER(AS464),RANK(AS464,$AS$8:$AS$507),Constants!$B$14),$AG464))</f>
        <v/>
      </c>
      <c r="AU464" s="66" t="str">
        <f aca="false">IF(ISBLANK($C464), "",AM464)</f>
        <v/>
      </c>
      <c r="AV464" s="66" t="str">
        <f aca="false">IF(ISBLANK($C464),"",IF($AG464=Constants!$B$7,RANK(AU464,AU$8:AU$507),$AG464))</f>
        <v/>
      </c>
      <c r="AW464" s="66" t="str">
        <f aca="false">IF(ISBLANK($C464), "",AR464)</f>
        <v/>
      </c>
      <c r="AX464" s="66" t="str">
        <f aca="false">IF(ISBLANK($C464),"",IF($AG464=Constants!$B$7,RANK(AW464,AW$8:AW$507),$AG464))</f>
        <v/>
      </c>
      <c r="AY464" s="66" t="str">
        <f aca="false">IF(ISBLANK($C464), "",AE464)</f>
        <v/>
      </c>
      <c r="AZ464" s="66" t="str">
        <f aca="false">IF(ISBLANK($C464),"",
IF($AG464=Constants!$B$7,
  IF(ISNUMBER(AT464),
    COUNTIFS($AT$8:$AT$507,"&lt;"&amp;$AT464)
    + COUNTIFS($AT$8:$AT$507,$AT464,$AV$8:$AV$507,"&lt;"&amp;$AV464)
    + COUNTIFS($AT$8:$AT$507,$AT464,$AV$8:$AV$507,$AV464,$AX$8:$AX$507,"&lt;"&amp;$AX464)
    + COUNTIFS($AT$8:$AT$507,$AT464,$AV$8:$AV$507,$AV464,$AX$8:$AX$507,$AX464,$AY$8:$AY$507,"&lt;"&amp;$AY464)
    + 1,
  Constants!$B$14),
$AG464))</f>
        <v/>
      </c>
      <c r="BA464" s="66" t="str">
        <f aca="false">IF(ISBLANK(C464),"",IF($AG464=Constants!$B$7, IF(ISNUMBER(AT464),AT464-AZ464,Constants!$B$14),$AG464))</f>
        <v/>
      </c>
      <c r="BB464" s="70"/>
      <c r="BC464" s="84" t="str">
        <f aca="false">IF(ISBLANK($C464),"",TRIM(AK464&amp;" "&amp;AO464))</f>
        <v/>
      </c>
      <c r="BD464" s="72" t="str">
        <f aca="false">IF(ISBLANK($C464),"",IF($AG464&lt;&gt;Constants!$B$7,$AG464,AR464))</f>
        <v/>
      </c>
      <c r="BE464" s="72" t="str">
        <f aca="false">IF(ISBLANK($C464),"",IF($AG464&lt;&gt;Constants!$B$7,$AG464,AM464))</f>
        <v/>
      </c>
      <c r="BF464" s="72" t="str">
        <f aca="false">IF(ISBLANK($C464),"",IF($AG464&lt;&gt;Constants!$B$7,$AG464,AQ464))</f>
        <v/>
      </c>
      <c r="BG464" s="73" t="str">
        <f aca="false">IF(ISBLANK($C464),"",IF($AG464&lt;&gt;Constants!$B$7, $AG464 ,AS464))</f>
        <v/>
      </c>
      <c r="BH464" s="74" t="str">
        <f aca="false">IF(ISBLANK($C464),"",IF($AG464&lt;&gt;Constants!$B$7, $AG464 ,AH464))</f>
        <v/>
      </c>
      <c r="BI464" s="72" t="str">
        <f aca="false">IF(ISBLANK(C464),"",BA464)</f>
        <v/>
      </c>
      <c r="BJ464" s="72" t="str">
        <f aca="false">IF(ISBLANK(C464),"",AZ464)</f>
        <v/>
      </c>
      <c r="BK464" s="75" t="str">
        <f aca="false">IF(ISBLANK(C464),"",IFERROR(_xlfn.SWITCH(BJ464, Constants!$B$4, COUNTA($C$8:$C963)+2, Constants!$B$5, COUNTA($C$8:$C963)+1, Constants!$B$6, COUNTA($C$8:$C963)),BJ464))</f>
        <v/>
      </c>
      <c r="BL464" s="5"/>
      <c r="BM464" s="76" t="n">
        <f aca="false">IF(OR(ISNUMBER(BJ464),BJ464="DQ",BJ464="P",BJ464="NS"),
    1,
    0
)</f>
        <v>0</v>
      </c>
      <c r="BN464" s="76" t="n">
        <v>457</v>
      </c>
      <c r="BO464" s="76" t="str">
        <f aca="false">IF(ISBLANK($C464),"",IF(ISNUMBER(BK464),BK464+ROW($B464)/1000,""))</f>
        <v/>
      </c>
      <c r="BP464" s="76" t="str">
        <f aca="false">IF(ISNUMBER(BO464), RANK(BO464,BO$8:BO$507,1), "")</f>
        <v/>
      </c>
      <c r="BQ464" s="76" t="str">
        <f aca="false">IF(ISBLANK($C464),
    "",
    $B464
)</f>
        <v/>
      </c>
      <c r="BR464" s="76" t="str">
        <f aca="false">IF(ISBLANK($C464),
    "",
    $C464
)</f>
        <v/>
      </c>
      <c r="BS464" s="76" t="str">
        <f aca="false">IF(ISBLANK($C464),
    "",
    $D464
)</f>
        <v/>
      </c>
      <c r="BT464" s="77" t="str">
        <f aca="false">BH464</f>
        <v/>
      </c>
      <c r="BU464" s="78" t="str">
        <f aca="false">BG464</f>
        <v/>
      </c>
      <c r="BV464" s="76" t="str">
        <f aca="false">IF(ISBLANK($C464),
    "",
    BJ464
)</f>
        <v/>
      </c>
      <c r="BW464" s="79" t="str">
        <f aca="false">IF(BN464&gt;BM$7,
    "",
    VLOOKUP(BN464,BP$8:BV963,7,FALSE())
)</f>
        <v/>
      </c>
      <c r="BX464" s="80" t="str">
        <f aca="false">IF(BN464&gt;BM$7,
    "",
    VLOOKUP(BN464,BP$8:BV963,2,FALSE())
)</f>
        <v/>
      </c>
      <c r="BY464" s="80" t="str">
        <f aca="false">IF(BN464&gt;BM$7,
    "",
    VLOOKUP(BN464,BP$8:BV963,3,FALSE())
)</f>
        <v/>
      </c>
      <c r="BZ464" s="80" t="str">
        <f aca="false">IF(BN464&gt;BM$7,
    "",
    VLOOKUP(BN464,BP$8:BV963,4,FALSE())
)</f>
        <v/>
      </c>
      <c r="CA464" s="80" t="str">
        <f aca="false">IF(BN464&gt;BM$7,
    "",
    VLOOKUP(BN464,BP$8:BV963,5,FALSE())
)</f>
        <v/>
      </c>
      <c r="CB464" s="81" t="str">
        <f aca="false">IF(BN464&gt;BM$7,
    "",
    VLOOKUP(BN464,BP$8:BV963,6,FALSE())
)</f>
        <v/>
      </c>
      <c r="CC464" s="53"/>
    </row>
    <row r="465" customFormat="false" ht="15.75" hidden="false" customHeight="false" outlineLevel="0" collapsed="false">
      <c r="A465" s="5"/>
      <c r="B465" s="129"/>
      <c r="C465" s="55"/>
      <c r="D465" s="56"/>
      <c r="E465" s="123"/>
      <c r="F465" s="123"/>
      <c r="G465" s="58"/>
      <c r="H465" s="59"/>
      <c r="I465" s="59"/>
      <c r="J465" s="83"/>
      <c r="K465" s="83"/>
      <c r="L465" s="83"/>
      <c r="M465" s="61"/>
      <c r="N465" s="61"/>
      <c r="O465" s="61"/>
      <c r="P465" s="62"/>
      <c r="Q465" s="63"/>
      <c r="R465" s="83"/>
      <c r="S465" s="65"/>
      <c r="T465" s="66"/>
      <c r="U465" s="66" t="str">
        <f aca="false">IF(ISBLANK($C465),"",IF(G465=Constants!$B$2, TRUE(), IF(G465=Constants!$B$3, FALSE(), TRUE())))</f>
        <v/>
      </c>
      <c r="V465" s="66" t="str">
        <f aca="false">IF(ISBLANK($C465),"",IF(H465=Constants!$B$2, TRUE(), IF(H465=Constants!$B$3, FALSE(), TRUE())))</f>
        <v/>
      </c>
      <c r="W465" s="66" t="str">
        <f aca="false">IF(ISBLANK($C465),"",IF(I465=Constants!$B$2, TRUE(), IF(I465=Constants!$B$3, FALSE(), TRUE())))</f>
        <v/>
      </c>
      <c r="X465" s="66" t="str">
        <f aca="false">IF(ISBLANK($C465),"",IF(AND(ISNUMBER(J465),J465&gt;0),INT(J465),0))</f>
        <v/>
      </c>
      <c r="Y465" s="66" t="str">
        <f aca="false">IF(ISBLANK($C465),"",IF(K465=Constants!$B$2, TRUE(), IF(K465=Constants!$B$3, FALSE(), TRUE())))</f>
        <v/>
      </c>
      <c r="Z465" s="66" t="str">
        <f aca="false">IF(ISBLANK($C465),"",IF(AND(ISNUMBER(L465),L465&gt;0),INT(L465),0))</f>
        <v/>
      </c>
      <c r="AA465" s="68" t="str">
        <f aca="false">IF(ISBLANK($C465),"",IF(ISNUMBER(M465), M465, ""))</f>
        <v/>
      </c>
      <c r="AB465" s="68" t="str">
        <f aca="false">IF(ISBLANK($C465),"",IF(ISNUMBER(N465), N465, ""))</f>
        <v/>
      </c>
      <c r="AC465" s="68" t="str">
        <f aca="false">IF(ISBLANK($C465),"",IF(ISNUMBER(O465), O465, ""))</f>
        <v/>
      </c>
      <c r="AD465" s="69" t="str">
        <f aca="false">IF(ISBLANK($C465),"",IF(ISNUMBER(P465), P465, ""))</f>
        <v/>
      </c>
      <c r="AE465" s="69" t="str">
        <f aca="false">IF(ISBLANK($C465),"",IF(ISNUMBER(Q465), Q465, Constants!$B$13))</f>
        <v/>
      </c>
      <c r="AF465" s="66" t="str">
        <f aca="false">IF(ISBLANK($C465),"",IF(R465=Constants!$B$2, TRUE(), IF(R465=Constants!$B$3, FALSE(), FALSE())))</f>
        <v/>
      </c>
      <c r="AG465" s="66" t="str">
        <f aca="false">IF(ISBLANK(C465), "", IF(AF465, Constants!$B$4,IF(COUNTA(G465:P465)=0, Constants!$B$5, Constants!$B$7)))</f>
        <v/>
      </c>
      <c r="AH465" s="66" t="str">
        <f aca="false">IF(ISBLANK($C465), "",IF($AG465=Constants!$B$7,1,$AG465))</f>
        <v/>
      </c>
      <c r="AI465" s="66" t="str">
        <f aca="false">IF($AG465=Constants!$B$7,POWER(Constants!$B$11,X465)*POWER(Constants!$B$12,Z465),"")</f>
        <v/>
      </c>
      <c r="AJ465" s="66" t="str">
        <f aca="false">IF(AND($AG465=Constants!$B$7, U465, V465) ,IF(OR($AA465="",$AC465=""),"",MAX(0, $AC465-$AA465)),"")</f>
        <v/>
      </c>
      <c r="AK465" s="66" t="str">
        <f aca="false">IF(AND($AG465=Constants!$B$7, U465, V465),IF(OR($AA465="",$AC465=""),$AK$6,""),"")</f>
        <v/>
      </c>
      <c r="AL465" s="66" t="str">
        <f aca="false">IF($AG465=Constants!$B$7,IF(AND(U465,V465,W465,Y465),IF($AJ465="",0,IF($AJ$6=0,Constants!$B$9,Constants!$B$9*AJ465/$AJ$6)), 0),"")</f>
        <v/>
      </c>
      <c r="AM465" s="66" t="str">
        <f aca="false">IF(AL465&lt;&gt;"", AL465*AI465,"")</f>
        <v/>
      </c>
      <c r="AN465" s="66" t="str">
        <f aca="false">IF(AND($AG465=Constants!$B$7, U465, V465) ,IF($AB465="", "", IF(OR($AC465="",$AC465=0),"",MAX(0,1-ABS($AC465-$AB465)/$AC465))),"")</f>
        <v/>
      </c>
      <c r="AO465" s="66" t="str">
        <f aca="false">IF(AND($AG465=Constants!$B$7, U465, V465),IF(AND($AA465&lt;&gt;"",$AB465&lt;&gt;"",$AC465=0),$AO$6,""),"")</f>
        <v/>
      </c>
      <c r="AP465" s="66" t="str">
        <f aca="false">IF($AG465=Constants!$B$7 ,IF(AND(U465,V465,W465,Y465,ISNUMBER(AB465)),IF($AN465="",0,IF($AN$6=0,Constants!$B$10,Constants!$B$10*AN465/$AN$6)), 0),"")</f>
        <v/>
      </c>
      <c r="AQ465" s="66" t="str">
        <f aca="false">IF(AP465&lt;&gt;"", AP465*AI465,"")</f>
        <v/>
      </c>
      <c r="AR465" s="66" t="str">
        <f aca="false">IF($AG465=Constants!$B$7,IF($AD465="",0,IF($AR$6=0,Constants!$B$8,Constants!$B$8*AD465/$AR$6)),"")</f>
        <v/>
      </c>
      <c r="AS465" s="66" t="str">
        <f aca="false">IF($AG465&lt;&gt;Constants!$B$7,$AG465,IF(AK465&amp;AO465&lt;&gt;"",Constants!$B$14,AM465+AQ465+AR465))</f>
        <v/>
      </c>
      <c r="AT465" s="66" t="str">
        <f aca="false">IF(ISBLANK($C465),"",IF($AG465=Constants!$B$7,IF(ISNUMBER(AS465),RANK(AS465,$AS$8:$AS$507),Constants!$B$14),$AG465))</f>
        <v/>
      </c>
      <c r="AU465" s="66" t="str">
        <f aca="false">IF(ISBLANK($C465), "",AM465)</f>
        <v/>
      </c>
      <c r="AV465" s="66" t="str">
        <f aca="false">IF(ISBLANK($C465),"",IF($AG465=Constants!$B$7,RANK(AU465,AU$8:AU$507),$AG465))</f>
        <v/>
      </c>
      <c r="AW465" s="66" t="str">
        <f aca="false">IF(ISBLANK($C465), "",AR465)</f>
        <v/>
      </c>
      <c r="AX465" s="66" t="str">
        <f aca="false">IF(ISBLANK($C465),"",IF($AG465=Constants!$B$7,RANK(AW465,AW$8:AW$507),$AG465))</f>
        <v/>
      </c>
      <c r="AY465" s="66" t="str">
        <f aca="false">IF(ISBLANK($C465), "",AE465)</f>
        <v/>
      </c>
      <c r="AZ465" s="66" t="str">
        <f aca="false">IF(ISBLANK($C465),"",
IF($AG465=Constants!$B$7,
  IF(ISNUMBER(AT465),
    COUNTIFS($AT$8:$AT$507,"&lt;"&amp;$AT465)
    + COUNTIFS($AT$8:$AT$507,$AT465,$AV$8:$AV$507,"&lt;"&amp;$AV465)
    + COUNTIFS($AT$8:$AT$507,$AT465,$AV$8:$AV$507,$AV465,$AX$8:$AX$507,"&lt;"&amp;$AX465)
    + COUNTIFS($AT$8:$AT$507,$AT465,$AV$8:$AV$507,$AV465,$AX$8:$AX$507,$AX465,$AY$8:$AY$507,"&lt;"&amp;$AY465)
    + 1,
  Constants!$B$14),
$AG465))</f>
        <v/>
      </c>
      <c r="BA465" s="66" t="str">
        <f aca="false">IF(ISBLANK(C465),"",IF($AG465=Constants!$B$7, IF(ISNUMBER(AT465),AT465-AZ465,Constants!$B$14),$AG465))</f>
        <v/>
      </c>
      <c r="BB465" s="70"/>
      <c r="BC465" s="84" t="str">
        <f aca="false">IF(ISBLANK($C465),"",TRIM(AK465&amp;" "&amp;AO465))</f>
        <v/>
      </c>
      <c r="BD465" s="72" t="str">
        <f aca="false">IF(ISBLANK($C465),"",IF($AG465&lt;&gt;Constants!$B$7,$AG465,AR465))</f>
        <v/>
      </c>
      <c r="BE465" s="72" t="str">
        <f aca="false">IF(ISBLANK($C465),"",IF($AG465&lt;&gt;Constants!$B$7,$AG465,AM465))</f>
        <v/>
      </c>
      <c r="BF465" s="72" t="str">
        <f aca="false">IF(ISBLANK($C465),"",IF($AG465&lt;&gt;Constants!$B$7,$AG465,AQ465))</f>
        <v/>
      </c>
      <c r="BG465" s="73" t="str">
        <f aca="false">IF(ISBLANK($C465),"",IF($AG465&lt;&gt;Constants!$B$7, $AG465 ,AS465))</f>
        <v/>
      </c>
      <c r="BH465" s="74" t="str">
        <f aca="false">IF(ISBLANK($C465),"",IF($AG465&lt;&gt;Constants!$B$7, $AG465 ,AH465))</f>
        <v/>
      </c>
      <c r="BI465" s="72" t="str">
        <f aca="false">IF(ISBLANK(C465),"",BA465)</f>
        <v/>
      </c>
      <c r="BJ465" s="72" t="str">
        <f aca="false">IF(ISBLANK(C465),"",AZ465)</f>
        <v/>
      </c>
      <c r="BK465" s="75" t="str">
        <f aca="false">IF(ISBLANK(C465),"",IFERROR(_xlfn.SWITCH(BJ465, Constants!$B$4, COUNTA($C$8:$C964)+2, Constants!$B$5, COUNTA($C$8:$C964)+1, Constants!$B$6, COUNTA($C$8:$C964)),BJ465))</f>
        <v/>
      </c>
      <c r="BL465" s="5"/>
      <c r="BM465" s="76" t="n">
        <f aca="false">IF(OR(ISNUMBER(BJ465),BJ465="DQ",BJ465="P",BJ465="NS"),
    1,
    0
)</f>
        <v>0</v>
      </c>
      <c r="BN465" s="76" t="n">
        <v>458</v>
      </c>
      <c r="BO465" s="76" t="str">
        <f aca="false">IF(ISBLANK($C465),"",IF(ISNUMBER(BK465),BK465+ROW($B465)/1000,""))</f>
        <v/>
      </c>
      <c r="BP465" s="76" t="str">
        <f aca="false">IF(ISNUMBER(BO465), RANK(BO465,BO$8:BO$507,1), "")</f>
        <v/>
      </c>
      <c r="BQ465" s="76" t="str">
        <f aca="false">IF(ISBLANK($C465),
    "",
    $B465
)</f>
        <v/>
      </c>
      <c r="BR465" s="76" t="str">
        <f aca="false">IF(ISBLANK($C465),
    "",
    $C465
)</f>
        <v/>
      </c>
      <c r="BS465" s="76" t="str">
        <f aca="false">IF(ISBLANK($C465),
    "",
    $D465
)</f>
        <v/>
      </c>
      <c r="BT465" s="77" t="str">
        <f aca="false">BH465</f>
        <v/>
      </c>
      <c r="BU465" s="78" t="str">
        <f aca="false">BG465</f>
        <v/>
      </c>
      <c r="BV465" s="76" t="str">
        <f aca="false">IF(ISBLANK($C465),
    "",
    BJ465
)</f>
        <v/>
      </c>
      <c r="BW465" s="79" t="str">
        <f aca="false">IF(BN465&gt;BM$7,
    "",
    VLOOKUP(BN465,BP$8:BV964,7,FALSE())
)</f>
        <v/>
      </c>
      <c r="BX465" s="80" t="str">
        <f aca="false">IF(BN465&gt;BM$7,
    "",
    VLOOKUP(BN465,BP$8:BV964,2,FALSE())
)</f>
        <v/>
      </c>
      <c r="BY465" s="80" t="str">
        <f aca="false">IF(BN465&gt;BM$7,
    "",
    VLOOKUP(BN465,BP$8:BV964,3,FALSE())
)</f>
        <v/>
      </c>
      <c r="BZ465" s="80" t="str">
        <f aca="false">IF(BN465&gt;BM$7,
    "",
    VLOOKUP(BN465,BP$8:BV964,4,FALSE())
)</f>
        <v/>
      </c>
      <c r="CA465" s="80" t="str">
        <f aca="false">IF(BN465&gt;BM$7,
    "",
    VLOOKUP(BN465,BP$8:BV964,5,FALSE())
)</f>
        <v/>
      </c>
      <c r="CB465" s="81" t="str">
        <f aca="false">IF(BN465&gt;BM$7,
    "",
    VLOOKUP(BN465,BP$8:BV964,6,FALSE())
)</f>
        <v/>
      </c>
      <c r="CC465" s="53"/>
    </row>
    <row r="466" customFormat="false" ht="15.75" hidden="false" customHeight="false" outlineLevel="0" collapsed="false">
      <c r="A466" s="5"/>
      <c r="B466" s="129"/>
      <c r="C466" s="55"/>
      <c r="D466" s="56"/>
      <c r="E466" s="123"/>
      <c r="F466" s="123"/>
      <c r="G466" s="58"/>
      <c r="H466" s="59"/>
      <c r="I466" s="59"/>
      <c r="J466" s="83"/>
      <c r="K466" s="83"/>
      <c r="L466" s="83"/>
      <c r="M466" s="61"/>
      <c r="N466" s="61"/>
      <c r="O466" s="61"/>
      <c r="P466" s="62"/>
      <c r="Q466" s="63"/>
      <c r="R466" s="83"/>
      <c r="S466" s="65"/>
      <c r="T466" s="66"/>
      <c r="U466" s="66" t="str">
        <f aca="false">IF(ISBLANK($C466),"",IF(G466=Constants!$B$2, TRUE(), IF(G466=Constants!$B$3, FALSE(), TRUE())))</f>
        <v/>
      </c>
      <c r="V466" s="66" t="str">
        <f aca="false">IF(ISBLANK($C466),"",IF(H466=Constants!$B$2, TRUE(), IF(H466=Constants!$B$3, FALSE(), TRUE())))</f>
        <v/>
      </c>
      <c r="W466" s="66" t="str">
        <f aca="false">IF(ISBLANK($C466),"",IF(I466=Constants!$B$2, TRUE(), IF(I466=Constants!$B$3, FALSE(), TRUE())))</f>
        <v/>
      </c>
      <c r="X466" s="66" t="str">
        <f aca="false">IF(ISBLANK($C466),"",IF(AND(ISNUMBER(J466),J466&gt;0),INT(J466),0))</f>
        <v/>
      </c>
      <c r="Y466" s="66" t="str">
        <f aca="false">IF(ISBLANK($C466),"",IF(K466=Constants!$B$2, TRUE(), IF(K466=Constants!$B$3, FALSE(), TRUE())))</f>
        <v/>
      </c>
      <c r="Z466" s="66" t="str">
        <f aca="false">IF(ISBLANK($C466),"",IF(AND(ISNUMBER(L466),L466&gt;0),INT(L466),0))</f>
        <v/>
      </c>
      <c r="AA466" s="68" t="str">
        <f aca="false">IF(ISBLANK($C466),"",IF(ISNUMBER(M466), M466, ""))</f>
        <v/>
      </c>
      <c r="AB466" s="68" t="str">
        <f aca="false">IF(ISBLANK($C466),"",IF(ISNUMBER(N466), N466, ""))</f>
        <v/>
      </c>
      <c r="AC466" s="68" t="str">
        <f aca="false">IF(ISBLANK($C466),"",IF(ISNUMBER(O466), O466, ""))</f>
        <v/>
      </c>
      <c r="AD466" s="69" t="str">
        <f aca="false">IF(ISBLANK($C466),"",IF(ISNUMBER(P466), P466, ""))</f>
        <v/>
      </c>
      <c r="AE466" s="69" t="str">
        <f aca="false">IF(ISBLANK($C466),"",IF(ISNUMBER(Q466), Q466, Constants!$B$13))</f>
        <v/>
      </c>
      <c r="AF466" s="66" t="str">
        <f aca="false">IF(ISBLANK($C466),"",IF(R466=Constants!$B$2, TRUE(), IF(R466=Constants!$B$3, FALSE(), FALSE())))</f>
        <v/>
      </c>
      <c r="AG466" s="66" t="str">
        <f aca="false">IF(ISBLANK(C466), "", IF(AF466, Constants!$B$4,IF(COUNTA(G466:P466)=0, Constants!$B$5, Constants!$B$7)))</f>
        <v/>
      </c>
      <c r="AH466" s="66" t="str">
        <f aca="false">IF(ISBLANK($C466), "",IF($AG466=Constants!$B$7,1,$AG466))</f>
        <v/>
      </c>
      <c r="AI466" s="66" t="str">
        <f aca="false">IF($AG466=Constants!$B$7,POWER(Constants!$B$11,X466)*POWER(Constants!$B$12,Z466),"")</f>
        <v/>
      </c>
      <c r="AJ466" s="66" t="str">
        <f aca="false">IF(AND($AG466=Constants!$B$7, U466, V466) ,IF(OR($AA466="",$AC466=""),"",MAX(0, $AC466-$AA466)),"")</f>
        <v/>
      </c>
      <c r="AK466" s="66" t="str">
        <f aca="false">IF(AND($AG466=Constants!$B$7, U466, V466),IF(OR($AA466="",$AC466=""),$AK$6,""),"")</f>
        <v/>
      </c>
      <c r="AL466" s="66" t="str">
        <f aca="false">IF($AG466=Constants!$B$7,IF(AND(U466,V466,W466,Y466),IF($AJ466="",0,IF($AJ$6=0,Constants!$B$9,Constants!$B$9*AJ466/$AJ$6)), 0),"")</f>
        <v/>
      </c>
      <c r="AM466" s="66" t="str">
        <f aca="false">IF(AL466&lt;&gt;"", AL466*AI466,"")</f>
        <v/>
      </c>
      <c r="AN466" s="66" t="str">
        <f aca="false">IF(AND($AG466=Constants!$B$7, U466, V466) ,IF($AB466="", "", IF(OR($AC466="",$AC466=0),"",MAX(0,1-ABS($AC466-$AB466)/$AC466))),"")</f>
        <v/>
      </c>
      <c r="AO466" s="66" t="str">
        <f aca="false">IF(AND($AG466=Constants!$B$7, U466, V466),IF(AND($AA466&lt;&gt;"",$AB466&lt;&gt;"",$AC466=0),$AO$6,""),"")</f>
        <v/>
      </c>
      <c r="AP466" s="66" t="str">
        <f aca="false">IF($AG466=Constants!$B$7 ,IF(AND(U466,V466,W466,Y466,ISNUMBER(AB466)),IF($AN466="",0,IF($AN$6=0,Constants!$B$10,Constants!$B$10*AN466/$AN$6)), 0),"")</f>
        <v/>
      </c>
      <c r="AQ466" s="66" t="str">
        <f aca="false">IF(AP466&lt;&gt;"", AP466*AI466,"")</f>
        <v/>
      </c>
      <c r="AR466" s="66" t="str">
        <f aca="false">IF($AG466=Constants!$B$7,IF($AD466="",0,IF($AR$6=0,Constants!$B$8,Constants!$B$8*AD466/$AR$6)),"")</f>
        <v/>
      </c>
      <c r="AS466" s="66" t="str">
        <f aca="false">IF($AG466&lt;&gt;Constants!$B$7,$AG466,IF(AK466&amp;AO466&lt;&gt;"",Constants!$B$14,AM466+AQ466+AR466))</f>
        <v/>
      </c>
      <c r="AT466" s="66" t="str">
        <f aca="false">IF(ISBLANK($C466),"",IF($AG466=Constants!$B$7,IF(ISNUMBER(AS466),RANK(AS466,$AS$8:$AS$507),Constants!$B$14),$AG466))</f>
        <v/>
      </c>
      <c r="AU466" s="66" t="str">
        <f aca="false">IF(ISBLANK($C466), "",AM466)</f>
        <v/>
      </c>
      <c r="AV466" s="66" t="str">
        <f aca="false">IF(ISBLANK($C466),"",IF($AG466=Constants!$B$7,RANK(AU466,AU$8:AU$507),$AG466))</f>
        <v/>
      </c>
      <c r="AW466" s="66" t="str">
        <f aca="false">IF(ISBLANK($C466), "",AR466)</f>
        <v/>
      </c>
      <c r="AX466" s="66" t="str">
        <f aca="false">IF(ISBLANK($C466),"",IF($AG466=Constants!$B$7,RANK(AW466,AW$8:AW$507),$AG466))</f>
        <v/>
      </c>
      <c r="AY466" s="66" t="str">
        <f aca="false">IF(ISBLANK($C466), "",AE466)</f>
        <v/>
      </c>
      <c r="AZ466" s="66" t="str">
        <f aca="false">IF(ISBLANK($C466),"",
IF($AG466=Constants!$B$7,
  IF(ISNUMBER(AT466),
    COUNTIFS($AT$8:$AT$507,"&lt;"&amp;$AT466)
    + COUNTIFS($AT$8:$AT$507,$AT466,$AV$8:$AV$507,"&lt;"&amp;$AV466)
    + COUNTIFS($AT$8:$AT$507,$AT466,$AV$8:$AV$507,$AV466,$AX$8:$AX$507,"&lt;"&amp;$AX466)
    + COUNTIFS($AT$8:$AT$507,$AT466,$AV$8:$AV$507,$AV466,$AX$8:$AX$507,$AX466,$AY$8:$AY$507,"&lt;"&amp;$AY466)
    + 1,
  Constants!$B$14),
$AG466))</f>
        <v/>
      </c>
      <c r="BA466" s="66" t="str">
        <f aca="false">IF(ISBLANK(C466),"",IF($AG466=Constants!$B$7, IF(ISNUMBER(AT466),AT466-AZ466,Constants!$B$14),$AG466))</f>
        <v/>
      </c>
      <c r="BB466" s="70"/>
      <c r="BC466" s="84" t="str">
        <f aca="false">IF(ISBLANK($C466),"",TRIM(AK466&amp;" "&amp;AO466))</f>
        <v/>
      </c>
      <c r="BD466" s="72" t="str">
        <f aca="false">IF(ISBLANK($C466),"",IF($AG466&lt;&gt;Constants!$B$7,$AG466,AR466))</f>
        <v/>
      </c>
      <c r="BE466" s="72" t="str">
        <f aca="false">IF(ISBLANK($C466),"",IF($AG466&lt;&gt;Constants!$B$7,$AG466,AM466))</f>
        <v/>
      </c>
      <c r="BF466" s="72" t="str">
        <f aca="false">IF(ISBLANK($C466),"",IF($AG466&lt;&gt;Constants!$B$7,$AG466,AQ466))</f>
        <v/>
      </c>
      <c r="BG466" s="73" t="str">
        <f aca="false">IF(ISBLANK($C466),"",IF($AG466&lt;&gt;Constants!$B$7, $AG466 ,AS466))</f>
        <v/>
      </c>
      <c r="BH466" s="74" t="str">
        <f aca="false">IF(ISBLANK($C466),"",IF($AG466&lt;&gt;Constants!$B$7, $AG466 ,AH466))</f>
        <v/>
      </c>
      <c r="BI466" s="72" t="str">
        <f aca="false">IF(ISBLANK(C466),"",BA466)</f>
        <v/>
      </c>
      <c r="BJ466" s="72" t="str">
        <f aca="false">IF(ISBLANK(C466),"",AZ466)</f>
        <v/>
      </c>
      <c r="BK466" s="75" t="str">
        <f aca="false">IF(ISBLANK(C466),"",IFERROR(_xlfn.SWITCH(BJ466, Constants!$B$4, COUNTA($C$8:$C965)+2, Constants!$B$5, COUNTA($C$8:$C965)+1, Constants!$B$6, COUNTA($C$8:$C965)),BJ466))</f>
        <v/>
      </c>
      <c r="BL466" s="5"/>
      <c r="BM466" s="76" t="n">
        <f aca="false">IF(OR(ISNUMBER(BJ466),BJ466="DQ",BJ466="P",BJ466="NS"),
    1,
    0
)</f>
        <v>0</v>
      </c>
      <c r="BN466" s="76" t="n">
        <v>459</v>
      </c>
      <c r="BO466" s="76" t="str">
        <f aca="false">IF(ISBLANK($C466),"",IF(ISNUMBER(BK466),BK466+ROW($B466)/1000,""))</f>
        <v/>
      </c>
      <c r="BP466" s="76" t="str">
        <f aca="false">IF(ISNUMBER(BO466), RANK(BO466,BO$8:BO$507,1), "")</f>
        <v/>
      </c>
      <c r="BQ466" s="76" t="str">
        <f aca="false">IF(ISBLANK($C466),
    "",
    $B466
)</f>
        <v/>
      </c>
      <c r="BR466" s="76" t="str">
        <f aca="false">IF(ISBLANK($C466),
    "",
    $C466
)</f>
        <v/>
      </c>
      <c r="BS466" s="76" t="str">
        <f aca="false">IF(ISBLANK($C466),
    "",
    $D466
)</f>
        <v/>
      </c>
      <c r="BT466" s="77" t="str">
        <f aca="false">BH466</f>
        <v/>
      </c>
      <c r="BU466" s="78" t="str">
        <f aca="false">BG466</f>
        <v/>
      </c>
      <c r="BV466" s="76" t="str">
        <f aca="false">IF(ISBLANK($C466),
    "",
    BJ466
)</f>
        <v/>
      </c>
      <c r="BW466" s="79" t="str">
        <f aca="false">IF(BN466&gt;BM$7,
    "",
    VLOOKUP(BN466,BP$8:BV965,7,FALSE())
)</f>
        <v/>
      </c>
      <c r="BX466" s="80" t="str">
        <f aca="false">IF(BN466&gt;BM$7,
    "",
    VLOOKUP(BN466,BP$8:BV965,2,FALSE())
)</f>
        <v/>
      </c>
      <c r="BY466" s="80" t="str">
        <f aca="false">IF(BN466&gt;BM$7,
    "",
    VLOOKUP(BN466,BP$8:BV965,3,FALSE())
)</f>
        <v/>
      </c>
      <c r="BZ466" s="80" t="str">
        <f aca="false">IF(BN466&gt;BM$7,
    "",
    VLOOKUP(BN466,BP$8:BV965,4,FALSE())
)</f>
        <v/>
      </c>
      <c r="CA466" s="80" t="str">
        <f aca="false">IF(BN466&gt;BM$7,
    "",
    VLOOKUP(BN466,BP$8:BV965,5,FALSE())
)</f>
        <v/>
      </c>
      <c r="CB466" s="81" t="str">
        <f aca="false">IF(BN466&gt;BM$7,
    "",
    VLOOKUP(BN466,BP$8:BV965,6,FALSE())
)</f>
        <v/>
      </c>
      <c r="CC466" s="53"/>
    </row>
    <row r="467" customFormat="false" ht="15.75" hidden="false" customHeight="false" outlineLevel="0" collapsed="false">
      <c r="A467" s="5"/>
      <c r="B467" s="125"/>
      <c r="C467" s="126"/>
      <c r="D467" s="115"/>
      <c r="E467" s="119"/>
      <c r="F467" s="119"/>
      <c r="G467" s="91"/>
      <c r="H467" s="92"/>
      <c r="I467" s="92"/>
      <c r="J467" s="128"/>
      <c r="K467" s="128"/>
      <c r="L467" s="128"/>
      <c r="M467" s="94"/>
      <c r="N467" s="94"/>
      <c r="O467" s="94"/>
      <c r="P467" s="95"/>
      <c r="Q467" s="96"/>
      <c r="R467" s="128"/>
      <c r="S467" s="98"/>
      <c r="T467" s="99"/>
      <c r="U467" s="99" t="str">
        <f aca="false">IF(ISBLANK($C467),"",IF(G467=Constants!$B$2, TRUE(), IF(G467=Constants!$B$3, FALSE(), TRUE())))</f>
        <v/>
      </c>
      <c r="V467" s="99" t="str">
        <f aca="false">IF(ISBLANK($C467),"",IF(H467=Constants!$B$2, TRUE(), IF(H467=Constants!$B$3, FALSE(), TRUE())))</f>
        <v/>
      </c>
      <c r="W467" s="99" t="str">
        <f aca="false">IF(ISBLANK($C467),"",IF(I467=Constants!$B$2, TRUE(), IF(I467=Constants!$B$3, FALSE(), TRUE())))</f>
        <v/>
      </c>
      <c r="X467" s="99" t="str">
        <f aca="false">IF(ISBLANK($C467),"",IF(AND(ISNUMBER(J467),J467&gt;0),INT(J467),0))</f>
        <v/>
      </c>
      <c r="Y467" s="99" t="str">
        <f aca="false">IF(ISBLANK($C467),"",IF(K467=Constants!$B$2, TRUE(), IF(K467=Constants!$B$3, FALSE(), TRUE())))</f>
        <v/>
      </c>
      <c r="Z467" s="100" t="str">
        <f aca="false">IF(ISBLANK($C467),"",IF(AND(ISNUMBER(L467),L467&gt;0),INT(L467),0))</f>
        <v/>
      </c>
      <c r="AA467" s="101" t="str">
        <f aca="false">IF(ISBLANK($C467),"",IF(ISNUMBER(M467), M467, ""))</f>
        <v/>
      </c>
      <c r="AB467" s="101" t="str">
        <f aca="false">IF(ISBLANK($C467),"",IF(ISNUMBER(N467), N467, ""))</f>
        <v/>
      </c>
      <c r="AC467" s="101" t="str">
        <f aca="false">IF(ISBLANK($C467),"",IF(ISNUMBER(O467), O467, ""))</f>
        <v/>
      </c>
      <c r="AD467" s="102" t="str">
        <f aca="false">IF(ISBLANK($C467),"",IF(ISNUMBER(P467), P467, ""))</f>
        <v/>
      </c>
      <c r="AE467" s="102" t="str">
        <f aca="false">IF(ISBLANK($C467),"",IF(ISNUMBER(Q467), Q467, Constants!$B$13))</f>
        <v/>
      </c>
      <c r="AF467" s="99" t="str">
        <f aca="false">IF(ISBLANK($C467),"",IF(R467=Constants!$B$2, TRUE(), IF(R467=Constants!$B$3, FALSE(), FALSE())))</f>
        <v/>
      </c>
      <c r="AG467" s="99" t="str">
        <f aca="false">IF(ISBLANK(C467), "", IF(AF467, Constants!$B$4,IF(COUNTA(G467:P467)=0, Constants!$B$5, Constants!$B$7)))</f>
        <v/>
      </c>
      <c r="AH467" s="99" t="str">
        <f aca="false">IF(ISBLANK($C467), "",IF($AG467=Constants!$B$7,1,$AG467))</f>
        <v/>
      </c>
      <c r="AI467" s="99" t="str">
        <f aca="false">IF($AG467=Constants!$B$7,POWER(Constants!$B$11,X467)*POWER(Constants!$B$12,Z467),"")</f>
        <v/>
      </c>
      <c r="AJ467" s="99" t="str">
        <f aca="false">IF(AND($AG467=Constants!$B$7, U467, V467) ,IF(OR($AA467="",$AC467=""),"",MAX(0, $AC467-$AA467)),"")</f>
        <v/>
      </c>
      <c r="AK467" s="99" t="str">
        <f aca="false">IF(AND($AG467=Constants!$B$7, U467, V467),IF(OR($AA467="",$AC467=""),$AK$6,""),"")</f>
        <v/>
      </c>
      <c r="AL467" s="99" t="str">
        <f aca="false">IF($AG467=Constants!$B$7,IF(AND(U467,V467,W467,Y467),IF($AJ467="",0,IF($AJ$6=0,Constants!$B$9,Constants!$B$9*AJ467/$AJ$6)), 0),"")</f>
        <v/>
      </c>
      <c r="AM467" s="99" t="str">
        <f aca="false">IF(AL467&lt;&gt;"", AL467*AI467,"")</f>
        <v/>
      </c>
      <c r="AN467" s="99" t="str">
        <f aca="false">IF(AND($AG467=Constants!$B$7, U467, V467) ,IF($AB467="", "", IF(OR($AC467="",$AC467=0),"",MAX(0,1-ABS($AC467-$AB467)/$AC467))),"")</f>
        <v/>
      </c>
      <c r="AO467" s="99" t="str">
        <f aca="false">IF(AND($AG467=Constants!$B$7, U467, V467),IF(AND($AA467&lt;&gt;"",$AB467&lt;&gt;"",$AC467=0),$AO$6,""),"")</f>
        <v/>
      </c>
      <c r="AP467" s="99" t="str">
        <f aca="false">IF($AG467=Constants!$B$7 ,IF(AND(U467,V467,W467,Y467,ISNUMBER(AB467)),IF($AN467="",0,IF($AN$6=0,Constants!$B$10,Constants!$B$10*AN467/$AN$6)), 0),"")</f>
        <v/>
      </c>
      <c r="AQ467" s="99" t="str">
        <f aca="false">IF(AP467&lt;&gt;"", AP467*AI467,"")</f>
        <v/>
      </c>
      <c r="AR467" s="99" t="str">
        <f aca="false">IF($AG467=Constants!$B$7,IF($AD467="",0,IF($AR$6=0,Constants!$B$8,Constants!$B$8*AD467/$AR$6)),"")</f>
        <v/>
      </c>
      <c r="AS467" s="99" t="str">
        <f aca="false">IF($AG467&lt;&gt;Constants!$B$7,$AG467,IF(AK467&amp;AO467&lt;&gt;"",Constants!$B$14,AM467+AQ467+AR467))</f>
        <v/>
      </c>
      <c r="AT467" s="99" t="str">
        <f aca="false">IF(ISBLANK($C467),"",IF($AG467=Constants!$B$7,IF(ISNUMBER(AS467),RANK(AS467,$AS$8:$AS$507),Constants!$B$14),$AG467))</f>
        <v/>
      </c>
      <c r="AU467" s="99" t="str">
        <f aca="false">IF(ISBLANK($C467), "",AM467)</f>
        <v/>
      </c>
      <c r="AV467" s="99" t="str">
        <f aca="false">IF(ISBLANK($C467),"",IF($AG467=Constants!$B$7,RANK(AU467,AU$8:AU$507),$AG467))</f>
        <v/>
      </c>
      <c r="AW467" s="99" t="str">
        <f aca="false">IF(ISBLANK($C467), "",AR467)</f>
        <v/>
      </c>
      <c r="AX467" s="99" t="str">
        <f aca="false">IF(ISBLANK($C467),"",IF($AG467=Constants!$B$7,RANK(AW467,AW$8:AW$507),$AG467))</f>
        <v/>
      </c>
      <c r="AY467" s="99" t="str">
        <f aca="false">IF(ISBLANK($C467), "",AE467)</f>
        <v/>
      </c>
      <c r="AZ467" s="99" t="str">
        <f aca="false">IF(ISBLANK($C467),"",
IF($AG467=Constants!$B$7,
  IF(ISNUMBER(AT467),
    COUNTIFS($AT$8:$AT$507,"&lt;"&amp;$AT467)
    + COUNTIFS($AT$8:$AT$507,$AT467,$AV$8:$AV$507,"&lt;"&amp;$AV467)
    + COUNTIFS($AT$8:$AT$507,$AT467,$AV$8:$AV$507,$AV467,$AX$8:$AX$507,"&lt;"&amp;$AX467)
    + COUNTIFS($AT$8:$AT$507,$AT467,$AV$8:$AV$507,$AV467,$AX$8:$AX$507,$AX467,$AY$8:$AY$507,"&lt;"&amp;$AY467)
    + 1,
  Constants!$B$14),
$AG467))</f>
        <v/>
      </c>
      <c r="BA467" s="99" t="str">
        <f aca="false">IF(ISBLANK(C467),"",IF($AG467=Constants!$B$7, IF(ISNUMBER(AT467),AT467-AZ467,Constants!$B$14),$AG467))</f>
        <v/>
      </c>
      <c r="BB467" s="103"/>
      <c r="BC467" s="104" t="str">
        <f aca="false">IF(ISBLANK($C467),"",TRIM(AK467&amp;" "&amp;AO467))</f>
        <v/>
      </c>
      <c r="BD467" s="105" t="str">
        <f aca="false">IF(ISBLANK($C467),"",IF($AG467&lt;&gt;Constants!$B$7,$AG467,AR467))</f>
        <v/>
      </c>
      <c r="BE467" s="105" t="str">
        <f aca="false">IF(ISBLANK($C467),"",IF($AG467&lt;&gt;Constants!$B$7,$AG467,AM467))</f>
        <v/>
      </c>
      <c r="BF467" s="105" t="str">
        <f aca="false">IF(ISBLANK($C467),"",IF($AG467&lt;&gt;Constants!$B$7,$AG467,AQ467))</f>
        <v/>
      </c>
      <c r="BG467" s="106" t="str">
        <f aca="false">IF(ISBLANK($C467),"",IF($AG467&lt;&gt;Constants!$B$7, $AG467 ,AS467))</f>
        <v/>
      </c>
      <c r="BH467" s="107" t="str">
        <f aca="false">IF(ISBLANK($C467),"",IF($AG467&lt;&gt;Constants!$B$7, $AG467 ,AH467))</f>
        <v/>
      </c>
      <c r="BI467" s="105" t="str">
        <f aca="false">IF(ISBLANK(C467),"",BA467)</f>
        <v/>
      </c>
      <c r="BJ467" s="105" t="str">
        <f aca="false">IF(ISBLANK(C467),"",AZ467)</f>
        <v/>
      </c>
      <c r="BK467" s="108" t="str">
        <f aca="false">IF(ISBLANK(C467),"",IFERROR(_xlfn.SWITCH(BJ467, Constants!$B$4, COUNTA($C$8:$C966)+2, Constants!$B$5, COUNTA($C$8:$C966)+1, Constants!$B$6, COUNTA($C$8:$C966)),BJ467))</f>
        <v/>
      </c>
      <c r="BL467" s="5"/>
      <c r="BM467" s="109" t="n">
        <f aca="false">IF(OR(ISNUMBER(BJ467),BJ467="DQ",BJ467="P",BJ467="NS"),
    1,
    0
)</f>
        <v>0</v>
      </c>
      <c r="BN467" s="109" t="n">
        <v>460</v>
      </c>
      <c r="BO467" s="109" t="str">
        <f aca="false">IF(ISBLANK($C467),"",IF(ISNUMBER(BK467),BK467+ROW($B467)/1000,""))</f>
        <v/>
      </c>
      <c r="BP467" s="109" t="str">
        <f aca="false">IF(ISNUMBER(BO467), RANK(BO467,BO$8:BO$507,1), "")</f>
        <v/>
      </c>
      <c r="BQ467" s="109" t="str">
        <f aca="false">IF(ISBLANK($C467),
    "",
    $B467
)</f>
        <v/>
      </c>
      <c r="BR467" s="109" t="str">
        <f aca="false">IF(ISBLANK($C467),
    "",
    $C467
)</f>
        <v/>
      </c>
      <c r="BS467" s="109" t="str">
        <f aca="false">IF(ISBLANK($C467),
    "",
    $D467
)</f>
        <v/>
      </c>
      <c r="BT467" s="110" t="str">
        <f aca="false">BH467</f>
        <v/>
      </c>
      <c r="BU467" s="111" t="str">
        <f aca="false">BG467</f>
        <v/>
      </c>
      <c r="BV467" s="109" t="str">
        <f aca="false">IF(ISBLANK($C467),
    "",
    BJ467
)</f>
        <v/>
      </c>
      <c r="BW467" s="112" t="str">
        <f aca="false">IF(BN467&gt;BM$7,
    "",
    VLOOKUP(BN467,BP$8:BV966,7,FALSE())
)</f>
        <v/>
      </c>
      <c r="BX467" s="113" t="str">
        <f aca="false">IF(BN467&gt;BM$7,
    "",
    VLOOKUP(BN467,BP$8:BV966,2,FALSE())
)</f>
        <v/>
      </c>
      <c r="BY467" s="113" t="str">
        <f aca="false">IF(BN467&gt;BM$7,
    "",
    VLOOKUP(BN467,BP$8:BV966,3,FALSE())
)</f>
        <v/>
      </c>
      <c r="BZ467" s="113" t="str">
        <f aca="false">IF(BN467&gt;BM$7,
    "",
    VLOOKUP(BN467,BP$8:BV966,4,FALSE())
)</f>
        <v/>
      </c>
      <c r="CA467" s="113" t="str">
        <f aca="false">IF(BN467&gt;BM$7,
    "",
    VLOOKUP(BN467,BP$8:BV966,5,FALSE())
)</f>
        <v/>
      </c>
      <c r="CB467" s="114" t="str">
        <f aca="false">IF(BN467&gt;BM$7,
    "",
    VLOOKUP(BN467,BP$8:BV966,6,FALSE())
)</f>
        <v/>
      </c>
      <c r="CC467" s="53"/>
    </row>
    <row r="468" customFormat="false" ht="15.75" hidden="false" customHeight="false" outlineLevel="0" collapsed="false">
      <c r="A468" s="5"/>
      <c r="B468" s="125"/>
      <c r="C468" s="126"/>
      <c r="D468" s="115"/>
      <c r="E468" s="119"/>
      <c r="F468" s="119"/>
      <c r="G468" s="91"/>
      <c r="H468" s="92"/>
      <c r="I468" s="92"/>
      <c r="J468" s="128"/>
      <c r="K468" s="128"/>
      <c r="L468" s="128"/>
      <c r="M468" s="94"/>
      <c r="N468" s="94"/>
      <c r="O468" s="94"/>
      <c r="P468" s="95"/>
      <c r="Q468" s="96"/>
      <c r="R468" s="128"/>
      <c r="S468" s="98"/>
      <c r="T468" s="99"/>
      <c r="U468" s="99" t="str">
        <f aca="false">IF(ISBLANK($C468),"",IF(G468=Constants!$B$2, TRUE(), IF(G468=Constants!$B$3, FALSE(), TRUE())))</f>
        <v/>
      </c>
      <c r="V468" s="99" t="str">
        <f aca="false">IF(ISBLANK($C468),"",IF(H468=Constants!$B$2, TRUE(), IF(H468=Constants!$B$3, FALSE(), TRUE())))</f>
        <v/>
      </c>
      <c r="W468" s="99" t="str">
        <f aca="false">IF(ISBLANK($C468),"",IF(I468=Constants!$B$2, TRUE(), IF(I468=Constants!$B$3, FALSE(), TRUE())))</f>
        <v/>
      </c>
      <c r="X468" s="99" t="str">
        <f aca="false">IF(ISBLANK($C468),"",IF(AND(ISNUMBER(J468),J468&gt;0),INT(J468),0))</f>
        <v/>
      </c>
      <c r="Y468" s="99" t="str">
        <f aca="false">IF(ISBLANK($C468),"",IF(K468=Constants!$B$2, TRUE(), IF(K468=Constants!$B$3, FALSE(), TRUE())))</f>
        <v/>
      </c>
      <c r="Z468" s="100" t="str">
        <f aca="false">IF(ISBLANK($C468),"",IF(AND(ISNUMBER(L468),L468&gt;0),INT(L468),0))</f>
        <v/>
      </c>
      <c r="AA468" s="101" t="str">
        <f aca="false">IF(ISBLANK($C468),"",IF(ISNUMBER(M468), M468, ""))</f>
        <v/>
      </c>
      <c r="AB468" s="101" t="str">
        <f aca="false">IF(ISBLANK($C468),"",IF(ISNUMBER(N468), N468, ""))</f>
        <v/>
      </c>
      <c r="AC468" s="101" t="str">
        <f aca="false">IF(ISBLANK($C468),"",IF(ISNUMBER(O468), O468, ""))</f>
        <v/>
      </c>
      <c r="AD468" s="102" t="str">
        <f aca="false">IF(ISBLANK($C468),"",IF(ISNUMBER(P468), P468, ""))</f>
        <v/>
      </c>
      <c r="AE468" s="102" t="str">
        <f aca="false">IF(ISBLANK($C468),"",IF(ISNUMBER(Q468), Q468, Constants!$B$13))</f>
        <v/>
      </c>
      <c r="AF468" s="99" t="str">
        <f aca="false">IF(ISBLANK($C468),"",IF(R468=Constants!$B$2, TRUE(), IF(R468=Constants!$B$3, FALSE(), FALSE())))</f>
        <v/>
      </c>
      <c r="AG468" s="99" t="str">
        <f aca="false">IF(ISBLANK(C468), "", IF(AF468, Constants!$B$4,IF(COUNTA(G468:P468)=0, Constants!$B$5, Constants!$B$7)))</f>
        <v/>
      </c>
      <c r="AH468" s="99" t="str">
        <f aca="false">IF(ISBLANK($C468), "",IF($AG468=Constants!$B$7,1,$AG468))</f>
        <v/>
      </c>
      <c r="AI468" s="99" t="str">
        <f aca="false">IF($AG468=Constants!$B$7,POWER(Constants!$B$11,X468)*POWER(Constants!$B$12,Z468),"")</f>
        <v/>
      </c>
      <c r="AJ468" s="99" t="str">
        <f aca="false">IF(AND($AG468=Constants!$B$7, U468, V468) ,IF(OR($AA468="",$AC468=""),"",MAX(0, $AC468-$AA468)),"")</f>
        <v/>
      </c>
      <c r="AK468" s="99" t="str">
        <f aca="false">IF(AND($AG468=Constants!$B$7, U468, V468),IF(OR($AA468="",$AC468=""),$AK$6,""),"")</f>
        <v/>
      </c>
      <c r="AL468" s="99" t="str">
        <f aca="false">IF($AG468=Constants!$B$7,IF(AND(U468,V468,W468,Y468),IF($AJ468="",0,IF($AJ$6=0,Constants!$B$9,Constants!$B$9*AJ468/$AJ$6)), 0),"")</f>
        <v/>
      </c>
      <c r="AM468" s="99" t="str">
        <f aca="false">IF(AL468&lt;&gt;"", AL468*AI468,"")</f>
        <v/>
      </c>
      <c r="AN468" s="99" t="str">
        <f aca="false">IF(AND($AG468=Constants!$B$7, U468, V468) ,IF($AB468="", "", IF(OR($AC468="",$AC468=0),"",MAX(0,1-ABS($AC468-$AB468)/$AC468))),"")</f>
        <v/>
      </c>
      <c r="AO468" s="99" t="str">
        <f aca="false">IF(AND($AG468=Constants!$B$7, U468, V468),IF(AND($AA468&lt;&gt;"",$AB468&lt;&gt;"",$AC468=0),$AO$6,""),"")</f>
        <v/>
      </c>
      <c r="AP468" s="99" t="str">
        <f aca="false">IF($AG468=Constants!$B$7 ,IF(AND(U468,V468,W468,Y468,ISNUMBER(AB468)),IF($AN468="",0,IF($AN$6=0,Constants!$B$10,Constants!$B$10*AN468/$AN$6)), 0),"")</f>
        <v/>
      </c>
      <c r="AQ468" s="99" t="str">
        <f aca="false">IF(AP468&lt;&gt;"", AP468*AI468,"")</f>
        <v/>
      </c>
      <c r="AR468" s="99" t="str">
        <f aca="false">IF($AG468=Constants!$B$7,IF($AD468="",0,IF($AR$6=0,Constants!$B$8,Constants!$B$8*AD468/$AR$6)),"")</f>
        <v/>
      </c>
      <c r="AS468" s="99" t="str">
        <f aca="false">IF($AG468&lt;&gt;Constants!$B$7,$AG468,IF(AK468&amp;AO468&lt;&gt;"",Constants!$B$14,AM468+AQ468+AR468))</f>
        <v/>
      </c>
      <c r="AT468" s="99" t="str">
        <f aca="false">IF(ISBLANK($C468),"",IF($AG468=Constants!$B$7,IF(ISNUMBER(AS468),RANK(AS468,$AS$8:$AS$507),Constants!$B$14),$AG468))</f>
        <v/>
      </c>
      <c r="AU468" s="99" t="str">
        <f aca="false">IF(ISBLANK($C468), "",AM468)</f>
        <v/>
      </c>
      <c r="AV468" s="99" t="str">
        <f aca="false">IF(ISBLANK($C468),"",IF($AG468=Constants!$B$7,RANK(AU468,AU$8:AU$507),$AG468))</f>
        <v/>
      </c>
      <c r="AW468" s="99" t="str">
        <f aca="false">IF(ISBLANK($C468), "",AR468)</f>
        <v/>
      </c>
      <c r="AX468" s="99" t="str">
        <f aca="false">IF(ISBLANK($C468),"",IF($AG468=Constants!$B$7,RANK(AW468,AW$8:AW$507),$AG468))</f>
        <v/>
      </c>
      <c r="AY468" s="99" t="str">
        <f aca="false">IF(ISBLANK($C468), "",AE468)</f>
        <v/>
      </c>
      <c r="AZ468" s="99" t="str">
        <f aca="false">IF(ISBLANK($C468),"",
IF($AG468=Constants!$B$7,
  IF(ISNUMBER(AT468),
    COUNTIFS($AT$8:$AT$507,"&lt;"&amp;$AT468)
    + COUNTIFS($AT$8:$AT$507,$AT468,$AV$8:$AV$507,"&lt;"&amp;$AV468)
    + COUNTIFS($AT$8:$AT$507,$AT468,$AV$8:$AV$507,$AV468,$AX$8:$AX$507,"&lt;"&amp;$AX468)
    + COUNTIFS($AT$8:$AT$507,$AT468,$AV$8:$AV$507,$AV468,$AX$8:$AX$507,$AX468,$AY$8:$AY$507,"&lt;"&amp;$AY468)
    + 1,
  Constants!$B$14),
$AG468))</f>
        <v/>
      </c>
      <c r="BA468" s="99" t="str">
        <f aca="false">IF(ISBLANK(C468),"",IF($AG468=Constants!$B$7, IF(ISNUMBER(AT468),AT468-AZ468,Constants!$B$14),$AG468))</f>
        <v/>
      </c>
      <c r="BB468" s="103"/>
      <c r="BC468" s="104" t="str">
        <f aca="false">IF(ISBLANK($C468),"",TRIM(AK468&amp;" "&amp;AO468))</f>
        <v/>
      </c>
      <c r="BD468" s="105" t="str">
        <f aca="false">IF(ISBLANK($C468),"",IF($AG468&lt;&gt;Constants!$B$7,$AG468,AR468))</f>
        <v/>
      </c>
      <c r="BE468" s="105" t="str">
        <f aca="false">IF(ISBLANK($C468),"",IF($AG468&lt;&gt;Constants!$B$7,$AG468,AM468))</f>
        <v/>
      </c>
      <c r="BF468" s="105" t="str">
        <f aca="false">IF(ISBLANK($C468),"",IF($AG468&lt;&gt;Constants!$B$7,$AG468,AQ468))</f>
        <v/>
      </c>
      <c r="BG468" s="106" t="str">
        <f aca="false">IF(ISBLANK($C468),"",IF($AG468&lt;&gt;Constants!$B$7, $AG468 ,AS468))</f>
        <v/>
      </c>
      <c r="BH468" s="107" t="str">
        <f aca="false">IF(ISBLANK($C468),"",IF($AG468&lt;&gt;Constants!$B$7, $AG468 ,AH468))</f>
        <v/>
      </c>
      <c r="BI468" s="105" t="str">
        <f aca="false">IF(ISBLANK(C468),"",BA468)</f>
        <v/>
      </c>
      <c r="BJ468" s="105" t="str">
        <f aca="false">IF(ISBLANK(C468),"",AZ468)</f>
        <v/>
      </c>
      <c r="BK468" s="108" t="str">
        <f aca="false">IF(ISBLANK(C468),"",IFERROR(_xlfn.SWITCH(BJ468, Constants!$B$4, COUNTA($C$8:$C967)+2, Constants!$B$5, COUNTA($C$8:$C967)+1, Constants!$B$6, COUNTA($C$8:$C967)),BJ468))</f>
        <v/>
      </c>
      <c r="BL468" s="5"/>
      <c r="BM468" s="109" t="n">
        <f aca="false">IF(OR(ISNUMBER(BJ468),BJ468="DQ",BJ468="P",BJ468="NS"),
    1,
    0
)</f>
        <v>0</v>
      </c>
      <c r="BN468" s="109" t="n">
        <v>461</v>
      </c>
      <c r="BO468" s="109" t="str">
        <f aca="false">IF(ISBLANK($C468),"",IF(ISNUMBER(BK468),BK468+ROW($B468)/1000,""))</f>
        <v/>
      </c>
      <c r="BP468" s="109" t="str">
        <f aca="false">IF(ISNUMBER(BO468), RANK(BO468,BO$8:BO$507,1), "")</f>
        <v/>
      </c>
      <c r="BQ468" s="109" t="str">
        <f aca="false">IF(ISBLANK($C468),
    "",
    $B468
)</f>
        <v/>
      </c>
      <c r="BR468" s="109" t="str">
        <f aca="false">IF(ISBLANK($C468),
    "",
    $C468
)</f>
        <v/>
      </c>
      <c r="BS468" s="109" t="str">
        <f aca="false">IF(ISBLANK($C468),
    "",
    $D468
)</f>
        <v/>
      </c>
      <c r="BT468" s="110" t="str">
        <f aca="false">BH468</f>
        <v/>
      </c>
      <c r="BU468" s="111" t="str">
        <f aca="false">BG468</f>
        <v/>
      </c>
      <c r="BV468" s="109" t="str">
        <f aca="false">IF(ISBLANK($C468),
    "",
    BJ468
)</f>
        <v/>
      </c>
      <c r="BW468" s="112" t="str">
        <f aca="false">IF(BN468&gt;BM$7,
    "",
    VLOOKUP(BN468,BP$8:BV967,7,FALSE())
)</f>
        <v/>
      </c>
      <c r="BX468" s="113" t="str">
        <f aca="false">IF(BN468&gt;BM$7,
    "",
    VLOOKUP(BN468,BP$8:BV967,2,FALSE())
)</f>
        <v/>
      </c>
      <c r="BY468" s="113" t="str">
        <f aca="false">IF(BN468&gt;BM$7,
    "",
    VLOOKUP(BN468,BP$8:BV967,3,FALSE())
)</f>
        <v/>
      </c>
      <c r="BZ468" s="113" t="str">
        <f aca="false">IF(BN468&gt;BM$7,
    "",
    VLOOKUP(BN468,BP$8:BV967,4,FALSE())
)</f>
        <v/>
      </c>
      <c r="CA468" s="113" t="str">
        <f aca="false">IF(BN468&gt;BM$7,
    "",
    VLOOKUP(BN468,BP$8:BV967,5,FALSE())
)</f>
        <v/>
      </c>
      <c r="CB468" s="114" t="str">
        <f aca="false">IF(BN468&gt;BM$7,
    "",
    VLOOKUP(BN468,BP$8:BV967,6,FALSE())
)</f>
        <v/>
      </c>
      <c r="CC468" s="53"/>
    </row>
    <row r="469" customFormat="false" ht="15.75" hidden="false" customHeight="false" outlineLevel="0" collapsed="false">
      <c r="A469" s="5"/>
      <c r="B469" s="125"/>
      <c r="C469" s="126"/>
      <c r="D469" s="115"/>
      <c r="E469" s="119"/>
      <c r="F469" s="119"/>
      <c r="G469" s="91"/>
      <c r="H469" s="92"/>
      <c r="I469" s="92"/>
      <c r="J469" s="128"/>
      <c r="K469" s="128"/>
      <c r="L469" s="128"/>
      <c r="M469" s="94"/>
      <c r="N469" s="94"/>
      <c r="O469" s="94"/>
      <c r="P469" s="95"/>
      <c r="Q469" s="96"/>
      <c r="R469" s="128"/>
      <c r="S469" s="98"/>
      <c r="T469" s="99"/>
      <c r="U469" s="99" t="str">
        <f aca="false">IF(ISBLANK($C469),"",IF(G469=Constants!$B$2, TRUE(), IF(G469=Constants!$B$3, FALSE(), TRUE())))</f>
        <v/>
      </c>
      <c r="V469" s="99" t="str">
        <f aca="false">IF(ISBLANK($C469),"",IF(H469=Constants!$B$2, TRUE(), IF(H469=Constants!$B$3, FALSE(), TRUE())))</f>
        <v/>
      </c>
      <c r="W469" s="99" t="str">
        <f aca="false">IF(ISBLANK($C469),"",IF(I469=Constants!$B$2, TRUE(), IF(I469=Constants!$B$3, FALSE(), TRUE())))</f>
        <v/>
      </c>
      <c r="X469" s="99" t="str">
        <f aca="false">IF(ISBLANK($C469),"",IF(AND(ISNUMBER(J469),J469&gt;0),INT(J469),0))</f>
        <v/>
      </c>
      <c r="Y469" s="99" t="str">
        <f aca="false">IF(ISBLANK($C469),"",IF(K469=Constants!$B$2, TRUE(), IF(K469=Constants!$B$3, FALSE(), TRUE())))</f>
        <v/>
      </c>
      <c r="Z469" s="100" t="str">
        <f aca="false">IF(ISBLANK($C469),"",IF(AND(ISNUMBER(L469),L469&gt;0),INT(L469),0))</f>
        <v/>
      </c>
      <c r="AA469" s="101" t="str">
        <f aca="false">IF(ISBLANK($C469),"",IF(ISNUMBER(M469), M469, ""))</f>
        <v/>
      </c>
      <c r="AB469" s="101" t="str">
        <f aca="false">IF(ISBLANK($C469),"",IF(ISNUMBER(N469), N469, ""))</f>
        <v/>
      </c>
      <c r="AC469" s="101" t="str">
        <f aca="false">IF(ISBLANK($C469),"",IF(ISNUMBER(O469), O469, ""))</f>
        <v/>
      </c>
      <c r="AD469" s="102" t="str">
        <f aca="false">IF(ISBLANK($C469),"",IF(ISNUMBER(P469), P469, ""))</f>
        <v/>
      </c>
      <c r="AE469" s="102" t="str">
        <f aca="false">IF(ISBLANK($C469),"",IF(ISNUMBER(Q469), Q469, Constants!$B$13))</f>
        <v/>
      </c>
      <c r="AF469" s="99" t="str">
        <f aca="false">IF(ISBLANK($C469),"",IF(R469=Constants!$B$2, TRUE(), IF(R469=Constants!$B$3, FALSE(), FALSE())))</f>
        <v/>
      </c>
      <c r="AG469" s="99" t="str">
        <f aca="false">IF(ISBLANK(C469), "", IF(AF469, Constants!$B$4,IF(COUNTA(G469:P469)=0, Constants!$B$5, Constants!$B$7)))</f>
        <v/>
      </c>
      <c r="AH469" s="99" t="str">
        <f aca="false">IF(ISBLANK($C469), "",IF($AG469=Constants!$B$7,1,$AG469))</f>
        <v/>
      </c>
      <c r="AI469" s="99" t="str">
        <f aca="false">IF($AG469=Constants!$B$7,POWER(Constants!$B$11,X469)*POWER(Constants!$B$12,Z469),"")</f>
        <v/>
      </c>
      <c r="AJ469" s="99" t="str">
        <f aca="false">IF(AND($AG469=Constants!$B$7, U469, V469) ,IF(OR($AA469="",$AC469=""),"",MAX(0, $AC469-$AA469)),"")</f>
        <v/>
      </c>
      <c r="AK469" s="99" t="str">
        <f aca="false">IF(AND($AG469=Constants!$B$7, U469, V469),IF(OR($AA469="",$AC469=""),$AK$6,""),"")</f>
        <v/>
      </c>
      <c r="AL469" s="99" t="str">
        <f aca="false">IF($AG469=Constants!$B$7,IF(AND(U469,V469,W469,Y469),IF($AJ469="",0,IF($AJ$6=0,Constants!$B$9,Constants!$B$9*AJ469/$AJ$6)), 0),"")</f>
        <v/>
      </c>
      <c r="AM469" s="99" t="str">
        <f aca="false">IF(AL469&lt;&gt;"", AL469*AI469,"")</f>
        <v/>
      </c>
      <c r="AN469" s="99" t="str">
        <f aca="false">IF(AND($AG469=Constants!$B$7, U469, V469) ,IF($AB469="", "", IF(OR($AC469="",$AC469=0),"",MAX(0,1-ABS($AC469-$AB469)/$AC469))),"")</f>
        <v/>
      </c>
      <c r="AO469" s="99" t="str">
        <f aca="false">IF(AND($AG469=Constants!$B$7, U469, V469),IF(AND($AA469&lt;&gt;"",$AB469&lt;&gt;"",$AC469=0),$AO$6,""),"")</f>
        <v/>
      </c>
      <c r="AP469" s="99" t="str">
        <f aca="false">IF($AG469=Constants!$B$7 ,IF(AND(U469,V469,W469,Y469,ISNUMBER(AB469)),IF($AN469="",0,IF($AN$6=0,Constants!$B$10,Constants!$B$10*AN469/$AN$6)), 0),"")</f>
        <v/>
      </c>
      <c r="AQ469" s="99" t="str">
        <f aca="false">IF(AP469&lt;&gt;"", AP469*AI469,"")</f>
        <v/>
      </c>
      <c r="AR469" s="99" t="str">
        <f aca="false">IF($AG469=Constants!$B$7,IF($AD469="",0,IF($AR$6=0,Constants!$B$8,Constants!$B$8*AD469/$AR$6)),"")</f>
        <v/>
      </c>
      <c r="AS469" s="99" t="str">
        <f aca="false">IF($AG469&lt;&gt;Constants!$B$7,$AG469,IF(AK469&amp;AO469&lt;&gt;"",Constants!$B$14,AM469+AQ469+AR469))</f>
        <v/>
      </c>
      <c r="AT469" s="99" t="str">
        <f aca="false">IF(ISBLANK($C469),"",IF($AG469=Constants!$B$7,IF(ISNUMBER(AS469),RANK(AS469,$AS$8:$AS$507),Constants!$B$14),$AG469))</f>
        <v/>
      </c>
      <c r="AU469" s="99" t="str">
        <f aca="false">IF(ISBLANK($C469), "",AM469)</f>
        <v/>
      </c>
      <c r="AV469" s="99" t="str">
        <f aca="false">IF(ISBLANK($C469),"",IF($AG469=Constants!$B$7,RANK(AU469,AU$8:AU$507),$AG469))</f>
        <v/>
      </c>
      <c r="AW469" s="99" t="str">
        <f aca="false">IF(ISBLANK($C469), "",AR469)</f>
        <v/>
      </c>
      <c r="AX469" s="99" t="str">
        <f aca="false">IF(ISBLANK($C469),"",IF($AG469=Constants!$B$7,RANK(AW469,AW$8:AW$507),$AG469))</f>
        <v/>
      </c>
      <c r="AY469" s="99" t="str">
        <f aca="false">IF(ISBLANK($C469), "",AE469)</f>
        <v/>
      </c>
      <c r="AZ469" s="99" t="str">
        <f aca="false">IF(ISBLANK($C469),"",
IF($AG469=Constants!$B$7,
  IF(ISNUMBER(AT469),
    COUNTIFS($AT$8:$AT$507,"&lt;"&amp;$AT469)
    + COUNTIFS($AT$8:$AT$507,$AT469,$AV$8:$AV$507,"&lt;"&amp;$AV469)
    + COUNTIFS($AT$8:$AT$507,$AT469,$AV$8:$AV$507,$AV469,$AX$8:$AX$507,"&lt;"&amp;$AX469)
    + COUNTIFS($AT$8:$AT$507,$AT469,$AV$8:$AV$507,$AV469,$AX$8:$AX$507,$AX469,$AY$8:$AY$507,"&lt;"&amp;$AY469)
    + 1,
  Constants!$B$14),
$AG469))</f>
        <v/>
      </c>
      <c r="BA469" s="99" t="str">
        <f aca="false">IF(ISBLANK(C469),"",IF($AG469=Constants!$B$7, IF(ISNUMBER(AT469),AT469-AZ469,Constants!$B$14),$AG469))</f>
        <v/>
      </c>
      <c r="BB469" s="103"/>
      <c r="BC469" s="104" t="str">
        <f aca="false">IF(ISBLANK($C469),"",TRIM(AK469&amp;" "&amp;AO469))</f>
        <v/>
      </c>
      <c r="BD469" s="105" t="str">
        <f aca="false">IF(ISBLANK($C469),"",IF($AG469&lt;&gt;Constants!$B$7,$AG469,AR469))</f>
        <v/>
      </c>
      <c r="BE469" s="105" t="str">
        <f aca="false">IF(ISBLANK($C469),"",IF($AG469&lt;&gt;Constants!$B$7,$AG469,AM469))</f>
        <v/>
      </c>
      <c r="BF469" s="105" t="str">
        <f aca="false">IF(ISBLANK($C469),"",IF($AG469&lt;&gt;Constants!$B$7,$AG469,AQ469))</f>
        <v/>
      </c>
      <c r="BG469" s="106" t="str">
        <f aca="false">IF(ISBLANK($C469),"",IF($AG469&lt;&gt;Constants!$B$7, $AG469 ,AS469))</f>
        <v/>
      </c>
      <c r="BH469" s="107" t="str">
        <f aca="false">IF(ISBLANK($C469),"",IF($AG469&lt;&gt;Constants!$B$7, $AG469 ,AH469))</f>
        <v/>
      </c>
      <c r="BI469" s="105" t="str">
        <f aca="false">IF(ISBLANK(C469),"",BA469)</f>
        <v/>
      </c>
      <c r="BJ469" s="105" t="str">
        <f aca="false">IF(ISBLANK(C469),"",AZ469)</f>
        <v/>
      </c>
      <c r="BK469" s="108" t="str">
        <f aca="false">IF(ISBLANK(C469),"",IFERROR(_xlfn.SWITCH(BJ469, Constants!$B$4, COUNTA($C$8:$C968)+2, Constants!$B$5, COUNTA($C$8:$C968)+1, Constants!$B$6, COUNTA($C$8:$C968)),BJ469))</f>
        <v/>
      </c>
      <c r="BL469" s="5"/>
      <c r="BM469" s="109" t="n">
        <f aca="false">IF(OR(ISNUMBER(BJ469),BJ469="DQ",BJ469="P",BJ469="NS"),
    1,
    0
)</f>
        <v>0</v>
      </c>
      <c r="BN469" s="109" t="n">
        <v>462</v>
      </c>
      <c r="BO469" s="109" t="str">
        <f aca="false">IF(ISBLANK($C469),"",IF(ISNUMBER(BK469),BK469+ROW($B469)/1000,""))</f>
        <v/>
      </c>
      <c r="BP469" s="109" t="str">
        <f aca="false">IF(ISNUMBER(BO469), RANK(BO469,BO$8:BO$507,1), "")</f>
        <v/>
      </c>
      <c r="BQ469" s="109" t="str">
        <f aca="false">IF(ISBLANK($C469),
    "",
    $B469
)</f>
        <v/>
      </c>
      <c r="BR469" s="109" t="str">
        <f aca="false">IF(ISBLANK($C469),
    "",
    $C469
)</f>
        <v/>
      </c>
      <c r="BS469" s="109" t="str">
        <f aca="false">IF(ISBLANK($C469),
    "",
    $D469
)</f>
        <v/>
      </c>
      <c r="BT469" s="110" t="str">
        <f aca="false">BH469</f>
        <v/>
      </c>
      <c r="BU469" s="111" t="str">
        <f aca="false">BG469</f>
        <v/>
      </c>
      <c r="BV469" s="109" t="str">
        <f aca="false">IF(ISBLANK($C469),
    "",
    BJ469
)</f>
        <v/>
      </c>
      <c r="BW469" s="112" t="str">
        <f aca="false">IF(BN469&gt;BM$7,
    "",
    VLOOKUP(BN469,BP$8:BV968,7,FALSE())
)</f>
        <v/>
      </c>
      <c r="BX469" s="113" t="str">
        <f aca="false">IF(BN469&gt;BM$7,
    "",
    VLOOKUP(BN469,BP$8:BV968,2,FALSE())
)</f>
        <v/>
      </c>
      <c r="BY469" s="113" t="str">
        <f aca="false">IF(BN469&gt;BM$7,
    "",
    VLOOKUP(BN469,BP$8:BV968,3,FALSE())
)</f>
        <v/>
      </c>
      <c r="BZ469" s="113" t="str">
        <f aca="false">IF(BN469&gt;BM$7,
    "",
    VLOOKUP(BN469,BP$8:BV968,4,FALSE())
)</f>
        <v/>
      </c>
      <c r="CA469" s="113" t="str">
        <f aca="false">IF(BN469&gt;BM$7,
    "",
    VLOOKUP(BN469,BP$8:BV968,5,FALSE())
)</f>
        <v/>
      </c>
      <c r="CB469" s="114" t="str">
        <f aca="false">IF(BN469&gt;BM$7,
    "",
    VLOOKUP(BN469,BP$8:BV968,6,FALSE())
)</f>
        <v/>
      </c>
      <c r="CC469" s="53"/>
    </row>
    <row r="470" customFormat="false" ht="15.75" hidden="false" customHeight="false" outlineLevel="0" collapsed="false">
      <c r="A470" s="5"/>
      <c r="B470" s="129"/>
      <c r="C470" s="55"/>
      <c r="D470" s="56"/>
      <c r="E470" s="123"/>
      <c r="F470" s="123"/>
      <c r="G470" s="58"/>
      <c r="H470" s="59"/>
      <c r="I470" s="59"/>
      <c r="J470" s="83"/>
      <c r="K470" s="83"/>
      <c r="L470" s="83"/>
      <c r="M470" s="61"/>
      <c r="N470" s="61"/>
      <c r="O470" s="61"/>
      <c r="P470" s="62"/>
      <c r="Q470" s="63"/>
      <c r="R470" s="83"/>
      <c r="S470" s="65"/>
      <c r="T470" s="66"/>
      <c r="U470" s="66" t="str">
        <f aca="false">IF(ISBLANK($C470),"",IF(G470=Constants!$B$2, TRUE(), IF(G470=Constants!$B$3, FALSE(), TRUE())))</f>
        <v/>
      </c>
      <c r="V470" s="66" t="str">
        <f aca="false">IF(ISBLANK($C470),"",IF(H470=Constants!$B$2, TRUE(), IF(H470=Constants!$B$3, FALSE(), TRUE())))</f>
        <v/>
      </c>
      <c r="W470" s="66" t="str">
        <f aca="false">IF(ISBLANK($C470),"",IF(I470=Constants!$B$2, TRUE(), IF(I470=Constants!$B$3, FALSE(), TRUE())))</f>
        <v/>
      </c>
      <c r="X470" s="66" t="str">
        <f aca="false">IF(ISBLANK($C470),"",IF(AND(ISNUMBER(J470),J470&gt;0),INT(J470),0))</f>
        <v/>
      </c>
      <c r="Y470" s="66" t="str">
        <f aca="false">IF(ISBLANK($C470),"",IF(K470=Constants!$B$2, TRUE(), IF(K470=Constants!$B$3, FALSE(), TRUE())))</f>
        <v/>
      </c>
      <c r="Z470" s="66" t="str">
        <f aca="false">IF(ISBLANK($C470),"",IF(AND(ISNUMBER(L470),L470&gt;0),INT(L470),0))</f>
        <v/>
      </c>
      <c r="AA470" s="68" t="str">
        <f aca="false">IF(ISBLANK($C470),"",IF(ISNUMBER(M470), M470, ""))</f>
        <v/>
      </c>
      <c r="AB470" s="68" t="str">
        <f aca="false">IF(ISBLANK($C470),"",IF(ISNUMBER(N470), N470, ""))</f>
        <v/>
      </c>
      <c r="AC470" s="68" t="str">
        <f aca="false">IF(ISBLANK($C470),"",IF(ISNUMBER(O470), O470, ""))</f>
        <v/>
      </c>
      <c r="AD470" s="69" t="str">
        <f aca="false">IF(ISBLANK($C470),"",IF(ISNUMBER(P470), P470, ""))</f>
        <v/>
      </c>
      <c r="AE470" s="69" t="str">
        <f aca="false">IF(ISBLANK($C470),"",IF(ISNUMBER(Q470), Q470, Constants!$B$13))</f>
        <v/>
      </c>
      <c r="AF470" s="66" t="str">
        <f aca="false">IF(ISBLANK($C470),"",IF(R470=Constants!$B$2, TRUE(), IF(R470=Constants!$B$3, FALSE(), FALSE())))</f>
        <v/>
      </c>
      <c r="AG470" s="66" t="str">
        <f aca="false">IF(ISBLANK(C470), "", IF(AF470, Constants!$B$4,IF(COUNTA(G470:P470)=0, Constants!$B$5, Constants!$B$7)))</f>
        <v/>
      </c>
      <c r="AH470" s="66" t="str">
        <f aca="false">IF(ISBLANK($C470), "",IF($AG470=Constants!$B$7,1,$AG470))</f>
        <v/>
      </c>
      <c r="AI470" s="66" t="str">
        <f aca="false">IF($AG470=Constants!$B$7,POWER(Constants!$B$11,X470)*POWER(Constants!$B$12,Z470),"")</f>
        <v/>
      </c>
      <c r="AJ470" s="66" t="str">
        <f aca="false">IF(AND($AG470=Constants!$B$7, U470, V470) ,IF(OR($AA470="",$AC470=""),"",MAX(0, $AC470-$AA470)),"")</f>
        <v/>
      </c>
      <c r="AK470" s="66" t="str">
        <f aca="false">IF(AND($AG470=Constants!$B$7, U470, V470),IF(OR($AA470="",$AC470=""),$AK$6,""),"")</f>
        <v/>
      </c>
      <c r="AL470" s="66" t="str">
        <f aca="false">IF($AG470=Constants!$B$7,IF(AND(U470,V470,W470,Y470),IF($AJ470="",0,IF($AJ$6=0,Constants!$B$9,Constants!$B$9*AJ470/$AJ$6)), 0),"")</f>
        <v/>
      </c>
      <c r="AM470" s="66" t="str">
        <f aca="false">IF(AL470&lt;&gt;"", AL470*AI470,"")</f>
        <v/>
      </c>
      <c r="AN470" s="66" t="str">
        <f aca="false">IF(AND($AG470=Constants!$B$7, U470, V470) ,IF($AB470="", "", IF(OR($AC470="",$AC470=0),"",MAX(0,1-ABS($AC470-$AB470)/$AC470))),"")</f>
        <v/>
      </c>
      <c r="AO470" s="66" t="str">
        <f aca="false">IF(AND($AG470=Constants!$B$7, U470, V470),IF(AND($AA470&lt;&gt;"",$AB470&lt;&gt;"",$AC470=0),$AO$6,""),"")</f>
        <v/>
      </c>
      <c r="AP470" s="66" t="str">
        <f aca="false">IF($AG470=Constants!$B$7 ,IF(AND(U470,V470,W470,Y470,ISNUMBER(AB470)),IF($AN470="",0,IF($AN$6=0,Constants!$B$10,Constants!$B$10*AN470/$AN$6)), 0),"")</f>
        <v/>
      </c>
      <c r="AQ470" s="66" t="str">
        <f aca="false">IF(AP470&lt;&gt;"", AP470*AI470,"")</f>
        <v/>
      </c>
      <c r="AR470" s="66" t="str">
        <f aca="false">IF($AG470=Constants!$B$7,IF($AD470="",0,IF($AR$6=0,Constants!$B$8,Constants!$B$8*AD470/$AR$6)),"")</f>
        <v/>
      </c>
      <c r="AS470" s="66" t="str">
        <f aca="false">IF($AG470&lt;&gt;Constants!$B$7,$AG470,IF(AK470&amp;AO470&lt;&gt;"",Constants!$B$14,AM470+AQ470+AR470))</f>
        <v/>
      </c>
      <c r="AT470" s="66" t="str">
        <f aca="false">IF(ISBLANK($C470),"",IF($AG470=Constants!$B$7,IF(ISNUMBER(AS470),RANK(AS470,$AS$8:$AS$507),Constants!$B$14),$AG470))</f>
        <v/>
      </c>
      <c r="AU470" s="66" t="str">
        <f aca="false">IF(ISBLANK($C470), "",AM470)</f>
        <v/>
      </c>
      <c r="AV470" s="66" t="str">
        <f aca="false">IF(ISBLANK($C470),"",IF($AG470=Constants!$B$7,RANK(AU470,AU$8:AU$507),$AG470))</f>
        <v/>
      </c>
      <c r="AW470" s="66" t="str">
        <f aca="false">IF(ISBLANK($C470), "",AR470)</f>
        <v/>
      </c>
      <c r="AX470" s="66" t="str">
        <f aca="false">IF(ISBLANK($C470),"",IF($AG470=Constants!$B$7,RANK(AW470,AW$8:AW$507),$AG470))</f>
        <v/>
      </c>
      <c r="AY470" s="66" t="str">
        <f aca="false">IF(ISBLANK($C470), "",AE470)</f>
        <v/>
      </c>
      <c r="AZ470" s="66" t="str">
        <f aca="false">IF(ISBLANK($C470),"",
IF($AG470=Constants!$B$7,
  IF(ISNUMBER(AT470),
    COUNTIFS($AT$8:$AT$507,"&lt;"&amp;$AT470)
    + COUNTIFS($AT$8:$AT$507,$AT470,$AV$8:$AV$507,"&lt;"&amp;$AV470)
    + COUNTIFS($AT$8:$AT$507,$AT470,$AV$8:$AV$507,$AV470,$AX$8:$AX$507,"&lt;"&amp;$AX470)
    + COUNTIFS($AT$8:$AT$507,$AT470,$AV$8:$AV$507,$AV470,$AX$8:$AX$507,$AX470,$AY$8:$AY$507,"&lt;"&amp;$AY470)
    + 1,
  Constants!$B$14),
$AG470))</f>
        <v/>
      </c>
      <c r="BA470" s="66" t="str">
        <f aca="false">IF(ISBLANK(C470),"",IF($AG470=Constants!$B$7, IF(ISNUMBER(AT470),AT470-AZ470,Constants!$B$14),$AG470))</f>
        <v/>
      </c>
      <c r="BB470" s="70"/>
      <c r="BC470" s="84" t="str">
        <f aca="false">IF(ISBLANK($C470),"",TRIM(AK470&amp;" "&amp;AO470))</f>
        <v/>
      </c>
      <c r="BD470" s="72" t="str">
        <f aca="false">IF(ISBLANK($C470),"",IF($AG470&lt;&gt;Constants!$B$7,$AG470,AR470))</f>
        <v/>
      </c>
      <c r="BE470" s="72" t="str">
        <f aca="false">IF(ISBLANK($C470),"",IF($AG470&lt;&gt;Constants!$B$7,$AG470,AM470))</f>
        <v/>
      </c>
      <c r="BF470" s="72" t="str">
        <f aca="false">IF(ISBLANK($C470),"",IF($AG470&lt;&gt;Constants!$B$7,$AG470,AQ470))</f>
        <v/>
      </c>
      <c r="BG470" s="73" t="str">
        <f aca="false">IF(ISBLANK($C470),"",IF($AG470&lt;&gt;Constants!$B$7, $AG470 ,AS470))</f>
        <v/>
      </c>
      <c r="BH470" s="74" t="str">
        <f aca="false">IF(ISBLANK($C470),"",IF($AG470&lt;&gt;Constants!$B$7, $AG470 ,AH470))</f>
        <v/>
      </c>
      <c r="BI470" s="72" t="str">
        <f aca="false">IF(ISBLANK(C470),"",BA470)</f>
        <v/>
      </c>
      <c r="BJ470" s="72" t="str">
        <f aca="false">IF(ISBLANK(C470),"",AZ470)</f>
        <v/>
      </c>
      <c r="BK470" s="75" t="str">
        <f aca="false">IF(ISBLANK(C470),"",IFERROR(_xlfn.SWITCH(BJ470, Constants!$B$4, COUNTA($C$8:$C969)+2, Constants!$B$5, COUNTA($C$8:$C969)+1, Constants!$B$6, COUNTA($C$8:$C969)),BJ470))</f>
        <v/>
      </c>
      <c r="BL470" s="5"/>
      <c r="BM470" s="76" t="n">
        <f aca="false">IF(OR(ISNUMBER(BJ470),BJ470="DQ",BJ470="P",BJ470="NS"),
    1,
    0
)</f>
        <v>0</v>
      </c>
      <c r="BN470" s="76" t="n">
        <v>463</v>
      </c>
      <c r="BO470" s="76" t="str">
        <f aca="false">IF(ISBLANK($C470),"",IF(ISNUMBER(BK470),BK470+ROW($B470)/1000,""))</f>
        <v/>
      </c>
      <c r="BP470" s="76" t="str">
        <f aca="false">IF(ISNUMBER(BO470), RANK(BO470,BO$8:BO$507,1), "")</f>
        <v/>
      </c>
      <c r="BQ470" s="76" t="str">
        <f aca="false">IF(ISBLANK($C470),
    "",
    $B470
)</f>
        <v/>
      </c>
      <c r="BR470" s="76" t="str">
        <f aca="false">IF(ISBLANK($C470),
    "",
    $C470
)</f>
        <v/>
      </c>
      <c r="BS470" s="76" t="str">
        <f aca="false">IF(ISBLANK($C470),
    "",
    $D470
)</f>
        <v/>
      </c>
      <c r="BT470" s="77" t="str">
        <f aca="false">BH470</f>
        <v/>
      </c>
      <c r="BU470" s="78" t="str">
        <f aca="false">BG470</f>
        <v/>
      </c>
      <c r="BV470" s="76" t="str">
        <f aca="false">IF(ISBLANK($C470),
    "",
    BJ470
)</f>
        <v/>
      </c>
      <c r="BW470" s="79" t="str">
        <f aca="false">IF(BN470&gt;BM$7,
    "",
    VLOOKUP(BN470,BP$8:BV969,7,FALSE())
)</f>
        <v/>
      </c>
      <c r="BX470" s="80" t="str">
        <f aca="false">IF(BN470&gt;BM$7,
    "",
    VLOOKUP(BN470,BP$8:BV969,2,FALSE())
)</f>
        <v/>
      </c>
      <c r="BY470" s="80" t="str">
        <f aca="false">IF(BN470&gt;BM$7,
    "",
    VLOOKUP(BN470,BP$8:BV969,3,FALSE())
)</f>
        <v/>
      </c>
      <c r="BZ470" s="80" t="str">
        <f aca="false">IF(BN470&gt;BM$7,
    "",
    VLOOKUP(BN470,BP$8:BV969,4,FALSE())
)</f>
        <v/>
      </c>
      <c r="CA470" s="80" t="str">
        <f aca="false">IF(BN470&gt;BM$7,
    "",
    VLOOKUP(BN470,BP$8:BV969,5,FALSE())
)</f>
        <v/>
      </c>
      <c r="CB470" s="81" t="str">
        <f aca="false">IF(BN470&gt;BM$7,
    "",
    VLOOKUP(BN470,BP$8:BV969,6,FALSE())
)</f>
        <v/>
      </c>
      <c r="CC470" s="53"/>
    </row>
    <row r="471" customFormat="false" ht="15.75" hidden="false" customHeight="false" outlineLevel="0" collapsed="false">
      <c r="A471" s="5"/>
      <c r="B471" s="129"/>
      <c r="C471" s="55"/>
      <c r="D471" s="56"/>
      <c r="E471" s="123"/>
      <c r="F471" s="123"/>
      <c r="G471" s="58"/>
      <c r="H471" s="59"/>
      <c r="I471" s="59"/>
      <c r="J471" s="83"/>
      <c r="K471" s="83"/>
      <c r="L471" s="83"/>
      <c r="M471" s="61"/>
      <c r="N471" s="61"/>
      <c r="O471" s="61"/>
      <c r="P471" s="62"/>
      <c r="Q471" s="63"/>
      <c r="R471" s="83"/>
      <c r="S471" s="65"/>
      <c r="T471" s="66"/>
      <c r="U471" s="66" t="str">
        <f aca="false">IF(ISBLANK($C471),"",IF(G471=Constants!$B$2, TRUE(), IF(G471=Constants!$B$3, FALSE(), TRUE())))</f>
        <v/>
      </c>
      <c r="V471" s="66" t="str">
        <f aca="false">IF(ISBLANK($C471),"",IF(H471=Constants!$B$2, TRUE(), IF(H471=Constants!$B$3, FALSE(), TRUE())))</f>
        <v/>
      </c>
      <c r="W471" s="66" t="str">
        <f aca="false">IF(ISBLANK($C471),"",IF(I471=Constants!$B$2, TRUE(), IF(I471=Constants!$B$3, FALSE(), TRUE())))</f>
        <v/>
      </c>
      <c r="X471" s="66" t="str">
        <f aca="false">IF(ISBLANK($C471),"",IF(AND(ISNUMBER(J471),J471&gt;0),INT(J471),0))</f>
        <v/>
      </c>
      <c r="Y471" s="66" t="str">
        <f aca="false">IF(ISBLANK($C471),"",IF(K471=Constants!$B$2, TRUE(), IF(K471=Constants!$B$3, FALSE(), TRUE())))</f>
        <v/>
      </c>
      <c r="Z471" s="66" t="str">
        <f aca="false">IF(ISBLANK($C471),"",IF(AND(ISNUMBER(L471),L471&gt;0),INT(L471),0))</f>
        <v/>
      </c>
      <c r="AA471" s="68" t="str">
        <f aca="false">IF(ISBLANK($C471),"",IF(ISNUMBER(M471), M471, ""))</f>
        <v/>
      </c>
      <c r="AB471" s="68" t="str">
        <f aca="false">IF(ISBLANK($C471),"",IF(ISNUMBER(N471), N471, ""))</f>
        <v/>
      </c>
      <c r="AC471" s="68" t="str">
        <f aca="false">IF(ISBLANK($C471),"",IF(ISNUMBER(O471), O471, ""))</f>
        <v/>
      </c>
      <c r="AD471" s="69" t="str">
        <f aca="false">IF(ISBLANK($C471),"",IF(ISNUMBER(P471), P471, ""))</f>
        <v/>
      </c>
      <c r="AE471" s="69" t="str">
        <f aca="false">IF(ISBLANK($C471),"",IF(ISNUMBER(Q471), Q471, Constants!$B$13))</f>
        <v/>
      </c>
      <c r="AF471" s="66" t="str">
        <f aca="false">IF(ISBLANK($C471),"",IF(R471=Constants!$B$2, TRUE(), IF(R471=Constants!$B$3, FALSE(), FALSE())))</f>
        <v/>
      </c>
      <c r="AG471" s="66" t="str">
        <f aca="false">IF(ISBLANK(C471), "", IF(AF471, Constants!$B$4,IF(COUNTA(G471:P471)=0, Constants!$B$5, Constants!$B$7)))</f>
        <v/>
      </c>
      <c r="AH471" s="66" t="str">
        <f aca="false">IF(ISBLANK($C471), "",IF($AG471=Constants!$B$7,1,$AG471))</f>
        <v/>
      </c>
      <c r="AI471" s="66" t="str">
        <f aca="false">IF($AG471=Constants!$B$7,POWER(Constants!$B$11,X471)*POWER(Constants!$B$12,Z471),"")</f>
        <v/>
      </c>
      <c r="AJ471" s="66" t="str">
        <f aca="false">IF(AND($AG471=Constants!$B$7, U471, V471) ,IF(OR($AA471="",$AC471=""),"",MAX(0, $AC471-$AA471)),"")</f>
        <v/>
      </c>
      <c r="AK471" s="66" t="str">
        <f aca="false">IF(AND($AG471=Constants!$B$7, U471, V471),IF(OR($AA471="",$AC471=""),$AK$6,""),"")</f>
        <v/>
      </c>
      <c r="AL471" s="66" t="str">
        <f aca="false">IF($AG471=Constants!$B$7,IF(AND(U471,V471,W471,Y471),IF($AJ471="",0,IF($AJ$6=0,Constants!$B$9,Constants!$B$9*AJ471/$AJ$6)), 0),"")</f>
        <v/>
      </c>
      <c r="AM471" s="66" t="str">
        <f aca="false">IF(AL471&lt;&gt;"", AL471*AI471,"")</f>
        <v/>
      </c>
      <c r="AN471" s="66" t="str">
        <f aca="false">IF(AND($AG471=Constants!$B$7, U471, V471) ,IF($AB471="", "", IF(OR($AC471="",$AC471=0),"",MAX(0,1-ABS($AC471-$AB471)/$AC471))),"")</f>
        <v/>
      </c>
      <c r="AO471" s="66" t="str">
        <f aca="false">IF(AND($AG471=Constants!$B$7, U471, V471),IF(AND($AA471&lt;&gt;"",$AB471&lt;&gt;"",$AC471=0),$AO$6,""),"")</f>
        <v/>
      </c>
      <c r="AP471" s="66" t="str">
        <f aca="false">IF($AG471=Constants!$B$7 ,IF(AND(U471,V471,W471,Y471,ISNUMBER(AB471)),IF($AN471="",0,IF($AN$6=0,Constants!$B$10,Constants!$B$10*AN471/$AN$6)), 0),"")</f>
        <v/>
      </c>
      <c r="AQ471" s="66" t="str">
        <f aca="false">IF(AP471&lt;&gt;"", AP471*AI471,"")</f>
        <v/>
      </c>
      <c r="AR471" s="66" t="str">
        <f aca="false">IF($AG471=Constants!$B$7,IF($AD471="",0,IF($AR$6=0,Constants!$B$8,Constants!$B$8*AD471/$AR$6)),"")</f>
        <v/>
      </c>
      <c r="AS471" s="66" t="str">
        <f aca="false">IF($AG471&lt;&gt;Constants!$B$7,$AG471,IF(AK471&amp;AO471&lt;&gt;"",Constants!$B$14,AM471+AQ471+AR471))</f>
        <v/>
      </c>
      <c r="AT471" s="66" t="str">
        <f aca="false">IF(ISBLANK($C471),"",IF($AG471=Constants!$B$7,IF(ISNUMBER(AS471),RANK(AS471,$AS$8:$AS$507),Constants!$B$14),$AG471))</f>
        <v/>
      </c>
      <c r="AU471" s="66" t="str">
        <f aca="false">IF(ISBLANK($C471), "",AM471)</f>
        <v/>
      </c>
      <c r="AV471" s="66" t="str">
        <f aca="false">IF(ISBLANK($C471),"",IF($AG471=Constants!$B$7,RANK(AU471,AU$8:AU$507),$AG471))</f>
        <v/>
      </c>
      <c r="AW471" s="66" t="str">
        <f aca="false">IF(ISBLANK($C471), "",AR471)</f>
        <v/>
      </c>
      <c r="AX471" s="66" t="str">
        <f aca="false">IF(ISBLANK($C471),"",IF($AG471=Constants!$B$7,RANK(AW471,AW$8:AW$507),$AG471))</f>
        <v/>
      </c>
      <c r="AY471" s="66" t="str">
        <f aca="false">IF(ISBLANK($C471), "",AE471)</f>
        <v/>
      </c>
      <c r="AZ471" s="66" t="str">
        <f aca="false">IF(ISBLANK($C471),"",
IF($AG471=Constants!$B$7,
  IF(ISNUMBER(AT471),
    COUNTIFS($AT$8:$AT$507,"&lt;"&amp;$AT471)
    + COUNTIFS($AT$8:$AT$507,$AT471,$AV$8:$AV$507,"&lt;"&amp;$AV471)
    + COUNTIFS($AT$8:$AT$507,$AT471,$AV$8:$AV$507,$AV471,$AX$8:$AX$507,"&lt;"&amp;$AX471)
    + COUNTIFS($AT$8:$AT$507,$AT471,$AV$8:$AV$507,$AV471,$AX$8:$AX$507,$AX471,$AY$8:$AY$507,"&lt;"&amp;$AY471)
    + 1,
  Constants!$B$14),
$AG471))</f>
        <v/>
      </c>
      <c r="BA471" s="66" t="str">
        <f aca="false">IF(ISBLANK(C471),"",IF($AG471=Constants!$B$7, IF(ISNUMBER(AT471),AT471-AZ471,Constants!$B$14),$AG471))</f>
        <v/>
      </c>
      <c r="BB471" s="70"/>
      <c r="BC471" s="84" t="str">
        <f aca="false">IF(ISBLANK($C471),"",TRIM(AK471&amp;" "&amp;AO471))</f>
        <v/>
      </c>
      <c r="BD471" s="72" t="str">
        <f aca="false">IF(ISBLANK($C471),"",IF($AG471&lt;&gt;Constants!$B$7,$AG471,AR471))</f>
        <v/>
      </c>
      <c r="BE471" s="72" t="str">
        <f aca="false">IF(ISBLANK($C471),"",IF($AG471&lt;&gt;Constants!$B$7,$AG471,AM471))</f>
        <v/>
      </c>
      <c r="BF471" s="72" t="str">
        <f aca="false">IF(ISBLANK($C471),"",IF($AG471&lt;&gt;Constants!$B$7,$AG471,AQ471))</f>
        <v/>
      </c>
      <c r="BG471" s="73" t="str">
        <f aca="false">IF(ISBLANK($C471),"",IF($AG471&lt;&gt;Constants!$B$7, $AG471 ,AS471))</f>
        <v/>
      </c>
      <c r="BH471" s="74" t="str">
        <f aca="false">IF(ISBLANK($C471),"",IF($AG471&lt;&gt;Constants!$B$7, $AG471 ,AH471))</f>
        <v/>
      </c>
      <c r="BI471" s="72" t="str">
        <f aca="false">IF(ISBLANK(C471),"",BA471)</f>
        <v/>
      </c>
      <c r="BJ471" s="72" t="str">
        <f aca="false">IF(ISBLANK(C471),"",AZ471)</f>
        <v/>
      </c>
      <c r="BK471" s="75" t="str">
        <f aca="false">IF(ISBLANK(C471),"",IFERROR(_xlfn.SWITCH(BJ471, Constants!$B$4, COUNTA($C$8:$C970)+2, Constants!$B$5, COUNTA($C$8:$C970)+1, Constants!$B$6, COUNTA($C$8:$C970)),BJ471))</f>
        <v/>
      </c>
      <c r="BL471" s="5"/>
      <c r="BM471" s="76" t="n">
        <f aca="false">IF(OR(ISNUMBER(BJ471),BJ471="DQ",BJ471="P",BJ471="NS"),
    1,
    0
)</f>
        <v>0</v>
      </c>
      <c r="BN471" s="76" t="n">
        <v>464</v>
      </c>
      <c r="BO471" s="76" t="str">
        <f aca="false">IF(ISBLANK($C471),"",IF(ISNUMBER(BK471),BK471+ROW($B471)/1000,""))</f>
        <v/>
      </c>
      <c r="BP471" s="76" t="str">
        <f aca="false">IF(ISNUMBER(BO471), RANK(BO471,BO$8:BO$507,1), "")</f>
        <v/>
      </c>
      <c r="BQ471" s="76" t="str">
        <f aca="false">IF(ISBLANK($C471),
    "",
    $B471
)</f>
        <v/>
      </c>
      <c r="BR471" s="76" t="str">
        <f aca="false">IF(ISBLANK($C471),
    "",
    $C471
)</f>
        <v/>
      </c>
      <c r="BS471" s="76" t="str">
        <f aca="false">IF(ISBLANK($C471),
    "",
    $D471
)</f>
        <v/>
      </c>
      <c r="BT471" s="77" t="str">
        <f aca="false">BH471</f>
        <v/>
      </c>
      <c r="BU471" s="78" t="str">
        <f aca="false">BG471</f>
        <v/>
      </c>
      <c r="BV471" s="76" t="str">
        <f aca="false">IF(ISBLANK($C471),
    "",
    BJ471
)</f>
        <v/>
      </c>
      <c r="BW471" s="79" t="str">
        <f aca="false">IF(BN471&gt;BM$7,
    "",
    VLOOKUP(BN471,BP$8:BV970,7,FALSE())
)</f>
        <v/>
      </c>
      <c r="BX471" s="80" t="str">
        <f aca="false">IF(BN471&gt;BM$7,
    "",
    VLOOKUP(BN471,BP$8:BV970,2,FALSE())
)</f>
        <v/>
      </c>
      <c r="BY471" s="80" t="str">
        <f aca="false">IF(BN471&gt;BM$7,
    "",
    VLOOKUP(BN471,BP$8:BV970,3,FALSE())
)</f>
        <v/>
      </c>
      <c r="BZ471" s="80" t="str">
        <f aca="false">IF(BN471&gt;BM$7,
    "",
    VLOOKUP(BN471,BP$8:BV970,4,FALSE())
)</f>
        <v/>
      </c>
      <c r="CA471" s="80" t="str">
        <f aca="false">IF(BN471&gt;BM$7,
    "",
    VLOOKUP(BN471,BP$8:BV970,5,FALSE())
)</f>
        <v/>
      </c>
      <c r="CB471" s="81" t="str">
        <f aca="false">IF(BN471&gt;BM$7,
    "",
    VLOOKUP(BN471,BP$8:BV970,6,FALSE())
)</f>
        <v/>
      </c>
      <c r="CC471" s="53"/>
    </row>
    <row r="472" customFormat="false" ht="15.75" hidden="false" customHeight="false" outlineLevel="0" collapsed="false">
      <c r="A472" s="5"/>
      <c r="B472" s="129"/>
      <c r="C472" s="55"/>
      <c r="D472" s="56"/>
      <c r="E472" s="123"/>
      <c r="F472" s="123"/>
      <c r="G472" s="58"/>
      <c r="H472" s="59"/>
      <c r="I472" s="59"/>
      <c r="J472" s="83"/>
      <c r="K472" s="83"/>
      <c r="L472" s="83"/>
      <c r="M472" s="61"/>
      <c r="N472" s="61"/>
      <c r="O472" s="61"/>
      <c r="P472" s="62"/>
      <c r="Q472" s="63"/>
      <c r="R472" s="83"/>
      <c r="S472" s="65"/>
      <c r="T472" s="66"/>
      <c r="U472" s="66" t="str">
        <f aca="false">IF(ISBLANK($C472),"",IF(G472=Constants!$B$2, TRUE(), IF(G472=Constants!$B$3, FALSE(), TRUE())))</f>
        <v/>
      </c>
      <c r="V472" s="66" t="str">
        <f aca="false">IF(ISBLANK($C472),"",IF(H472=Constants!$B$2, TRUE(), IF(H472=Constants!$B$3, FALSE(), TRUE())))</f>
        <v/>
      </c>
      <c r="W472" s="66" t="str">
        <f aca="false">IF(ISBLANK($C472),"",IF(I472=Constants!$B$2, TRUE(), IF(I472=Constants!$B$3, FALSE(), TRUE())))</f>
        <v/>
      </c>
      <c r="X472" s="66" t="str">
        <f aca="false">IF(ISBLANK($C472),"",IF(AND(ISNUMBER(J472),J472&gt;0),INT(J472),0))</f>
        <v/>
      </c>
      <c r="Y472" s="66" t="str">
        <f aca="false">IF(ISBLANK($C472),"",IF(K472=Constants!$B$2, TRUE(), IF(K472=Constants!$B$3, FALSE(), TRUE())))</f>
        <v/>
      </c>
      <c r="Z472" s="66" t="str">
        <f aca="false">IF(ISBLANK($C472),"",IF(AND(ISNUMBER(L472),L472&gt;0),INT(L472),0))</f>
        <v/>
      </c>
      <c r="AA472" s="68" t="str">
        <f aca="false">IF(ISBLANK($C472),"",IF(ISNUMBER(M472), M472, ""))</f>
        <v/>
      </c>
      <c r="AB472" s="68" t="str">
        <f aca="false">IF(ISBLANK($C472),"",IF(ISNUMBER(N472), N472, ""))</f>
        <v/>
      </c>
      <c r="AC472" s="68" t="str">
        <f aca="false">IF(ISBLANK($C472),"",IF(ISNUMBER(O472), O472, ""))</f>
        <v/>
      </c>
      <c r="AD472" s="69" t="str">
        <f aca="false">IF(ISBLANK($C472),"",IF(ISNUMBER(P472), P472, ""))</f>
        <v/>
      </c>
      <c r="AE472" s="69" t="str">
        <f aca="false">IF(ISBLANK($C472),"",IF(ISNUMBER(Q472), Q472, Constants!$B$13))</f>
        <v/>
      </c>
      <c r="AF472" s="66" t="str">
        <f aca="false">IF(ISBLANK($C472),"",IF(R472=Constants!$B$2, TRUE(), IF(R472=Constants!$B$3, FALSE(), FALSE())))</f>
        <v/>
      </c>
      <c r="AG472" s="66" t="str">
        <f aca="false">IF(ISBLANK(C472), "", IF(AF472, Constants!$B$4,IF(COUNTA(G472:P472)=0, Constants!$B$5, Constants!$B$7)))</f>
        <v/>
      </c>
      <c r="AH472" s="66" t="str">
        <f aca="false">IF(ISBLANK($C472), "",IF($AG472=Constants!$B$7,1,$AG472))</f>
        <v/>
      </c>
      <c r="AI472" s="66" t="str">
        <f aca="false">IF($AG472=Constants!$B$7,POWER(Constants!$B$11,X472)*POWER(Constants!$B$12,Z472),"")</f>
        <v/>
      </c>
      <c r="AJ472" s="66" t="str">
        <f aca="false">IF(AND($AG472=Constants!$B$7, U472, V472) ,IF(OR($AA472="",$AC472=""),"",MAX(0, $AC472-$AA472)),"")</f>
        <v/>
      </c>
      <c r="AK472" s="66" t="str">
        <f aca="false">IF(AND($AG472=Constants!$B$7, U472, V472),IF(OR($AA472="",$AC472=""),$AK$6,""),"")</f>
        <v/>
      </c>
      <c r="AL472" s="66" t="str">
        <f aca="false">IF($AG472=Constants!$B$7,IF(AND(U472,V472,W472,Y472),IF($AJ472="",0,IF($AJ$6=0,Constants!$B$9,Constants!$B$9*AJ472/$AJ$6)), 0),"")</f>
        <v/>
      </c>
      <c r="AM472" s="66" t="str">
        <f aca="false">IF(AL472&lt;&gt;"", AL472*AI472,"")</f>
        <v/>
      </c>
      <c r="AN472" s="66" t="str">
        <f aca="false">IF(AND($AG472=Constants!$B$7, U472, V472) ,IF($AB472="", "", IF(OR($AC472="",$AC472=0),"",MAX(0,1-ABS($AC472-$AB472)/$AC472))),"")</f>
        <v/>
      </c>
      <c r="AO472" s="66" t="str">
        <f aca="false">IF(AND($AG472=Constants!$B$7, U472, V472),IF(AND($AA472&lt;&gt;"",$AB472&lt;&gt;"",$AC472=0),$AO$6,""),"")</f>
        <v/>
      </c>
      <c r="AP472" s="66" t="str">
        <f aca="false">IF($AG472=Constants!$B$7 ,IF(AND(U472,V472,W472,Y472,ISNUMBER(AB472)),IF($AN472="",0,IF($AN$6=0,Constants!$B$10,Constants!$B$10*AN472/$AN$6)), 0),"")</f>
        <v/>
      </c>
      <c r="AQ472" s="66" t="str">
        <f aca="false">IF(AP472&lt;&gt;"", AP472*AI472,"")</f>
        <v/>
      </c>
      <c r="AR472" s="66" t="str">
        <f aca="false">IF($AG472=Constants!$B$7,IF($AD472="",0,IF($AR$6=0,Constants!$B$8,Constants!$B$8*AD472/$AR$6)),"")</f>
        <v/>
      </c>
      <c r="AS472" s="66" t="str">
        <f aca="false">IF($AG472&lt;&gt;Constants!$B$7,$AG472,IF(AK472&amp;AO472&lt;&gt;"",Constants!$B$14,AM472+AQ472+AR472))</f>
        <v/>
      </c>
      <c r="AT472" s="66" t="str">
        <f aca="false">IF(ISBLANK($C472),"",IF($AG472=Constants!$B$7,IF(ISNUMBER(AS472),RANK(AS472,$AS$8:$AS$507),Constants!$B$14),$AG472))</f>
        <v/>
      </c>
      <c r="AU472" s="66" t="str">
        <f aca="false">IF(ISBLANK($C472), "",AM472)</f>
        <v/>
      </c>
      <c r="AV472" s="66" t="str">
        <f aca="false">IF(ISBLANK($C472),"",IF($AG472=Constants!$B$7,RANK(AU472,AU$8:AU$507),$AG472))</f>
        <v/>
      </c>
      <c r="AW472" s="66" t="str">
        <f aca="false">IF(ISBLANK($C472), "",AR472)</f>
        <v/>
      </c>
      <c r="AX472" s="66" t="str">
        <f aca="false">IF(ISBLANK($C472),"",IF($AG472=Constants!$B$7,RANK(AW472,AW$8:AW$507),$AG472))</f>
        <v/>
      </c>
      <c r="AY472" s="66" t="str">
        <f aca="false">IF(ISBLANK($C472), "",AE472)</f>
        <v/>
      </c>
      <c r="AZ472" s="66" t="str">
        <f aca="false">IF(ISBLANK($C472),"",
IF($AG472=Constants!$B$7,
  IF(ISNUMBER(AT472),
    COUNTIFS($AT$8:$AT$507,"&lt;"&amp;$AT472)
    + COUNTIFS($AT$8:$AT$507,$AT472,$AV$8:$AV$507,"&lt;"&amp;$AV472)
    + COUNTIFS($AT$8:$AT$507,$AT472,$AV$8:$AV$507,$AV472,$AX$8:$AX$507,"&lt;"&amp;$AX472)
    + COUNTIFS($AT$8:$AT$507,$AT472,$AV$8:$AV$507,$AV472,$AX$8:$AX$507,$AX472,$AY$8:$AY$507,"&lt;"&amp;$AY472)
    + 1,
  Constants!$B$14),
$AG472))</f>
        <v/>
      </c>
      <c r="BA472" s="66" t="str">
        <f aca="false">IF(ISBLANK(C472),"",IF($AG472=Constants!$B$7, IF(ISNUMBER(AT472),AT472-AZ472,Constants!$B$14),$AG472))</f>
        <v/>
      </c>
      <c r="BB472" s="70"/>
      <c r="BC472" s="84" t="str">
        <f aca="false">IF(ISBLANK($C472),"",TRIM(AK472&amp;" "&amp;AO472))</f>
        <v/>
      </c>
      <c r="BD472" s="72" t="str">
        <f aca="false">IF(ISBLANK($C472),"",IF($AG472&lt;&gt;Constants!$B$7,$AG472,AR472))</f>
        <v/>
      </c>
      <c r="BE472" s="72" t="str">
        <f aca="false">IF(ISBLANK($C472),"",IF($AG472&lt;&gt;Constants!$B$7,$AG472,AM472))</f>
        <v/>
      </c>
      <c r="BF472" s="72" t="str">
        <f aca="false">IF(ISBLANK($C472),"",IF($AG472&lt;&gt;Constants!$B$7,$AG472,AQ472))</f>
        <v/>
      </c>
      <c r="BG472" s="73" t="str">
        <f aca="false">IF(ISBLANK($C472),"",IF($AG472&lt;&gt;Constants!$B$7, $AG472 ,AS472))</f>
        <v/>
      </c>
      <c r="BH472" s="74" t="str">
        <f aca="false">IF(ISBLANK($C472),"",IF($AG472&lt;&gt;Constants!$B$7, $AG472 ,AH472))</f>
        <v/>
      </c>
      <c r="BI472" s="72" t="str">
        <f aca="false">IF(ISBLANK(C472),"",BA472)</f>
        <v/>
      </c>
      <c r="BJ472" s="72" t="str">
        <f aca="false">IF(ISBLANK(C472),"",AZ472)</f>
        <v/>
      </c>
      <c r="BK472" s="75" t="str">
        <f aca="false">IF(ISBLANK(C472),"",IFERROR(_xlfn.SWITCH(BJ472, Constants!$B$4, COUNTA($C$8:$C971)+2, Constants!$B$5, COUNTA($C$8:$C971)+1, Constants!$B$6, COUNTA($C$8:$C971)),BJ472))</f>
        <v/>
      </c>
      <c r="BL472" s="5"/>
      <c r="BM472" s="76" t="n">
        <f aca="false">IF(OR(ISNUMBER(BJ472),BJ472="DQ",BJ472="P",BJ472="NS"),
    1,
    0
)</f>
        <v>0</v>
      </c>
      <c r="BN472" s="76" t="n">
        <v>465</v>
      </c>
      <c r="BO472" s="76" t="str">
        <f aca="false">IF(ISBLANK($C472),"",IF(ISNUMBER(BK472),BK472+ROW($B472)/1000,""))</f>
        <v/>
      </c>
      <c r="BP472" s="76" t="str">
        <f aca="false">IF(ISNUMBER(BO472), RANK(BO472,BO$8:BO$507,1), "")</f>
        <v/>
      </c>
      <c r="BQ472" s="76" t="str">
        <f aca="false">IF(ISBLANK($C472),
    "",
    $B472
)</f>
        <v/>
      </c>
      <c r="BR472" s="76" t="str">
        <f aca="false">IF(ISBLANK($C472),
    "",
    $C472
)</f>
        <v/>
      </c>
      <c r="BS472" s="76" t="str">
        <f aca="false">IF(ISBLANK($C472),
    "",
    $D472
)</f>
        <v/>
      </c>
      <c r="BT472" s="77" t="str">
        <f aca="false">BH472</f>
        <v/>
      </c>
      <c r="BU472" s="78" t="str">
        <f aca="false">BG472</f>
        <v/>
      </c>
      <c r="BV472" s="76" t="str">
        <f aca="false">IF(ISBLANK($C472),
    "",
    BJ472
)</f>
        <v/>
      </c>
      <c r="BW472" s="79" t="str">
        <f aca="false">IF(BN472&gt;BM$7,
    "",
    VLOOKUP(BN472,BP$8:BV971,7,FALSE())
)</f>
        <v/>
      </c>
      <c r="BX472" s="80" t="str">
        <f aca="false">IF(BN472&gt;BM$7,
    "",
    VLOOKUP(BN472,BP$8:BV971,2,FALSE())
)</f>
        <v/>
      </c>
      <c r="BY472" s="80" t="str">
        <f aca="false">IF(BN472&gt;BM$7,
    "",
    VLOOKUP(BN472,BP$8:BV971,3,FALSE())
)</f>
        <v/>
      </c>
      <c r="BZ472" s="80" t="str">
        <f aca="false">IF(BN472&gt;BM$7,
    "",
    VLOOKUP(BN472,BP$8:BV971,4,FALSE())
)</f>
        <v/>
      </c>
      <c r="CA472" s="80" t="str">
        <f aca="false">IF(BN472&gt;BM$7,
    "",
    VLOOKUP(BN472,BP$8:BV971,5,FALSE())
)</f>
        <v/>
      </c>
      <c r="CB472" s="81" t="str">
        <f aca="false">IF(BN472&gt;BM$7,
    "",
    VLOOKUP(BN472,BP$8:BV971,6,FALSE())
)</f>
        <v/>
      </c>
      <c r="CC472" s="53"/>
    </row>
    <row r="473" customFormat="false" ht="15.75" hidden="false" customHeight="false" outlineLevel="0" collapsed="false">
      <c r="A473" s="5"/>
      <c r="B473" s="125"/>
      <c r="C473" s="126"/>
      <c r="D473" s="115"/>
      <c r="E473" s="119"/>
      <c r="F473" s="119"/>
      <c r="G473" s="91"/>
      <c r="H473" s="92"/>
      <c r="I473" s="92"/>
      <c r="J473" s="128"/>
      <c r="K473" s="128"/>
      <c r="L473" s="128"/>
      <c r="M473" s="94"/>
      <c r="N473" s="94"/>
      <c r="O473" s="94"/>
      <c r="P473" s="95"/>
      <c r="Q473" s="96"/>
      <c r="R473" s="128"/>
      <c r="S473" s="98"/>
      <c r="T473" s="99"/>
      <c r="U473" s="99" t="str">
        <f aca="false">IF(ISBLANK($C473),"",IF(G473=Constants!$B$2, TRUE(), IF(G473=Constants!$B$3, FALSE(), TRUE())))</f>
        <v/>
      </c>
      <c r="V473" s="99" t="str">
        <f aca="false">IF(ISBLANK($C473),"",IF(H473=Constants!$B$2, TRUE(), IF(H473=Constants!$B$3, FALSE(), TRUE())))</f>
        <v/>
      </c>
      <c r="W473" s="99" t="str">
        <f aca="false">IF(ISBLANK($C473),"",IF(I473=Constants!$B$2, TRUE(), IF(I473=Constants!$B$3, FALSE(), TRUE())))</f>
        <v/>
      </c>
      <c r="X473" s="99" t="str">
        <f aca="false">IF(ISBLANK($C473),"",IF(AND(ISNUMBER(J473),J473&gt;0),INT(J473),0))</f>
        <v/>
      </c>
      <c r="Y473" s="99" t="str">
        <f aca="false">IF(ISBLANK($C473),"",IF(K473=Constants!$B$2, TRUE(), IF(K473=Constants!$B$3, FALSE(), TRUE())))</f>
        <v/>
      </c>
      <c r="Z473" s="100" t="str">
        <f aca="false">IF(ISBLANK($C473),"",IF(AND(ISNUMBER(L473),L473&gt;0),INT(L473),0))</f>
        <v/>
      </c>
      <c r="AA473" s="101" t="str">
        <f aca="false">IF(ISBLANK($C473),"",IF(ISNUMBER(M473), M473, ""))</f>
        <v/>
      </c>
      <c r="AB473" s="101" t="str">
        <f aca="false">IF(ISBLANK($C473),"",IF(ISNUMBER(N473), N473, ""))</f>
        <v/>
      </c>
      <c r="AC473" s="101" t="str">
        <f aca="false">IF(ISBLANK($C473),"",IF(ISNUMBER(O473), O473, ""))</f>
        <v/>
      </c>
      <c r="AD473" s="102" t="str">
        <f aca="false">IF(ISBLANK($C473),"",IF(ISNUMBER(P473), P473, ""))</f>
        <v/>
      </c>
      <c r="AE473" s="102" t="str">
        <f aca="false">IF(ISBLANK($C473),"",IF(ISNUMBER(Q473), Q473, Constants!$B$13))</f>
        <v/>
      </c>
      <c r="AF473" s="99" t="str">
        <f aca="false">IF(ISBLANK($C473),"",IF(R473=Constants!$B$2, TRUE(), IF(R473=Constants!$B$3, FALSE(), FALSE())))</f>
        <v/>
      </c>
      <c r="AG473" s="99" t="str">
        <f aca="false">IF(ISBLANK(C473), "", IF(AF473, Constants!$B$4,IF(COUNTA(G473:P473)=0, Constants!$B$5, Constants!$B$7)))</f>
        <v/>
      </c>
      <c r="AH473" s="99" t="str">
        <f aca="false">IF(ISBLANK($C473), "",IF($AG473=Constants!$B$7,1,$AG473))</f>
        <v/>
      </c>
      <c r="AI473" s="99" t="str">
        <f aca="false">IF($AG473=Constants!$B$7,POWER(Constants!$B$11,X473)*POWER(Constants!$B$12,Z473),"")</f>
        <v/>
      </c>
      <c r="AJ473" s="99" t="str">
        <f aca="false">IF(AND($AG473=Constants!$B$7, U473, V473) ,IF(OR($AA473="",$AC473=""),"",MAX(0, $AC473-$AA473)),"")</f>
        <v/>
      </c>
      <c r="AK473" s="99" t="str">
        <f aca="false">IF(AND($AG473=Constants!$B$7, U473, V473),IF(OR($AA473="",$AC473=""),$AK$6,""),"")</f>
        <v/>
      </c>
      <c r="AL473" s="99" t="str">
        <f aca="false">IF($AG473=Constants!$B$7,IF(AND(U473,V473,W473,Y473),IF($AJ473="",0,IF($AJ$6=0,Constants!$B$9,Constants!$B$9*AJ473/$AJ$6)), 0),"")</f>
        <v/>
      </c>
      <c r="AM473" s="99" t="str">
        <f aca="false">IF(AL473&lt;&gt;"", AL473*AI473,"")</f>
        <v/>
      </c>
      <c r="AN473" s="99" t="str">
        <f aca="false">IF(AND($AG473=Constants!$B$7, U473, V473) ,IF($AB473="", "", IF(OR($AC473="",$AC473=0),"",MAX(0,1-ABS($AC473-$AB473)/$AC473))),"")</f>
        <v/>
      </c>
      <c r="AO473" s="99" t="str">
        <f aca="false">IF(AND($AG473=Constants!$B$7, U473, V473),IF(AND($AA473&lt;&gt;"",$AB473&lt;&gt;"",$AC473=0),$AO$6,""),"")</f>
        <v/>
      </c>
      <c r="AP473" s="99" t="str">
        <f aca="false">IF($AG473=Constants!$B$7 ,IF(AND(U473,V473,W473,Y473,ISNUMBER(AB473)),IF($AN473="",0,IF($AN$6=0,Constants!$B$10,Constants!$B$10*AN473/$AN$6)), 0),"")</f>
        <v/>
      </c>
      <c r="AQ473" s="99" t="str">
        <f aca="false">IF(AP473&lt;&gt;"", AP473*AI473,"")</f>
        <v/>
      </c>
      <c r="AR473" s="99" t="str">
        <f aca="false">IF($AG473=Constants!$B$7,IF($AD473="",0,IF($AR$6=0,Constants!$B$8,Constants!$B$8*AD473/$AR$6)),"")</f>
        <v/>
      </c>
      <c r="AS473" s="99" t="str">
        <f aca="false">IF($AG473&lt;&gt;Constants!$B$7,$AG473,IF(AK473&amp;AO473&lt;&gt;"",Constants!$B$14,AM473+AQ473+AR473))</f>
        <v/>
      </c>
      <c r="AT473" s="99" t="str">
        <f aca="false">IF(ISBLANK($C473),"",IF($AG473=Constants!$B$7,IF(ISNUMBER(AS473),RANK(AS473,$AS$8:$AS$507),Constants!$B$14),$AG473))</f>
        <v/>
      </c>
      <c r="AU473" s="99" t="str">
        <f aca="false">IF(ISBLANK($C473), "",AM473)</f>
        <v/>
      </c>
      <c r="AV473" s="99" t="str">
        <f aca="false">IF(ISBLANK($C473),"",IF($AG473=Constants!$B$7,RANK(AU473,AU$8:AU$507),$AG473))</f>
        <v/>
      </c>
      <c r="AW473" s="99" t="str">
        <f aca="false">IF(ISBLANK($C473), "",AR473)</f>
        <v/>
      </c>
      <c r="AX473" s="99" t="str">
        <f aca="false">IF(ISBLANK($C473),"",IF($AG473=Constants!$B$7,RANK(AW473,AW$8:AW$507),$AG473))</f>
        <v/>
      </c>
      <c r="AY473" s="99" t="str">
        <f aca="false">IF(ISBLANK($C473), "",AE473)</f>
        <v/>
      </c>
      <c r="AZ473" s="99" t="str">
        <f aca="false">IF(ISBLANK($C473),"",
IF($AG473=Constants!$B$7,
  IF(ISNUMBER(AT473),
    COUNTIFS($AT$8:$AT$507,"&lt;"&amp;$AT473)
    + COUNTIFS($AT$8:$AT$507,$AT473,$AV$8:$AV$507,"&lt;"&amp;$AV473)
    + COUNTIFS($AT$8:$AT$507,$AT473,$AV$8:$AV$507,$AV473,$AX$8:$AX$507,"&lt;"&amp;$AX473)
    + COUNTIFS($AT$8:$AT$507,$AT473,$AV$8:$AV$507,$AV473,$AX$8:$AX$507,$AX473,$AY$8:$AY$507,"&lt;"&amp;$AY473)
    + 1,
  Constants!$B$14),
$AG473))</f>
        <v/>
      </c>
      <c r="BA473" s="99" t="str">
        <f aca="false">IF(ISBLANK(C473),"",IF($AG473=Constants!$B$7, IF(ISNUMBER(AT473),AT473-AZ473,Constants!$B$14),$AG473))</f>
        <v/>
      </c>
      <c r="BB473" s="103"/>
      <c r="BC473" s="104" t="str">
        <f aca="false">IF(ISBLANK($C473),"",TRIM(AK473&amp;" "&amp;AO473))</f>
        <v/>
      </c>
      <c r="BD473" s="105" t="str">
        <f aca="false">IF(ISBLANK($C473),"",IF($AG473&lt;&gt;Constants!$B$7,$AG473,AR473))</f>
        <v/>
      </c>
      <c r="BE473" s="105" t="str">
        <f aca="false">IF(ISBLANK($C473),"",IF($AG473&lt;&gt;Constants!$B$7,$AG473,AM473))</f>
        <v/>
      </c>
      <c r="BF473" s="105" t="str">
        <f aca="false">IF(ISBLANK($C473),"",IF($AG473&lt;&gt;Constants!$B$7,$AG473,AQ473))</f>
        <v/>
      </c>
      <c r="BG473" s="106" t="str">
        <f aca="false">IF(ISBLANK($C473),"",IF($AG473&lt;&gt;Constants!$B$7, $AG473 ,AS473))</f>
        <v/>
      </c>
      <c r="BH473" s="107" t="str">
        <f aca="false">IF(ISBLANK($C473),"",IF($AG473&lt;&gt;Constants!$B$7, $AG473 ,AH473))</f>
        <v/>
      </c>
      <c r="BI473" s="105" t="str">
        <f aca="false">IF(ISBLANK(C473),"",BA473)</f>
        <v/>
      </c>
      <c r="BJ473" s="105" t="str">
        <f aca="false">IF(ISBLANK(C473),"",AZ473)</f>
        <v/>
      </c>
      <c r="BK473" s="108" t="str">
        <f aca="false">IF(ISBLANK(C473),"",IFERROR(_xlfn.SWITCH(BJ473, Constants!$B$4, COUNTA($C$8:$C972)+2, Constants!$B$5, COUNTA($C$8:$C972)+1, Constants!$B$6, COUNTA($C$8:$C972)),BJ473))</f>
        <v/>
      </c>
      <c r="BL473" s="5"/>
      <c r="BM473" s="109" t="n">
        <f aca="false">IF(OR(ISNUMBER(BJ473),BJ473="DQ",BJ473="P",BJ473="NS"),
    1,
    0
)</f>
        <v>0</v>
      </c>
      <c r="BN473" s="109" t="n">
        <v>466</v>
      </c>
      <c r="BO473" s="109" t="str">
        <f aca="false">IF(ISBLANK($C473),"",IF(ISNUMBER(BK473),BK473+ROW($B473)/1000,""))</f>
        <v/>
      </c>
      <c r="BP473" s="109" t="str">
        <f aca="false">IF(ISNUMBER(BO473), RANK(BO473,BO$8:BO$507,1), "")</f>
        <v/>
      </c>
      <c r="BQ473" s="109" t="str">
        <f aca="false">IF(ISBLANK($C473),
    "",
    $B473
)</f>
        <v/>
      </c>
      <c r="BR473" s="109" t="str">
        <f aca="false">IF(ISBLANK($C473),
    "",
    $C473
)</f>
        <v/>
      </c>
      <c r="BS473" s="109" t="str">
        <f aca="false">IF(ISBLANK($C473),
    "",
    $D473
)</f>
        <v/>
      </c>
      <c r="BT473" s="110" t="str">
        <f aca="false">BH473</f>
        <v/>
      </c>
      <c r="BU473" s="111" t="str">
        <f aca="false">BG473</f>
        <v/>
      </c>
      <c r="BV473" s="109" t="str">
        <f aca="false">IF(ISBLANK($C473),
    "",
    BJ473
)</f>
        <v/>
      </c>
      <c r="BW473" s="112" t="str">
        <f aca="false">IF(BN473&gt;BM$7,
    "",
    VLOOKUP(BN473,BP$8:BV972,7,FALSE())
)</f>
        <v/>
      </c>
      <c r="BX473" s="113" t="str">
        <f aca="false">IF(BN473&gt;BM$7,
    "",
    VLOOKUP(BN473,BP$8:BV972,2,FALSE())
)</f>
        <v/>
      </c>
      <c r="BY473" s="113" t="str">
        <f aca="false">IF(BN473&gt;BM$7,
    "",
    VLOOKUP(BN473,BP$8:BV972,3,FALSE())
)</f>
        <v/>
      </c>
      <c r="BZ473" s="113" t="str">
        <f aca="false">IF(BN473&gt;BM$7,
    "",
    VLOOKUP(BN473,BP$8:BV972,4,FALSE())
)</f>
        <v/>
      </c>
      <c r="CA473" s="113" t="str">
        <f aca="false">IF(BN473&gt;BM$7,
    "",
    VLOOKUP(BN473,BP$8:BV972,5,FALSE())
)</f>
        <v/>
      </c>
      <c r="CB473" s="114" t="str">
        <f aca="false">IF(BN473&gt;BM$7,
    "",
    VLOOKUP(BN473,BP$8:BV972,6,FALSE())
)</f>
        <v/>
      </c>
      <c r="CC473" s="53"/>
    </row>
    <row r="474" customFormat="false" ht="15.75" hidden="false" customHeight="false" outlineLevel="0" collapsed="false">
      <c r="A474" s="5"/>
      <c r="B474" s="125"/>
      <c r="C474" s="126"/>
      <c r="D474" s="115"/>
      <c r="E474" s="119"/>
      <c r="F474" s="119"/>
      <c r="G474" s="91"/>
      <c r="H474" s="92"/>
      <c r="I474" s="92"/>
      <c r="J474" s="128"/>
      <c r="K474" s="128"/>
      <c r="L474" s="128"/>
      <c r="M474" s="94"/>
      <c r="N474" s="94"/>
      <c r="O474" s="94"/>
      <c r="P474" s="95"/>
      <c r="Q474" s="96"/>
      <c r="R474" s="128"/>
      <c r="S474" s="98"/>
      <c r="T474" s="99"/>
      <c r="U474" s="99" t="str">
        <f aca="false">IF(ISBLANK($C474),"",IF(G474=Constants!$B$2, TRUE(), IF(G474=Constants!$B$3, FALSE(), TRUE())))</f>
        <v/>
      </c>
      <c r="V474" s="99" t="str">
        <f aca="false">IF(ISBLANK($C474),"",IF(H474=Constants!$B$2, TRUE(), IF(H474=Constants!$B$3, FALSE(), TRUE())))</f>
        <v/>
      </c>
      <c r="W474" s="99" t="str">
        <f aca="false">IF(ISBLANK($C474),"",IF(I474=Constants!$B$2, TRUE(), IF(I474=Constants!$B$3, FALSE(), TRUE())))</f>
        <v/>
      </c>
      <c r="X474" s="99" t="str">
        <f aca="false">IF(ISBLANK($C474),"",IF(AND(ISNUMBER(J474),J474&gt;0),INT(J474),0))</f>
        <v/>
      </c>
      <c r="Y474" s="99" t="str">
        <f aca="false">IF(ISBLANK($C474),"",IF(K474=Constants!$B$2, TRUE(), IF(K474=Constants!$B$3, FALSE(), TRUE())))</f>
        <v/>
      </c>
      <c r="Z474" s="100" t="str">
        <f aca="false">IF(ISBLANK($C474),"",IF(AND(ISNUMBER(L474),L474&gt;0),INT(L474),0))</f>
        <v/>
      </c>
      <c r="AA474" s="101" t="str">
        <f aca="false">IF(ISBLANK($C474),"",IF(ISNUMBER(M474), M474, ""))</f>
        <v/>
      </c>
      <c r="AB474" s="101" t="str">
        <f aca="false">IF(ISBLANK($C474),"",IF(ISNUMBER(N474), N474, ""))</f>
        <v/>
      </c>
      <c r="AC474" s="101" t="str">
        <f aca="false">IF(ISBLANK($C474),"",IF(ISNUMBER(O474), O474, ""))</f>
        <v/>
      </c>
      <c r="AD474" s="102" t="str">
        <f aca="false">IF(ISBLANK($C474),"",IF(ISNUMBER(P474), P474, ""))</f>
        <v/>
      </c>
      <c r="AE474" s="102" t="str">
        <f aca="false">IF(ISBLANK($C474),"",IF(ISNUMBER(Q474), Q474, Constants!$B$13))</f>
        <v/>
      </c>
      <c r="AF474" s="99" t="str">
        <f aca="false">IF(ISBLANK($C474),"",IF(R474=Constants!$B$2, TRUE(), IF(R474=Constants!$B$3, FALSE(), FALSE())))</f>
        <v/>
      </c>
      <c r="AG474" s="99" t="str">
        <f aca="false">IF(ISBLANK(C474), "", IF(AF474, Constants!$B$4,IF(COUNTA(G474:P474)=0, Constants!$B$5, Constants!$B$7)))</f>
        <v/>
      </c>
      <c r="AH474" s="99" t="str">
        <f aca="false">IF(ISBLANK($C474), "",IF($AG474=Constants!$B$7,1,$AG474))</f>
        <v/>
      </c>
      <c r="AI474" s="99" t="str">
        <f aca="false">IF($AG474=Constants!$B$7,POWER(Constants!$B$11,X474)*POWER(Constants!$B$12,Z474),"")</f>
        <v/>
      </c>
      <c r="AJ474" s="99" t="str">
        <f aca="false">IF(AND($AG474=Constants!$B$7, U474, V474) ,IF(OR($AA474="",$AC474=""),"",MAX(0, $AC474-$AA474)),"")</f>
        <v/>
      </c>
      <c r="AK474" s="99" t="str">
        <f aca="false">IF(AND($AG474=Constants!$B$7, U474, V474),IF(OR($AA474="",$AC474=""),$AK$6,""),"")</f>
        <v/>
      </c>
      <c r="AL474" s="99" t="str">
        <f aca="false">IF($AG474=Constants!$B$7,IF(AND(U474,V474,W474,Y474),IF($AJ474="",0,IF($AJ$6=0,Constants!$B$9,Constants!$B$9*AJ474/$AJ$6)), 0),"")</f>
        <v/>
      </c>
      <c r="AM474" s="99" t="str">
        <f aca="false">IF(AL474&lt;&gt;"", AL474*AI474,"")</f>
        <v/>
      </c>
      <c r="AN474" s="99" t="str">
        <f aca="false">IF(AND($AG474=Constants!$B$7, U474, V474) ,IF($AB474="", "", IF(OR($AC474="",$AC474=0),"",MAX(0,1-ABS($AC474-$AB474)/$AC474))),"")</f>
        <v/>
      </c>
      <c r="AO474" s="99" t="str">
        <f aca="false">IF(AND($AG474=Constants!$B$7, U474, V474),IF(AND($AA474&lt;&gt;"",$AB474&lt;&gt;"",$AC474=0),$AO$6,""),"")</f>
        <v/>
      </c>
      <c r="AP474" s="99" t="str">
        <f aca="false">IF($AG474=Constants!$B$7 ,IF(AND(U474,V474,W474,Y474,ISNUMBER(AB474)),IF($AN474="",0,IF($AN$6=0,Constants!$B$10,Constants!$B$10*AN474/$AN$6)), 0),"")</f>
        <v/>
      </c>
      <c r="AQ474" s="99" t="str">
        <f aca="false">IF(AP474&lt;&gt;"", AP474*AI474,"")</f>
        <v/>
      </c>
      <c r="AR474" s="99" t="str">
        <f aca="false">IF($AG474=Constants!$B$7,IF($AD474="",0,IF($AR$6=0,Constants!$B$8,Constants!$B$8*AD474/$AR$6)),"")</f>
        <v/>
      </c>
      <c r="AS474" s="99" t="str">
        <f aca="false">IF($AG474&lt;&gt;Constants!$B$7,$AG474,IF(AK474&amp;AO474&lt;&gt;"",Constants!$B$14,AM474+AQ474+AR474))</f>
        <v/>
      </c>
      <c r="AT474" s="99" t="str">
        <f aca="false">IF(ISBLANK($C474),"",IF($AG474=Constants!$B$7,IF(ISNUMBER(AS474),RANK(AS474,$AS$8:$AS$507),Constants!$B$14),$AG474))</f>
        <v/>
      </c>
      <c r="AU474" s="99" t="str">
        <f aca="false">IF(ISBLANK($C474), "",AM474)</f>
        <v/>
      </c>
      <c r="AV474" s="99" t="str">
        <f aca="false">IF(ISBLANK($C474),"",IF($AG474=Constants!$B$7,RANK(AU474,AU$8:AU$507),$AG474))</f>
        <v/>
      </c>
      <c r="AW474" s="99" t="str">
        <f aca="false">IF(ISBLANK($C474), "",AR474)</f>
        <v/>
      </c>
      <c r="AX474" s="99" t="str">
        <f aca="false">IF(ISBLANK($C474),"",IF($AG474=Constants!$B$7,RANK(AW474,AW$8:AW$507),$AG474))</f>
        <v/>
      </c>
      <c r="AY474" s="99" t="str">
        <f aca="false">IF(ISBLANK($C474), "",AE474)</f>
        <v/>
      </c>
      <c r="AZ474" s="99" t="str">
        <f aca="false">IF(ISBLANK($C474),"",
IF($AG474=Constants!$B$7,
  IF(ISNUMBER(AT474),
    COUNTIFS($AT$8:$AT$507,"&lt;"&amp;$AT474)
    + COUNTIFS($AT$8:$AT$507,$AT474,$AV$8:$AV$507,"&lt;"&amp;$AV474)
    + COUNTIFS($AT$8:$AT$507,$AT474,$AV$8:$AV$507,$AV474,$AX$8:$AX$507,"&lt;"&amp;$AX474)
    + COUNTIFS($AT$8:$AT$507,$AT474,$AV$8:$AV$507,$AV474,$AX$8:$AX$507,$AX474,$AY$8:$AY$507,"&lt;"&amp;$AY474)
    + 1,
  Constants!$B$14),
$AG474))</f>
        <v/>
      </c>
      <c r="BA474" s="99" t="str">
        <f aca="false">IF(ISBLANK(C474),"",IF($AG474=Constants!$B$7, IF(ISNUMBER(AT474),AT474-AZ474,Constants!$B$14),$AG474))</f>
        <v/>
      </c>
      <c r="BB474" s="103"/>
      <c r="BC474" s="104" t="str">
        <f aca="false">IF(ISBLANK($C474),"",TRIM(AK474&amp;" "&amp;AO474))</f>
        <v/>
      </c>
      <c r="BD474" s="105" t="str">
        <f aca="false">IF(ISBLANK($C474),"",IF($AG474&lt;&gt;Constants!$B$7,$AG474,AR474))</f>
        <v/>
      </c>
      <c r="BE474" s="105" t="str">
        <f aca="false">IF(ISBLANK($C474),"",IF($AG474&lt;&gt;Constants!$B$7,$AG474,AM474))</f>
        <v/>
      </c>
      <c r="BF474" s="105" t="str">
        <f aca="false">IF(ISBLANK($C474),"",IF($AG474&lt;&gt;Constants!$B$7,$AG474,AQ474))</f>
        <v/>
      </c>
      <c r="BG474" s="106" t="str">
        <f aca="false">IF(ISBLANK($C474),"",IF($AG474&lt;&gt;Constants!$B$7, $AG474 ,AS474))</f>
        <v/>
      </c>
      <c r="BH474" s="107" t="str">
        <f aca="false">IF(ISBLANK($C474),"",IF($AG474&lt;&gt;Constants!$B$7, $AG474 ,AH474))</f>
        <v/>
      </c>
      <c r="BI474" s="105" t="str">
        <f aca="false">IF(ISBLANK(C474),"",BA474)</f>
        <v/>
      </c>
      <c r="BJ474" s="105" t="str">
        <f aca="false">IF(ISBLANK(C474),"",AZ474)</f>
        <v/>
      </c>
      <c r="BK474" s="108" t="str">
        <f aca="false">IF(ISBLANK(C474),"",IFERROR(_xlfn.SWITCH(BJ474, Constants!$B$4, COUNTA($C$8:$C973)+2, Constants!$B$5, COUNTA($C$8:$C973)+1, Constants!$B$6, COUNTA($C$8:$C973)),BJ474))</f>
        <v/>
      </c>
      <c r="BL474" s="5"/>
      <c r="BM474" s="109" t="n">
        <f aca="false">IF(OR(ISNUMBER(BJ474),BJ474="DQ",BJ474="P",BJ474="NS"),
    1,
    0
)</f>
        <v>0</v>
      </c>
      <c r="BN474" s="109" t="n">
        <v>467</v>
      </c>
      <c r="BO474" s="109" t="str">
        <f aca="false">IF(ISBLANK($C474),"",IF(ISNUMBER(BK474),BK474+ROW($B474)/1000,""))</f>
        <v/>
      </c>
      <c r="BP474" s="109" t="str">
        <f aca="false">IF(ISNUMBER(BO474), RANK(BO474,BO$8:BO$507,1), "")</f>
        <v/>
      </c>
      <c r="BQ474" s="109" t="str">
        <f aca="false">IF(ISBLANK($C474),
    "",
    $B474
)</f>
        <v/>
      </c>
      <c r="BR474" s="109" t="str">
        <f aca="false">IF(ISBLANK($C474),
    "",
    $C474
)</f>
        <v/>
      </c>
      <c r="BS474" s="109" t="str">
        <f aca="false">IF(ISBLANK($C474),
    "",
    $D474
)</f>
        <v/>
      </c>
      <c r="BT474" s="110" t="str">
        <f aca="false">BH474</f>
        <v/>
      </c>
      <c r="BU474" s="111" t="str">
        <f aca="false">BG474</f>
        <v/>
      </c>
      <c r="BV474" s="109" t="str">
        <f aca="false">IF(ISBLANK($C474),
    "",
    BJ474
)</f>
        <v/>
      </c>
      <c r="BW474" s="112" t="str">
        <f aca="false">IF(BN474&gt;BM$7,
    "",
    VLOOKUP(BN474,BP$8:BV973,7,FALSE())
)</f>
        <v/>
      </c>
      <c r="BX474" s="113" t="str">
        <f aca="false">IF(BN474&gt;BM$7,
    "",
    VLOOKUP(BN474,BP$8:BV973,2,FALSE())
)</f>
        <v/>
      </c>
      <c r="BY474" s="113" t="str">
        <f aca="false">IF(BN474&gt;BM$7,
    "",
    VLOOKUP(BN474,BP$8:BV973,3,FALSE())
)</f>
        <v/>
      </c>
      <c r="BZ474" s="113" t="str">
        <f aca="false">IF(BN474&gt;BM$7,
    "",
    VLOOKUP(BN474,BP$8:BV973,4,FALSE())
)</f>
        <v/>
      </c>
      <c r="CA474" s="113" t="str">
        <f aca="false">IF(BN474&gt;BM$7,
    "",
    VLOOKUP(BN474,BP$8:BV973,5,FALSE())
)</f>
        <v/>
      </c>
      <c r="CB474" s="114" t="str">
        <f aca="false">IF(BN474&gt;BM$7,
    "",
    VLOOKUP(BN474,BP$8:BV973,6,FALSE())
)</f>
        <v/>
      </c>
      <c r="CC474" s="53"/>
    </row>
    <row r="475" customFormat="false" ht="15.75" hidden="false" customHeight="false" outlineLevel="0" collapsed="false">
      <c r="A475" s="5"/>
      <c r="B475" s="125"/>
      <c r="C475" s="126"/>
      <c r="D475" s="115"/>
      <c r="E475" s="119"/>
      <c r="F475" s="119"/>
      <c r="G475" s="91"/>
      <c r="H475" s="92"/>
      <c r="I475" s="92"/>
      <c r="J475" s="128"/>
      <c r="K475" s="128"/>
      <c r="L475" s="128"/>
      <c r="M475" s="94"/>
      <c r="N475" s="94"/>
      <c r="O475" s="94"/>
      <c r="P475" s="95"/>
      <c r="Q475" s="96"/>
      <c r="R475" s="128"/>
      <c r="S475" s="98"/>
      <c r="T475" s="99"/>
      <c r="U475" s="99" t="str">
        <f aca="false">IF(ISBLANK($C475),"",IF(G475=Constants!$B$2, TRUE(), IF(G475=Constants!$B$3, FALSE(), TRUE())))</f>
        <v/>
      </c>
      <c r="V475" s="99" t="str">
        <f aca="false">IF(ISBLANK($C475),"",IF(H475=Constants!$B$2, TRUE(), IF(H475=Constants!$B$3, FALSE(), TRUE())))</f>
        <v/>
      </c>
      <c r="W475" s="99" t="str">
        <f aca="false">IF(ISBLANK($C475),"",IF(I475=Constants!$B$2, TRUE(), IF(I475=Constants!$B$3, FALSE(), TRUE())))</f>
        <v/>
      </c>
      <c r="X475" s="99" t="str">
        <f aca="false">IF(ISBLANK($C475),"",IF(AND(ISNUMBER(J475),J475&gt;0),INT(J475),0))</f>
        <v/>
      </c>
      <c r="Y475" s="99" t="str">
        <f aca="false">IF(ISBLANK($C475),"",IF(K475=Constants!$B$2, TRUE(), IF(K475=Constants!$B$3, FALSE(), TRUE())))</f>
        <v/>
      </c>
      <c r="Z475" s="100" t="str">
        <f aca="false">IF(ISBLANK($C475),"",IF(AND(ISNUMBER(L475),L475&gt;0),INT(L475),0))</f>
        <v/>
      </c>
      <c r="AA475" s="101" t="str">
        <f aca="false">IF(ISBLANK($C475),"",IF(ISNUMBER(M475), M475, ""))</f>
        <v/>
      </c>
      <c r="AB475" s="101" t="str">
        <f aca="false">IF(ISBLANK($C475),"",IF(ISNUMBER(N475), N475, ""))</f>
        <v/>
      </c>
      <c r="AC475" s="101" t="str">
        <f aca="false">IF(ISBLANK($C475),"",IF(ISNUMBER(O475), O475, ""))</f>
        <v/>
      </c>
      <c r="AD475" s="102" t="str">
        <f aca="false">IF(ISBLANK($C475),"",IF(ISNUMBER(P475), P475, ""))</f>
        <v/>
      </c>
      <c r="AE475" s="102" t="str">
        <f aca="false">IF(ISBLANK($C475),"",IF(ISNUMBER(Q475), Q475, Constants!$B$13))</f>
        <v/>
      </c>
      <c r="AF475" s="99" t="str">
        <f aca="false">IF(ISBLANK($C475),"",IF(R475=Constants!$B$2, TRUE(), IF(R475=Constants!$B$3, FALSE(), FALSE())))</f>
        <v/>
      </c>
      <c r="AG475" s="99" t="str">
        <f aca="false">IF(ISBLANK(C475), "", IF(AF475, Constants!$B$4,IF(COUNTA(G475:P475)=0, Constants!$B$5, Constants!$B$7)))</f>
        <v/>
      </c>
      <c r="AH475" s="99" t="str">
        <f aca="false">IF(ISBLANK($C475), "",IF($AG475=Constants!$B$7,1,$AG475))</f>
        <v/>
      </c>
      <c r="AI475" s="99" t="str">
        <f aca="false">IF($AG475=Constants!$B$7,POWER(Constants!$B$11,X475)*POWER(Constants!$B$12,Z475),"")</f>
        <v/>
      </c>
      <c r="AJ475" s="99" t="str">
        <f aca="false">IF(AND($AG475=Constants!$B$7, U475, V475) ,IF(OR($AA475="",$AC475=""),"",MAX(0, $AC475-$AA475)),"")</f>
        <v/>
      </c>
      <c r="AK475" s="99" t="str">
        <f aca="false">IF(AND($AG475=Constants!$B$7, U475, V475),IF(OR($AA475="",$AC475=""),$AK$6,""),"")</f>
        <v/>
      </c>
      <c r="AL475" s="99" t="str">
        <f aca="false">IF($AG475=Constants!$B$7,IF(AND(U475,V475,W475,Y475),IF($AJ475="",0,IF($AJ$6=0,Constants!$B$9,Constants!$B$9*AJ475/$AJ$6)), 0),"")</f>
        <v/>
      </c>
      <c r="AM475" s="99" t="str">
        <f aca="false">IF(AL475&lt;&gt;"", AL475*AI475,"")</f>
        <v/>
      </c>
      <c r="AN475" s="99" t="str">
        <f aca="false">IF(AND($AG475=Constants!$B$7, U475, V475) ,IF($AB475="", "", IF(OR($AC475="",$AC475=0),"",MAX(0,1-ABS($AC475-$AB475)/$AC475))),"")</f>
        <v/>
      </c>
      <c r="AO475" s="99" t="str">
        <f aca="false">IF(AND($AG475=Constants!$B$7, U475, V475),IF(AND($AA475&lt;&gt;"",$AB475&lt;&gt;"",$AC475=0),$AO$6,""),"")</f>
        <v/>
      </c>
      <c r="AP475" s="99" t="str">
        <f aca="false">IF($AG475=Constants!$B$7 ,IF(AND(U475,V475,W475,Y475,ISNUMBER(AB475)),IF($AN475="",0,IF($AN$6=0,Constants!$B$10,Constants!$B$10*AN475/$AN$6)), 0),"")</f>
        <v/>
      </c>
      <c r="AQ475" s="99" t="str">
        <f aca="false">IF(AP475&lt;&gt;"", AP475*AI475,"")</f>
        <v/>
      </c>
      <c r="AR475" s="99" t="str">
        <f aca="false">IF($AG475=Constants!$B$7,IF($AD475="",0,IF($AR$6=0,Constants!$B$8,Constants!$B$8*AD475/$AR$6)),"")</f>
        <v/>
      </c>
      <c r="AS475" s="99" t="str">
        <f aca="false">IF($AG475&lt;&gt;Constants!$B$7,$AG475,IF(AK475&amp;AO475&lt;&gt;"",Constants!$B$14,AM475+AQ475+AR475))</f>
        <v/>
      </c>
      <c r="AT475" s="99" t="str">
        <f aca="false">IF(ISBLANK($C475),"",IF($AG475=Constants!$B$7,IF(ISNUMBER(AS475),RANK(AS475,$AS$8:$AS$507),Constants!$B$14),$AG475))</f>
        <v/>
      </c>
      <c r="AU475" s="99" t="str">
        <f aca="false">IF(ISBLANK($C475), "",AM475)</f>
        <v/>
      </c>
      <c r="AV475" s="99" t="str">
        <f aca="false">IF(ISBLANK($C475),"",IF($AG475=Constants!$B$7,RANK(AU475,AU$8:AU$507),$AG475))</f>
        <v/>
      </c>
      <c r="AW475" s="99" t="str">
        <f aca="false">IF(ISBLANK($C475), "",AR475)</f>
        <v/>
      </c>
      <c r="AX475" s="99" t="str">
        <f aca="false">IF(ISBLANK($C475),"",IF($AG475=Constants!$B$7,RANK(AW475,AW$8:AW$507),$AG475))</f>
        <v/>
      </c>
      <c r="AY475" s="99" t="str">
        <f aca="false">IF(ISBLANK($C475), "",AE475)</f>
        <v/>
      </c>
      <c r="AZ475" s="99" t="str">
        <f aca="false">IF(ISBLANK($C475),"",
IF($AG475=Constants!$B$7,
  IF(ISNUMBER(AT475),
    COUNTIFS($AT$8:$AT$507,"&lt;"&amp;$AT475)
    + COUNTIFS($AT$8:$AT$507,$AT475,$AV$8:$AV$507,"&lt;"&amp;$AV475)
    + COUNTIFS($AT$8:$AT$507,$AT475,$AV$8:$AV$507,$AV475,$AX$8:$AX$507,"&lt;"&amp;$AX475)
    + COUNTIFS($AT$8:$AT$507,$AT475,$AV$8:$AV$507,$AV475,$AX$8:$AX$507,$AX475,$AY$8:$AY$507,"&lt;"&amp;$AY475)
    + 1,
  Constants!$B$14),
$AG475))</f>
        <v/>
      </c>
      <c r="BA475" s="99" t="str">
        <f aca="false">IF(ISBLANK(C475),"",IF($AG475=Constants!$B$7, IF(ISNUMBER(AT475),AT475-AZ475,Constants!$B$14),$AG475))</f>
        <v/>
      </c>
      <c r="BB475" s="103"/>
      <c r="BC475" s="104" t="str">
        <f aca="false">IF(ISBLANK($C475),"",TRIM(AK475&amp;" "&amp;AO475))</f>
        <v/>
      </c>
      <c r="BD475" s="105" t="str">
        <f aca="false">IF(ISBLANK($C475),"",IF($AG475&lt;&gt;Constants!$B$7,$AG475,AR475))</f>
        <v/>
      </c>
      <c r="BE475" s="105" t="str">
        <f aca="false">IF(ISBLANK($C475),"",IF($AG475&lt;&gt;Constants!$B$7,$AG475,AM475))</f>
        <v/>
      </c>
      <c r="BF475" s="105" t="str">
        <f aca="false">IF(ISBLANK($C475),"",IF($AG475&lt;&gt;Constants!$B$7,$AG475,AQ475))</f>
        <v/>
      </c>
      <c r="BG475" s="106" t="str">
        <f aca="false">IF(ISBLANK($C475),"",IF($AG475&lt;&gt;Constants!$B$7, $AG475 ,AS475))</f>
        <v/>
      </c>
      <c r="BH475" s="107" t="str">
        <f aca="false">IF(ISBLANK($C475),"",IF($AG475&lt;&gt;Constants!$B$7, $AG475 ,AH475))</f>
        <v/>
      </c>
      <c r="BI475" s="105" t="str">
        <f aca="false">IF(ISBLANK(C475),"",BA475)</f>
        <v/>
      </c>
      <c r="BJ475" s="105" t="str">
        <f aca="false">IF(ISBLANK(C475),"",AZ475)</f>
        <v/>
      </c>
      <c r="BK475" s="108" t="str">
        <f aca="false">IF(ISBLANK(C475),"",IFERROR(_xlfn.SWITCH(BJ475, Constants!$B$4, COUNTA($C$8:$C974)+2, Constants!$B$5, COUNTA($C$8:$C974)+1, Constants!$B$6, COUNTA($C$8:$C974)),BJ475))</f>
        <v/>
      </c>
      <c r="BL475" s="5"/>
      <c r="BM475" s="109" t="n">
        <f aca="false">IF(OR(ISNUMBER(BJ475),BJ475="DQ",BJ475="P",BJ475="NS"),
    1,
    0
)</f>
        <v>0</v>
      </c>
      <c r="BN475" s="109" t="n">
        <v>468</v>
      </c>
      <c r="BO475" s="109" t="str">
        <f aca="false">IF(ISBLANK($C475),"",IF(ISNUMBER(BK475),BK475+ROW($B475)/1000,""))</f>
        <v/>
      </c>
      <c r="BP475" s="109" t="str">
        <f aca="false">IF(ISNUMBER(BO475), RANK(BO475,BO$8:BO$507,1), "")</f>
        <v/>
      </c>
      <c r="BQ475" s="109" t="str">
        <f aca="false">IF(ISBLANK($C475),
    "",
    $B475
)</f>
        <v/>
      </c>
      <c r="BR475" s="109" t="str">
        <f aca="false">IF(ISBLANK($C475),
    "",
    $C475
)</f>
        <v/>
      </c>
      <c r="BS475" s="109" t="str">
        <f aca="false">IF(ISBLANK($C475),
    "",
    $D475
)</f>
        <v/>
      </c>
      <c r="BT475" s="110" t="str">
        <f aca="false">BH475</f>
        <v/>
      </c>
      <c r="BU475" s="111" t="str">
        <f aca="false">BG475</f>
        <v/>
      </c>
      <c r="BV475" s="109" t="str">
        <f aca="false">IF(ISBLANK($C475),
    "",
    BJ475
)</f>
        <v/>
      </c>
      <c r="BW475" s="112" t="str">
        <f aca="false">IF(BN475&gt;BM$7,
    "",
    VLOOKUP(BN475,BP$8:BV974,7,FALSE())
)</f>
        <v/>
      </c>
      <c r="BX475" s="113" t="str">
        <f aca="false">IF(BN475&gt;BM$7,
    "",
    VLOOKUP(BN475,BP$8:BV974,2,FALSE())
)</f>
        <v/>
      </c>
      <c r="BY475" s="113" t="str">
        <f aca="false">IF(BN475&gt;BM$7,
    "",
    VLOOKUP(BN475,BP$8:BV974,3,FALSE())
)</f>
        <v/>
      </c>
      <c r="BZ475" s="113" t="str">
        <f aca="false">IF(BN475&gt;BM$7,
    "",
    VLOOKUP(BN475,BP$8:BV974,4,FALSE())
)</f>
        <v/>
      </c>
      <c r="CA475" s="113" t="str">
        <f aca="false">IF(BN475&gt;BM$7,
    "",
    VLOOKUP(BN475,BP$8:BV974,5,FALSE())
)</f>
        <v/>
      </c>
      <c r="CB475" s="114" t="str">
        <f aca="false">IF(BN475&gt;BM$7,
    "",
    VLOOKUP(BN475,BP$8:BV974,6,FALSE())
)</f>
        <v/>
      </c>
      <c r="CC475" s="53"/>
    </row>
    <row r="476" customFormat="false" ht="15.75" hidden="false" customHeight="false" outlineLevel="0" collapsed="false">
      <c r="A476" s="5"/>
      <c r="B476" s="129"/>
      <c r="C476" s="55"/>
      <c r="D476" s="56"/>
      <c r="E476" s="123"/>
      <c r="F476" s="123"/>
      <c r="G476" s="58"/>
      <c r="H476" s="59"/>
      <c r="I476" s="59"/>
      <c r="J476" s="83"/>
      <c r="K476" s="83"/>
      <c r="L476" s="83"/>
      <c r="M476" s="61"/>
      <c r="N476" s="61"/>
      <c r="O476" s="61"/>
      <c r="P476" s="62"/>
      <c r="Q476" s="63"/>
      <c r="R476" s="83"/>
      <c r="S476" s="65"/>
      <c r="T476" s="66"/>
      <c r="U476" s="66" t="str">
        <f aca="false">IF(ISBLANK($C476),"",IF(G476=Constants!$B$2, TRUE(), IF(G476=Constants!$B$3, FALSE(), TRUE())))</f>
        <v/>
      </c>
      <c r="V476" s="66" t="str">
        <f aca="false">IF(ISBLANK($C476),"",IF(H476=Constants!$B$2, TRUE(), IF(H476=Constants!$B$3, FALSE(), TRUE())))</f>
        <v/>
      </c>
      <c r="W476" s="66" t="str">
        <f aca="false">IF(ISBLANK($C476),"",IF(I476=Constants!$B$2, TRUE(), IF(I476=Constants!$B$3, FALSE(), TRUE())))</f>
        <v/>
      </c>
      <c r="X476" s="66" t="str">
        <f aca="false">IF(ISBLANK($C476),"",IF(AND(ISNUMBER(J476),J476&gt;0),INT(J476),0))</f>
        <v/>
      </c>
      <c r="Y476" s="66" t="str">
        <f aca="false">IF(ISBLANK($C476),"",IF(K476=Constants!$B$2, TRUE(), IF(K476=Constants!$B$3, FALSE(), TRUE())))</f>
        <v/>
      </c>
      <c r="Z476" s="66" t="str">
        <f aca="false">IF(ISBLANK($C476),"",IF(AND(ISNUMBER(L476),L476&gt;0),INT(L476),0))</f>
        <v/>
      </c>
      <c r="AA476" s="68" t="str">
        <f aca="false">IF(ISBLANK($C476),"",IF(ISNUMBER(M476), M476, ""))</f>
        <v/>
      </c>
      <c r="AB476" s="68" t="str">
        <f aca="false">IF(ISBLANK($C476),"",IF(ISNUMBER(N476), N476, ""))</f>
        <v/>
      </c>
      <c r="AC476" s="68" t="str">
        <f aca="false">IF(ISBLANK($C476),"",IF(ISNUMBER(O476), O476, ""))</f>
        <v/>
      </c>
      <c r="AD476" s="69" t="str">
        <f aca="false">IF(ISBLANK($C476),"",IF(ISNUMBER(P476), P476, ""))</f>
        <v/>
      </c>
      <c r="AE476" s="69" t="str">
        <f aca="false">IF(ISBLANK($C476),"",IF(ISNUMBER(Q476), Q476, Constants!$B$13))</f>
        <v/>
      </c>
      <c r="AF476" s="66" t="str">
        <f aca="false">IF(ISBLANK($C476),"",IF(R476=Constants!$B$2, TRUE(), IF(R476=Constants!$B$3, FALSE(), FALSE())))</f>
        <v/>
      </c>
      <c r="AG476" s="66" t="str">
        <f aca="false">IF(ISBLANK(C476), "", IF(AF476, Constants!$B$4,IF(COUNTA(G476:P476)=0, Constants!$B$5, Constants!$B$7)))</f>
        <v/>
      </c>
      <c r="AH476" s="66" t="str">
        <f aca="false">IF(ISBLANK($C476), "",IF($AG476=Constants!$B$7,1,$AG476))</f>
        <v/>
      </c>
      <c r="AI476" s="66" t="str">
        <f aca="false">IF($AG476=Constants!$B$7,POWER(Constants!$B$11,X476)*POWER(Constants!$B$12,Z476),"")</f>
        <v/>
      </c>
      <c r="AJ476" s="66" t="str">
        <f aca="false">IF(AND($AG476=Constants!$B$7, U476, V476) ,IF(OR($AA476="",$AC476=""),"",MAX(0, $AC476-$AA476)),"")</f>
        <v/>
      </c>
      <c r="AK476" s="66" t="str">
        <f aca="false">IF(AND($AG476=Constants!$B$7, U476, V476),IF(OR($AA476="",$AC476=""),$AK$6,""),"")</f>
        <v/>
      </c>
      <c r="AL476" s="66" t="str">
        <f aca="false">IF($AG476=Constants!$B$7,IF(AND(U476,V476,W476,Y476),IF($AJ476="",0,IF($AJ$6=0,Constants!$B$9,Constants!$B$9*AJ476/$AJ$6)), 0),"")</f>
        <v/>
      </c>
      <c r="AM476" s="66" t="str">
        <f aca="false">IF(AL476&lt;&gt;"", AL476*AI476,"")</f>
        <v/>
      </c>
      <c r="AN476" s="66" t="str">
        <f aca="false">IF(AND($AG476=Constants!$B$7, U476, V476) ,IF($AB476="", "", IF(OR($AC476="",$AC476=0),"",MAX(0,1-ABS($AC476-$AB476)/$AC476))),"")</f>
        <v/>
      </c>
      <c r="AO476" s="66" t="str">
        <f aca="false">IF(AND($AG476=Constants!$B$7, U476, V476),IF(AND($AA476&lt;&gt;"",$AB476&lt;&gt;"",$AC476=0),$AO$6,""),"")</f>
        <v/>
      </c>
      <c r="AP476" s="66" t="str">
        <f aca="false">IF($AG476=Constants!$B$7 ,IF(AND(U476,V476,W476,Y476,ISNUMBER(AB476)),IF($AN476="",0,IF($AN$6=0,Constants!$B$10,Constants!$B$10*AN476/$AN$6)), 0),"")</f>
        <v/>
      </c>
      <c r="AQ476" s="66" t="str">
        <f aca="false">IF(AP476&lt;&gt;"", AP476*AI476,"")</f>
        <v/>
      </c>
      <c r="AR476" s="66" t="str">
        <f aca="false">IF($AG476=Constants!$B$7,IF($AD476="",0,IF($AR$6=0,Constants!$B$8,Constants!$B$8*AD476/$AR$6)),"")</f>
        <v/>
      </c>
      <c r="AS476" s="66" t="str">
        <f aca="false">IF($AG476&lt;&gt;Constants!$B$7,$AG476,IF(AK476&amp;AO476&lt;&gt;"",Constants!$B$14,AM476+AQ476+AR476))</f>
        <v/>
      </c>
      <c r="AT476" s="66" t="str">
        <f aca="false">IF(ISBLANK($C476),"",IF($AG476=Constants!$B$7,IF(ISNUMBER(AS476),RANK(AS476,$AS$8:$AS$507),Constants!$B$14),$AG476))</f>
        <v/>
      </c>
      <c r="AU476" s="66" t="str">
        <f aca="false">IF(ISBLANK($C476), "",AM476)</f>
        <v/>
      </c>
      <c r="AV476" s="66" t="str">
        <f aca="false">IF(ISBLANK($C476),"",IF($AG476=Constants!$B$7,RANK(AU476,AU$8:AU$507),$AG476))</f>
        <v/>
      </c>
      <c r="AW476" s="66" t="str">
        <f aca="false">IF(ISBLANK($C476), "",AR476)</f>
        <v/>
      </c>
      <c r="AX476" s="66" t="str">
        <f aca="false">IF(ISBLANK($C476),"",IF($AG476=Constants!$B$7,RANK(AW476,AW$8:AW$507),$AG476))</f>
        <v/>
      </c>
      <c r="AY476" s="66" t="str">
        <f aca="false">IF(ISBLANK($C476), "",AE476)</f>
        <v/>
      </c>
      <c r="AZ476" s="66" t="str">
        <f aca="false">IF(ISBLANK($C476),"",
IF($AG476=Constants!$B$7,
  IF(ISNUMBER(AT476),
    COUNTIFS($AT$8:$AT$507,"&lt;"&amp;$AT476)
    + COUNTIFS($AT$8:$AT$507,$AT476,$AV$8:$AV$507,"&lt;"&amp;$AV476)
    + COUNTIFS($AT$8:$AT$507,$AT476,$AV$8:$AV$507,$AV476,$AX$8:$AX$507,"&lt;"&amp;$AX476)
    + COUNTIFS($AT$8:$AT$507,$AT476,$AV$8:$AV$507,$AV476,$AX$8:$AX$507,$AX476,$AY$8:$AY$507,"&lt;"&amp;$AY476)
    + 1,
  Constants!$B$14),
$AG476))</f>
        <v/>
      </c>
      <c r="BA476" s="66" t="str">
        <f aca="false">IF(ISBLANK(C476),"",IF($AG476=Constants!$B$7, IF(ISNUMBER(AT476),AT476-AZ476,Constants!$B$14),$AG476))</f>
        <v/>
      </c>
      <c r="BB476" s="70"/>
      <c r="BC476" s="84" t="str">
        <f aca="false">IF(ISBLANK($C476),"",TRIM(AK476&amp;" "&amp;AO476))</f>
        <v/>
      </c>
      <c r="BD476" s="72" t="str">
        <f aca="false">IF(ISBLANK($C476),"",IF($AG476&lt;&gt;Constants!$B$7,$AG476,AR476))</f>
        <v/>
      </c>
      <c r="BE476" s="72" t="str">
        <f aca="false">IF(ISBLANK($C476),"",IF($AG476&lt;&gt;Constants!$B$7,$AG476,AM476))</f>
        <v/>
      </c>
      <c r="BF476" s="72" t="str">
        <f aca="false">IF(ISBLANK($C476),"",IF($AG476&lt;&gt;Constants!$B$7,$AG476,AQ476))</f>
        <v/>
      </c>
      <c r="BG476" s="73" t="str">
        <f aca="false">IF(ISBLANK($C476),"",IF($AG476&lt;&gt;Constants!$B$7, $AG476 ,AS476))</f>
        <v/>
      </c>
      <c r="BH476" s="74" t="str">
        <f aca="false">IF(ISBLANK($C476),"",IF($AG476&lt;&gt;Constants!$B$7, $AG476 ,AH476))</f>
        <v/>
      </c>
      <c r="BI476" s="72" t="str">
        <f aca="false">IF(ISBLANK(C476),"",BA476)</f>
        <v/>
      </c>
      <c r="BJ476" s="72" t="str">
        <f aca="false">IF(ISBLANK(C476),"",AZ476)</f>
        <v/>
      </c>
      <c r="BK476" s="75" t="str">
        <f aca="false">IF(ISBLANK(C476),"",IFERROR(_xlfn.SWITCH(BJ476, Constants!$B$4, COUNTA($C$8:$C975)+2, Constants!$B$5, COUNTA($C$8:$C975)+1, Constants!$B$6, COUNTA($C$8:$C975)),BJ476))</f>
        <v/>
      </c>
      <c r="BL476" s="5"/>
      <c r="BM476" s="76" t="n">
        <f aca="false">IF(OR(ISNUMBER(BJ476),BJ476="DQ",BJ476="P",BJ476="NS"),
    1,
    0
)</f>
        <v>0</v>
      </c>
      <c r="BN476" s="76" t="n">
        <v>469</v>
      </c>
      <c r="BO476" s="76" t="str">
        <f aca="false">IF(ISBLANK($C476),"",IF(ISNUMBER(BK476),BK476+ROW($B476)/1000,""))</f>
        <v/>
      </c>
      <c r="BP476" s="76" t="str">
        <f aca="false">IF(ISNUMBER(BO476), RANK(BO476,BO$8:BO$507,1), "")</f>
        <v/>
      </c>
      <c r="BQ476" s="76" t="str">
        <f aca="false">IF(ISBLANK($C476),
    "",
    $B476
)</f>
        <v/>
      </c>
      <c r="BR476" s="76" t="str">
        <f aca="false">IF(ISBLANK($C476),
    "",
    $C476
)</f>
        <v/>
      </c>
      <c r="BS476" s="76" t="str">
        <f aca="false">IF(ISBLANK($C476),
    "",
    $D476
)</f>
        <v/>
      </c>
      <c r="BT476" s="77" t="str">
        <f aca="false">BH476</f>
        <v/>
      </c>
      <c r="BU476" s="78" t="str">
        <f aca="false">BG476</f>
        <v/>
      </c>
      <c r="BV476" s="76" t="str">
        <f aca="false">IF(ISBLANK($C476),
    "",
    BJ476
)</f>
        <v/>
      </c>
      <c r="BW476" s="79" t="str">
        <f aca="false">IF(BN476&gt;BM$7,
    "",
    VLOOKUP(BN476,BP$8:BV975,7,FALSE())
)</f>
        <v/>
      </c>
      <c r="BX476" s="80" t="str">
        <f aca="false">IF(BN476&gt;BM$7,
    "",
    VLOOKUP(BN476,BP$8:BV975,2,FALSE())
)</f>
        <v/>
      </c>
      <c r="BY476" s="80" t="str">
        <f aca="false">IF(BN476&gt;BM$7,
    "",
    VLOOKUP(BN476,BP$8:BV975,3,FALSE())
)</f>
        <v/>
      </c>
      <c r="BZ476" s="80" t="str">
        <f aca="false">IF(BN476&gt;BM$7,
    "",
    VLOOKUP(BN476,BP$8:BV975,4,FALSE())
)</f>
        <v/>
      </c>
      <c r="CA476" s="80" t="str">
        <f aca="false">IF(BN476&gt;BM$7,
    "",
    VLOOKUP(BN476,BP$8:BV975,5,FALSE())
)</f>
        <v/>
      </c>
      <c r="CB476" s="81" t="str">
        <f aca="false">IF(BN476&gt;BM$7,
    "",
    VLOOKUP(BN476,BP$8:BV975,6,FALSE())
)</f>
        <v/>
      </c>
      <c r="CC476" s="53"/>
    </row>
    <row r="477" customFormat="false" ht="15.75" hidden="false" customHeight="false" outlineLevel="0" collapsed="false">
      <c r="A477" s="5"/>
      <c r="B477" s="129"/>
      <c r="C477" s="55"/>
      <c r="D477" s="56"/>
      <c r="E477" s="123"/>
      <c r="F477" s="123"/>
      <c r="G477" s="58"/>
      <c r="H477" s="59"/>
      <c r="I477" s="59"/>
      <c r="J477" s="83"/>
      <c r="K477" s="83"/>
      <c r="L477" s="83"/>
      <c r="M477" s="61"/>
      <c r="N477" s="61"/>
      <c r="O477" s="61"/>
      <c r="P477" s="62"/>
      <c r="Q477" s="63"/>
      <c r="R477" s="83"/>
      <c r="S477" s="65"/>
      <c r="T477" s="66"/>
      <c r="U477" s="66" t="str">
        <f aca="false">IF(ISBLANK($C477),"",IF(G477=Constants!$B$2, TRUE(), IF(G477=Constants!$B$3, FALSE(), TRUE())))</f>
        <v/>
      </c>
      <c r="V477" s="66" t="str">
        <f aca="false">IF(ISBLANK($C477),"",IF(H477=Constants!$B$2, TRUE(), IF(H477=Constants!$B$3, FALSE(), TRUE())))</f>
        <v/>
      </c>
      <c r="W477" s="66" t="str">
        <f aca="false">IF(ISBLANK($C477),"",IF(I477=Constants!$B$2, TRUE(), IF(I477=Constants!$B$3, FALSE(), TRUE())))</f>
        <v/>
      </c>
      <c r="X477" s="66" t="str">
        <f aca="false">IF(ISBLANK($C477),"",IF(AND(ISNUMBER(J477),J477&gt;0),INT(J477),0))</f>
        <v/>
      </c>
      <c r="Y477" s="66" t="str">
        <f aca="false">IF(ISBLANK($C477),"",IF(K477=Constants!$B$2, TRUE(), IF(K477=Constants!$B$3, FALSE(), TRUE())))</f>
        <v/>
      </c>
      <c r="Z477" s="66" t="str">
        <f aca="false">IF(ISBLANK($C477),"",IF(AND(ISNUMBER(L477),L477&gt;0),INT(L477),0))</f>
        <v/>
      </c>
      <c r="AA477" s="68" t="str">
        <f aca="false">IF(ISBLANK($C477),"",IF(ISNUMBER(M477), M477, ""))</f>
        <v/>
      </c>
      <c r="AB477" s="68" t="str">
        <f aca="false">IF(ISBLANK($C477),"",IF(ISNUMBER(N477), N477, ""))</f>
        <v/>
      </c>
      <c r="AC477" s="68" t="str">
        <f aca="false">IF(ISBLANK($C477),"",IF(ISNUMBER(O477), O477, ""))</f>
        <v/>
      </c>
      <c r="AD477" s="69" t="str">
        <f aca="false">IF(ISBLANK($C477),"",IF(ISNUMBER(P477), P477, ""))</f>
        <v/>
      </c>
      <c r="AE477" s="69" t="str">
        <f aca="false">IF(ISBLANK($C477),"",IF(ISNUMBER(Q477), Q477, Constants!$B$13))</f>
        <v/>
      </c>
      <c r="AF477" s="66" t="str">
        <f aca="false">IF(ISBLANK($C477),"",IF(R477=Constants!$B$2, TRUE(), IF(R477=Constants!$B$3, FALSE(), FALSE())))</f>
        <v/>
      </c>
      <c r="AG477" s="66" t="str">
        <f aca="false">IF(ISBLANK(C477), "", IF(AF477, Constants!$B$4,IF(COUNTA(G477:P477)=0, Constants!$B$5, Constants!$B$7)))</f>
        <v/>
      </c>
      <c r="AH477" s="66" t="str">
        <f aca="false">IF(ISBLANK($C477), "",IF($AG477=Constants!$B$7,1,$AG477))</f>
        <v/>
      </c>
      <c r="AI477" s="66" t="str">
        <f aca="false">IF($AG477=Constants!$B$7,POWER(Constants!$B$11,X477)*POWER(Constants!$B$12,Z477),"")</f>
        <v/>
      </c>
      <c r="AJ477" s="66" t="str">
        <f aca="false">IF(AND($AG477=Constants!$B$7, U477, V477) ,IF(OR($AA477="",$AC477=""),"",MAX(0, $AC477-$AA477)),"")</f>
        <v/>
      </c>
      <c r="AK477" s="66" t="str">
        <f aca="false">IF(AND($AG477=Constants!$B$7, U477, V477),IF(OR($AA477="",$AC477=""),$AK$6,""),"")</f>
        <v/>
      </c>
      <c r="AL477" s="66" t="str">
        <f aca="false">IF($AG477=Constants!$B$7,IF(AND(U477,V477,W477,Y477),IF($AJ477="",0,IF($AJ$6=0,Constants!$B$9,Constants!$B$9*AJ477/$AJ$6)), 0),"")</f>
        <v/>
      </c>
      <c r="AM477" s="66" t="str">
        <f aca="false">IF(AL477&lt;&gt;"", AL477*AI477,"")</f>
        <v/>
      </c>
      <c r="AN477" s="66" t="str">
        <f aca="false">IF(AND($AG477=Constants!$B$7, U477, V477) ,IF($AB477="", "", IF(OR($AC477="",$AC477=0),"",MAX(0,1-ABS($AC477-$AB477)/$AC477))),"")</f>
        <v/>
      </c>
      <c r="AO477" s="66" t="str">
        <f aca="false">IF(AND($AG477=Constants!$B$7, U477, V477),IF(AND($AA477&lt;&gt;"",$AB477&lt;&gt;"",$AC477=0),$AO$6,""),"")</f>
        <v/>
      </c>
      <c r="AP477" s="66" t="str">
        <f aca="false">IF($AG477=Constants!$B$7 ,IF(AND(U477,V477,W477,Y477,ISNUMBER(AB477)),IF($AN477="",0,IF($AN$6=0,Constants!$B$10,Constants!$B$10*AN477/$AN$6)), 0),"")</f>
        <v/>
      </c>
      <c r="AQ477" s="66" t="str">
        <f aca="false">IF(AP477&lt;&gt;"", AP477*AI477,"")</f>
        <v/>
      </c>
      <c r="AR477" s="66" t="str">
        <f aca="false">IF($AG477=Constants!$B$7,IF($AD477="",0,IF($AR$6=0,Constants!$B$8,Constants!$B$8*AD477/$AR$6)),"")</f>
        <v/>
      </c>
      <c r="AS477" s="66" t="str">
        <f aca="false">IF($AG477&lt;&gt;Constants!$B$7,$AG477,IF(AK477&amp;AO477&lt;&gt;"",Constants!$B$14,AM477+AQ477+AR477))</f>
        <v/>
      </c>
      <c r="AT477" s="66" t="str">
        <f aca="false">IF(ISBLANK($C477),"",IF($AG477=Constants!$B$7,IF(ISNUMBER(AS477),RANK(AS477,$AS$8:$AS$507),Constants!$B$14),$AG477))</f>
        <v/>
      </c>
      <c r="AU477" s="66" t="str">
        <f aca="false">IF(ISBLANK($C477), "",AM477)</f>
        <v/>
      </c>
      <c r="AV477" s="66" t="str">
        <f aca="false">IF(ISBLANK($C477),"",IF($AG477=Constants!$B$7,RANK(AU477,AU$8:AU$507),$AG477))</f>
        <v/>
      </c>
      <c r="AW477" s="66" t="str">
        <f aca="false">IF(ISBLANK($C477), "",AR477)</f>
        <v/>
      </c>
      <c r="AX477" s="66" t="str">
        <f aca="false">IF(ISBLANK($C477),"",IF($AG477=Constants!$B$7,RANK(AW477,AW$8:AW$507),$AG477))</f>
        <v/>
      </c>
      <c r="AY477" s="66" t="str">
        <f aca="false">IF(ISBLANK($C477), "",AE477)</f>
        <v/>
      </c>
      <c r="AZ477" s="66" t="str">
        <f aca="false">IF(ISBLANK($C477),"",
IF($AG477=Constants!$B$7,
  IF(ISNUMBER(AT477),
    COUNTIFS($AT$8:$AT$507,"&lt;"&amp;$AT477)
    + COUNTIFS($AT$8:$AT$507,$AT477,$AV$8:$AV$507,"&lt;"&amp;$AV477)
    + COUNTIFS($AT$8:$AT$507,$AT477,$AV$8:$AV$507,$AV477,$AX$8:$AX$507,"&lt;"&amp;$AX477)
    + COUNTIFS($AT$8:$AT$507,$AT477,$AV$8:$AV$507,$AV477,$AX$8:$AX$507,$AX477,$AY$8:$AY$507,"&lt;"&amp;$AY477)
    + 1,
  Constants!$B$14),
$AG477))</f>
        <v/>
      </c>
      <c r="BA477" s="66" t="str">
        <f aca="false">IF(ISBLANK(C477),"",IF($AG477=Constants!$B$7, IF(ISNUMBER(AT477),AT477-AZ477,Constants!$B$14),$AG477))</f>
        <v/>
      </c>
      <c r="BB477" s="70"/>
      <c r="BC477" s="84" t="str">
        <f aca="false">IF(ISBLANK($C477),"",TRIM(AK477&amp;" "&amp;AO477))</f>
        <v/>
      </c>
      <c r="BD477" s="72" t="str">
        <f aca="false">IF(ISBLANK($C477),"",IF($AG477&lt;&gt;Constants!$B$7,$AG477,AR477))</f>
        <v/>
      </c>
      <c r="BE477" s="72" t="str">
        <f aca="false">IF(ISBLANK($C477),"",IF($AG477&lt;&gt;Constants!$B$7,$AG477,AM477))</f>
        <v/>
      </c>
      <c r="BF477" s="72" t="str">
        <f aca="false">IF(ISBLANK($C477),"",IF($AG477&lt;&gt;Constants!$B$7,$AG477,AQ477))</f>
        <v/>
      </c>
      <c r="BG477" s="73" t="str">
        <f aca="false">IF(ISBLANK($C477),"",IF($AG477&lt;&gt;Constants!$B$7, $AG477 ,AS477))</f>
        <v/>
      </c>
      <c r="BH477" s="74" t="str">
        <f aca="false">IF(ISBLANK($C477),"",IF($AG477&lt;&gt;Constants!$B$7, $AG477 ,AH477))</f>
        <v/>
      </c>
      <c r="BI477" s="72" t="str">
        <f aca="false">IF(ISBLANK(C477),"",BA477)</f>
        <v/>
      </c>
      <c r="BJ477" s="72" t="str">
        <f aca="false">IF(ISBLANK(C477),"",AZ477)</f>
        <v/>
      </c>
      <c r="BK477" s="75" t="str">
        <f aca="false">IF(ISBLANK(C477),"",IFERROR(_xlfn.SWITCH(BJ477, Constants!$B$4, COUNTA($C$8:$C976)+2, Constants!$B$5, COUNTA($C$8:$C976)+1, Constants!$B$6, COUNTA($C$8:$C976)),BJ477))</f>
        <v/>
      </c>
      <c r="BL477" s="5"/>
      <c r="BM477" s="76" t="n">
        <f aca="false">IF(OR(ISNUMBER(BJ477),BJ477="DQ",BJ477="P",BJ477="NS"),
    1,
    0
)</f>
        <v>0</v>
      </c>
      <c r="BN477" s="76" t="n">
        <v>470</v>
      </c>
      <c r="BO477" s="76" t="str">
        <f aca="false">IF(ISBLANK($C477),"",IF(ISNUMBER(BK477),BK477+ROW($B477)/1000,""))</f>
        <v/>
      </c>
      <c r="BP477" s="76" t="str">
        <f aca="false">IF(ISNUMBER(BO477), RANK(BO477,BO$8:BO$507,1), "")</f>
        <v/>
      </c>
      <c r="BQ477" s="76" t="str">
        <f aca="false">IF(ISBLANK($C477),
    "",
    $B477
)</f>
        <v/>
      </c>
      <c r="BR477" s="76" t="str">
        <f aca="false">IF(ISBLANK($C477),
    "",
    $C477
)</f>
        <v/>
      </c>
      <c r="BS477" s="76" t="str">
        <f aca="false">IF(ISBLANK($C477),
    "",
    $D477
)</f>
        <v/>
      </c>
      <c r="BT477" s="77" t="str">
        <f aca="false">BH477</f>
        <v/>
      </c>
      <c r="BU477" s="78" t="str">
        <f aca="false">BG477</f>
        <v/>
      </c>
      <c r="BV477" s="76" t="str">
        <f aca="false">IF(ISBLANK($C477),
    "",
    BJ477
)</f>
        <v/>
      </c>
      <c r="BW477" s="79" t="str">
        <f aca="false">IF(BN477&gt;BM$7,
    "",
    VLOOKUP(BN477,BP$8:BV976,7,FALSE())
)</f>
        <v/>
      </c>
      <c r="BX477" s="80" t="str">
        <f aca="false">IF(BN477&gt;BM$7,
    "",
    VLOOKUP(BN477,BP$8:BV976,2,FALSE())
)</f>
        <v/>
      </c>
      <c r="BY477" s="80" t="str">
        <f aca="false">IF(BN477&gt;BM$7,
    "",
    VLOOKUP(BN477,BP$8:BV976,3,FALSE())
)</f>
        <v/>
      </c>
      <c r="BZ477" s="80" t="str">
        <f aca="false">IF(BN477&gt;BM$7,
    "",
    VLOOKUP(BN477,BP$8:BV976,4,FALSE())
)</f>
        <v/>
      </c>
      <c r="CA477" s="80" t="str">
        <f aca="false">IF(BN477&gt;BM$7,
    "",
    VLOOKUP(BN477,BP$8:BV976,5,FALSE())
)</f>
        <v/>
      </c>
      <c r="CB477" s="81" t="str">
        <f aca="false">IF(BN477&gt;BM$7,
    "",
    VLOOKUP(BN477,BP$8:BV976,6,FALSE())
)</f>
        <v/>
      </c>
      <c r="CC477" s="53"/>
    </row>
    <row r="478" customFormat="false" ht="15.75" hidden="false" customHeight="false" outlineLevel="0" collapsed="false">
      <c r="A478" s="5"/>
      <c r="B478" s="129"/>
      <c r="C478" s="55"/>
      <c r="D478" s="56"/>
      <c r="E478" s="123"/>
      <c r="F478" s="123"/>
      <c r="G478" s="58"/>
      <c r="H478" s="59"/>
      <c r="I478" s="59"/>
      <c r="J478" s="83"/>
      <c r="K478" s="83"/>
      <c r="L478" s="83"/>
      <c r="M478" s="61"/>
      <c r="N478" s="61"/>
      <c r="O478" s="61"/>
      <c r="P478" s="62"/>
      <c r="Q478" s="63"/>
      <c r="R478" s="83"/>
      <c r="S478" s="65"/>
      <c r="T478" s="66"/>
      <c r="U478" s="66" t="str">
        <f aca="false">IF(ISBLANK($C478),"",IF(G478=Constants!$B$2, TRUE(), IF(G478=Constants!$B$3, FALSE(), TRUE())))</f>
        <v/>
      </c>
      <c r="V478" s="66" t="str">
        <f aca="false">IF(ISBLANK($C478),"",IF(H478=Constants!$B$2, TRUE(), IF(H478=Constants!$B$3, FALSE(), TRUE())))</f>
        <v/>
      </c>
      <c r="W478" s="66" t="str">
        <f aca="false">IF(ISBLANK($C478),"",IF(I478=Constants!$B$2, TRUE(), IF(I478=Constants!$B$3, FALSE(), TRUE())))</f>
        <v/>
      </c>
      <c r="X478" s="66" t="str">
        <f aca="false">IF(ISBLANK($C478),"",IF(AND(ISNUMBER(J478),J478&gt;0),INT(J478),0))</f>
        <v/>
      </c>
      <c r="Y478" s="66" t="str">
        <f aca="false">IF(ISBLANK($C478),"",IF(K478=Constants!$B$2, TRUE(), IF(K478=Constants!$B$3, FALSE(), TRUE())))</f>
        <v/>
      </c>
      <c r="Z478" s="66" t="str">
        <f aca="false">IF(ISBLANK($C478),"",IF(AND(ISNUMBER(L478),L478&gt;0),INT(L478),0))</f>
        <v/>
      </c>
      <c r="AA478" s="68" t="str">
        <f aca="false">IF(ISBLANK($C478),"",IF(ISNUMBER(M478), M478, ""))</f>
        <v/>
      </c>
      <c r="AB478" s="68" t="str">
        <f aca="false">IF(ISBLANK($C478),"",IF(ISNUMBER(N478), N478, ""))</f>
        <v/>
      </c>
      <c r="AC478" s="68" t="str">
        <f aca="false">IF(ISBLANK($C478),"",IF(ISNUMBER(O478), O478, ""))</f>
        <v/>
      </c>
      <c r="AD478" s="69" t="str">
        <f aca="false">IF(ISBLANK($C478),"",IF(ISNUMBER(P478), P478, ""))</f>
        <v/>
      </c>
      <c r="AE478" s="69" t="str">
        <f aca="false">IF(ISBLANK($C478),"",IF(ISNUMBER(Q478), Q478, Constants!$B$13))</f>
        <v/>
      </c>
      <c r="AF478" s="66" t="str">
        <f aca="false">IF(ISBLANK($C478),"",IF(R478=Constants!$B$2, TRUE(), IF(R478=Constants!$B$3, FALSE(), FALSE())))</f>
        <v/>
      </c>
      <c r="AG478" s="66" t="str">
        <f aca="false">IF(ISBLANK(C478), "", IF(AF478, Constants!$B$4,IF(COUNTA(G478:P478)=0, Constants!$B$5, Constants!$B$7)))</f>
        <v/>
      </c>
      <c r="AH478" s="66" t="str">
        <f aca="false">IF(ISBLANK($C478), "",IF($AG478=Constants!$B$7,1,$AG478))</f>
        <v/>
      </c>
      <c r="AI478" s="66" t="str">
        <f aca="false">IF($AG478=Constants!$B$7,POWER(Constants!$B$11,X478)*POWER(Constants!$B$12,Z478),"")</f>
        <v/>
      </c>
      <c r="AJ478" s="66" t="str">
        <f aca="false">IF(AND($AG478=Constants!$B$7, U478, V478) ,IF(OR($AA478="",$AC478=""),"",MAX(0, $AC478-$AA478)),"")</f>
        <v/>
      </c>
      <c r="AK478" s="66" t="str">
        <f aca="false">IF(AND($AG478=Constants!$B$7, U478, V478),IF(OR($AA478="",$AC478=""),$AK$6,""),"")</f>
        <v/>
      </c>
      <c r="AL478" s="66" t="str">
        <f aca="false">IF($AG478=Constants!$B$7,IF(AND(U478,V478,W478,Y478),IF($AJ478="",0,IF($AJ$6=0,Constants!$B$9,Constants!$B$9*AJ478/$AJ$6)), 0),"")</f>
        <v/>
      </c>
      <c r="AM478" s="66" t="str">
        <f aca="false">IF(AL478&lt;&gt;"", AL478*AI478,"")</f>
        <v/>
      </c>
      <c r="AN478" s="66" t="str">
        <f aca="false">IF(AND($AG478=Constants!$B$7, U478, V478) ,IF($AB478="", "", IF(OR($AC478="",$AC478=0),"",MAX(0,1-ABS($AC478-$AB478)/$AC478))),"")</f>
        <v/>
      </c>
      <c r="AO478" s="66" t="str">
        <f aca="false">IF(AND($AG478=Constants!$B$7, U478, V478),IF(AND($AA478&lt;&gt;"",$AB478&lt;&gt;"",$AC478=0),$AO$6,""),"")</f>
        <v/>
      </c>
      <c r="AP478" s="66" t="str">
        <f aca="false">IF($AG478=Constants!$B$7 ,IF(AND(U478,V478,W478,Y478,ISNUMBER(AB478)),IF($AN478="",0,IF($AN$6=0,Constants!$B$10,Constants!$B$10*AN478/$AN$6)), 0),"")</f>
        <v/>
      </c>
      <c r="AQ478" s="66" t="str">
        <f aca="false">IF(AP478&lt;&gt;"", AP478*AI478,"")</f>
        <v/>
      </c>
      <c r="AR478" s="66" t="str">
        <f aca="false">IF($AG478=Constants!$B$7,IF($AD478="",0,IF($AR$6=0,Constants!$B$8,Constants!$B$8*AD478/$AR$6)),"")</f>
        <v/>
      </c>
      <c r="AS478" s="66" t="str">
        <f aca="false">IF($AG478&lt;&gt;Constants!$B$7,$AG478,IF(AK478&amp;AO478&lt;&gt;"",Constants!$B$14,AM478+AQ478+AR478))</f>
        <v/>
      </c>
      <c r="AT478" s="66" t="str">
        <f aca="false">IF(ISBLANK($C478),"",IF($AG478=Constants!$B$7,IF(ISNUMBER(AS478),RANK(AS478,$AS$8:$AS$507),Constants!$B$14),$AG478))</f>
        <v/>
      </c>
      <c r="AU478" s="66" t="str">
        <f aca="false">IF(ISBLANK($C478), "",AM478)</f>
        <v/>
      </c>
      <c r="AV478" s="66" t="str">
        <f aca="false">IF(ISBLANK($C478),"",IF($AG478=Constants!$B$7,RANK(AU478,AU$8:AU$507),$AG478))</f>
        <v/>
      </c>
      <c r="AW478" s="66" t="str">
        <f aca="false">IF(ISBLANK($C478), "",AR478)</f>
        <v/>
      </c>
      <c r="AX478" s="66" t="str">
        <f aca="false">IF(ISBLANK($C478),"",IF($AG478=Constants!$B$7,RANK(AW478,AW$8:AW$507),$AG478))</f>
        <v/>
      </c>
      <c r="AY478" s="66" t="str">
        <f aca="false">IF(ISBLANK($C478), "",AE478)</f>
        <v/>
      </c>
      <c r="AZ478" s="66" t="str">
        <f aca="false">IF(ISBLANK($C478),"",
IF($AG478=Constants!$B$7,
  IF(ISNUMBER(AT478),
    COUNTIFS($AT$8:$AT$507,"&lt;"&amp;$AT478)
    + COUNTIFS($AT$8:$AT$507,$AT478,$AV$8:$AV$507,"&lt;"&amp;$AV478)
    + COUNTIFS($AT$8:$AT$507,$AT478,$AV$8:$AV$507,$AV478,$AX$8:$AX$507,"&lt;"&amp;$AX478)
    + COUNTIFS($AT$8:$AT$507,$AT478,$AV$8:$AV$507,$AV478,$AX$8:$AX$507,$AX478,$AY$8:$AY$507,"&lt;"&amp;$AY478)
    + 1,
  Constants!$B$14),
$AG478))</f>
        <v/>
      </c>
      <c r="BA478" s="66" t="str">
        <f aca="false">IF(ISBLANK(C478),"",IF($AG478=Constants!$B$7, IF(ISNUMBER(AT478),AT478-AZ478,Constants!$B$14),$AG478))</f>
        <v/>
      </c>
      <c r="BB478" s="70"/>
      <c r="BC478" s="84" t="str">
        <f aca="false">IF(ISBLANK($C478),"",TRIM(AK478&amp;" "&amp;AO478))</f>
        <v/>
      </c>
      <c r="BD478" s="72" t="str">
        <f aca="false">IF(ISBLANK($C478),"",IF($AG478&lt;&gt;Constants!$B$7,$AG478,AR478))</f>
        <v/>
      </c>
      <c r="BE478" s="72" t="str">
        <f aca="false">IF(ISBLANK($C478),"",IF($AG478&lt;&gt;Constants!$B$7,$AG478,AM478))</f>
        <v/>
      </c>
      <c r="BF478" s="72" t="str">
        <f aca="false">IF(ISBLANK($C478),"",IF($AG478&lt;&gt;Constants!$B$7,$AG478,AQ478))</f>
        <v/>
      </c>
      <c r="BG478" s="73" t="str">
        <f aca="false">IF(ISBLANK($C478),"",IF($AG478&lt;&gt;Constants!$B$7, $AG478 ,AS478))</f>
        <v/>
      </c>
      <c r="BH478" s="74" t="str">
        <f aca="false">IF(ISBLANK($C478),"",IF($AG478&lt;&gt;Constants!$B$7, $AG478 ,AH478))</f>
        <v/>
      </c>
      <c r="BI478" s="72" t="str">
        <f aca="false">IF(ISBLANK(C478),"",BA478)</f>
        <v/>
      </c>
      <c r="BJ478" s="72" t="str">
        <f aca="false">IF(ISBLANK(C478),"",AZ478)</f>
        <v/>
      </c>
      <c r="BK478" s="75" t="str">
        <f aca="false">IF(ISBLANK(C478),"",IFERROR(_xlfn.SWITCH(BJ478, Constants!$B$4, COUNTA($C$8:$C977)+2, Constants!$B$5, COUNTA($C$8:$C977)+1, Constants!$B$6, COUNTA($C$8:$C977)),BJ478))</f>
        <v/>
      </c>
      <c r="BL478" s="5"/>
      <c r="BM478" s="76" t="n">
        <f aca="false">IF(OR(ISNUMBER(BJ478),BJ478="DQ",BJ478="P",BJ478="NS"),
    1,
    0
)</f>
        <v>0</v>
      </c>
      <c r="BN478" s="76" t="n">
        <v>471</v>
      </c>
      <c r="BO478" s="76" t="str">
        <f aca="false">IF(ISBLANK($C478),"",IF(ISNUMBER(BK478),BK478+ROW($B478)/1000,""))</f>
        <v/>
      </c>
      <c r="BP478" s="76" t="str">
        <f aca="false">IF(ISNUMBER(BO478), RANK(BO478,BO$8:BO$507,1), "")</f>
        <v/>
      </c>
      <c r="BQ478" s="76" t="str">
        <f aca="false">IF(ISBLANK($C478),
    "",
    $B478
)</f>
        <v/>
      </c>
      <c r="BR478" s="76" t="str">
        <f aca="false">IF(ISBLANK($C478),
    "",
    $C478
)</f>
        <v/>
      </c>
      <c r="BS478" s="76" t="str">
        <f aca="false">IF(ISBLANK($C478),
    "",
    $D478
)</f>
        <v/>
      </c>
      <c r="BT478" s="77" t="str">
        <f aca="false">BH478</f>
        <v/>
      </c>
      <c r="BU478" s="78" t="str">
        <f aca="false">BG478</f>
        <v/>
      </c>
      <c r="BV478" s="76" t="str">
        <f aca="false">IF(ISBLANK($C478),
    "",
    BJ478
)</f>
        <v/>
      </c>
      <c r="BW478" s="79" t="str">
        <f aca="false">IF(BN478&gt;BM$7,
    "",
    VLOOKUP(BN478,BP$8:BV977,7,FALSE())
)</f>
        <v/>
      </c>
      <c r="BX478" s="80" t="str">
        <f aca="false">IF(BN478&gt;BM$7,
    "",
    VLOOKUP(BN478,BP$8:BV977,2,FALSE())
)</f>
        <v/>
      </c>
      <c r="BY478" s="80" t="str">
        <f aca="false">IF(BN478&gt;BM$7,
    "",
    VLOOKUP(BN478,BP$8:BV977,3,FALSE())
)</f>
        <v/>
      </c>
      <c r="BZ478" s="80" t="str">
        <f aca="false">IF(BN478&gt;BM$7,
    "",
    VLOOKUP(BN478,BP$8:BV977,4,FALSE())
)</f>
        <v/>
      </c>
      <c r="CA478" s="80" t="str">
        <f aca="false">IF(BN478&gt;BM$7,
    "",
    VLOOKUP(BN478,BP$8:BV977,5,FALSE())
)</f>
        <v/>
      </c>
      <c r="CB478" s="81" t="str">
        <f aca="false">IF(BN478&gt;BM$7,
    "",
    VLOOKUP(BN478,BP$8:BV977,6,FALSE())
)</f>
        <v/>
      </c>
      <c r="CC478" s="53"/>
    </row>
    <row r="479" customFormat="false" ht="15.75" hidden="false" customHeight="false" outlineLevel="0" collapsed="false">
      <c r="A479" s="5"/>
      <c r="B479" s="125"/>
      <c r="C479" s="126"/>
      <c r="D479" s="115"/>
      <c r="E479" s="119"/>
      <c r="F479" s="119"/>
      <c r="G479" s="91"/>
      <c r="H479" s="92"/>
      <c r="I479" s="92"/>
      <c r="J479" s="128"/>
      <c r="K479" s="128"/>
      <c r="L479" s="128"/>
      <c r="M479" s="94"/>
      <c r="N479" s="94"/>
      <c r="O479" s="94"/>
      <c r="P479" s="95"/>
      <c r="Q479" s="96"/>
      <c r="R479" s="128"/>
      <c r="S479" s="98"/>
      <c r="T479" s="99"/>
      <c r="U479" s="99" t="str">
        <f aca="false">IF(ISBLANK($C479),"",IF(G479=Constants!$B$2, TRUE(), IF(G479=Constants!$B$3, FALSE(), TRUE())))</f>
        <v/>
      </c>
      <c r="V479" s="99" t="str">
        <f aca="false">IF(ISBLANK($C479),"",IF(H479=Constants!$B$2, TRUE(), IF(H479=Constants!$B$3, FALSE(), TRUE())))</f>
        <v/>
      </c>
      <c r="W479" s="99" t="str">
        <f aca="false">IF(ISBLANK($C479),"",IF(I479=Constants!$B$2, TRUE(), IF(I479=Constants!$B$3, FALSE(), TRUE())))</f>
        <v/>
      </c>
      <c r="X479" s="99" t="str">
        <f aca="false">IF(ISBLANK($C479),"",IF(AND(ISNUMBER(J479),J479&gt;0),INT(J479),0))</f>
        <v/>
      </c>
      <c r="Y479" s="99" t="str">
        <f aca="false">IF(ISBLANK($C479),"",IF(K479=Constants!$B$2, TRUE(), IF(K479=Constants!$B$3, FALSE(), TRUE())))</f>
        <v/>
      </c>
      <c r="Z479" s="100" t="str">
        <f aca="false">IF(ISBLANK($C479),"",IF(AND(ISNUMBER(L479),L479&gt;0),INT(L479),0))</f>
        <v/>
      </c>
      <c r="AA479" s="101" t="str">
        <f aca="false">IF(ISBLANK($C479),"",IF(ISNUMBER(M479), M479, ""))</f>
        <v/>
      </c>
      <c r="AB479" s="101" t="str">
        <f aca="false">IF(ISBLANK($C479),"",IF(ISNUMBER(N479), N479, ""))</f>
        <v/>
      </c>
      <c r="AC479" s="101" t="str">
        <f aca="false">IF(ISBLANK($C479),"",IF(ISNUMBER(O479), O479, ""))</f>
        <v/>
      </c>
      <c r="AD479" s="102" t="str">
        <f aca="false">IF(ISBLANK($C479),"",IF(ISNUMBER(P479), P479, ""))</f>
        <v/>
      </c>
      <c r="AE479" s="102" t="str">
        <f aca="false">IF(ISBLANK($C479),"",IF(ISNUMBER(Q479), Q479, Constants!$B$13))</f>
        <v/>
      </c>
      <c r="AF479" s="99" t="str">
        <f aca="false">IF(ISBLANK($C479),"",IF(R479=Constants!$B$2, TRUE(), IF(R479=Constants!$B$3, FALSE(), FALSE())))</f>
        <v/>
      </c>
      <c r="AG479" s="99" t="str">
        <f aca="false">IF(ISBLANK(C479), "", IF(AF479, Constants!$B$4,IF(COUNTA(G479:P479)=0, Constants!$B$5, Constants!$B$7)))</f>
        <v/>
      </c>
      <c r="AH479" s="99" t="str">
        <f aca="false">IF(ISBLANK($C479), "",IF($AG479=Constants!$B$7,1,$AG479))</f>
        <v/>
      </c>
      <c r="AI479" s="99" t="str">
        <f aca="false">IF($AG479=Constants!$B$7,POWER(Constants!$B$11,X479)*POWER(Constants!$B$12,Z479),"")</f>
        <v/>
      </c>
      <c r="AJ479" s="99" t="str">
        <f aca="false">IF(AND($AG479=Constants!$B$7, U479, V479) ,IF(OR($AA479="",$AC479=""),"",MAX(0, $AC479-$AA479)),"")</f>
        <v/>
      </c>
      <c r="AK479" s="99" t="str">
        <f aca="false">IF(AND($AG479=Constants!$B$7, U479, V479),IF(OR($AA479="",$AC479=""),$AK$6,""),"")</f>
        <v/>
      </c>
      <c r="AL479" s="99" t="str">
        <f aca="false">IF($AG479=Constants!$B$7,IF(AND(U479,V479,W479,Y479),IF($AJ479="",0,IF($AJ$6=0,Constants!$B$9,Constants!$B$9*AJ479/$AJ$6)), 0),"")</f>
        <v/>
      </c>
      <c r="AM479" s="99" t="str">
        <f aca="false">IF(AL479&lt;&gt;"", AL479*AI479,"")</f>
        <v/>
      </c>
      <c r="AN479" s="99" t="str">
        <f aca="false">IF(AND($AG479=Constants!$B$7, U479, V479) ,IF($AB479="", "", IF(OR($AC479="",$AC479=0),"",MAX(0,1-ABS($AC479-$AB479)/$AC479))),"")</f>
        <v/>
      </c>
      <c r="AO479" s="99" t="str">
        <f aca="false">IF(AND($AG479=Constants!$B$7, U479, V479),IF(AND($AA479&lt;&gt;"",$AB479&lt;&gt;"",$AC479=0),$AO$6,""),"")</f>
        <v/>
      </c>
      <c r="AP479" s="99" t="str">
        <f aca="false">IF($AG479=Constants!$B$7 ,IF(AND(U479,V479,W479,Y479,ISNUMBER(AB479)),IF($AN479="",0,IF($AN$6=0,Constants!$B$10,Constants!$B$10*AN479/$AN$6)), 0),"")</f>
        <v/>
      </c>
      <c r="AQ479" s="99" t="str">
        <f aca="false">IF(AP479&lt;&gt;"", AP479*AI479,"")</f>
        <v/>
      </c>
      <c r="AR479" s="99" t="str">
        <f aca="false">IF($AG479=Constants!$B$7,IF($AD479="",0,IF($AR$6=0,Constants!$B$8,Constants!$B$8*AD479/$AR$6)),"")</f>
        <v/>
      </c>
      <c r="AS479" s="99" t="str">
        <f aca="false">IF($AG479&lt;&gt;Constants!$B$7,$AG479,IF(AK479&amp;AO479&lt;&gt;"",Constants!$B$14,AM479+AQ479+AR479))</f>
        <v/>
      </c>
      <c r="AT479" s="99" t="str">
        <f aca="false">IF(ISBLANK($C479),"",IF($AG479=Constants!$B$7,IF(ISNUMBER(AS479),RANK(AS479,$AS$8:$AS$507),Constants!$B$14),$AG479))</f>
        <v/>
      </c>
      <c r="AU479" s="99" t="str">
        <f aca="false">IF(ISBLANK($C479), "",AM479)</f>
        <v/>
      </c>
      <c r="AV479" s="99" t="str">
        <f aca="false">IF(ISBLANK($C479),"",IF($AG479=Constants!$B$7,RANK(AU479,AU$8:AU$507),$AG479))</f>
        <v/>
      </c>
      <c r="AW479" s="99" t="str">
        <f aca="false">IF(ISBLANK($C479), "",AR479)</f>
        <v/>
      </c>
      <c r="AX479" s="99" t="str">
        <f aca="false">IF(ISBLANK($C479),"",IF($AG479=Constants!$B$7,RANK(AW479,AW$8:AW$507),$AG479))</f>
        <v/>
      </c>
      <c r="AY479" s="99" t="str">
        <f aca="false">IF(ISBLANK($C479), "",AE479)</f>
        <v/>
      </c>
      <c r="AZ479" s="99" t="str">
        <f aca="false">IF(ISBLANK($C479),"",
IF($AG479=Constants!$B$7,
  IF(ISNUMBER(AT479),
    COUNTIFS($AT$8:$AT$507,"&lt;"&amp;$AT479)
    + COUNTIFS($AT$8:$AT$507,$AT479,$AV$8:$AV$507,"&lt;"&amp;$AV479)
    + COUNTIFS($AT$8:$AT$507,$AT479,$AV$8:$AV$507,$AV479,$AX$8:$AX$507,"&lt;"&amp;$AX479)
    + COUNTIFS($AT$8:$AT$507,$AT479,$AV$8:$AV$507,$AV479,$AX$8:$AX$507,$AX479,$AY$8:$AY$507,"&lt;"&amp;$AY479)
    + 1,
  Constants!$B$14),
$AG479))</f>
        <v/>
      </c>
      <c r="BA479" s="99" t="str">
        <f aca="false">IF(ISBLANK(C479),"",IF($AG479=Constants!$B$7, IF(ISNUMBER(AT479),AT479-AZ479,Constants!$B$14),$AG479))</f>
        <v/>
      </c>
      <c r="BB479" s="103"/>
      <c r="BC479" s="104" t="str">
        <f aca="false">IF(ISBLANK($C479),"",TRIM(AK479&amp;" "&amp;AO479))</f>
        <v/>
      </c>
      <c r="BD479" s="105" t="str">
        <f aca="false">IF(ISBLANK($C479),"",IF($AG479&lt;&gt;Constants!$B$7,$AG479,AR479))</f>
        <v/>
      </c>
      <c r="BE479" s="105" t="str">
        <f aca="false">IF(ISBLANK($C479),"",IF($AG479&lt;&gt;Constants!$B$7,$AG479,AM479))</f>
        <v/>
      </c>
      <c r="BF479" s="105" t="str">
        <f aca="false">IF(ISBLANK($C479),"",IF($AG479&lt;&gt;Constants!$B$7,$AG479,AQ479))</f>
        <v/>
      </c>
      <c r="BG479" s="106" t="str">
        <f aca="false">IF(ISBLANK($C479),"",IF($AG479&lt;&gt;Constants!$B$7, $AG479 ,AS479))</f>
        <v/>
      </c>
      <c r="BH479" s="107" t="str">
        <f aca="false">IF(ISBLANK($C479),"",IF($AG479&lt;&gt;Constants!$B$7, $AG479 ,AH479))</f>
        <v/>
      </c>
      <c r="BI479" s="105" t="str">
        <f aca="false">IF(ISBLANK(C479),"",BA479)</f>
        <v/>
      </c>
      <c r="BJ479" s="105" t="str">
        <f aca="false">IF(ISBLANK(C479),"",AZ479)</f>
        <v/>
      </c>
      <c r="BK479" s="108" t="str">
        <f aca="false">IF(ISBLANK(C479),"",IFERROR(_xlfn.SWITCH(BJ479, Constants!$B$4, COUNTA($C$8:$C978)+2, Constants!$B$5, COUNTA($C$8:$C978)+1, Constants!$B$6, COUNTA($C$8:$C978)),BJ479))</f>
        <v/>
      </c>
      <c r="BL479" s="5"/>
      <c r="BM479" s="109" t="n">
        <f aca="false">IF(OR(ISNUMBER(BJ479),BJ479="DQ",BJ479="P",BJ479="NS"),
    1,
    0
)</f>
        <v>0</v>
      </c>
      <c r="BN479" s="109" t="n">
        <v>472</v>
      </c>
      <c r="BO479" s="109" t="str">
        <f aca="false">IF(ISBLANK($C479),"",IF(ISNUMBER(BK479),BK479+ROW($B479)/1000,""))</f>
        <v/>
      </c>
      <c r="BP479" s="109" t="str">
        <f aca="false">IF(ISNUMBER(BO479), RANK(BO479,BO$8:BO$507,1), "")</f>
        <v/>
      </c>
      <c r="BQ479" s="109" t="str">
        <f aca="false">IF(ISBLANK($C479),
    "",
    $B479
)</f>
        <v/>
      </c>
      <c r="BR479" s="109" t="str">
        <f aca="false">IF(ISBLANK($C479),
    "",
    $C479
)</f>
        <v/>
      </c>
      <c r="BS479" s="109" t="str">
        <f aca="false">IF(ISBLANK($C479),
    "",
    $D479
)</f>
        <v/>
      </c>
      <c r="BT479" s="110" t="str">
        <f aca="false">BH479</f>
        <v/>
      </c>
      <c r="BU479" s="111" t="str">
        <f aca="false">BG479</f>
        <v/>
      </c>
      <c r="BV479" s="109" t="str">
        <f aca="false">IF(ISBLANK($C479),
    "",
    BJ479
)</f>
        <v/>
      </c>
      <c r="BW479" s="112" t="str">
        <f aca="false">IF(BN479&gt;BM$7,
    "",
    VLOOKUP(BN479,BP$8:BV978,7,FALSE())
)</f>
        <v/>
      </c>
      <c r="BX479" s="113" t="str">
        <f aca="false">IF(BN479&gt;BM$7,
    "",
    VLOOKUP(BN479,BP$8:BV978,2,FALSE())
)</f>
        <v/>
      </c>
      <c r="BY479" s="113" t="str">
        <f aca="false">IF(BN479&gt;BM$7,
    "",
    VLOOKUP(BN479,BP$8:BV978,3,FALSE())
)</f>
        <v/>
      </c>
      <c r="BZ479" s="113" t="str">
        <f aca="false">IF(BN479&gt;BM$7,
    "",
    VLOOKUP(BN479,BP$8:BV978,4,FALSE())
)</f>
        <v/>
      </c>
      <c r="CA479" s="113" t="str">
        <f aca="false">IF(BN479&gt;BM$7,
    "",
    VLOOKUP(BN479,BP$8:BV978,5,FALSE())
)</f>
        <v/>
      </c>
      <c r="CB479" s="114" t="str">
        <f aca="false">IF(BN479&gt;BM$7,
    "",
    VLOOKUP(BN479,BP$8:BV978,6,FALSE())
)</f>
        <v/>
      </c>
      <c r="CC479" s="53"/>
    </row>
    <row r="480" customFormat="false" ht="15.75" hidden="false" customHeight="false" outlineLevel="0" collapsed="false">
      <c r="A480" s="5"/>
      <c r="B480" s="125"/>
      <c r="C480" s="126"/>
      <c r="D480" s="115"/>
      <c r="E480" s="119"/>
      <c r="F480" s="119"/>
      <c r="G480" s="91"/>
      <c r="H480" s="92"/>
      <c r="I480" s="92"/>
      <c r="J480" s="128"/>
      <c r="K480" s="128"/>
      <c r="L480" s="128"/>
      <c r="M480" s="94"/>
      <c r="N480" s="94"/>
      <c r="O480" s="94"/>
      <c r="P480" s="95"/>
      <c r="Q480" s="96"/>
      <c r="R480" s="128"/>
      <c r="S480" s="98"/>
      <c r="T480" s="99"/>
      <c r="U480" s="99" t="str">
        <f aca="false">IF(ISBLANK($C480),"",IF(G480=Constants!$B$2, TRUE(), IF(G480=Constants!$B$3, FALSE(), TRUE())))</f>
        <v/>
      </c>
      <c r="V480" s="99" t="str">
        <f aca="false">IF(ISBLANK($C480),"",IF(H480=Constants!$B$2, TRUE(), IF(H480=Constants!$B$3, FALSE(), TRUE())))</f>
        <v/>
      </c>
      <c r="W480" s="99" t="str">
        <f aca="false">IF(ISBLANK($C480),"",IF(I480=Constants!$B$2, TRUE(), IF(I480=Constants!$B$3, FALSE(), TRUE())))</f>
        <v/>
      </c>
      <c r="X480" s="99" t="str">
        <f aca="false">IF(ISBLANK($C480),"",IF(AND(ISNUMBER(J480),J480&gt;0),INT(J480),0))</f>
        <v/>
      </c>
      <c r="Y480" s="99" t="str">
        <f aca="false">IF(ISBLANK($C480),"",IF(K480=Constants!$B$2, TRUE(), IF(K480=Constants!$B$3, FALSE(), TRUE())))</f>
        <v/>
      </c>
      <c r="Z480" s="100" t="str">
        <f aca="false">IF(ISBLANK($C480),"",IF(AND(ISNUMBER(L480),L480&gt;0),INT(L480),0))</f>
        <v/>
      </c>
      <c r="AA480" s="101" t="str">
        <f aca="false">IF(ISBLANK($C480),"",IF(ISNUMBER(M480), M480, ""))</f>
        <v/>
      </c>
      <c r="AB480" s="101" t="str">
        <f aca="false">IF(ISBLANK($C480),"",IF(ISNUMBER(N480), N480, ""))</f>
        <v/>
      </c>
      <c r="AC480" s="101" t="str">
        <f aca="false">IF(ISBLANK($C480),"",IF(ISNUMBER(O480), O480, ""))</f>
        <v/>
      </c>
      <c r="AD480" s="102" t="str">
        <f aca="false">IF(ISBLANK($C480),"",IF(ISNUMBER(P480), P480, ""))</f>
        <v/>
      </c>
      <c r="AE480" s="102" t="str">
        <f aca="false">IF(ISBLANK($C480),"",IF(ISNUMBER(Q480), Q480, Constants!$B$13))</f>
        <v/>
      </c>
      <c r="AF480" s="99" t="str">
        <f aca="false">IF(ISBLANK($C480),"",IF(R480=Constants!$B$2, TRUE(), IF(R480=Constants!$B$3, FALSE(), FALSE())))</f>
        <v/>
      </c>
      <c r="AG480" s="99" t="str">
        <f aca="false">IF(ISBLANK(C480), "", IF(AF480, Constants!$B$4,IF(COUNTA(G480:P480)=0, Constants!$B$5, Constants!$B$7)))</f>
        <v/>
      </c>
      <c r="AH480" s="99" t="str">
        <f aca="false">IF(ISBLANK($C480), "",IF($AG480=Constants!$B$7,1,$AG480))</f>
        <v/>
      </c>
      <c r="AI480" s="99" t="str">
        <f aca="false">IF($AG480=Constants!$B$7,POWER(Constants!$B$11,X480)*POWER(Constants!$B$12,Z480),"")</f>
        <v/>
      </c>
      <c r="AJ480" s="99" t="str">
        <f aca="false">IF(AND($AG480=Constants!$B$7, U480, V480) ,IF(OR($AA480="",$AC480=""),"",MAX(0, $AC480-$AA480)),"")</f>
        <v/>
      </c>
      <c r="AK480" s="99" t="str">
        <f aca="false">IF(AND($AG480=Constants!$B$7, U480, V480),IF(OR($AA480="",$AC480=""),$AK$6,""),"")</f>
        <v/>
      </c>
      <c r="AL480" s="99" t="str">
        <f aca="false">IF($AG480=Constants!$B$7,IF(AND(U480,V480,W480,Y480),IF($AJ480="",0,IF($AJ$6=0,Constants!$B$9,Constants!$B$9*AJ480/$AJ$6)), 0),"")</f>
        <v/>
      </c>
      <c r="AM480" s="99" t="str">
        <f aca="false">IF(AL480&lt;&gt;"", AL480*AI480,"")</f>
        <v/>
      </c>
      <c r="AN480" s="99" t="str">
        <f aca="false">IF(AND($AG480=Constants!$B$7, U480, V480) ,IF($AB480="", "", IF(OR($AC480="",$AC480=0),"",MAX(0,1-ABS($AC480-$AB480)/$AC480))),"")</f>
        <v/>
      </c>
      <c r="AO480" s="99" t="str">
        <f aca="false">IF(AND($AG480=Constants!$B$7, U480, V480),IF(AND($AA480&lt;&gt;"",$AB480&lt;&gt;"",$AC480=0),$AO$6,""),"")</f>
        <v/>
      </c>
      <c r="AP480" s="99" t="str">
        <f aca="false">IF($AG480=Constants!$B$7 ,IF(AND(U480,V480,W480,Y480,ISNUMBER(AB480)),IF($AN480="",0,IF($AN$6=0,Constants!$B$10,Constants!$B$10*AN480/$AN$6)), 0),"")</f>
        <v/>
      </c>
      <c r="AQ480" s="99" t="str">
        <f aca="false">IF(AP480&lt;&gt;"", AP480*AI480,"")</f>
        <v/>
      </c>
      <c r="AR480" s="99" t="str">
        <f aca="false">IF($AG480=Constants!$B$7,IF($AD480="",0,IF($AR$6=0,Constants!$B$8,Constants!$B$8*AD480/$AR$6)),"")</f>
        <v/>
      </c>
      <c r="AS480" s="99" t="str">
        <f aca="false">IF($AG480&lt;&gt;Constants!$B$7,$AG480,IF(AK480&amp;AO480&lt;&gt;"",Constants!$B$14,AM480+AQ480+AR480))</f>
        <v/>
      </c>
      <c r="AT480" s="99" t="str">
        <f aca="false">IF(ISBLANK($C480),"",IF($AG480=Constants!$B$7,IF(ISNUMBER(AS480),RANK(AS480,$AS$8:$AS$507),Constants!$B$14),$AG480))</f>
        <v/>
      </c>
      <c r="AU480" s="99" t="str">
        <f aca="false">IF(ISBLANK($C480), "",AM480)</f>
        <v/>
      </c>
      <c r="AV480" s="99" t="str">
        <f aca="false">IF(ISBLANK($C480),"",IF($AG480=Constants!$B$7,RANK(AU480,AU$8:AU$507),$AG480))</f>
        <v/>
      </c>
      <c r="AW480" s="99" t="str">
        <f aca="false">IF(ISBLANK($C480), "",AR480)</f>
        <v/>
      </c>
      <c r="AX480" s="99" t="str">
        <f aca="false">IF(ISBLANK($C480),"",IF($AG480=Constants!$B$7,RANK(AW480,AW$8:AW$507),$AG480))</f>
        <v/>
      </c>
      <c r="AY480" s="99" t="str">
        <f aca="false">IF(ISBLANK($C480), "",AE480)</f>
        <v/>
      </c>
      <c r="AZ480" s="99" t="str">
        <f aca="false">IF(ISBLANK($C480),"",
IF($AG480=Constants!$B$7,
  IF(ISNUMBER(AT480),
    COUNTIFS($AT$8:$AT$507,"&lt;"&amp;$AT480)
    + COUNTIFS($AT$8:$AT$507,$AT480,$AV$8:$AV$507,"&lt;"&amp;$AV480)
    + COUNTIFS($AT$8:$AT$507,$AT480,$AV$8:$AV$507,$AV480,$AX$8:$AX$507,"&lt;"&amp;$AX480)
    + COUNTIFS($AT$8:$AT$507,$AT480,$AV$8:$AV$507,$AV480,$AX$8:$AX$507,$AX480,$AY$8:$AY$507,"&lt;"&amp;$AY480)
    + 1,
  Constants!$B$14),
$AG480))</f>
        <v/>
      </c>
      <c r="BA480" s="99" t="str">
        <f aca="false">IF(ISBLANK(C480),"",IF($AG480=Constants!$B$7, IF(ISNUMBER(AT480),AT480-AZ480,Constants!$B$14),$AG480))</f>
        <v/>
      </c>
      <c r="BB480" s="103"/>
      <c r="BC480" s="104" t="str">
        <f aca="false">IF(ISBLANK($C480),"",TRIM(AK480&amp;" "&amp;AO480))</f>
        <v/>
      </c>
      <c r="BD480" s="105" t="str">
        <f aca="false">IF(ISBLANK($C480),"",IF($AG480&lt;&gt;Constants!$B$7,$AG480,AR480))</f>
        <v/>
      </c>
      <c r="BE480" s="105" t="str">
        <f aca="false">IF(ISBLANK($C480),"",IF($AG480&lt;&gt;Constants!$B$7,$AG480,AM480))</f>
        <v/>
      </c>
      <c r="BF480" s="105" t="str">
        <f aca="false">IF(ISBLANK($C480),"",IF($AG480&lt;&gt;Constants!$B$7,$AG480,AQ480))</f>
        <v/>
      </c>
      <c r="BG480" s="106" t="str">
        <f aca="false">IF(ISBLANK($C480),"",IF($AG480&lt;&gt;Constants!$B$7, $AG480 ,AS480))</f>
        <v/>
      </c>
      <c r="BH480" s="107" t="str">
        <f aca="false">IF(ISBLANK($C480),"",IF($AG480&lt;&gt;Constants!$B$7, $AG480 ,AH480))</f>
        <v/>
      </c>
      <c r="BI480" s="105" t="str">
        <f aca="false">IF(ISBLANK(C480),"",BA480)</f>
        <v/>
      </c>
      <c r="BJ480" s="105" t="str">
        <f aca="false">IF(ISBLANK(C480),"",AZ480)</f>
        <v/>
      </c>
      <c r="BK480" s="108" t="str">
        <f aca="false">IF(ISBLANK(C480),"",IFERROR(_xlfn.SWITCH(BJ480, Constants!$B$4, COUNTA($C$8:$C979)+2, Constants!$B$5, COUNTA($C$8:$C979)+1, Constants!$B$6, COUNTA($C$8:$C979)),BJ480))</f>
        <v/>
      </c>
      <c r="BL480" s="5"/>
      <c r="BM480" s="109" t="n">
        <f aca="false">IF(OR(ISNUMBER(BJ480),BJ480="DQ",BJ480="P",BJ480="NS"),
    1,
    0
)</f>
        <v>0</v>
      </c>
      <c r="BN480" s="109" t="n">
        <v>473</v>
      </c>
      <c r="BO480" s="109" t="str">
        <f aca="false">IF(ISBLANK($C480),"",IF(ISNUMBER(BK480),BK480+ROW($B480)/1000,""))</f>
        <v/>
      </c>
      <c r="BP480" s="109" t="str">
        <f aca="false">IF(ISNUMBER(BO480), RANK(BO480,BO$8:BO$507,1), "")</f>
        <v/>
      </c>
      <c r="BQ480" s="109" t="str">
        <f aca="false">IF(ISBLANK($C480),
    "",
    $B480
)</f>
        <v/>
      </c>
      <c r="BR480" s="109" t="str">
        <f aca="false">IF(ISBLANK($C480),
    "",
    $C480
)</f>
        <v/>
      </c>
      <c r="BS480" s="109" t="str">
        <f aca="false">IF(ISBLANK($C480),
    "",
    $D480
)</f>
        <v/>
      </c>
      <c r="BT480" s="110" t="str">
        <f aca="false">BH480</f>
        <v/>
      </c>
      <c r="BU480" s="111" t="str">
        <f aca="false">BG480</f>
        <v/>
      </c>
      <c r="BV480" s="109" t="str">
        <f aca="false">IF(ISBLANK($C480),
    "",
    BJ480
)</f>
        <v/>
      </c>
      <c r="BW480" s="112" t="str">
        <f aca="false">IF(BN480&gt;BM$7,
    "",
    VLOOKUP(BN480,BP$8:BV979,7,FALSE())
)</f>
        <v/>
      </c>
      <c r="BX480" s="113" t="str">
        <f aca="false">IF(BN480&gt;BM$7,
    "",
    VLOOKUP(BN480,BP$8:BV979,2,FALSE())
)</f>
        <v/>
      </c>
      <c r="BY480" s="113" t="str">
        <f aca="false">IF(BN480&gt;BM$7,
    "",
    VLOOKUP(BN480,BP$8:BV979,3,FALSE())
)</f>
        <v/>
      </c>
      <c r="BZ480" s="113" t="str">
        <f aca="false">IF(BN480&gt;BM$7,
    "",
    VLOOKUP(BN480,BP$8:BV979,4,FALSE())
)</f>
        <v/>
      </c>
      <c r="CA480" s="113" t="str">
        <f aca="false">IF(BN480&gt;BM$7,
    "",
    VLOOKUP(BN480,BP$8:BV979,5,FALSE())
)</f>
        <v/>
      </c>
      <c r="CB480" s="114" t="str">
        <f aca="false">IF(BN480&gt;BM$7,
    "",
    VLOOKUP(BN480,BP$8:BV979,6,FALSE())
)</f>
        <v/>
      </c>
      <c r="CC480" s="53"/>
    </row>
    <row r="481" customFormat="false" ht="15.75" hidden="false" customHeight="false" outlineLevel="0" collapsed="false">
      <c r="A481" s="5"/>
      <c r="B481" s="125"/>
      <c r="C481" s="126"/>
      <c r="D481" s="115"/>
      <c r="E481" s="119"/>
      <c r="F481" s="119"/>
      <c r="G481" s="91"/>
      <c r="H481" s="92"/>
      <c r="I481" s="92"/>
      <c r="J481" s="128"/>
      <c r="K481" s="128"/>
      <c r="L481" s="128"/>
      <c r="M481" s="94"/>
      <c r="N481" s="94"/>
      <c r="O481" s="94"/>
      <c r="P481" s="95"/>
      <c r="Q481" s="96"/>
      <c r="R481" s="128"/>
      <c r="S481" s="98"/>
      <c r="T481" s="99"/>
      <c r="U481" s="99" t="str">
        <f aca="false">IF(ISBLANK($C481),"",IF(G481=Constants!$B$2, TRUE(), IF(G481=Constants!$B$3, FALSE(), TRUE())))</f>
        <v/>
      </c>
      <c r="V481" s="99" t="str">
        <f aca="false">IF(ISBLANK($C481),"",IF(H481=Constants!$B$2, TRUE(), IF(H481=Constants!$B$3, FALSE(), TRUE())))</f>
        <v/>
      </c>
      <c r="W481" s="99" t="str">
        <f aca="false">IF(ISBLANK($C481),"",IF(I481=Constants!$B$2, TRUE(), IF(I481=Constants!$B$3, FALSE(), TRUE())))</f>
        <v/>
      </c>
      <c r="X481" s="99" t="str">
        <f aca="false">IF(ISBLANK($C481),"",IF(AND(ISNUMBER(J481),J481&gt;0),INT(J481),0))</f>
        <v/>
      </c>
      <c r="Y481" s="99" t="str">
        <f aca="false">IF(ISBLANK($C481),"",IF(K481=Constants!$B$2, TRUE(), IF(K481=Constants!$B$3, FALSE(), TRUE())))</f>
        <v/>
      </c>
      <c r="Z481" s="100" t="str">
        <f aca="false">IF(ISBLANK($C481),"",IF(AND(ISNUMBER(L481),L481&gt;0),INT(L481),0))</f>
        <v/>
      </c>
      <c r="AA481" s="101" t="str">
        <f aca="false">IF(ISBLANK($C481),"",IF(ISNUMBER(M481), M481, ""))</f>
        <v/>
      </c>
      <c r="AB481" s="101" t="str">
        <f aca="false">IF(ISBLANK($C481),"",IF(ISNUMBER(N481), N481, ""))</f>
        <v/>
      </c>
      <c r="AC481" s="101" t="str">
        <f aca="false">IF(ISBLANK($C481),"",IF(ISNUMBER(O481), O481, ""))</f>
        <v/>
      </c>
      <c r="AD481" s="102" t="str">
        <f aca="false">IF(ISBLANK($C481),"",IF(ISNUMBER(P481), P481, ""))</f>
        <v/>
      </c>
      <c r="AE481" s="102" t="str">
        <f aca="false">IF(ISBLANK($C481),"",IF(ISNUMBER(Q481), Q481, Constants!$B$13))</f>
        <v/>
      </c>
      <c r="AF481" s="99" t="str">
        <f aca="false">IF(ISBLANK($C481),"",IF(R481=Constants!$B$2, TRUE(), IF(R481=Constants!$B$3, FALSE(), FALSE())))</f>
        <v/>
      </c>
      <c r="AG481" s="99" t="str">
        <f aca="false">IF(ISBLANK(C481), "", IF(AF481, Constants!$B$4,IF(COUNTA(G481:P481)=0, Constants!$B$5, Constants!$B$7)))</f>
        <v/>
      </c>
      <c r="AH481" s="99" t="str">
        <f aca="false">IF(ISBLANK($C481), "",IF($AG481=Constants!$B$7,1,$AG481))</f>
        <v/>
      </c>
      <c r="AI481" s="99" t="str">
        <f aca="false">IF($AG481=Constants!$B$7,POWER(Constants!$B$11,X481)*POWER(Constants!$B$12,Z481),"")</f>
        <v/>
      </c>
      <c r="AJ481" s="99" t="str">
        <f aca="false">IF(AND($AG481=Constants!$B$7, U481, V481) ,IF(OR($AA481="",$AC481=""),"",MAX(0, $AC481-$AA481)),"")</f>
        <v/>
      </c>
      <c r="AK481" s="99" t="str">
        <f aca="false">IF(AND($AG481=Constants!$B$7, U481, V481),IF(OR($AA481="",$AC481=""),$AK$6,""),"")</f>
        <v/>
      </c>
      <c r="AL481" s="99" t="str">
        <f aca="false">IF($AG481=Constants!$B$7,IF(AND(U481,V481,W481,Y481),IF($AJ481="",0,IF($AJ$6=0,Constants!$B$9,Constants!$B$9*AJ481/$AJ$6)), 0),"")</f>
        <v/>
      </c>
      <c r="AM481" s="99" t="str">
        <f aca="false">IF(AL481&lt;&gt;"", AL481*AI481,"")</f>
        <v/>
      </c>
      <c r="AN481" s="99" t="str">
        <f aca="false">IF(AND($AG481=Constants!$B$7, U481, V481) ,IF($AB481="", "", IF(OR($AC481="",$AC481=0),"",MAX(0,1-ABS($AC481-$AB481)/$AC481))),"")</f>
        <v/>
      </c>
      <c r="AO481" s="99" t="str">
        <f aca="false">IF(AND($AG481=Constants!$B$7, U481, V481),IF(AND($AA481&lt;&gt;"",$AB481&lt;&gt;"",$AC481=0),$AO$6,""),"")</f>
        <v/>
      </c>
      <c r="AP481" s="99" t="str">
        <f aca="false">IF($AG481=Constants!$B$7 ,IF(AND(U481,V481,W481,Y481,ISNUMBER(AB481)),IF($AN481="",0,IF($AN$6=0,Constants!$B$10,Constants!$B$10*AN481/$AN$6)), 0),"")</f>
        <v/>
      </c>
      <c r="AQ481" s="99" t="str">
        <f aca="false">IF(AP481&lt;&gt;"", AP481*AI481,"")</f>
        <v/>
      </c>
      <c r="AR481" s="99" t="str">
        <f aca="false">IF($AG481=Constants!$B$7,IF($AD481="",0,IF($AR$6=0,Constants!$B$8,Constants!$B$8*AD481/$AR$6)),"")</f>
        <v/>
      </c>
      <c r="AS481" s="99" t="str">
        <f aca="false">IF($AG481&lt;&gt;Constants!$B$7,$AG481,IF(AK481&amp;AO481&lt;&gt;"",Constants!$B$14,AM481+AQ481+AR481))</f>
        <v/>
      </c>
      <c r="AT481" s="99" t="str">
        <f aca="false">IF(ISBLANK($C481),"",IF($AG481=Constants!$B$7,IF(ISNUMBER(AS481),RANK(AS481,$AS$8:$AS$507),Constants!$B$14),$AG481))</f>
        <v/>
      </c>
      <c r="AU481" s="99" t="str">
        <f aca="false">IF(ISBLANK($C481), "",AM481)</f>
        <v/>
      </c>
      <c r="AV481" s="99" t="str">
        <f aca="false">IF(ISBLANK($C481),"",IF($AG481=Constants!$B$7,RANK(AU481,AU$8:AU$507),$AG481))</f>
        <v/>
      </c>
      <c r="AW481" s="99" t="str">
        <f aca="false">IF(ISBLANK($C481), "",AR481)</f>
        <v/>
      </c>
      <c r="AX481" s="99" t="str">
        <f aca="false">IF(ISBLANK($C481),"",IF($AG481=Constants!$B$7,RANK(AW481,AW$8:AW$507),$AG481))</f>
        <v/>
      </c>
      <c r="AY481" s="99" t="str">
        <f aca="false">IF(ISBLANK($C481), "",AE481)</f>
        <v/>
      </c>
      <c r="AZ481" s="99" t="str">
        <f aca="false">IF(ISBLANK($C481),"",
IF($AG481=Constants!$B$7,
  IF(ISNUMBER(AT481),
    COUNTIFS($AT$8:$AT$507,"&lt;"&amp;$AT481)
    + COUNTIFS($AT$8:$AT$507,$AT481,$AV$8:$AV$507,"&lt;"&amp;$AV481)
    + COUNTIFS($AT$8:$AT$507,$AT481,$AV$8:$AV$507,$AV481,$AX$8:$AX$507,"&lt;"&amp;$AX481)
    + COUNTIFS($AT$8:$AT$507,$AT481,$AV$8:$AV$507,$AV481,$AX$8:$AX$507,$AX481,$AY$8:$AY$507,"&lt;"&amp;$AY481)
    + 1,
  Constants!$B$14),
$AG481))</f>
        <v/>
      </c>
      <c r="BA481" s="99" t="str">
        <f aca="false">IF(ISBLANK(C481),"",IF($AG481=Constants!$B$7, IF(ISNUMBER(AT481),AT481-AZ481,Constants!$B$14),$AG481))</f>
        <v/>
      </c>
      <c r="BB481" s="103"/>
      <c r="BC481" s="104" t="str">
        <f aca="false">IF(ISBLANK($C481),"",TRIM(AK481&amp;" "&amp;AO481))</f>
        <v/>
      </c>
      <c r="BD481" s="105" t="str">
        <f aca="false">IF(ISBLANK($C481),"",IF($AG481&lt;&gt;Constants!$B$7,$AG481,AR481))</f>
        <v/>
      </c>
      <c r="BE481" s="105" t="str">
        <f aca="false">IF(ISBLANK($C481),"",IF($AG481&lt;&gt;Constants!$B$7,$AG481,AM481))</f>
        <v/>
      </c>
      <c r="BF481" s="105" t="str">
        <f aca="false">IF(ISBLANK($C481),"",IF($AG481&lt;&gt;Constants!$B$7,$AG481,AQ481))</f>
        <v/>
      </c>
      <c r="BG481" s="106" t="str">
        <f aca="false">IF(ISBLANK($C481),"",IF($AG481&lt;&gt;Constants!$B$7, $AG481 ,AS481))</f>
        <v/>
      </c>
      <c r="BH481" s="107" t="str">
        <f aca="false">IF(ISBLANK($C481),"",IF($AG481&lt;&gt;Constants!$B$7, $AG481 ,AH481))</f>
        <v/>
      </c>
      <c r="BI481" s="105" t="str">
        <f aca="false">IF(ISBLANK(C481),"",BA481)</f>
        <v/>
      </c>
      <c r="BJ481" s="105" t="str">
        <f aca="false">IF(ISBLANK(C481),"",AZ481)</f>
        <v/>
      </c>
      <c r="BK481" s="108" t="str">
        <f aca="false">IF(ISBLANK(C481),"",IFERROR(_xlfn.SWITCH(BJ481, Constants!$B$4, COUNTA($C$8:$C980)+2, Constants!$B$5, COUNTA($C$8:$C980)+1, Constants!$B$6, COUNTA($C$8:$C980)),BJ481))</f>
        <v/>
      </c>
      <c r="BL481" s="5"/>
      <c r="BM481" s="109" t="n">
        <f aca="false">IF(OR(ISNUMBER(BJ481),BJ481="DQ",BJ481="P",BJ481="NS"),
    1,
    0
)</f>
        <v>0</v>
      </c>
      <c r="BN481" s="109" t="n">
        <v>474</v>
      </c>
      <c r="BO481" s="109" t="str">
        <f aca="false">IF(ISBLANK($C481),"",IF(ISNUMBER(BK481),BK481+ROW($B481)/1000,""))</f>
        <v/>
      </c>
      <c r="BP481" s="109" t="str">
        <f aca="false">IF(ISNUMBER(BO481), RANK(BO481,BO$8:BO$507,1), "")</f>
        <v/>
      </c>
      <c r="BQ481" s="109" t="str">
        <f aca="false">IF(ISBLANK($C481),
    "",
    $B481
)</f>
        <v/>
      </c>
      <c r="BR481" s="109" t="str">
        <f aca="false">IF(ISBLANK($C481),
    "",
    $C481
)</f>
        <v/>
      </c>
      <c r="BS481" s="109" t="str">
        <f aca="false">IF(ISBLANK($C481),
    "",
    $D481
)</f>
        <v/>
      </c>
      <c r="BT481" s="110" t="str">
        <f aca="false">BH481</f>
        <v/>
      </c>
      <c r="BU481" s="111" t="str">
        <f aca="false">BG481</f>
        <v/>
      </c>
      <c r="BV481" s="109" t="str">
        <f aca="false">IF(ISBLANK($C481),
    "",
    BJ481
)</f>
        <v/>
      </c>
      <c r="BW481" s="112" t="str">
        <f aca="false">IF(BN481&gt;BM$7,
    "",
    VLOOKUP(BN481,BP$8:BV980,7,FALSE())
)</f>
        <v/>
      </c>
      <c r="BX481" s="113" t="str">
        <f aca="false">IF(BN481&gt;BM$7,
    "",
    VLOOKUP(BN481,BP$8:BV980,2,FALSE())
)</f>
        <v/>
      </c>
      <c r="BY481" s="113" t="str">
        <f aca="false">IF(BN481&gt;BM$7,
    "",
    VLOOKUP(BN481,BP$8:BV980,3,FALSE())
)</f>
        <v/>
      </c>
      <c r="BZ481" s="113" t="str">
        <f aca="false">IF(BN481&gt;BM$7,
    "",
    VLOOKUP(BN481,BP$8:BV980,4,FALSE())
)</f>
        <v/>
      </c>
      <c r="CA481" s="113" t="str">
        <f aca="false">IF(BN481&gt;BM$7,
    "",
    VLOOKUP(BN481,BP$8:BV980,5,FALSE())
)</f>
        <v/>
      </c>
      <c r="CB481" s="114" t="str">
        <f aca="false">IF(BN481&gt;BM$7,
    "",
    VLOOKUP(BN481,BP$8:BV980,6,FALSE())
)</f>
        <v/>
      </c>
      <c r="CC481" s="53"/>
    </row>
    <row r="482" customFormat="false" ht="15.75" hidden="false" customHeight="false" outlineLevel="0" collapsed="false">
      <c r="A482" s="5"/>
      <c r="B482" s="129"/>
      <c r="C482" s="55"/>
      <c r="D482" s="56"/>
      <c r="E482" s="123"/>
      <c r="F482" s="123"/>
      <c r="G482" s="58"/>
      <c r="H482" s="59"/>
      <c r="I482" s="59"/>
      <c r="J482" s="83"/>
      <c r="K482" s="83"/>
      <c r="L482" s="83"/>
      <c r="M482" s="61"/>
      <c r="N482" s="61"/>
      <c r="O482" s="61"/>
      <c r="P482" s="62"/>
      <c r="Q482" s="63"/>
      <c r="R482" s="83"/>
      <c r="S482" s="65"/>
      <c r="T482" s="66"/>
      <c r="U482" s="66" t="str">
        <f aca="false">IF(ISBLANK($C482),"",IF(G482=Constants!$B$2, TRUE(), IF(G482=Constants!$B$3, FALSE(), TRUE())))</f>
        <v/>
      </c>
      <c r="V482" s="66" t="str">
        <f aca="false">IF(ISBLANK($C482),"",IF(H482=Constants!$B$2, TRUE(), IF(H482=Constants!$B$3, FALSE(), TRUE())))</f>
        <v/>
      </c>
      <c r="W482" s="66" t="str">
        <f aca="false">IF(ISBLANK($C482),"",IF(I482=Constants!$B$2, TRUE(), IF(I482=Constants!$B$3, FALSE(), TRUE())))</f>
        <v/>
      </c>
      <c r="X482" s="66" t="str">
        <f aca="false">IF(ISBLANK($C482),"",IF(AND(ISNUMBER(J482),J482&gt;0),INT(J482),0))</f>
        <v/>
      </c>
      <c r="Y482" s="66" t="str">
        <f aca="false">IF(ISBLANK($C482),"",IF(K482=Constants!$B$2, TRUE(), IF(K482=Constants!$B$3, FALSE(), TRUE())))</f>
        <v/>
      </c>
      <c r="Z482" s="66" t="str">
        <f aca="false">IF(ISBLANK($C482),"",IF(AND(ISNUMBER(L482),L482&gt;0),INT(L482),0))</f>
        <v/>
      </c>
      <c r="AA482" s="68" t="str">
        <f aca="false">IF(ISBLANK($C482),"",IF(ISNUMBER(M482), M482, ""))</f>
        <v/>
      </c>
      <c r="AB482" s="68" t="str">
        <f aca="false">IF(ISBLANK($C482),"",IF(ISNUMBER(N482), N482, ""))</f>
        <v/>
      </c>
      <c r="AC482" s="68" t="str">
        <f aca="false">IF(ISBLANK($C482),"",IF(ISNUMBER(O482), O482, ""))</f>
        <v/>
      </c>
      <c r="AD482" s="69" t="str">
        <f aca="false">IF(ISBLANK($C482),"",IF(ISNUMBER(P482), P482, ""))</f>
        <v/>
      </c>
      <c r="AE482" s="69" t="str">
        <f aca="false">IF(ISBLANK($C482),"",IF(ISNUMBER(Q482), Q482, Constants!$B$13))</f>
        <v/>
      </c>
      <c r="AF482" s="66" t="str">
        <f aca="false">IF(ISBLANK($C482),"",IF(R482=Constants!$B$2, TRUE(), IF(R482=Constants!$B$3, FALSE(), FALSE())))</f>
        <v/>
      </c>
      <c r="AG482" s="66" t="str">
        <f aca="false">IF(ISBLANK(C482), "", IF(AF482, Constants!$B$4,IF(COUNTA(G482:P482)=0, Constants!$B$5, Constants!$B$7)))</f>
        <v/>
      </c>
      <c r="AH482" s="66" t="str">
        <f aca="false">IF(ISBLANK($C482), "",IF($AG482=Constants!$B$7,1,$AG482))</f>
        <v/>
      </c>
      <c r="AI482" s="66" t="str">
        <f aca="false">IF($AG482=Constants!$B$7,POWER(Constants!$B$11,X482)*POWER(Constants!$B$12,Z482),"")</f>
        <v/>
      </c>
      <c r="AJ482" s="66" t="str">
        <f aca="false">IF(AND($AG482=Constants!$B$7, U482, V482) ,IF(OR($AA482="",$AC482=""),"",MAX(0, $AC482-$AA482)),"")</f>
        <v/>
      </c>
      <c r="AK482" s="66" t="str">
        <f aca="false">IF(AND($AG482=Constants!$B$7, U482, V482),IF(OR($AA482="",$AC482=""),$AK$6,""),"")</f>
        <v/>
      </c>
      <c r="AL482" s="66" t="str">
        <f aca="false">IF($AG482=Constants!$B$7,IF(AND(U482,V482,W482,Y482),IF($AJ482="",0,IF($AJ$6=0,Constants!$B$9,Constants!$B$9*AJ482/$AJ$6)), 0),"")</f>
        <v/>
      </c>
      <c r="AM482" s="66" t="str">
        <f aca="false">IF(AL482&lt;&gt;"", AL482*AI482,"")</f>
        <v/>
      </c>
      <c r="AN482" s="66" t="str">
        <f aca="false">IF(AND($AG482=Constants!$B$7, U482, V482) ,IF($AB482="", "", IF(OR($AC482="",$AC482=0),"",MAX(0,1-ABS($AC482-$AB482)/$AC482))),"")</f>
        <v/>
      </c>
      <c r="AO482" s="66" t="str">
        <f aca="false">IF(AND($AG482=Constants!$B$7, U482, V482),IF(AND($AA482&lt;&gt;"",$AB482&lt;&gt;"",$AC482=0),$AO$6,""),"")</f>
        <v/>
      </c>
      <c r="AP482" s="66" t="str">
        <f aca="false">IF($AG482=Constants!$B$7 ,IF(AND(U482,V482,W482,Y482,ISNUMBER(AB482)),IF($AN482="",0,IF($AN$6=0,Constants!$B$10,Constants!$B$10*AN482/$AN$6)), 0),"")</f>
        <v/>
      </c>
      <c r="AQ482" s="66" t="str">
        <f aca="false">IF(AP482&lt;&gt;"", AP482*AI482,"")</f>
        <v/>
      </c>
      <c r="AR482" s="66" t="str">
        <f aca="false">IF($AG482=Constants!$B$7,IF($AD482="",0,IF($AR$6=0,Constants!$B$8,Constants!$B$8*AD482/$AR$6)),"")</f>
        <v/>
      </c>
      <c r="AS482" s="66" t="str">
        <f aca="false">IF($AG482&lt;&gt;Constants!$B$7,$AG482,IF(AK482&amp;AO482&lt;&gt;"",Constants!$B$14,AM482+AQ482+AR482))</f>
        <v/>
      </c>
      <c r="AT482" s="66" t="str">
        <f aca="false">IF(ISBLANK($C482),"",IF($AG482=Constants!$B$7,IF(ISNUMBER(AS482),RANK(AS482,$AS$8:$AS$507),Constants!$B$14),$AG482))</f>
        <v/>
      </c>
      <c r="AU482" s="66" t="str">
        <f aca="false">IF(ISBLANK($C482), "",AM482)</f>
        <v/>
      </c>
      <c r="AV482" s="66" t="str">
        <f aca="false">IF(ISBLANK($C482),"",IF($AG482=Constants!$B$7,RANK(AU482,AU$8:AU$507),$AG482))</f>
        <v/>
      </c>
      <c r="AW482" s="66" t="str">
        <f aca="false">IF(ISBLANK($C482), "",AR482)</f>
        <v/>
      </c>
      <c r="AX482" s="66" t="str">
        <f aca="false">IF(ISBLANK($C482),"",IF($AG482=Constants!$B$7,RANK(AW482,AW$8:AW$507),$AG482))</f>
        <v/>
      </c>
      <c r="AY482" s="66" t="str">
        <f aca="false">IF(ISBLANK($C482), "",AE482)</f>
        <v/>
      </c>
      <c r="AZ482" s="66" t="str">
        <f aca="false">IF(ISBLANK($C482),"",
IF($AG482=Constants!$B$7,
  IF(ISNUMBER(AT482),
    COUNTIFS($AT$8:$AT$507,"&lt;"&amp;$AT482)
    + COUNTIFS($AT$8:$AT$507,$AT482,$AV$8:$AV$507,"&lt;"&amp;$AV482)
    + COUNTIFS($AT$8:$AT$507,$AT482,$AV$8:$AV$507,$AV482,$AX$8:$AX$507,"&lt;"&amp;$AX482)
    + COUNTIFS($AT$8:$AT$507,$AT482,$AV$8:$AV$507,$AV482,$AX$8:$AX$507,$AX482,$AY$8:$AY$507,"&lt;"&amp;$AY482)
    + 1,
  Constants!$B$14),
$AG482))</f>
        <v/>
      </c>
      <c r="BA482" s="66" t="str">
        <f aca="false">IF(ISBLANK(C482),"",IF($AG482=Constants!$B$7, IF(ISNUMBER(AT482),AT482-AZ482,Constants!$B$14),$AG482))</f>
        <v/>
      </c>
      <c r="BB482" s="70"/>
      <c r="BC482" s="84" t="str">
        <f aca="false">IF(ISBLANK($C482),"",TRIM(AK482&amp;" "&amp;AO482))</f>
        <v/>
      </c>
      <c r="BD482" s="72" t="str">
        <f aca="false">IF(ISBLANK($C482),"",IF($AG482&lt;&gt;Constants!$B$7,$AG482,AR482))</f>
        <v/>
      </c>
      <c r="BE482" s="72" t="str">
        <f aca="false">IF(ISBLANK($C482),"",IF($AG482&lt;&gt;Constants!$B$7,$AG482,AM482))</f>
        <v/>
      </c>
      <c r="BF482" s="72" t="str">
        <f aca="false">IF(ISBLANK($C482),"",IF($AG482&lt;&gt;Constants!$B$7,$AG482,AQ482))</f>
        <v/>
      </c>
      <c r="BG482" s="73" t="str">
        <f aca="false">IF(ISBLANK($C482),"",IF($AG482&lt;&gt;Constants!$B$7, $AG482 ,AS482))</f>
        <v/>
      </c>
      <c r="BH482" s="74" t="str">
        <f aca="false">IF(ISBLANK($C482),"",IF($AG482&lt;&gt;Constants!$B$7, $AG482 ,AH482))</f>
        <v/>
      </c>
      <c r="BI482" s="72" t="str">
        <f aca="false">IF(ISBLANK(C482),"",BA482)</f>
        <v/>
      </c>
      <c r="BJ482" s="72" t="str">
        <f aca="false">IF(ISBLANK(C482),"",AZ482)</f>
        <v/>
      </c>
      <c r="BK482" s="75" t="str">
        <f aca="false">IF(ISBLANK(C482),"",IFERROR(_xlfn.SWITCH(BJ482, Constants!$B$4, COUNTA($C$8:$C981)+2, Constants!$B$5, COUNTA($C$8:$C981)+1, Constants!$B$6, COUNTA($C$8:$C981)),BJ482))</f>
        <v/>
      </c>
      <c r="BL482" s="5"/>
      <c r="BM482" s="76" t="n">
        <f aca="false">IF(OR(ISNUMBER(BJ482),BJ482="DQ",BJ482="P",BJ482="NS"),
    1,
    0
)</f>
        <v>0</v>
      </c>
      <c r="BN482" s="76" t="n">
        <v>475</v>
      </c>
      <c r="BO482" s="76" t="str">
        <f aca="false">IF(ISBLANK($C482),"",IF(ISNUMBER(BK482),BK482+ROW($B482)/1000,""))</f>
        <v/>
      </c>
      <c r="BP482" s="76" t="str">
        <f aca="false">IF(ISNUMBER(BO482), RANK(BO482,BO$8:BO$507,1), "")</f>
        <v/>
      </c>
      <c r="BQ482" s="76" t="str">
        <f aca="false">IF(ISBLANK($C482),
    "",
    $B482
)</f>
        <v/>
      </c>
      <c r="BR482" s="76" t="str">
        <f aca="false">IF(ISBLANK($C482),
    "",
    $C482
)</f>
        <v/>
      </c>
      <c r="BS482" s="76" t="str">
        <f aca="false">IF(ISBLANK($C482),
    "",
    $D482
)</f>
        <v/>
      </c>
      <c r="BT482" s="77" t="str">
        <f aca="false">BH482</f>
        <v/>
      </c>
      <c r="BU482" s="78" t="str">
        <f aca="false">BG482</f>
        <v/>
      </c>
      <c r="BV482" s="76" t="str">
        <f aca="false">IF(ISBLANK($C482),
    "",
    BJ482
)</f>
        <v/>
      </c>
      <c r="BW482" s="79" t="str">
        <f aca="false">IF(BN482&gt;BM$7,
    "",
    VLOOKUP(BN482,BP$8:BV981,7,FALSE())
)</f>
        <v/>
      </c>
      <c r="BX482" s="80" t="str">
        <f aca="false">IF(BN482&gt;BM$7,
    "",
    VLOOKUP(BN482,BP$8:BV981,2,FALSE())
)</f>
        <v/>
      </c>
      <c r="BY482" s="80" t="str">
        <f aca="false">IF(BN482&gt;BM$7,
    "",
    VLOOKUP(BN482,BP$8:BV981,3,FALSE())
)</f>
        <v/>
      </c>
      <c r="BZ482" s="80" t="str">
        <f aca="false">IF(BN482&gt;BM$7,
    "",
    VLOOKUP(BN482,BP$8:BV981,4,FALSE())
)</f>
        <v/>
      </c>
      <c r="CA482" s="80" t="str">
        <f aca="false">IF(BN482&gt;BM$7,
    "",
    VLOOKUP(BN482,BP$8:BV981,5,FALSE())
)</f>
        <v/>
      </c>
      <c r="CB482" s="81" t="str">
        <f aca="false">IF(BN482&gt;BM$7,
    "",
    VLOOKUP(BN482,BP$8:BV981,6,FALSE())
)</f>
        <v/>
      </c>
      <c r="CC482" s="53"/>
    </row>
    <row r="483" customFormat="false" ht="15.75" hidden="false" customHeight="false" outlineLevel="0" collapsed="false">
      <c r="A483" s="5"/>
      <c r="B483" s="129"/>
      <c r="C483" s="55"/>
      <c r="D483" s="56"/>
      <c r="E483" s="123"/>
      <c r="F483" s="123"/>
      <c r="G483" s="58"/>
      <c r="H483" s="59"/>
      <c r="I483" s="59"/>
      <c r="J483" s="83"/>
      <c r="K483" s="83"/>
      <c r="L483" s="83"/>
      <c r="M483" s="61"/>
      <c r="N483" s="61"/>
      <c r="O483" s="61"/>
      <c r="P483" s="62"/>
      <c r="Q483" s="63"/>
      <c r="R483" s="83"/>
      <c r="S483" s="65"/>
      <c r="T483" s="66"/>
      <c r="U483" s="66" t="str">
        <f aca="false">IF(ISBLANK($C483),"",IF(G483=Constants!$B$2, TRUE(), IF(G483=Constants!$B$3, FALSE(), TRUE())))</f>
        <v/>
      </c>
      <c r="V483" s="66" t="str">
        <f aca="false">IF(ISBLANK($C483),"",IF(H483=Constants!$B$2, TRUE(), IF(H483=Constants!$B$3, FALSE(), TRUE())))</f>
        <v/>
      </c>
      <c r="W483" s="66" t="str">
        <f aca="false">IF(ISBLANK($C483),"",IF(I483=Constants!$B$2, TRUE(), IF(I483=Constants!$B$3, FALSE(), TRUE())))</f>
        <v/>
      </c>
      <c r="X483" s="66" t="str">
        <f aca="false">IF(ISBLANK($C483),"",IF(AND(ISNUMBER(J483),J483&gt;0),INT(J483),0))</f>
        <v/>
      </c>
      <c r="Y483" s="66" t="str">
        <f aca="false">IF(ISBLANK($C483),"",IF(K483=Constants!$B$2, TRUE(), IF(K483=Constants!$B$3, FALSE(), TRUE())))</f>
        <v/>
      </c>
      <c r="Z483" s="66" t="str">
        <f aca="false">IF(ISBLANK($C483),"",IF(AND(ISNUMBER(L483),L483&gt;0),INT(L483),0))</f>
        <v/>
      </c>
      <c r="AA483" s="68" t="str">
        <f aca="false">IF(ISBLANK($C483),"",IF(ISNUMBER(M483), M483, ""))</f>
        <v/>
      </c>
      <c r="AB483" s="68" t="str">
        <f aca="false">IF(ISBLANK($C483),"",IF(ISNUMBER(N483), N483, ""))</f>
        <v/>
      </c>
      <c r="AC483" s="68" t="str">
        <f aca="false">IF(ISBLANK($C483),"",IF(ISNUMBER(O483), O483, ""))</f>
        <v/>
      </c>
      <c r="AD483" s="69" t="str">
        <f aca="false">IF(ISBLANK($C483),"",IF(ISNUMBER(P483), P483, ""))</f>
        <v/>
      </c>
      <c r="AE483" s="69" t="str">
        <f aca="false">IF(ISBLANK($C483),"",IF(ISNUMBER(Q483), Q483, Constants!$B$13))</f>
        <v/>
      </c>
      <c r="AF483" s="66" t="str">
        <f aca="false">IF(ISBLANK($C483),"",IF(R483=Constants!$B$2, TRUE(), IF(R483=Constants!$B$3, FALSE(), FALSE())))</f>
        <v/>
      </c>
      <c r="AG483" s="66" t="str">
        <f aca="false">IF(ISBLANK(C483), "", IF(AF483, Constants!$B$4,IF(COUNTA(G483:P483)=0, Constants!$B$5, Constants!$B$7)))</f>
        <v/>
      </c>
      <c r="AH483" s="66" t="str">
        <f aca="false">IF(ISBLANK($C483), "",IF($AG483=Constants!$B$7,1,$AG483))</f>
        <v/>
      </c>
      <c r="AI483" s="66" t="str">
        <f aca="false">IF($AG483=Constants!$B$7,POWER(Constants!$B$11,X483)*POWER(Constants!$B$12,Z483),"")</f>
        <v/>
      </c>
      <c r="AJ483" s="66" t="str">
        <f aca="false">IF(AND($AG483=Constants!$B$7, U483, V483) ,IF(OR($AA483="",$AC483=""),"",MAX(0, $AC483-$AA483)),"")</f>
        <v/>
      </c>
      <c r="AK483" s="66" t="str">
        <f aca="false">IF(AND($AG483=Constants!$B$7, U483, V483),IF(OR($AA483="",$AC483=""),$AK$6,""),"")</f>
        <v/>
      </c>
      <c r="AL483" s="66" t="str">
        <f aca="false">IF($AG483=Constants!$B$7,IF(AND(U483,V483,W483,Y483),IF($AJ483="",0,IF($AJ$6=0,Constants!$B$9,Constants!$B$9*AJ483/$AJ$6)), 0),"")</f>
        <v/>
      </c>
      <c r="AM483" s="66" t="str">
        <f aca="false">IF(AL483&lt;&gt;"", AL483*AI483,"")</f>
        <v/>
      </c>
      <c r="AN483" s="66" t="str">
        <f aca="false">IF(AND($AG483=Constants!$B$7, U483, V483) ,IF($AB483="", "", IF(OR($AC483="",$AC483=0),"",MAX(0,1-ABS($AC483-$AB483)/$AC483))),"")</f>
        <v/>
      </c>
      <c r="AO483" s="66" t="str">
        <f aca="false">IF(AND($AG483=Constants!$B$7, U483, V483),IF(AND($AA483&lt;&gt;"",$AB483&lt;&gt;"",$AC483=0),$AO$6,""),"")</f>
        <v/>
      </c>
      <c r="AP483" s="66" t="str">
        <f aca="false">IF($AG483=Constants!$B$7 ,IF(AND(U483,V483,W483,Y483,ISNUMBER(AB483)),IF($AN483="",0,IF($AN$6=0,Constants!$B$10,Constants!$B$10*AN483/$AN$6)), 0),"")</f>
        <v/>
      </c>
      <c r="AQ483" s="66" t="str">
        <f aca="false">IF(AP483&lt;&gt;"", AP483*AI483,"")</f>
        <v/>
      </c>
      <c r="AR483" s="66" t="str">
        <f aca="false">IF($AG483=Constants!$B$7,IF($AD483="",0,IF($AR$6=0,Constants!$B$8,Constants!$B$8*AD483/$AR$6)),"")</f>
        <v/>
      </c>
      <c r="AS483" s="66" t="str">
        <f aca="false">IF($AG483&lt;&gt;Constants!$B$7,$AG483,IF(AK483&amp;AO483&lt;&gt;"",Constants!$B$14,AM483+AQ483+AR483))</f>
        <v/>
      </c>
      <c r="AT483" s="66" t="str">
        <f aca="false">IF(ISBLANK($C483),"",IF($AG483=Constants!$B$7,IF(ISNUMBER(AS483),RANK(AS483,$AS$8:$AS$507),Constants!$B$14),$AG483))</f>
        <v/>
      </c>
      <c r="AU483" s="66" t="str">
        <f aca="false">IF(ISBLANK($C483), "",AM483)</f>
        <v/>
      </c>
      <c r="AV483" s="66" t="str">
        <f aca="false">IF(ISBLANK($C483),"",IF($AG483=Constants!$B$7,RANK(AU483,AU$8:AU$507),$AG483))</f>
        <v/>
      </c>
      <c r="AW483" s="66" t="str">
        <f aca="false">IF(ISBLANK($C483), "",AR483)</f>
        <v/>
      </c>
      <c r="AX483" s="66" t="str">
        <f aca="false">IF(ISBLANK($C483),"",IF($AG483=Constants!$B$7,RANK(AW483,AW$8:AW$507),$AG483))</f>
        <v/>
      </c>
      <c r="AY483" s="66" t="str">
        <f aca="false">IF(ISBLANK($C483), "",AE483)</f>
        <v/>
      </c>
      <c r="AZ483" s="66" t="str">
        <f aca="false">IF(ISBLANK($C483),"",
IF($AG483=Constants!$B$7,
  IF(ISNUMBER(AT483),
    COUNTIFS($AT$8:$AT$507,"&lt;"&amp;$AT483)
    + COUNTIFS($AT$8:$AT$507,$AT483,$AV$8:$AV$507,"&lt;"&amp;$AV483)
    + COUNTIFS($AT$8:$AT$507,$AT483,$AV$8:$AV$507,$AV483,$AX$8:$AX$507,"&lt;"&amp;$AX483)
    + COUNTIFS($AT$8:$AT$507,$AT483,$AV$8:$AV$507,$AV483,$AX$8:$AX$507,$AX483,$AY$8:$AY$507,"&lt;"&amp;$AY483)
    + 1,
  Constants!$B$14),
$AG483))</f>
        <v/>
      </c>
      <c r="BA483" s="66" t="str">
        <f aca="false">IF(ISBLANK(C483),"",IF($AG483=Constants!$B$7, IF(ISNUMBER(AT483),AT483-AZ483,Constants!$B$14),$AG483))</f>
        <v/>
      </c>
      <c r="BB483" s="70"/>
      <c r="BC483" s="84" t="str">
        <f aca="false">IF(ISBLANK($C483),"",TRIM(AK483&amp;" "&amp;AO483))</f>
        <v/>
      </c>
      <c r="BD483" s="72" t="str">
        <f aca="false">IF(ISBLANK($C483),"",IF($AG483&lt;&gt;Constants!$B$7,$AG483,AR483))</f>
        <v/>
      </c>
      <c r="BE483" s="72" t="str">
        <f aca="false">IF(ISBLANK($C483),"",IF($AG483&lt;&gt;Constants!$B$7,$AG483,AM483))</f>
        <v/>
      </c>
      <c r="BF483" s="72" t="str">
        <f aca="false">IF(ISBLANK($C483),"",IF($AG483&lt;&gt;Constants!$B$7,$AG483,AQ483))</f>
        <v/>
      </c>
      <c r="BG483" s="73" t="str">
        <f aca="false">IF(ISBLANK($C483),"",IF($AG483&lt;&gt;Constants!$B$7, $AG483 ,AS483))</f>
        <v/>
      </c>
      <c r="BH483" s="74" t="str">
        <f aca="false">IF(ISBLANK($C483),"",IF($AG483&lt;&gt;Constants!$B$7, $AG483 ,AH483))</f>
        <v/>
      </c>
      <c r="BI483" s="72" t="str">
        <f aca="false">IF(ISBLANK(C483),"",BA483)</f>
        <v/>
      </c>
      <c r="BJ483" s="72" t="str">
        <f aca="false">IF(ISBLANK(C483),"",AZ483)</f>
        <v/>
      </c>
      <c r="BK483" s="75" t="str">
        <f aca="false">IF(ISBLANK(C483),"",IFERROR(_xlfn.SWITCH(BJ483, Constants!$B$4, COUNTA($C$8:$C982)+2, Constants!$B$5, COUNTA($C$8:$C982)+1, Constants!$B$6, COUNTA($C$8:$C982)),BJ483))</f>
        <v/>
      </c>
      <c r="BL483" s="5"/>
      <c r="BM483" s="76" t="n">
        <f aca="false">IF(OR(ISNUMBER(BJ483),BJ483="DQ",BJ483="P",BJ483="NS"),
    1,
    0
)</f>
        <v>0</v>
      </c>
      <c r="BN483" s="76" t="n">
        <v>476</v>
      </c>
      <c r="BO483" s="76" t="str">
        <f aca="false">IF(ISBLANK($C483),"",IF(ISNUMBER(BK483),BK483+ROW($B483)/1000,""))</f>
        <v/>
      </c>
      <c r="BP483" s="76" t="str">
        <f aca="false">IF(ISNUMBER(BO483), RANK(BO483,BO$8:BO$507,1), "")</f>
        <v/>
      </c>
      <c r="BQ483" s="76" t="str">
        <f aca="false">IF(ISBLANK($C483),
    "",
    $B483
)</f>
        <v/>
      </c>
      <c r="BR483" s="76" t="str">
        <f aca="false">IF(ISBLANK($C483),
    "",
    $C483
)</f>
        <v/>
      </c>
      <c r="BS483" s="76" t="str">
        <f aca="false">IF(ISBLANK($C483),
    "",
    $D483
)</f>
        <v/>
      </c>
      <c r="BT483" s="77" t="str">
        <f aca="false">BH483</f>
        <v/>
      </c>
      <c r="BU483" s="78" t="str">
        <f aca="false">BG483</f>
        <v/>
      </c>
      <c r="BV483" s="76" t="str">
        <f aca="false">IF(ISBLANK($C483),
    "",
    BJ483
)</f>
        <v/>
      </c>
      <c r="BW483" s="79" t="str">
        <f aca="false">IF(BN483&gt;BM$7,
    "",
    VLOOKUP(BN483,BP$8:BV982,7,FALSE())
)</f>
        <v/>
      </c>
      <c r="BX483" s="80" t="str">
        <f aca="false">IF(BN483&gt;BM$7,
    "",
    VLOOKUP(BN483,BP$8:BV982,2,FALSE())
)</f>
        <v/>
      </c>
      <c r="BY483" s="80" t="str">
        <f aca="false">IF(BN483&gt;BM$7,
    "",
    VLOOKUP(BN483,BP$8:BV982,3,FALSE())
)</f>
        <v/>
      </c>
      <c r="BZ483" s="80" t="str">
        <f aca="false">IF(BN483&gt;BM$7,
    "",
    VLOOKUP(BN483,BP$8:BV982,4,FALSE())
)</f>
        <v/>
      </c>
      <c r="CA483" s="80" t="str">
        <f aca="false">IF(BN483&gt;BM$7,
    "",
    VLOOKUP(BN483,BP$8:BV982,5,FALSE())
)</f>
        <v/>
      </c>
      <c r="CB483" s="81" t="str">
        <f aca="false">IF(BN483&gt;BM$7,
    "",
    VLOOKUP(BN483,BP$8:BV982,6,FALSE())
)</f>
        <v/>
      </c>
      <c r="CC483" s="53"/>
    </row>
    <row r="484" customFormat="false" ht="15.75" hidden="false" customHeight="false" outlineLevel="0" collapsed="false">
      <c r="A484" s="5"/>
      <c r="B484" s="129"/>
      <c r="C484" s="55"/>
      <c r="D484" s="56"/>
      <c r="E484" s="123"/>
      <c r="F484" s="123"/>
      <c r="G484" s="58"/>
      <c r="H484" s="59"/>
      <c r="I484" s="59"/>
      <c r="J484" s="83"/>
      <c r="K484" s="83"/>
      <c r="L484" s="83"/>
      <c r="M484" s="61"/>
      <c r="N484" s="61"/>
      <c r="O484" s="61"/>
      <c r="P484" s="62"/>
      <c r="Q484" s="63"/>
      <c r="R484" s="83"/>
      <c r="S484" s="65"/>
      <c r="T484" s="66"/>
      <c r="U484" s="66" t="str">
        <f aca="false">IF(ISBLANK($C484),"",IF(G484=Constants!$B$2, TRUE(), IF(G484=Constants!$B$3, FALSE(), TRUE())))</f>
        <v/>
      </c>
      <c r="V484" s="66" t="str">
        <f aca="false">IF(ISBLANK($C484),"",IF(H484=Constants!$B$2, TRUE(), IF(H484=Constants!$B$3, FALSE(), TRUE())))</f>
        <v/>
      </c>
      <c r="W484" s="66" t="str">
        <f aca="false">IF(ISBLANK($C484),"",IF(I484=Constants!$B$2, TRUE(), IF(I484=Constants!$B$3, FALSE(), TRUE())))</f>
        <v/>
      </c>
      <c r="X484" s="66" t="str">
        <f aca="false">IF(ISBLANK($C484),"",IF(AND(ISNUMBER(J484),J484&gt;0),INT(J484),0))</f>
        <v/>
      </c>
      <c r="Y484" s="66" t="str">
        <f aca="false">IF(ISBLANK($C484),"",IF(K484=Constants!$B$2, TRUE(), IF(K484=Constants!$B$3, FALSE(), TRUE())))</f>
        <v/>
      </c>
      <c r="Z484" s="66" t="str">
        <f aca="false">IF(ISBLANK($C484),"",IF(AND(ISNUMBER(L484),L484&gt;0),INT(L484),0))</f>
        <v/>
      </c>
      <c r="AA484" s="68" t="str">
        <f aca="false">IF(ISBLANK($C484),"",IF(ISNUMBER(M484), M484, ""))</f>
        <v/>
      </c>
      <c r="AB484" s="68" t="str">
        <f aca="false">IF(ISBLANK($C484),"",IF(ISNUMBER(N484), N484, ""))</f>
        <v/>
      </c>
      <c r="AC484" s="68" t="str">
        <f aca="false">IF(ISBLANK($C484),"",IF(ISNUMBER(O484), O484, ""))</f>
        <v/>
      </c>
      <c r="AD484" s="69" t="str">
        <f aca="false">IF(ISBLANK($C484),"",IF(ISNUMBER(P484), P484, ""))</f>
        <v/>
      </c>
      <c r="AE484" s="69" t="str">
        <f aca="false">IF(ISBLANK($C484),"",IF(ISNUMBER(Q484), Q484, Constants!$B$13))</f>
        <v/>
      </c>
      <c r="AF484" s="66" t="str">
        <f aca="false">IF(ISBLANK($C484),"",IF(R484=Constants!$B$2, TRUE(), IF(R484=Constants!$B$3, FALSE(), FALSE())))</f>
        <v/>
      </c>
      <c r="AG484" s="66" t="str">
        <f aca="false">IF(ISBLANK(C484), "", IF(AF484, Constants!$B$4,IF(COUNTA(G484:P484)=0, Constants!$B$5, Constants!$B$7)))</f>
        <v/>
      </c>
      <c r="AH484" s="66" t="str">
        <f aca="false">IF(ISBLANK($C484), "",IF($AG484=Constants!$B$7,1,$AG484))</f>
        <v/>
      </c>
      <c r="AI484" s="66" t="str">
        <f aca="false">IF($AG484=Constants!$B$7,POWER(Constants!$B$11,X484)*POWER(Constants!$B$12,Z484),"")</f>
        <v/>
      </c>
      <c r="AJ484" s="66" t="str">
        <f aca="false">IF(AND($AG484=Constants!$B$7, U484, V484) ,IF(OR($AA484="",$AC484=""),"",MAX(0, $AC484-$AA484)),"")</f>
        <v/>
      </c>
      <c r="AK484" s="66" t="str">
        <f aca="false">IF(AND($AG484=Constants!$B$7, U484, V484),IF(OR($AA484="",$AC484=""),$AK$6,""),"")</f>
        <v/>
      </c>
      <c r="AL484" s="66" t="str">
        <f aca="false">IF($AG484=Constants!$B$7,IF(AND(U484,V484,W484,Y484),IF($AJ484="",0,IF($AJ$6=0,Constants!$B$9,Constants!$B$9*AJ484/$AJ$6)), 0),"")</f>
        <v/>
      </c>
      <c r="AM484" s="66" t="str">
        <f aca="false">IF(AL484&lt;&gt;"", AL484*AI484,"")</f>
        <v/>
      </c>
      <c r="AN484" s="66" t="str">
        <f aca="false">IF(AND($AG484=Constants!$B$7, U484, V484) ,IF($AB484="", "", IF(OR($AC484="",$AC484=0),"",MAX(0,1-ABS($AC484-$AB484)/$AC484))),"")</f>
        <v/>
      </c>
      <c r="AO484" s="66" t="str">
        <f aca="false">IF(AND($AG484=Constants!$B$7, U484, V484),IF(AND($AA484&lt;&gt;"",$AB484&lt;&gt;"",$AC484=0),$AO$6,""),"")</f>
        <v/>
      </c>
      <c r="AP484" s="66" t="str">
        <f aca="false">IF($AG484=Constants!$B$7 ,IF(AND(U484,V484,W484,Y484,ISNUMBER(AB484)),IF($AN484="",0,IF($AN$6=0,Constants!$B$10,Constants!$B$10*AN484/$AN$6)), 0),"")</f>
        <v/>
      </c>
      <c r="AQ484" s="66" t="str">
        <f aca="false">IF(AP484&lt;&gt;"", AP484*AI484,"")</f>
        <v/>
      </c>
      <c r="AR484" s="66" t="str">
        <f aca="false">IF($AG484=Constants!$B$7,IF($AD484="",0,IF($AR$6=0,Constants!$B$8,Constants!$B$8*AD484/$AR$6)),"")</f>
        <v/>
      </c>
      <c r="AS484" s="66" t="str">
        <f aca="false">IF($AG484&lt;&gt;Constants!$B$7,$AG484,IF(AK484&amp;AO484&lt;&gt;"",Constants!$B$14,AM484+AQ484+AR484))</f>
        <v/>
      </c>
      <c r="AT484" s="66" t="str">
        <f aca="false">IF(ISBLANK($C484),"",IF($AG484=Constants!$B$7,IF(ISNUMBER(AS484),RANK(AS484,$AS$8:$AS$507),Constants!$B$14),$AG484))</f>
        <v/>
      </c>
      <c r="AU484" s="66" t="str">
        <f aca="false">IF(ISBLANK($C484), "",AM484)</f>
        <v/>
      </c>
      <c r="AV484" s="66" t="str">
        <f aca="false">IF(ISBLANK($C484),"",IF($AG484=Constants!$B$7,RANK(AU484,AU$8:AU$507),$AG484))</f>
        <v/>
      </c>
      <c r="AW484" s="66" t="str">
        <f aca="false">IF(ISBLANK($C484), "",AR484)</f>
        <v/>
      </c>
      <c r="AX484" s="66" t="str">
        <f aca="false">IF(ISBLANK($C484),"",IF($AG484=Constants!$B$7,RANK(AW484,AW$8:AW$507),$AG484))</f>
        <v/>
      </c>
      <c r="AY484" s="66" t="str">
        <f aca="false">IF(ISBLANK($C484), "",AE484)</f>
        <v/>
      </c>
      <c r="AZ484" s="66" t="str">
        <f aca="false">IF(ISBLANK($C484),"",
IF($AG484=Constants!$B$7,
  IF(ISNUMBER(AT484),
    COUNTIFS($AT$8:$AT$507,"&lt;"&amp;$AT484)
    + COUNTIFS($AT$8:$AT$507,$AT484,$AV$8:$AV$507,"&lt;"&amp;$AV484)
    + COUNTIFS($AT$8:$AT$507,$AT484,$AV$8:$AV$507,$AV484,$AX$8:$AX$507,"&lt;"&amp;$AX484)
    + COUNTIFS($AT$8:$AT$507,$AT484,$AV$8:$AV$507,$AV484,$AX$8:$AX$507,$AX484,$AY$8:$AY$507,"&lt;"&amp;$AY484)
    + 1,
  Constants!$B$14),
$AG484))</f>
        <v/>
      </c>
      <c r="BA484" s="66" t="str">
        <f aca="false">IF(ISBLANK(C484),"",IF($AG484=Constants!$B$7, IF(ISNUMBER(AT484),AT484-AZ484,Constants!$B$14),$AG484))</f>
        <v/>
      </c>
      <c r="BB484" s="70"/>
      <c r="BC484" s="84" t="str">
        <f aca="false">IF(ISBLANK($C484),"",TRIM(AK484&amp;" "&amp;AO484))</f>
        <v/>
      </c>
      <c r="BD484" s="72" t="str">
        <f aca="false">IF(ISBLANK($C484),"",IF($AG484&lt;&gt;Constants!$B$7,$AG484,AR484))</f>
        <v/>
      </c>
      <c r="BE484" s="72" t="str">
        <f aca="false">IF(ISBLANK($C484),"",IF($AG484&lt;&gt;Constants!$B$7,$AG484,AM484))</f>
        <v/>
      </c>
      <c r="BF484" s="72" t="str">
        <f aca="false">IF(ISBLANK($C484),"",IF($AG484&lt;&gt;Constants!$B$7,$AG484,AQ484))</f>
        <v/>
      </c>
      <c r="BG484" s="73" t="str">
        <f aca="false">IF(ISBLANK($C484),"",IF($AG484&lt;&gt;Constants!$B$7, $AG484 ,AS484))</f>
        <v/>
      </c>
      <c r="BH484" s="74" t="str">
        <f aca="false">IF(ISBLANK($C484),"",IF($AG484&lt;&gt;Constants!$B$7, $AG484 ,AH484))</f>
        <v/>
      </c>
      <c r="BI484" s="72" t="str">
        <f aca="false">IF(ISBLANK(C484),"",BA484)</f>
        <v/>
      </c>
      <c r="BJ484" s="72" t="str">
        <f aca="false">IF(ISBLANK(C484),"",AZ484)</f>
        <v/>
      </c>
      <c r="BK484" s="75" t="str">
        <f aca="false">IF(ISBLANK(C484),"",IFERROR(_xlfn.SWITCH(BJ484, Constants!$B$4, COUNTA($C$8:$C983)+2, Constants!$B$5, COUNTA($C$8:$C983)+1, Constants!$B$6, COUNTA($C$8:$C983)),BJ484))</f>
        <v/>
      </c>
      <c r="BL484" s="5"/>
      <c r="BM484" s="76" t="n">
        <f aca="false">IF(OR(ISNUMBER(BJ484),BJ484="DQ",BJ484="P",BJ484="NS"),
    1,
    0
)</f>
        <v>0</v>
      </c>
      <c r="BN484" s="76" t="n">
        <v>477</v>
      </c>
      <c r="BO484" s="76" t="str">
        <f aca="false">IF(ISBLANK($C484),"",IF(ISNUMBER(BK484),BK484+ROW($B484)/1000,""))</f>
        <v/>
      </c>
      <c r="BP484" s="76" t="str">
        <f aca="false">IF(ISNUMBER(BO484), RANK(BO484,BO$8:BO$507,1), "")</f>
        <v/>
      </c>
      <c r="BQ484" s="76" t="str">
        <f aca="false">IF(ISBLANK($C484),
    "",
    $B484
)</f>
        <v/>
      </c>
      <c r="BR484" s="76" t="str">
        <f aca="false">IF(ISBLANK($C484),
    "",
    $C484
)</f>
        <v/>
      </c>
      <c r="BS484" s="76" t="str">
        <f aca="false">IF(ISBLANK($C484),
    "",
    $D484
)</f>
        <v/>
      </c>
      <c r="BT484" s="77" t="str">
        <f aca="false">BH484</f>
        <v/>
      </c>
      <c r="BU484" s="78" t="str">
        <f aca="false">BG484</f>
        <v/>
      </c>
      <c r="BV484" s="76" t="str">
        <f aca="false">IF(ISBLANK($C484),
    "",
    BJ484
)</f>
        <v/>
      </c>
      <c r="BW484" s="79" t="str">
        <f aca="false">IF(BN484&gt;BM$7,
    "",
    VLOOKUP(BN484,BP$8:BV983,7,FALSE())
)</f>
        <v/>
      </c>
      <c r="BX484" s="80" t="str">
        <f aca="false">IF(BN484&gt;BM$7,
    "",
    VLOOKUP(BN484,BP$8:BV983,2,FALSE())
)</f>
        <v/>
      </c>
      <c r="BY484" s="80" t="str">
        <f aca="false">IF(BN484&gt;BM$7,
    "",
    VLOOKUP(BN484,BP$8:BV983,3,FALSE())
)</f>
        <v/>
      </c>
      <c r="BZ484" s="80" t="str">
        <f aca="false">IF(BN484&gt;BM$7,
    "",
    VLOOKUP(BN484,BP$8:BV983,4,FALSE())
)</f>
        <v/>
      </c>
      <c r="CA484" s="80" t="str">
        <f aca="false">IF(BN484&gt;BM$7,
    "",
    VLOOKUP(BN484,BP$8:BV983,5,FALSE())
)</f>
        <v/>
      </c>
      <c r="CB484" s="81" t="str">
        <f aca="false">IF(BN484&gt;BM$7,
    "",
    VLOOKUP(BN484,BP$8:BV983,6,FALSE())
)</f>
        <v/>
      </c>
      <c r="CC484" s="53"/>
    </row>
    <row r="485" customFormat="false" ht="15.75" hidden="false" customHeight="false" outlineLevel="0" collapsed="false">
      <c r="A485" s="5"/>
      <c r="B485" s="125"/>
      <c r="C485" s="126"/>
      <c r="D485" s="115"/>
      <c r="E485" s="119"/>
      <c r="F485" s="119"/>
      <c r="G485" s="91"/>
      <c r="H485" s="92"/>
      <c r="I485" s="92"/>
      <c r="J485" s="128"/>
      <c r="K485" s="128"/>
      <c r="L485" s="128"/>
      <c r="M485" s="94"/>
      <c r="N485" s="94"/>
      <c r="O485" s="94"/>
      <c r="P485" s="95"/>
      <c r="Q485" s="96"/>
      <c r="R485" s="128"/>
      <c r="S485" s="98"/>
      <c r="T485" s="99"/>
      <c r="U485" s="99" t="str">
        <f aca="false">IF(ISBLANK($C485),"",IF(G485=Constants!$B$2, TRUE(), IF(G485=Constants!$B$3, FALSE(), TRUE())))</f>
        <v/>
      </c>
      <c r="V485" s="99" t="str">
        <f aca="false">IF(ISBLANK($C485),"",IF(H485=Constants!$B$2, TRUE(), IF(H485=Constants!$B$3, FALSE(), TRUE())))</f>
        <v/>
      </c>
      <c r="W485" s="99" t="str">
        <f aca="false">IF(ISBLANK($C485),"",IF(I485=Constants!$B$2, TRUE(), IF(I485=Constants!$B$3, FALSE(), TRUE())))</f>
        <v/>
      </c>
      <c r="X485" s="99" t="str">
        <f aca="false">IF(ISBLANK($C485),"",IF(AND(ISNUMBER(J485),J485&gt;0),INT(J485),0))</f>
        <v/>
      </c>
      <c r="Y485" s="99" t="str">
        <f aca="false">IF(ISBLANK($C485),"",IF(K485=Constants!$B$2, TRUE(), IF(K485=Constants!$B$3, FALSE(), TRUE())))</f>
        <v/>
      </c>
      <c r="Z485" s="100" t="str">
        <f aca="false">IF(ISBLANK($C485),"",IF(AND(ISNUMBER(L485),L485&gt;0),INT(L485),0))</f>
        <v/>
      </c>
      <c r="AA485" s="101" t="str">
        <f aca="false">IF(ISBLANK($C485),"",IF(ISNUMBER(M485), M485, ""))</f>
        <v/>
      </c>
      <c r="AB485" s="101" t="str">
        <f aca="false">IF(ISBLANK($C485),"",IF(ISNUMBER(N485), N485, ""))</f>
        <v/>
      </c>
      <c r="AC485" s="101" t="str">
        <f aca="false">IF(ISBLANK($C485),"",IF(ISNUMBER(O485), O485, ""))</f>
        <v/>
      </c>
      <c r="AD485" s="102" t="str">
        <f aca="false">IF(ISBLANK($C485),"",IF(ISNUMBER(P485), P485, ""))</f>
        <v/>
      </c>
      <c r="AE485" s="102" t="str">
        <f aca="false">IF(ISBLANK($C485),"",IF(ISNUMBER(Q485), Q485, Constants!$B$13))</f>
        <v/>
      </c>
      <c r="AF485" s="99" t="str">
        <f aca="false">IF(ISBLANK($C485),"",IF(R485=Constants!$B$2, TRUE(), IF(R485=Constants!$B$3, FALSE(), FALSE())))</f>
        <v/>
      </c>
      <c r="AG485" s="99" t="str">
        <f aca="false">IF(ISBLANK(C485), "", IF(AF485, Constants!$B$4,IF(COUNTA(G485:P485)=0, Constants!$B$5, Constants!$B$7)))</f>
        <v/>
      </c>
      <c r="AH485" s="99" t="str">
        <f aca="false">IF(ISBLANK($C485), "",IF($AG485=Constants!$B$7,1,$AG485))</f>
        <v/>
      </c>
      <c r="AI485" s="99" t="str">
        <f aca="false">IF($AG485=Constants!$B$7,POWER(Constants!$B$11,X485)*POWER(Constants!$B$12,Z485),"")</f>
        <v/>
      </c>
      <c r="AJ485" s="99" t="str">
        <f aca="false">IF(AND($AG485=Constants!$B$7, U485, V485) ,IF(OR($AA485="",$AC485=""),"",MAX(0, $AC485-$AA485)),"")</f>
        <v/>
      </c>
      <c r="AK485" s="99" t="str">
        <f aca="false">IF(AND($AG485=Constants!$B$7, U485, V485),IF(OR($AA485="",$AC485=""),$AK$6,""),"")</f>
        <v/>
      </c>
      <c r="AL485" s="99" t="str">
        <f aca="false">IF($AG485=Constants!$B$7,IF(AND(U485,V485,W485,Y485),IF($AJ485="",0,IF($AJ$6=0,Constants!$B$9,Constants!$B$9*AJ485/$AJ$6)), 0),"")</f>
        <v/>
      </c>
      <c r="AM485" s="99" t="str">
        <f aca="false">IF(AL485&lt;&gt;"", AL485*AI485,"")</f>
        <v/>
      </c>
      <c r="AN485" s="99" t="str">
        <f aca="false">IF(AND($AG485=Constants!$B$7, U485, V485) ,IF($AB485="", "", IF(OR($AC485="",$AC485=0),"",MAX(0,1-ABS($AC485-$AB485)/$AC485))),"")</f>
        <v/>
      </c>
      <c r="AO485" s="99" t="str">
        <f aca="false">IF(AND($AG485=Constants!$B$7, U485, V485),IF(AND($AA485&lt;&gt;"",$AB485&lt;&gt;"",$AC485=0),$AO$6,""),"")</f>
        <v/>
      </c>
      <c r="AP485" s="99" t="str">
        <f aca="false">IF($AG485=Constants!$B$7 ,IF(AND(U485,V485,W485,Y485,ISNUMBER(AB485)),IF($AN485="",0,IF($AN$6=0,Constants!$B$10,Constants!$B$10*AN485/$AN$6)), 0),"")</f>
        <v/>
      </c>
      <c r="AQ485" s="99" t="str">
        <f aca="false">IF(AP485&lt;&gt;"", AP485*AI485,"")</f>
        <v/>
      </c>
      <c r="AR485" s="99" t="str">
        <f aca="false">IF($AG485=Constants!$B$7,IF($AD485="",0,IF($AR$6=0,Constants!$B$8,Constants!$B$8*AD485/$AR$6)),"")</f>
        <v/>
      </c>
      <c r="AS485" s="99" t="str">
        <f aca="false">IF($AG485&lt;&gt;Constants!$B$7,$AG485,IF(AK485&amp;AO485&lt;&gt;"",Constants!$B$14,AM485+AQ485+AR485))</f>
        <v/>
      </c>
      <c r="AT485" s="99" t="str">
        <f aca="false">IF(ISBLANK($C485),"",IF($AG485=Constants!$B$7,IF(ISNUMBER(AS485),RANK(AS485,$AS$8:$AS$507),Constants!$B$14),$AG485))</f>
        <v/>
      </c>
      <c r="AU485" s="99" t="str">
        <f aca="false">IF(ISBLANK($C485), "",AM485)</f>
        <v/>
      </c>
      <c r="AV485" s="99" t="str">
        <f aca="false">IF(ISBLANK($C485),"",IF($AG485=Constants!$B$7,RANK(AU485,AU$8:AU$507),$AG485))</f>
        <v/>
      </c>
      <c r="AW485" s="99" t="str">
        <f aca="false">IF(ISBLANK($C485), "",AR485)</f>
        <v/>
      </c>
      <c r="AX485" s="99" t="str">
        <f aca="false">IF(ISBLANK($C485),"",IF($AG485=Constants!$B$7,RANK(AW485,AW$8:AW$507),$AG485))</f>
        <v/>
      </c>
      <c r="AY485" s="99" t="str">
        <f aca="false">IF(ISBLANK($C485), "",AE485)</f>
        <v/>
      </c>
      <c r="AZ485" s="99" t="str">
        <f aca="false">IF(ISBLANK($C485),"",
IF($AG485=Constants!$B$7,
  IF(ISNUMBER(AT485),
    COUNTIFS($AT$8:$AT$507,"&lt;"&amp;$AT485)
    + COUNTIFS($AT$8:$AT$507,$AT485,$AV$8:$AV$507,"&lt;"&amp;$AV485)
    + COUNTIFS($AT$8:$AT$507,$AT485,$AV$8:$AV$507,$AV485,$AX$8:$AX$507,"&lt;"&amp;$AX485)
    + COUNTIFS($AT$8:$AT$507,$AT485,$AV$8:$AV$507,$AV485,$AX$8:$AX$507,$AX485,$AY$8:$AY$507,"&lt;"&amp;$AY485)
    + 1,
  Constants!$B$14),
$AG485))</f>
        <v/>
      </c>
      <c r="BA485" s="99" t="str">
        <f aca="false">IF(ISBLANK(C485),"",IF($AG485=Constants!$B$7, IF(ISNUMBER(AT485),AT485-AZ485,Constants!$B$14),$AG485))</f>
        <v/>
      </c>
      <c r="BB485" s="103"/>
      <c r="BC485" s="104" t="str">
        <f aca="false">IF(ISBLANK($C485),"",TRIM(AK485&amp;" "&amp;AO485))</f>
        <v/>
      </c>
      <c r="BD485" s="105" t="str">
        <f aca="false">IF(ISBLANK($C485),"",IF($AG485&lt;&gt;Constants!$B$7,$AG485,AR485))</f>
        <v/>
      </c>
      <c r="BE485" s="105" t="str">
        <f aca="false">IF(ISBLANK($C485),"",IF($AG485&lt;&gt;Constants!$B$7,$AG485,AM485))</f>
        <v/>
      </c>
      <c r="BF485" s="105" t="str">
        <f aca="false">IF(ISBLANK($C485),"",IF($AG485&lt;&gt;Constants!$B$7,$AG485,AQ485))</f>
        <v/>
      </c>
      <c r="BG485" s="106" t="str">
        <f aca="false">IF(ISBLANK($C485),"",IF($AG485&lt;&gt;Constants!$B$7, $AG485 ,AS485))</f>
        <v/>
      </c>
      <c r="BH485" s="107" t="str">
        <f aca="false">IF(ISBLANK($C485),"",IF($AG485&lt;&gt;Constants!$B$7, $AG485 ,AH485))</f>
        <v/>
      </c>
      <c r="BI485" s="105" t="str">
        <f aca="false">IF(ISBLANK(C485),"",BA485)</f>
        <v/>
      </c>
      <c r="BJ485" s="105" t="str">
        <f aca="false">IF(ISBLANK(C485),"",AZ485)</f>
        <v/>
      </c>
      <c r="BK485" s="108" t="str">
        <f aca="false">IF(ISBLANK(C485),"",IFERROR(_xlfn.SWITCH(BJ485, Constants!$B$4, COUNTA($C$8:$C984)+2, Constants!$B$5, COUNTA($C$8:$C984)+1, Constants!$B$6, COUNTA($C$8:$C984)),BJ485))</f>
        <v/>
      </c>
      <c r="BL485" s="5"/>
      <c r="BM485" s="109" t="n">
        <f aca="false">IF(OR(ISNUMBER(BJ485),BJ485="DQ",BJ485="P",BJ485="NS"),
    1,
    0
)</f>
        <v>0</v>
      </c>
      <c r="BN485" s="109" t="n">
        <v>478</v>
      </c>
      <c r="BO485" s="109" t="str">
        <f aca="false">IF(ISBLANK($C485),"",IF(ISNUMBER(BK485),BK485+ROW($B485)/1000,""))</f>
        <v/>
      </c>
      <c r="BP485" s="109" t="str">
        <f aca="false">IF(ISNUMBER(BO485), RANK(BO485,BO$8:BO$507,1), "")</f>
        <v/>
      </c>
      <c r="BQ485" s="109" t="str">
        <f aca="false">IF(ISBLANK($C485),
    "",
    $B485
)</f>
        <v/>
      </c>
      <c r="BR485" s="109" t="str">
        <f aca="false">IF(ISBLANK($C485),
    "",
    $C485
)</f>
        <v/>
      </c>
      <c r="BS485" s="109" t="str">
        <f aca="false">IF(ISBLANK($C485),
    "",
    $D485
)</f>
        <v/>
      </c>
      <c r="BT485" s="110" t="str">
        <f aca="false">BH485</f>
        <v/>
      </c>
      <c r="BU485" s="111" t="str">
        <f aca="false">BG485</f>
        <v/>
      </c>
      <c r="BV485" s="109" t="str">
        <f aca="false">IF(ISBLANK($C485),
    "",
    BJ485
)</f>
        <v/>
      </c>
      <c r="BW485" s="112" t="str">
        <f aca="false">IF(BN485&gt;BM$7,
    "",
    VLOOKUP(BN485,BP$8:BV984,7,FALSE())
)</f>
        <v/>
      </c>
      <c r="BX485" s="113" t="str">
        <f aca="false">IF(BN485&gt;BM$7,
    "",
    VLOOKUP(BN485,BP$8:BV984,2,FALSE())
)</f>
        <v/>
      </c>
      <c r="BY485" s="113" t="str">
        <f aca="false">IF(BN485&gt;BM$7,
    "",
    VLOOKUP(BN485,BP$8:BV984,3,FALSE())
)</f>
        <v/>
      </c>
      <c r="BZ485" s="113" t="str">
        <f aca="false">IF(BN485&gt;BM$7,
    "",
    VLOOKUP(BN485,BP$8:BV984,4,FALSE())
)</f>
        <v/>
      </c>
      <c r="CA485" s="113" t="str">
        <f aca="false">IF(BN485&gt;BM$7,
    "",
    VLOOKUP(BN485,BP$8:BV984,5,FALSE())
)</f>
        <v/>
      </c>
      <c r="CB485" s="114" t="str">
        <f aca="false">IF(BN485&gt;BM$7,
    "",
    VLOOKUP(BN485,BP$8:BV984,6,FALSE())
)</f>
        <v/>
      </c>
      <c r="CC485" s="53"/>
    </row>
    <row r="486" customFormat="false" ht="15.75" hidden="false" customHeight="false" outlineLevel="0" collapsed="false">
      <c r="A486" s="5"/>
      <c r="B486" s="125"/>
      <c r="C486" s="126"/>
      <c r="D486" s="115"/>
      <c r="E486" s="119"/>
      <c r="F486" s="119"/>
      <c r="G486" s="91"/>
      <c r="H486" s="92"/>
      <c r="I486" s="92"/>
      <c r="J486" s="128"/>
      <c r="K486" s="128"/>
      <c r="L486" s="128"/>
      <c r="M486" s="94"/>
      <c r="N486" s="94"/>
      <c r="O486" s="94"/>
      <c r="P486" s="95"/>
      <c r="Q486" s="96"/>
      <c r="R486" s="128"/>
      <c r="S486" s="98"/>
      <c r="T486" s="99"/>
      <c r="U486" s="99" t="str">
        <f aca="false">IF(ISBLANK($C486),"",IF(G486=Constants!$B$2, TRUE(), IF(G486=Constants!$B$3, FALSE(), TRUE())))</f>
        <v/>
      </c>
      <c r="V486" s="99" t="str">
        <f aca="false">IF(ISBLANK($C486),"",IF(H486=Constants!$B$2, TRUE(), IF(H486=Constants!$B$3, FALSE(), TRUE())))</f>
        <v/>
      </c>
      <c r="W486" s="99" t="str">
        <f aca="false">IF(ISBLANK($C486),"",IF(I486=Constants!$B$2, TRUE(), IF(I486=Constants!$B$3, FALSE(), TRUE())))</f>
        <v/>
      </c>
      <c r="X486" s="99" t="str">
        <f aca="false">IF(ISBLANK($C486),"",IF(AND(ISNUMBER(J486),J486&gt;0),INT(J486),0))</f>
        <v/>
      </c>
      <c r="Y486" s="99" t="str">
        <f aca="false">IF(ISBLANK($C486),"",IF(K486=Constants!$B$2, TRUE(), IF(K486=Constants!$B$3, FALSE(), TRUE())))</f>
        <v/>
      </c>
      <c r="Z486" s="100" t="str">
        <f aca="false">IF(ISBLANK($C486),"",IF(AND(ISNUMBER(L486),L486&gt;0),INT(L486),0))</f>
        <v/>
      </c>
      <c r="AA486" s="101" t="str">
        <f aca="false">IF(ISBLANK($C486),"",IF(ISNUMBER(M486), M486, ""))</f>
        <v/>
      </c>
      <c r="AB486" s="101" t="str">
        <f aca="false">IF(ISBLANK($C486),"",IF(ISNUMBER(N486), N486, ""))</f>
        <v/>
      </c>
      <c r="AC486" s="101" t="str">
        <f aca="false">IF(ISBLANK($C486),"",IF(ISNUMBER(O486), O486, ""))</f>
        <v/>
      </c>
      <c r="AD486" s="102" t="str">
        <f aca="false">IF(ISBLANK($C486),"",IF(ISNUMBER(P486), P486, ""))</f>
        <v/>
      </c>
      <c r="AE486" s="102" t="str">
        <f aca="false">IF(ISBLANK($C486),"",IF(ISNUMBER(Q486), Q486, Constants!$B$13))</f>
        <v/>
      </c>
      <c r="AF486" s="99" t="str">
        <f aca="false">IF(ISBLANK($C486),"",IF(R486=Constants!$B$2, TRUE(), IF(R486=Constants!$B$3, FALSE(), FALSE())))</f>
        <v/>
      </c>
      <c r="AG486" s="99" t="str">
        <f aca="false">IF(ISBLANK(C486), "", IF(AF486, Constants!$B$4,IF(COUNTA(G486:P486)=0, Constants!$B$5, Constants!$B$7)))</f>
        <v/>
      </c>
      <c r="AH486" s="99" t="str">
        <f aca="false">IF(ISBLANK($C486), "",IF($AG486=Constants!$B$7,1,$AG486))</f>
        <v/>
      </c>
      <c r="AI486" s="99" t="str">
        <f aca="false">IF($AG486=Constants!$B$7,POWER(Constants!$B$11,X486)*POWER(Constants!$B$12,Z486),"")</f>
        <v/>
      </c>
      <c r="AJ486" s="99" t="str">
        <f aca="false">IF(AND($AG486=Constants!$B$7, U486, V486) ,IF(OR($AA486="",$AC486=""),"",MAX(0, $AC486-$AA486)),"")</f>
        <v/>
      </c>
      <c r="AK486" s="99" t="str">
        <f aca="false">IF(AND($AG486=Constants!$B$7, U486, V486),IF(OR($AA486="",$AC486=""),$AK$6,""),"")</f>
        <v/>
      </c>
      <c r="AL486" s="99" t="str">
        <f aca="false">IF($AG486=Constants!$B$7,IF(AND(U486,V486,W486,Y486),IF($AJ486="",0,IF($AJ$6=0,Constants!$B$9,Constants!$B$9*AJ486/$AJ$6)), 0),"")</f>
        <v/>
      </c>
      <c r="AM486" s="99" t="str">
        <f aca="false">IF(AL486&lt;&gt;"", AL486*AI486,"")</f>
        <v/>
      </c>
      <c r="AN486" s="99" t="str">
        <f aca="false">IF(AND($AG486=Constants!$B$7, U486, V486) ,IF($AB486="", "", IF(OR($AC486="",$AC486=0),"",MAX(0,1-ABS($AC486-$AB486)/$AC486))),"")</f>
        <v/>
      </c>
      <c r="AO486" s="99" t="str">
        <f aca="false">IF(AND($AG486=Constants!$B$7, U486, V486),IF(AND($AA486&lt;&gt;"",$AB486&lt;&gt;"",$AC486=0),$AO$6,""),"")</f>
        <v/>
      </c>
      <c r="AP486" s="99" t="str">
        <f aca="false">IF($AG486=Constants!$B$7 ,IF(AND(U486,V486,W486,Y486,ISNUMBER(AB486)),IF($AN486="",0,IF($AN$6=0,Constants!$B$10,Constants!$B$10*AN486/$AN$6)), 0),"")</f>
        <v/>
      </c>
      <c r="AQ486" s="99" t="str">
        <f aca="false">IF(AP486&lt;&gt;"", AP486*AI486,"")</f>
        <v/>
      </c>
      <c r="AR486" s="99" t="str">
        <f aca="false">IF($AG486=Constants!$B$7,IF($AD486="",0,IF($AR$6=0,Constants!$B$8,Constants!$B$8*AD486/$AR$6)),"")</f>
        <v/>
      </c>
      <c r="AS486" s="99" t="str">
        <f aca="false">IF($AG486&lt;&gt;Constants!$B$7,$AG486,IF(AK486&amp;AO486&lt;&gt;"",Constants!$B$14,AM486+AQ486+AR486))</f>
        <v/>
      </c>
      <c r="AT486" s="99" t="str">
        <f aca="false">IF(ISBLANK($C486),"",IF($AG486=Constants!$B$7,IF(ISNUMBER(AS486),RANK(AS486,$AS$8:$AS$507),Constants!$B$14),$AG486))</f>
        <v/>
      </c>
      <c r="AU486" s="99" t="str">
        <f aca="false">IF(ISBLANK($C486), "",AM486)</f>
        <v/>
      </c>
      <c r="AV486" s="99" t="str">
        <f aca="false">IF(ISBLANK($C486),"",IF($AG486=Constants!$B$7,RANK(AU486,AU$8:AU$507),$AG486))</f>
        <v/>
      </c>
      <c r="AW486" s="99" t="str">
        <f aca="false">IF(ISBLANK($C486), "",AR486)</f>
        <v/>
      </c>
      <c r="AX486" s="99" t="str">
        <f aca="false">IF(ISBLANK($C486),"",IF($AG486=Constants!$B$7,RANK(AW486,AW$8:AW$507),$AG486))</f>
        <v/>
      </c>
      <c r="AY486" s="99" t="str">
        <f aca="false">IF(ISBLANK($C486), "",AE486)</f>
        <v/>
      </c>
      <c r="AZ486" s="99" t="str">
        <f aca="false">IF(ISBLANK($C486),"",
IF($AG486=Constants!$B$7,
  IF(ISNUMBER(AT486),
    COUNTIFS($AT$8:$AT$507,"&lt;"&amp;$AT486)
    + COUNTIFS($AT$8:$AT$507,$AT486,$AV$8:$AV$507,"&lt;"&amp;$AV486)
    + COUNTIFS($AT$8:$AT$507,$AT486,$AV$8:$AV$507,$AV486,$AX$8:$AX$507,"&lt;"&amp;$AX486)
    + COUNTIFS($AT$8:$AT$507,$AT486,$AV$8:$AV$507,$AV486,$AX$8:$AX$507,$AX486,$AY$8:$AY$507,"&lt;"&amp;$AY486)
    + 1,
  Constants!$B$14),
$AG486))</f>
        <v/>
      </c>
      <c r="BA486" s="99" t="str">
        <f aca="false">IF(ISBLANK(C486),"",IF($AG486=Constants!$B$7, IF(ISNUMBER(AT486),AT486-AZ486,Constants!$B$14),$AG486))</f>
        <v/>
      </c>
      <c r="BB486" s="103"/>
      <c r="BC486" s="104" t="str">
        <f aca="false">IF(ISBLANK($C486),"",TRIM(AK486&amp;" "&amp;AO486))</f>
        <v/>
      </c>
      <c r="BD486" s="105" t="str">
        <f aca="false">IF(ISBLANK($C486),"",IF($AG486&lt;&gt;Constants!$B$7,$AG486,AR486))</f>
        <v/>
      </c>
      <c r="BE486" s="105" t="str">
        <f aca="false">IF(ISBLANK($C486),"",IF($AG486&lt;&gt;Constants!$B$7,$AG486,AM486))</f>
        <v/>
      </c>
      <c r="BF486" s="105" t="str">
        <f aca="false">IF(ISBLANK($C486),"",IF($AG486&lt;&gt;Constants!$B$7,$AG486,AQ486))</f>
        <v/>
      </c>
      <c r="BG486" s="106" t="str">
        <f aca="false">IF(ISBLANK($C486),"",IF($AG486&lt;&gt;Constants!$B$7, $AG486 ,AS486))</f>
        <v/>
      </c>
      <c r="BH486" s="107" t="str">
        <f aca="false">IF(ISBLANK($C486),"",IF($AG486&lt;&gt;Constants!$B$7, $AG486 ,AH486))</f>
        <v/>
      </c>
      <c r="BI486" s="105" t="str">
        <f aca="false">IF(ISBLANK(C486),"",BA486)</f>
        <v/>
      </c>
      <c r="BJ486" s="105" t="str">
        <f aca="false">IF(ISBLANK(C486),"",AZ486)</f>
        <v/>
      </c>
      <c r="BK486" s="108" t="str">
        <f aca="false">IF(ISBLANK(C486),"",IFERROR(_xlfn.SWITCH(BJ486, Constants!$B$4, COUNTA($C$8:$C985)+2, Constants!$B$5, COUNTA($C$8:$C985)+1, Constants!$B$6, COUNTA($C$8:$C985)),BJ486))</f>
        <v/>
      </c>
      <c r="BL486" s="5"/>
      <c r="BM486" s="109" t="n">
        <f aca="false">IF(OR(ISNUMBER(BJ486),BJ486="DQ",BJ486="P",BJ486="NS"),
    1,
    0
)</f>
        <v>0</v>
      </c>
      <c r="BN486" s="109" t="n">
        <v>479</v>
      </c>
      <c r="BO486" s="109" t="str">
        <f aca="false">IF(ISBLANK($C486),"",IF(ISNUMBER(BK486),BK486+ROW($B486)/1000,""))</f>
        <v/>
      </c>
      <c r="BP486" s="109" t="str">
        <f aca="false">IF(ISNUMBER(BO486), RANK(BO486,BO$8:BO$507,1), "")</f>
        <v/>
      </c>
      <c r="BQ486" s="109" t="str">
        <f aca="false">IF(ISBLANK($C486),
    "",
    $B486
)</f>
        <v/>
      </c>
      <c r="BR486" s="109" t="str">
        <f aca="false">IF(ISBLANK($C486),
    "",
    $C486
)</f>
        <v/>
      </c>
      <c r="BS486" s="109" t="str">
        <f aca="false">IF(ISBLANK($C486),
    "",
    $D486
)</f>
        <v/>
      </c>
      <c r="BT486" s="110" t="str">
        <f aca="false">BH486</f>
        <v/>
      </c>
      <c r="BU486" s="111" t="str">
        <f aca="false">BG486</f>
        <v/>
      </c>
      <c r="BV486" s="109" t="str">
        <f aca="false">IF(ISBLANK($C486),
    "",
    BJ486
)</f>
        <v/>
      </c>
      <c r="BW486" s="112" t="str">
        <f aca="false">IF(BN486&gt;BM$7,
    "",
    VLOOKUP(BN486,BP$8:BV985,7,FALSE())
)</f>
        <v/>
      </c>
      <c r="BX486" s="113" t="str">
        <f aca="false">IF(BN486&gt;BM$7,
    "",
    VLOOKUP(BN486,BP$8:BV985,2,FALSE())
)</f>
        <v/>
      </c>
      <c r="BY486" s="113" t="str">
        <f aca="false">IF(BN486&gt;BM$7,
    "",
    VLOOKUP(BN486,BP$8:BV985,3,FALSE())
)</f>
        <v/>
      </c>
      <c r="BZ486" s="113" t="str">
        <f aca="false">IF(BN486&gt;BM$7,
    "",
    VLOOKUP(BN486,BP$8:BV985,4,FALSE())
)</f>
        <v/>
      </c>
      <c r="CA486" s="113" t="str">
        <f aca="false">IF(BN486&gt;BM$7,
    "",
    VLOOKUP(BN486,BP$8:BV985,5,FALSE())
)</f>
        <v/>
      </c>
      <c r="CB486" s="114" t="str">
        <f aca="false">IF(BN486&gt;BM$7,
    "",
    VLOOKUP(BN486,BP$8:BV985,6,FALSE())
)</f>
        <v/>
      </c>
      <c r="CC486" s="53"/>
    </row>
    <row r="487" customFormat="false" ht="15.75" hidden="false" customHeight="false" outlineLevel="0" collapsed="false">
      <c r="A487" s="5"/>
      <c r="B487" s="125"/>
      <c r="C487" s="126"/>
      <c r="D487" s="115"/>
      <c r="E487" s="119"/>
      <c r="F487" s="119"/>
      <c r="G487" s="91"/>
      <c r="H487" s="92"/>
      <c r="I487" s="92"/>
      <c r="J487" s="128"/>
      <c r="K487" s="128"/>
      <c r="L487" s="128"/>
      <c r="M487" s="94"/>
      <c r="N487" s="94"/>
      <c r="O487" s="94"/>
      <c r="P487" s="95"/>
      <c r="Q487" s="96"/>
      <c r="R487" s="128"/>
      <c r="S487" s="98"/>
      <c r="T487" s="99"/>
      <c r="U487" s="99" t="str">
        <f aca="false">IF(ISBLANK($C487),"",IF(G487=Constants!$B$2, TRUE(), IF(G487=Constants!$B$3, FALSE(), TRUE())))</f>
        <v/>
      </c>
      <c r="V487" s="99" t="str">
        <f aca="false">IF(ISBLANK($C487),"",IF(H487=Constants!$B$2, TRUE(), IF(H487=Constants!$B$3, FALSE(), TRUE())))</f>
        <v/>
      </c>
      <c r="W487" s="99" t="str">
        <f aca="false">IF(ISBLANK($C487),"",IF(I487=Constants!$B$2, TRUE(), IF(I487=Constants!$B$3, FALSE(), TRUE())))</f>
        <v/>
      </c>
      <c r="X487" s="99" t="str">
        <f aca="false">IF(ISBLANK($C487),"",IF(AND(ISNUMBER(J487),J487&gt;0),INT(J487),0))</f>
        <v/>
      </c>
      <c r="Y487" s="99" t="str">
        <f aca="false">IF(ISBLANK($C487),"",IF(K487=Constants!$B$2, TRUE(), IF(K487=Constants!$B$3, FALSE(), TRUE())))</f>
        <v/>
      </c>
      <c r="Z487" s="100" t="str">
        <f aca="false">IF(ISBLANK($C487),"",IF(AND(ISNUMBER(L487),L487&gt;0),INT(L487),0))</f>
        <v/>
      </c>
      <c r="AA487" s="101" t="str">
        <f aca="false">IF(ISBLANK($C487),"",IF(ISNUMBER(M487), M487, ""))</f>
        <v/>
      </c>
      <c r="AB487" s="101" t="str">
        <f aca="false">IF(ISBLANK($C487),"",IF(ISNUMBER(N487), N487, ""))</f>
        <v/>
      </c>
      <c r="AC487" s="101" t="str">
        <f aca="false">IF(ISBLANK($C487),"",IF(ISNUMBER(O487), O487, ""))</f>
        <v/>
      </c>
      <c r="AD487" s="102" t="str">
        <f aca="false">IF(ISBLANK($C487),"",IF(ISNUMBER(P487), P487, ""))</f>
        <v/>
      </c>
      <c r="AE487" s="102" t="str">
        <f aca="false">IF(ISBLANK($C487),"",IF(ISNUMBER(Q487), Q487, Constants!$B$13))</f>
        <v/>
      </c>
      <c r="AF487" s="99" t="str">
        <f aca="false">IF(ISBLANK($C487),"",IF(R487=Constants!$B$2, TRUE(), IF(R487=Constants!$B$3, FALSE(), FALSE())))</f>
        <v/>
      </c>
      <c r="AG487" s="99" t="str">
        <f aca="false">IF(ISBLANK(C487), "", IF(AF487, Constants!$B$4,IF(COUNTA(G487:P487)=0, Constants!$B$5, Constants!$B$7)))</f>
        <v/>
      </c>
      <c r="AH487" s="99" t="str">
        <f aca="false">IF(ISBLANK($C487), "",IF($AG487=Constants!$B$7,1,$AG487))</f>
        <v/>
      </c>
      <c r="AI487" s="99" t="str">
        <f aca="false">IF($AG487=Constants!$B$7,POWER(Constants!$B$11,X487)*POWER(Constants!$B$12,Z487),"")</f>
        <v/>
      </c>
      <c r="AJ487" s="99" t="str">
        <f aca="false">IF(AND($AG487=Constants!$B$7, U487, V487) ,IF(OR($AA487="",$AC487=""),"",MAX(0, $AC487-$AA487)),"")</f>
        <v/>
      </c>
      <c r="AK487" s="99" t="str">
        <f aca="false">IF(AND($AG487=Constants!$B$7, U487, V487),IF(OR($AA487="",$AC487=""),$AK$6,""),"")</f>
        <v/>
      </c>
      <c r="AL487" s="99" t="str">
        <f aca="false">IF($AG487=Constants!$B$7,IF(AND(U487,V487,W487,Y487),IF($AJ487="",0,IF($AJ$6=0,Constants!$B$9,Constants!$B$9*AJ487/$AJ$6)), 0),"")</f>
        <v/>
      </c>
      <c r="AM487" s="99" t="str">
        <f aca="false">IF(AL487&lt;&gt;"", AL487*AI487,"")</f>
        <v/>
      </c>
      <c r="AN487" s="99" t="str">
        <f aca="false">IF(AND($AG487=Constants!$B$7, U487, V487) ,IF($AB487="", "", IF(OR($AC487="",$AC487=0),"",MAX(0,1-ABS($AC487-$AB487)/$AC487))),"")</f>
        <v/>
      </c>
      <c r="AO487" s="99" t="str">
        <f aca="false">IF(AND($AG487=Constants!$B$7, U487, V487),IF(AND($AA487&lt;&gt;"",$AB487&lt;&gt;"",$AC487=0),$AO$6,""),"")</f>
        <v/>
      </c>
      <c r="AP487" s="99" t="str">
        <f aca="false">IF($AG487=Constants!$B$7 ,IF(AND(U487,V487,W487,Y487,ISNUMBER(AB487)),IF($AN487="",0,IF($AN$6=0,Constants!$B$10,Constants!$B$10*AN487/$AN$6)), 0),"")</f>
        <v/>
      </c>
      <c r="AQ487" s="99" t="str">
        <f aca="false">IF(AP487&lt;&gt;"", AP487*AI487,"")</f>
        <v/>
      </c>
      <c r="AR487" s="99" t="str">
        <f aca="false">IF($AG487=Constants!$B$7,IF($AD487="",0,IF($AR$6=0,Constants!$B$8,Constants!$B$8*AD487/$AR$6)),"")</f>
        <v/>
      </c>
      <c r="AS487" s="99" t="str">
        <f aca="false">IF($AG487&lt;&gt;Constants!$B$7,$AG487,IF(AK487&amp;AO487&lt;&gt;"",Constants!$B$14,AM487+AQ487+AR487))</f>
        <v/>
      </c>
      <c r="AT487" s="99" t="str">
        <f aca="false">IF(ISBLANK($C487),"",IF($AG487=Constants!$B$7,IF(ISNUMBER(AS487),RANK(AS487,$AS$8:$AS$507),Constants!$B$14),$AG487))</f>
        <v/>
      </c>
      <c r="AU487" s="99" t="str">
        <f aca="false">IF(ISBLANK($C487), "",AM487)</f>
        <v/>
      </c>
      <c r="AV487" s="99" t="str">
        <f aca="false">IF(ISBLANK($C487),"",IF($AG487=Constants!$B$7,RANK(AU487,AU$8:AU$507),$AG487))</f>
        <v/>
      </c>
      <c r="AW487" s="99" t="str">
        <f aca="false">IF(ISBLANK($C487), "",AR487)</f>
        <v/>
      </c>
      <c r="AX487" s="99" t="str">
        <f aca="false">IF(ISBLANK($C487),"",IF($AG487=Constants!$B$7,RANK(AW487,AW$8:AW$507),$AG487))</f>
        <v/>
      </c>
      <c r="AY487" s="99" t="str">
        <f aca="false">IF(ISBLANK($C487), "",AE487)</f>
        <v/>
      </c>
      <c r="AZ487" s="99" t="str">
        <f aca="false">IF(ISBLANK($C487),"",
IF($AG487=Constants!$B$7,
  IF(ISNUMBER(AT487),
    COUNTIFS($AT$8:$AT$507,"&lt;"&amp;$AT487)
    + COUNTIFS($AT$8:$AT$507,$AT487,$AV$8:$AV$507,"&lt;"&amp;$AV487)
    + COUNTIFS($AT$8:$AT$507,$AT487,$AV$8:$AV$507,$AV487,$AX$8:$AX$507,"&lt;"&amp;$AX487)
    + COUNTIFS($AT$8:$AT$507,$AT487,$AV$8:$AV$507,$AV487,$AX$8:$AX$507,$AX487,$AY$8:$AY$507,"&lt;"&amp;$AY487)
    + 1,
  Constants!$B$14),
$AG487))</f>
        <v/>
      </c>
      <c r="BA487" s="99" t="str">
        <f aca="false">IF(ISBLANK(C487),"",IF($AG487=Constants!$B$7, IF(ISNUMBER(AT487),AT487-AZ487,Constants!$B$14),$AG487))</f>
        <v/>
      </c>
      <c r="BB487" s="103"/>
      <c r="BC487" s="104" t="str">
        <f aca="false">IF(ISBLANK($C487),"",TRIM(AK487&amp;" "&amp;AO487))</f>
        <v/>
      </c>
      <c r="BD487" s="105" t="str">
        <f aca="false">IF(ISBLANK($C487),"",IF($AG487&lt;&gt;Constants!$B$7,$AG487,AR487))</f>
        <v/>
      </c>
      <c r="BE487" s="105" t="str">
        <f aca="false">IF(ISBLANK($C487),"",IF($AG487&lt;&gt;Constants!$B$7,$AG487,AM487))</f>
        <v/>
      </c>
      <c r="BF487" s="105" t="str">
        <f aca="false">IF(ISBLANK($C487),"",IF($AG487&lt;&gt;Constants!$B$7,$AG487,AQ487))</f>
        <v/>
      </c>
      <c r="BG487" s="106" t="str">
        <f aca="false">IF(ISBLANK($C487),"",IF($AG487&lt;&gt;Constants!$B$7, $AG487 ,AS487))</f>
        <v/>
      </c>
      <c r="BH487" s="107" t="str">
        <f aca="false">IF(ISBLANK($C487),"",IF($AG487&lt;&gt;Constants!$B$7, $AG487 ,AH487))</f>
        <v/>
      </c>
      <c r="BI487" s="105" t="str">
        <f aca="false">IF(ISBLANK(C487),"",BA487)</f>
        <v/>
      </c>
      <c r="BJ487" s="105" t="str">
        <f aca="false">IF(ISBLANK(C487),"",AZ487)</f>
        <v/>
      </c>
      <c r="BK487" s="108" t="str">
        <f aca="false">IF(ISBLANK(C487),"",IFERROR(_xlfn.SWITCH(BJ487, Constants!$B$4, COUNTA($C$8:$C986)+2, Constants!$B$5, COUNTA($C$8:$C986)+1, Constants!$B$6, COUNTA($C$8:$C986)),BJ487))</f>
        <v/>
      </c>
      <c r="BL487" s="5"/>
      <c r="BM487" s="109" t="n">
        <f aca="false">IF(OR(ISNUMBER(BJ487),BJ487="DQ",BJ487="P",BJ487="NS"),
    1,
    0
)</f>
        <v>0</v>
      </c>
      <c r="BN487" s="109" t="n">
        <v>480</v>
      </c>
      <c r="BO487" s="109" t="str">
        <f aca="false">IF(ISBLANK($C487),"",IF(ISNUMBER(BK487),BK487+ROW($B487)/1000,""))</f>
        <v/>
      </c>
      <c r="BP487" s="109" t="str">
        <f aca="false">IF(ISNUMBER(BO487), RANK(BO487,BO$8:BO$507,1), "")</f>
        <v/>
      </c>
      <c r="BQ487" s="109" t="str">
        <f aca="false">IF(ISBLANK($C487),
    "",
    $B487
)</f>
        <v/>
      </c>
      <c r="BR487" s="109" t="str">
        <f aca="false">IF(ISBLANK($C487),
    "",
    $C487
)</f>
        <v/>
      </c>
      <c r="BS487" s="109" t="str">
        <f aca="false">IF(ISBLANK($C487),
    "",
    $D487
)</f>
        <v/>
      </c>
      <c r="BT487" s="110" t="str">
        <f aca="false">BH487</f>
        <v/>
      </c>
      <c r="BU487" s="111" t="str">
        <f aca="false">BG487</f>
        <v/>
      </c>
      <c r="BV487" s="109" t="str">
        <f aca="false">IF(ISBLANK($C487),
    "",
    BJ487
)</f>
        <v/>
      </c>
      <c r="BW487" s="112" t="str">
        <f aca="false">IF(BN487&gt;BM$7,
    "",
    VLOOKUP(BN487,BP$8:BV986,7,FALSE())
)</f>
        <v/>
      </c>
      <c r="BX487" s="113" t="str">
        <f aca="false">IF(BN487&gt;BM$7,
    "",
    VLOOKUP(BN487,BP$8:BV986,2,FALSE())
)</f>
        <v/>
      </c>
      <c r="BY487" s="113" t="str">
        <f aca="false">IF(BN487&gt;BM$7,
    "",
    VLOOKUP(BN487,BP$8:BV986,3,FALSE())
)</f>
        <v/>
      </c>
      <c r="BZ487" s="113" t="str">
        <f aca="false">IF(BN487&gt;BM$7,
    "",
    VLOOKUP(BN487,BP$8:BV986,4,FALSE())
)</f>
        <v/>
      </c>
      <c r="CA487" s="113" t="str">
        <f aca="false">IF(BN487&gt;BM$7,
    "",
    VLOOKUP(BN487,BP$8:BV986,5,FALSE())
)</f>
        <v/>
      </c>
      <c r="CB487" s="114" t="str">
        <f aca="false">IF(BN487&gt;BM$7,
    "",
    VLOOKUP(BN487,BP$8:BV986,6,FALSE())
)</f>
        <v/>
      </c>
      <c r="CC487" s="53"/>
    </row>
    <row r="488" customFormat="false" ht="15.75" hidden="false" customHeight="false" outlineLevel="0" collapsed="false">
      <c r="A488" s="5"/>
      <c r="B488" s="129"/>
      <c r="C488" s="55"/>
      <c r="D488" s="56"/>
      <c r="E488" s="123"/>
      <c r="F488" s="123"/>
      <c r="G488" s="58"/>
      <c r="H488" s="59"/>
      <c r="I488" s="59"/>
      <c r="J488" s="83"/>
      <c r="K488" s="83"/>
      <c r="L488" s="83"/>
      <c r="M488" s="61"/>
      <c r="N488" s="61"/>
      <c r="O488" s="61"/>
      <c r="P488" s="62"/>
      <c r="Q488" s="63"/>
      <c r="R488" s="83"/>
      <c r="S488" s="65"/>
      <c r="T488" s="66"/>
      <c r="U488" s="66" t="str">
        <f aca="false">IF(ISBLANK($C488),"",IF(G488=Constants!$B$2, TRUE(), IF(G488=Constants!$B$3, FALSE(), TRUE())))</f>
        <v/>
      </c>
      <c r="V488" s="66" t="str">
        <f aca="false">IF(ISBLANK($C488),"",IF(H488=Constants!$B$2, TRUE(), IF(H488=Constants!$B$3, FALSE(), TRUE())))</f>
        <v/>
      </c>
      <c r="W488" s="66" t="str">
        <f aca="false">IF(ISBLANK($C488),"",IF(I488=Constants!$B$2, TRUE(), IF(I488=Constants!$B$3, FALSE(), TRUE())))</f>
        <v/>
      </c>
      <c r="X488" s="66" t="str">
        <f aca="false">IF(ISBLANK($C488),"",IF(AND(ISNUMBER(J488),J488&gt;0),INT(J488),0))</f>
        <v/>
      </c>
      <c r="Y488" s="66" t="str">
        <f aca="false">IF(ISBLANK($C488),"",IF(K488=Constants!$B$2, TRUE(), IF(K488=Constants!$B$3, FALSE(), TRUE())))</f>
        <v/>
      </c>
      <c r="Z488" s="66" t="str">
        <f aca="false">IF(ISBLANK($C488),"",IF(AND(ISNUMBER(L488),L488&gt;0),INT(L488),0))</f>
        <v/>
      </c>
      <c r="AA488" s="68" t="str">
        <f aca="false">IF(ISBLANK($C488),"",IF(ISNUMBER(M488), M488, ""))</f>
        <v/>
      </c>
      <c r="AB488" s="68" t="str">
        <f aca="false">IF(ISBLANK($C488),"",IF(ISNUMBER(N488), N488, ""))</f>
        <v/>
      </c>
      <c r="AC488" s="68" t="str">
        <f aca="false">IF(ISBLANK($C488),"",IF(ISNUMBER(O488), O488, ""))</f>
        <v/>
      </c>
      <c r="AD488" s="69" t="str">
        <f aca="false">IF(ISBLANK($C488),"",IF(ISNUMBER(P488), P488, ""))</f>
        <v/>
      </c>
      <c r="AE488" s="69" t="str">
        <f aca="false">IF(ISBLANK($C488),"",IF(ISNUMBER(Q488), Q488, Constants!$B$13))</f>
        <v/>
      </c>
      <c r="AF488" s="66" t="str">
        <f aca="false">IF(ISBLANK($C488),"",IF(R488=Constants!$B$2, TRUE(), IF(R488=Constants!$B$3, FALSE(), FALSE())))</f>
        <v/>
      </c>
      <c r="AG488" s="66" t="str">
        <f aca="false">IF(ISBLANK(C488), "", IF(AF488, Constants!$B$4,IF(COUNTA(G488:P488)=0, Constants!$B$5, Constants!$B$7)))</f>
        <v/>
      </c>
      <c r="AH488" s="66" t="str">
        <f aca="false">IF(ISBLANK($C488), "",IF($AG488=Constants!$B$7,1,$AG488))</f>
        <v/>
      </c>
      <c r="AI488" s="66" t="str">
        <f aca="false">IF($AG488=Constants!$B$7,POWER(Constants!$B$11,X488)*POWER(Constants!$B$12,Z488),"")</f>
        <v/>
      </c>
      <c r="AJ488" s="66" t="str">
        <f aca="false">IF(AND($AG488=Constants!$B$7, U488, V488) ,IF(OR($AA488="",$AC488=""),"",MAX(0, $AC488-$AA488)),"")</f>
        <v/>
      </c>
      <c r="AK488" s="66" t="str">
        <f aca="false">IF(AND($AG488=Constants!$B$7, U488, V488),IF(OR($AA488="",$AC488=""),$AK$6,""),"")</f>
        <v/>
      </c>
      <c r="AL488" s="66" t="str">
        <f aca="false">IF($AG488=Constants!$B$7,IF(AND(U488,V488,W488,Y488),IF($AJ488="",0,IF($AJ$6=0,Constants!$B$9,Constants!$B$9*AJ488/$AJ$6)), 0),"")</f>
        <v/>
      </c>
      <c r="AM488" s="66" t="str">
        <f aca="false">IF(AL488&lt;&gt;"", AL488*AI488,"")</f>
        <v/>
      </c>
      <c r="AN488" s="66" t="str">
        <f aca="false">IF(AND($AG488=Constants!$B$7, U488, V488) ,IF($AB488="", "", IF(OR($AC488="",$AC488=0),"",MAX(0,1-ABS($AC488-$AB488)/$AC488))),"")</f>
        <v/>
      </c>
      <c r="AO488" s="66" t="str">
        <f aca="false">IF(AND($AG488=Constants!$B$7, U488, V488),IF(AND($AA488&lt;&gt;"",$AB488&lt;&gt;"",$AC488=0),$AO$6,""),"")</f>
        <v/>
      </c>
      <c r="AP488" s="66" t="str">
        <f aca="false">IF($AG488=Constants!$B$7 ,IF(AND(U488,V488,W488,Y488,ISNUMBER(AB488)),IF($AN488="",0,IF($AN$6=0,Constants!$B$10,Constants!$B$10*AN488/$AN$6)), 0),"")</f>
        <v/>
      </c>
      <c r="AQ488" s="66" t="str">
        <f aca="false">IF(AP488&lt;&gt;"", AP488*AI488,"")</f>
        <v/>
      </c>
      <c r="AR488" s="66" t="str">
        <f aca="false">IF($AG488=Constants!$B$7,IF($AD488="",0,IF($AR$6=0,Constants!$B$8,Constants!$B$8*AD488/$AR$6)),"")</f>
        <v/>
      </c>
      <c r="AS488" s="66" t="str">
        <f aca="false">IF($AG488&lt;&gt;Constants!$B$7,$AG488,IF(AK488&amp;AO488&lt;&gt;"",Constants!$B$14,AM488+AQ488+AR488))</f>
        <v/>
      </c>
      <c r="AT488" s="66" t="str">
        <f aca="false">IF(ISBLANK($C488),"",IF($AG488=Constants!$B$7,IF(ISNUMBER(AS488),RANK(AS488,$AS$8:$AS$507),Constants!$B$14),$AG488))</f>
        <v/>
      </c>
      <c r="AU488" s="66" t="str">
        <f aca="false">IF(ISBLANK($C488), "",AM488)</f>
        <v/>
      </c>
      <c r="AV488" s="66" t="str">
        <f aca="false">IF(ISBLANK($C488),"",IF($AG488=Constants!$B$7,RANK(AU488,AU$8:AU$507),$AG488))</f>
        <v/>
      </c>
      <c r="AW488" s="66" t="str">
        <f aca="false">IF(ISBLANK($C488), "",AR488)</f>
        <v/>
      </c>
      <c r="AX488" s="66" t="str">
        <f aca="false">IF(ISBLANK($C488),"",IF($AG488=Constants!$B$7,RANK(AW488,AW$8:AW$507),$AG488))</f>
        <v/>
      </c>
      <c r="AY488" s="66" t="str">
        <f aca="false">IF(ISBLANK($C488), "",AE488)</f>
        <v/>
      </c>
      <c r="AZ488" s="66" t="str">
        <f aca="false">IF(ISBLANK($C488),"",
IF($AG488=Constants!$B$7,
  IF(ISNUMBER(AT488),
    COUNTIFS($AT$8:$AT$507,"&lt;"&amp;$AT488)
    + COUNTIFS($AT$8:$AT$507,$AT488,$AV$8:$AV$507,"&lt;"&amp;$AV488)
    + COUNTIFS($AT$8:$AT$507,$AT488,$AV$8:$AV$507,$AV488,$AX$8:$AX$507,"&lt;"&amp;$AX488)
    + COUNTIFS($AT$8:$AT$507,$AT488,$AV$8:$AV$507,$AV488,$AX$8:$AX$507,$AX488,$AY$8:$AY$507,"&lt;"&amp;$AY488)
    + 1,
  Constants!$B$14),
$AG488))</f>
        <v/>
      </c>
      <c r="BA488" s="66" t="str">
        <f aca="false">IF(ISBLANK(C488),"",IF($AG488=Constants!$B$7, IF(ISNUMBER(AT488),AT488-AZ488,Constants!$B$14),$AG488))</f>
        <v/>
      </c>
      <c r="BB488" s="70"/>
      <c r="BC488" s="84" t="str">
        <f aca="false">IF(ISBLANK($C488),"",TRIM(AK488&amp;" "&amp;AO488))</f>
        <v/>
      </c>
      <c r="BD488" s="72" t="str">
        <f aca="false">IF(ISBLANK($C488),"",IF($AG488&lt;&gt;Constants!$B$7,$AG488,AR488))</f>
        <v/>
      </c>
      <c r="BE488" s="72" t="str">
        <f aca="false">IF(ISBLANK($C488),"",IF($AG488&lt;&gt;Constants!$B$7,$AG488,AM488))</f>
        <v/>
      </c>
      <c r="BF488" s="72" t="str">
        <f aca="false">IF(ISBLANK($C488),"",IF($AG488&lt;&gt;Constants!$B$7,$AG488,AQ488))</f>
        <v/>
      </c>
      <c r="BG488" s="73" t="str">
        <f aca="false">IF(ISBLANK($C488),"",IF($AG488&lt;&gt;Constants!$B$7, $AG488 ,AS488))</f>
        <v/>
      </c>
      <c r="BH488" s="74" t="str">
        <f aca="false">IF(ISBLANK($C488),"",IF($AG488&lt;&gt;Constants!$B$7, $AG488 ,AH488))</f>
        <v/>
      </c>
      <c r="BI488" s="72" t="str">
        <f aca="false">IF(ISBLANK(C488),"",BA488)</f>
        <v/>
      </c>
      <c r="BJ488" s="72" t="str">
        <f aca="false">IF(ISBLANK(C488),"",AZ488)</f>
        <v/>
      </c>
      <c r="BK488" s="75" t="str">
        <f aca="false">IF(ISBLANK(C488),"",IFERROR(_xlfn.SWITCH(BJ488, Constants!$B$4, COUNTA($C$8:$C987)+2, Constants!$B$5, COUNTA($C$8:$C987)+1, Constants!$B$6, COUNTA($C$8:$C987)),BJ488))</f>
        <v/>
      </c>
      <c r="BL488" s="5"/>
      <c r="BM488" s="76" t="n">
        <f aca="false">IF(OR(ISNUMBER(BJ488),BJ488="DQ",BJ488="P",BJ488="NS"),
    1,
    0
)</f>
        <v>0</v>
      </c>
      <c r="BN488" s="76" t="n">
        <v>481</v>
      </c>
      <c r="BO488" s="76" t="str">
        <f aca="false">IF(ISBLANK($C488),"",IF(ISNUMBER(BK488),BK488+ROW($B488)/1000,""))</f>
        <v/>
      </c>
      <c r="BP488" s="76" t="str">
        <f aca="false">IF(ISNUMBER(BO488), RANK(BO488,BO$8:BO$507,1), "")</f>
        <v/>
      </c>
      <c r="BQ488" s="76" t="str">
        <f aca="false">IF(ISBLANK($C488),
    "",
    $B488
)</f>
        <v/>
      </c>
      <c r="BR488" s="76" t="str">
        <f aca="false">IF(ISBLANK($C488),
    "",
    $C488
)</f>
        <v/>
      </c>
      <c r="BS488" s="76" t="str">
        <f aca="false">IF(ISBLANK($C488),
    "",
    $D488
)</f>
        <v/>
      </c>
      <c r="BT488" s="77" t="str">
        <f aca="false">BH488</f>
        <v/>
      </c>
      <c r="BU488" s="78" t="str">
        <f aca="false">BG488</f>
        <v/>
      </c>
      <c r="BV488" s="76" t="str">
        <f aca="false">IF(ISBLANK($C488),
    "",
    BJ488
)</f>
        <v/>
      </c>
      <c r="BW488" s="79" t="str">
        <f aca="false">IF(BN488&gt;BM$7,
    "",
    VLOOKUP(BN488,BP$8:BV987,7,FALSE())
)</f>
        <v/>
      </c>
      <c r="BX488" s="80" t="str">
        <f aca="false">IF(BN488&gt;BM$7,
    "",
    VLOOKUP(BN488,BP$8:BV987,2,FALSE())
)</f>
        <v/>
      </c>
      <c r="BY488" s="80" t="str">
        <f aca="false">IF(BN488&gt;BM$7,
    "",
    VLOOKUP(BN488,BP$8:BV987,3,FALSE())
)</f>
        <v/>
      </c>
      <c r="BZ488" s="80" t="str">
        <f aca="false">IF(BN488&gt;BM$7,
    "",
    VLOOKUP(BN488,BP$8:BV987,4,FALSE())
)</f>
        <v/>
      </c>
      <c r="CA488" s="80" t="str">
        <f aca="false">IF(BN488&gt;BM$7,
    "",
    VLOOKUP(BN488,BP$8:BV987,5,FALSE())
)</f>
        <v/>
      </c>
      <c r="CB488" s="81" t="str">
        <f aca="false">IF(BN488&gt;BM$7,
    "",
    VLOOKUP(BN488,BP$8:BV987,6,FALSE())
)</f>
        <v/>
      </c>
      <c r="CC488" s="53"/>
    </row>
    <row r="489" customFormat="false" ht="15.75" hidden="false" customHeight="false" outlineLevel="0" collapsed="false">
      <c r="A489" s="5"/>
      <c r="B489" s="129"/>
      <c r="C489" s="55"/>
      <c r="D489" s="56"/>
      <c r="E489" s="123"/>
      <c r="F489" s="123"/>
      <c r="G489" s="58"/>
      <c r="H489" s="59"/>
      <c r="I489" s="59"/>
      <c r="J489" s="83"/>
      <c r="K489" s="83"/>
      <c r="L489" s="83"/>
      <c r="M489" s="61"/>
      <c r="N489" s="61"/>
      <c r="O489" s="61"/>
      <c r="P489" s="62"/>
      <c r="Q489" s="63"/>
      <c r="R489" s="83"/>
      <c r="S489" s="65"/>
      <c r="T489" s="66"/>
      <c r="U489" s="66" t="str">
        <f aca="false">IF(ISBLANK($C489),"",IF(G489=Constants!$B$2, TRUE(), IF(G489=Constants!$B$3, FALSE(), TRUE())))</f>
        <v/>
      </c>
      <c r="V489" s="66" t="str">
        <f aca="false">IF(ISBLANK($C489),"",IF(H489=Constants!$B$2, TRUE(), IF(H489=Constants!$B$3, FALSE(), TRUE())))</f>
        <v/>
      </c>
      <c r="W489" s="66" t="str">
        <f aca="false">IF(ISBLANK($C489),"",IF(I489=Constants!$B$2, TRUE(), IF(I489=Constants!$B$3, FALSE(), TRUE())))</f>
        <v/>
      </c>
      <c r="X489" s="66" t="str">
        <f aca="false">IF(ISBLANK($C489),"",IF(AND(ISNUMBER(J489),J489&gt;0),INT(J489),0))</f>
        <v/>
      </c>
      <c r="Y489" s="66" t="str">
        <f aca="false">IF(ISBLANK($C489),"",IF(K489=Constants!$B$2, TRUE(), IF(K489=Constants!$B$3, FALSE(), TRUE())))</f>
        <v/>
      </c>
      <c r="Z489" s="66" t="str">
        <f aca="false">IF(ISBLANK($C489),"",IF(AND(ISNUMBER(L489),L489&gt;0),INT(L489),0))</f>
        <v/>
      </c>
      <c r="AA489" s="68" t="str">
        <f aca="false">IF(ISBLANK($C489),"",IF(ISNUMBER(M489), M489, ""))</f>
        <v/>
      </c>
      <c r="AB489" s="68" t="str">
        <f aca="false">IF(ISBLANK($C489),"",IF(ISNUMBER(N489), N489, ""))</f>
        <v/>
      </c>
      <c r="AC489" s="68" t="str">
        <f aca="false">IF(ISBLANK($C489),"",IF(ISNUMBER(O489), O489, ""))</f>
        <v/>
      </c>
      <c r="AD489" s="69" t="str">
        <f aca="false">IF(ISBLANK($C489),"",IF(ISNUMBER(P489), P489, ""))</f>
        <v/>
      </c>
      <c r="AE489" s="69" t="str">
        <f aca="false">IF(ISBLANK($C489),"",IF(ISNUMBER(Q489), Q489, Constants!$B$13))</f>
        <v/>
      </c>
      <c r="AF489" s="66" t="str">
        <f aca="false">IF(ISBLANK($C489),"",IF(R489=Constants!$B$2, TRUE(), IF(R489=Constants!$B$3, FALSE(), FALSE())))</f>
        <v/>
      </c>
      <c r="AG489" s="66" t="str">
        <f aca="false">IF(ISBLANK(C489), "", IF(AF489, Constants!$B$4,IF(COUNTA(G489:P489)=0, Constants!$B$5, Constants!$B$7)))</f>
        <v/>
      </c>
      <c r="AH489" s="66" t="str">
        <f aca="false">IF(ISBLANK($C489), "",IF($AG489=Constants!$B$7,1,$AG489))</f>
        <v/>
      </c>
      <c r="AI489" s="66" t="str">
        <f aca="false">IF($AG489=Constants!$B$7,POWER(Constants!$B$11,X489)*POWER(Constants!$B$12,Z489),"")</f>
        <v/>
      </c>
      <c r="AJ489" s="66" t="str">
        <f aca="false">IF(AND($AG489=Constants!$B$7, U489, V489) ,IF(OR($AA489="",$AC489=""),"",MAX(0, $AC489-$AA489)),"")</f>
        <v/>
      </c>
      <c r="AK489" s="66" t="str">
        <f aca="false">IF(AND($AG489=Constants!$B$7, U489, V489),IF(OR($AA489="",$AC489=""),$AK$6,""),"")</f>
        <v/>
      </c>
      <c r="AL489" s="66" t="str">
        <f aca="false">IF($AG489=Constants!$B$7,IF(AND(U489,V489,W489,Y489),IF($AJ489="",0,IF($AJ$6=0,Constants!$B$9,Constants!$B$9*AJ489/$AJ$6)), 0),"")</f>
        <v/>
      </c>
      <c r="AM489" s="66" t="str">
        <f aca="false">IF(AL489&lt;&gt;"", AL489*AI489,"")</f>
        <v/>
      </c>
      <c r="AN489" s="66" t="str">
        <f aca="false">IF(AND($AG489=Constants!$B$7, U489, V489) ,IF($AB489="", "", IF(OR($AC489="",$AC489=0),"",MAX(0,1-ABS($AC489-$AB489)/$AC489))),"")</f>
        <v/>
      </c>
      <c r="AO489" s="66" t="str">
        <f aca="false">IF(AND($AG489=Constants!$B$7, U489, V489),IF(AND($AA489&lt;&gt;"",$AB489&lt;&gt;"",$AC489=0),$AO$6,""),"")</f>
        <v/>
      </c>
      <c r="AP489" s="66" t="str">
        <f aca="false">IF($AG489=Constants!$B$7 ,IF(AND(U489,V489,W489,Y489,ISNUMBER(AB489)),IF($AN489="",0,IF($AN$6=0,Constants!$B$10,Constants!$B$10*AN489/$AN$6)), 0),"")</f>
        <v/>
      </c>
      <c r="AQ489" s="66" t="str">
        <f aca="false">IF(AP489&lt;&gt;"", AP489*AI489,"")</f>
        <v/>
      </c>
      <c r="AR489" s="66" t="str">
        <f aca="false">IF($AG489=Constants!$B$7,IF($AD489="",0,IF($AR$6=0,Constants!$B$8,Constants!$B$8*AD489/$AR$6)),"")</f>
        <v/>
      </c>
      <c r="AS489" s="66" t="str">
        <f aca="false">IF($AG489&lt;&gt;Constants!$B$7,$AG489,IF(AK489&amp;AO489&lt;&gt;"",Constants!$B$14,AM489+AQ489+AR489))</f>
        <v/>
      </c>
      <c r="AT489" s="66" t="str">
        <f aca="false">IF(ISBLANK($C489),"",IF($AG489=Constants!$B$7,IF(ISNUMBER(AS489),RANK(AS489,$AS$8:$AS$507),Constants!$B$14),$AG489))</f>
        <v/>
      </c>
      <c r="AU489" s="66" t="str">
        <f aca="false">IF(ISBLANK($C489), "",AM489)</f>
        <v/>
      </c>
      <c r="AV489" s="66" t="str">
        <f aca="false">IF(ISBLANK($C489),"",IF($AG489=Constants!$B$7,RANK(AU489,AU$8:AU$507),$AG489))</f>
        <v/>
      </c>
      <c r="AW489" s="66" t="str">
        <f aca="false">IF(ISBLANK($C489), "",AR489)</f>
        <v/>
      </c>
      <c r="AX489" s="66" t="str">
        <f aca="false">IF(ISBLANK($C489),"",IF($AG489=Constants!$B$7,RANK(AW489,AW$8:AW$507),$AG489))</f>
        <v/>
      </c>
      <c r="AY489" s="66" t="str">
        <f aca="false">IF(ISBLANK($C489), "",AE489)</f>
        <v/>
      </c>
      <c r="AZ489" s="66" t="str">
        <f aca="false">IF(ISBLANK($C489),"",
IF($AG489=Constants!$B$7,
  IF(ISNUMBER(AT489),
    COUNTIFS($AT$8:$AT$507,"&lt;"&amp;$AT489)
    + COUNTIFS($AT$8:$AT$507,$AT489,$AV$8:$AV$507,"&lt;"&amp;$AV489)
    + COUNTIFS($AT$8:$AT$507,$AT489,$AV$8:$AV$507,$AV489,$AX$8:$AX$507,"&lt;"&amp;$AX489)
    + COUNTIFS($AT$8:$AT$507,$AT489,$AV$8:$AV$507,$AV489,$AX$8:$AX$507,$AX489,$AY$8:$AY$507,"&lt;"&amp;$AY489)
    + 1,
  Constants!$B$14),
$AG489))</f>
        <v/>
      </c>
      <c r="BA489" s="66" t="str">
        <f aca="false">IF(ISBLANK(C489),"",IF($AG489=Constants!$B$7, IF(ISNUMBER(AT489),AT489-AZ489,Constants!$B$14),$AG489))</f>
        <v/>
      </c>
      <c r="BB489" s="70"/>
      <c r="BC489" s="84" t="str">
        <f aca="false">IF(ISBLANK($C489),"",TRIM(AK489&amp;" "&amp;AO489))</f>
        <v/>
      </c>
      <c r="BD489" s="72" t="str">
        <f aca="false">IF(ISBLANK($C489),"",IF($AG489&lt;&gt;Constants!$B$7,$AG489,AR489))</f>
        <v/>
      </c>
      <c r="BE489" s="72" t="str">
        <f aca="false">IF(ISBLANK($C489),"",IF($AG489&lt;&gt;Constants!$B$7,$AG489,AM489))</f>
        <v/>
      </c>
      <c r="BF489" s="72" t="str">
        <f aca="false">IF(ISBLANK($C489),"",IF($AG489&lt;&gt;Constants!$B$7,$AG489,AQ489))</f>
        <v/>
      </c>
      <c r="BG489" s="73" t="str">
        <f aca="false">IF(ISBLANK($C489),"",IF($AG489&lt;&gt;Constants!$B$7, $AG489 ,AS489))</f>
        <v/>
      </c>
      <c r="BH489" s="74" t="str">
        <f aca="false">IF(ISBLANK($C489),"",IF($AG489&lt;&gt;Constants!$B$7, $AG489 ,AH489))</f>
        <v/>
      </c>
      <c r="BI489" s="72" t="str">
        <f aca="false">IF(ISBLANK(C489),"",BA489)</f>
        <v/>
      </c>
      <c r="BJ489" s="72" t="str">
        <f aca="false">IF(ISBLANK(C489),"",AZ489)</f>
        <v/>
      </c>
      <c r="BK489" s="75" t="str">
        <f aca="false">IF(ISBLANK(C489),"",IFERROR(_xlfn.SWITCH(BJ489, Constants!$B$4, COUNTA($C$8:$C988)+2, Constants!$B$5, COUNTA($C$8:$C988)+1, Constants!$B$6, COUNTA($C$8:$C988)),BJ489))</f>
        <v/>
      </c>
      <c r="BL489" s="5"/>
      <c r="BM489" s="76" t="n">
        <f aca="false">IF(OR(ISNUMBER(BJ489),BJ489="DQ",BJ489="P",BJ489="NS"),
    1,
    0
)</f>
        <v>0</v>
      </c>
      <c r="BN489" s="76" t="n">
        <v>482</v>
      </c>
      <c r="BO489" s="76" t="str">
        <f aca="false">IF(ISBLANK($C489),"",IF(ISNUMBER(BK489),BK489+ROW($B489)/1000,""))</f>
        <v/>
      </c>
      <c r="BP489" s="76" t="str">
        <f aca="false">IF(ISNUMBER(BO489), RANK(BO489,BO$8:BO$507,1), "")</f>
        <v/>
      </c>
      <c r="BQ489" s="76" t="str">
        <f aca="false">IF(ISBLANK($C489),
    "",
    $B489
)</f>
        <v/>
      </c>
      <c r="BR489" s="76" t="str">
        <f aca="false">IF(ISBLANK($C489),
    "",
    $C489
)</f>
        <v/>
      </c>
      <c r="BS489" s="76" t="str">
        <f aca="false">IF(ISBLANK($C489),
    "",
    $D489
)</f>
        <v/>
      </c>
      <c r="BT489" s="77" t="str">
        <f aca="false">BH489</f>
        <v/>
      </c>
      <c r="BU489" s="78" t="str">
        <f aca="false">BG489</f>
        <v/>
      </c>
      <c r="BV489" s="76" t="str">
        <f aca="false">IF(ISBLANK($C489),
    "",
    BJ489
)</f>
        <v/>
      </c>
      <c r="BW489" s="79" t="str">
        <f aca="false">IF(BN489&gt;BM$7,
    "",
    VLOOKUP(BN489,BP$8:BV988,7,FALSE())
)</f>
        <v/>
      </c>
      <c r="BX489" s="80" t="str">
        <f aca="false">IF(BN489&gt;BM$7,
    "",
    VLOOKUP(BN489,BP$8:BV988,2,FALSE())
)</f>
        <v/>
      </c>
      <c r="BY489" s="80" t="str">
        <f aca="false">IF(BN489&gt;BM$7,
    "",
    VLOOKUP(BN489,BP$8:BV988,3,FALSE())
)</f>
        <v/>
      </c>
      <c r="BZ489" s="80" t="str">
        <f aca="false">IF(BN489&gt;BM$7,
    "",
    VLOOKUP(BN489,BP$8:BV988,4,FALSE())
)</f>
        <v/>
      </c>
      <c r="CA489" s="80" t="str">
        <f aca="false">IF(BN489&gt;BM$7,
    "",
    VLOOKUP(BN489,BP$8:BV988,5,FALSE())
)</f>
        <v/>
      </c>
      <c r="CB489" s="81" t="str">
        <f aca="false">IF(BN489&gt;BM$7,
    "",
    VLOOKUP(BN489,BP$8:BV988,6,FALSE())
)</f>
        <v/>
      </c>
      <c r="CC489" s="53"/>
    </row>
    <row r="490" customFormat="false" ht="15.75" hidden="false" customHeight="false" outlineLevel="0" collapsed="false">
      <c r="A490" s="5"/>
      <c r="B490" s="129"/>
      <c r="C490" s="55"/>
      <c r="D490" s="56"/>
      <c r="E490" s="123"/>
      <c r="F490" s="123"/>
      <c r="G490" s="58"/>
      <c r="H490" s="59"/>
      <c r="I490" s="59"/>
      <c r="J490" s="83"/>
      <c r="K490" s="83"/>
      <c r="L490" s="83"/>
      <c r="M490" s="61"/>
      <c r="N490" s="61"/>
      <c r="O490" s="61"/>
      <c r="P490" s="62"/>
      <c r="Q490" s="63"/>
      <c r="R490" s="83"/>
      <c r="S490" s="65"/>
      <c r="T490" s="66"/>
      <c r="U490" s="66" t="str">
        <f aca="false">IF(ISBLANK($C490),"",IF(G490=Constants!$B$2, TRUE(), IF(G490=Constants!$B$3, FALSE(), TRUE())))</f>
        <v/>
      </c>
      <c r="V490" s="66" t="str">
        <f aca="false">IF(ISBLANK($C490),"",IF(H490=Constants!$B$2, TRUE(), IF(H490=Constants!$B$3, FALSE(), TRUE())))</f>
        <v/>
      </c>
      <c r="W490" s="66" t="str">
        <f aca="false">IF(ISBLANK($C490),"",IF(I490=Constants!$B$2, TRUE(), IF(I490=Constants!$B$3, FALSE(), TRUE())))</f>
        <v/>
      </c>
      <c r="X490" s="66" t="str">
        <f aca="false">IF(ISBLANK($C490),"",IF(AND(ISNUMBER(J490),J490&gt;0),INT(J490),0))</f>
        <v/>
      </c>
      <c r="Y490" s="66" t="str">
        <f aca="false">IF(ISBLANK($C490),"",IF(K490=Constants!$B$2, TRUE(), IF(K490=Constants!$B$3, FALSE(), TRUE())))</f>
        <v/>
      </c>
      <c r="Z490" s="66" t="str">
        <f aca="false">IF(ISBLANK($C490),"",IF(AND(ISNUMBER(L490),L490&gt;0),INT(L490),0))</f>
        <v/>
      </c>
      <c r="AA490" s="68" t="str">
        <f aca="false">IF(ISBLANK($C490),"",IF(ISNUMBER(M490), M490, ""))</f>
        <v/>
      </c>
      <c r="AB490" s="68" t="str">
        <f aca="false">IF(ISBLANK($C490),"",IF(ISNUMBER(N490), N490, ""))</f>
        <v/>
      </c>
      <c r="AC490" s="68" t="str">
        <f aca="false">IF(ISBLANK($C490),"",IF(ISNUMBER(O490), O490, ""))</f>
        <v/>
      </c>
      <c r="AD490" s="69" t="str">
        <f aca="false">IF(ISBLANK($C490),"",IF(ISNUMBER(P490), P490, ""))</f>
        <v/>
      </c>
      <c r="AE490" s="69" t="str">
        <f aca="false">IF(ISBLANK($C490),"",IF(ISNUMBER(Q490), Q490, Constants!$B$13))</f>
        <v/>
      </c>
      <c r="AF490" s="66" t="str">
        <f aca="false">IF(ISBLANK($C490),"",IF(R490=Constants!$B$2, TRUE(), IF(R490=Constants!$B$3, FALSE(), FALSE())))</f>
        <v/>
      </c>
      <c r="AG490" s="66" t="str">
        <f aca="false">IF(ISBLANK(C490), "", IF(AF490, Constants!$B$4,IF(COUNTA(G490:P490)=0, Constants!$B$5, Constants!$B$7)))</f>
        <v/>
      </c>
      <c r="AH490" s="66" t="str">
        <f aca="false">IF(ISBLANK($C490), "",IF($AG490=Constants!$B$7,1,$AG490))</f>
        <v/>
      </c>
      <c r="AI490" s="66" t="str">
        <f aca="false">IF($AG490=Constants!$B$7,POWER(Constants!$B$11,X490)*POWER(Constants!$B$12,Z490),"")</f>
        <v/>
      </c>
      <c r="AJ490" s="66" t="str">
        <f aca="false">IF(AND($AG490=Constants!$B$7, U490, V490) ,IF(OR($AA490="",$AC490=""),"",MAX(0, $AC490-$AA490)),"")</f>
        <v/>
      </c>
      <c r="AK490" s="66" t="str">
        <f aca="false">IF(AND($AG490=Constants!$B$7, U490, V490),IF(OR($AA490="",$AC490=""),$AK$6,""),"")</f>
        <v/>
      </c>
      <c r="AL490" s="66" t="str">
        <f aca="false">IF($AG490=Constants!$B$7,IF(AND(U490,V490,W490,Y490),IF($AJ490="",0,IF($AJ$6=0,Constants!$B$9,Constants!$B$9*AJ490/$AJ$6)), 0),"")</f>
        <v/>
      </c>
      <c r="AM490" s="66" t="str">
        <f aca="false">IF(AL490&lt;&gt;"", AL490*AI490,"")</f>
        <v/>
      </c>
      <c r="AN490" s="66" t="str">
        <f aca="false">IF(AND($AG490=Constants!$B$7, U490, V490) ,IF($AB490="", "", IF(OR($AC490="",$AC490=0),"",MAX(0,1-ABS($AC490-$AB490)/$AC490))),"")</f>
        <v/>
      </c>
      <c r="AO490" s="66" t="str">
        <f aca="false">IF(AND($AG490=Constants!$B$7, U490, V490),IF(AND($AA490&lt;&gt;"",$AB490&lt;&gt;"",$AC490=0),$AO$6,""),"")</f>
        <v/>
      </c>
      <c r="AP490" s="66" t="str">
        <f aca="false">IF($AG490=Constants!$B$7 ,IF(AND(U490,V490,W490,Y490,ISNUMBER(AB490)),IF($AN490="",0,IF($AN$6=0,Constants!$B$10,Constants!$B$10*AN490/$AN$6)), 0),"")</f>
        <v/>
      </c>
      <c r="AQ490" s="66" t="str">
        <f aca="false">IF(AP490&lt;&gt;"", AP490*AI490,"")</f>
        <v/>
      </c>
      <c r="AR490" s="66" t="str">
        <f aca="false">IF($AG490=Constants!$B$7,IF($AD490="",0,IF($AR$6=0,Constants!$B$8,Constants!$B$8*AD490/$AR$6)),"")</f>
        <v/>
      </c>
      <c r="AS490" s="66" t="str">
        <f aca="false">IF($AG490&lt;&gt;Constants!$B$7,$AG490,IF(AK490&amp;AO490&lt;&gt;"",Constants!$B$14,AM490+AQ490+AR490))</f>
        <v/>
      </c>
      <c r="AT490" s="66" t="str">
        <f aca="false">IF(ISBLANK($C490),"",IF($AG490=Constants!$B$7,IF(ISNUMBER(AS490),RANK(AS490,$AS$8:$AS$507),Constants!$B$14),$AG490))</f>
        <v/>
      </c>
      <c r="AU490" s="66" t="str">
        <f aca="false">IF(ISBLANK($C490), "",AM490)</f>
        <v/>
      </c>
      <c r="AV490" s="66" t="str">
        <f aca="false">IF(ISBLANK($C490),"",IF($AG490=Constants!$B$7,RANK(AU490,AU$8:AU$507),$AG490))</f>
        <v/>
      </c>
      <c r="AW490" s="66" t="str">
        <f aca="false">IF(ISBLANK($C490), "",AR490)</f>
        <v/>
      </c>
      <c r="AX490" s="66" t="str">
        <f aca="false">IF(ISBLANK($C490),"",IF($AG490=Constants!$B$7,RANK(AW490,AW$8:AW$507),$AG490))</f>
        <v/>
      </c>
      <c r="AY490" s="66" t="str">
        <f aca="false">IF(ISBLANK($C490), "",AE490)</f>
        <v/>
      </c>
      <c r="AZ490" s="66" t="str">
        <f aca="false">IF(ISBLANK($C490),"",
IF($AG490=Constants!$B$7,
  IF(ISNUMBER(AT490),
    COUNTIFS($AT$8:$AT$507,"&lt;"&amp;$AT490)
    + COUNTIFS($AT$8:$AT$507,$AT490,$AV$8:$AV$507,"&lt;"&amp;$AV490)
    + COUNTIFS($AT$8:$AT$507,$AT490,$AV$8:$AV$507,$AV490,$AX$8:$AX$507,"&lt;"&amp;$AX490)
    + COUNTIFS($AT$8:$AT$507,$AT490,$AV$8:$AV$507,$AV490,$AX$8:$AX$507,$AX490,$AY$8:$AY$507,"&lt;"&amp;$AY490)
    + 1,
  Constants!$B$14),
$AG490))</f>
        <v/>
      </c>
      <c r="BA490" s="66" t="str">
        <f aca="false">IF(ISBLANK(C490),"",IF($AG490=Constants!$B$7, IF(ISNUMBER(AT490),AT490-AZ490,Constants!$B$14),$AG490))</f>
        <v/>
      </c>
      <c r="BB490" s="70"/>
      <c r="BC490" s="84" t="str">
        <f aca="false">IF(ISBLANK($C490),"",TRIM(AK490&amp;" "&amp;AO490))</f>
        <v/>
      </c>
      <c r="BD490" s="72" t="str">
        <f aca="false">IF(ISBLANK($C490),"",IF($AG490&lt;&gt;Constants!$B$7,$AG490,AR490))</f>
        <v/>
      </c>
      <c r="BE490" s="72" t="str">
        <f aca="false">IF(ISBLANK($C490),"",IF($AG490&lt;&gt;Constants!$B$7,$AG490,AM490))</f>
        <v/>
      </c>
      <c r="BF490" s="72" t="str">
        <f aca="false">IF(ISBLANK($C490),"",IF($AG490&lt;&gt;Constants!$B$7,$AG490,AQ490))</f>
        <v/>
      </c>
      <c r="BG490" s="73" t="str">
        <f aca="false">IF(ISBLANK($C490),"",IF($AG490&lt;&gt;Constants!$B$7, $AG490 ,AS490))</f>
        <v/>
      </c>
      <c r="BH490" s="74" t="str">
        <f aca="false">IF(ISBLANK($C490),"",IF($AG490&lt;&gt;Constants!$B$7, $AG490 ,AH490))</f>
        <v/>
      </c>
      <c r="BI490" s="72" t="str">
        <f aca="false">IF(ISBLANK(C490),"",BA490)</f>
        <v/>
      </c>
      <c r="BJ490" s="72" t="str">
        <f aca="false">IF(ISBLANK(C490),"",AZ490)</f>
        <v/>
      </c>
      <c r="BK490" s="75" t="str">
        <f aca="false">IF(ISBLANK(C490),"",IFERROR(_xlfn.SWITCH(BJ490, Constants!$B$4, COUNTA($C$8:$C989)+2, Constants!$B$5, COUNTA($C$8:$C989)+1, Constants!$B$6, COUNTA($C$8:$C989)),BJ490))</f>
        <v/>
      </c>
      <c r="BL490" s="5"/>
      <c r="BM490" s="76" t="n">
        <f aca="false">IF(OR(ISNUMBER(BJ490),BJ490="DQ",BJ490="P",BJ490="NS"),
    1,
    0
)</f>
        <v>0</v>
      </c>
      <c r="BN490" s="76" t="n">
        <v>483</v>
      </c>
      <c r="BO490" s="76" t="str">
        <f aca="false">IF(ISBLANK($C490),"",IF(ISNUMBER(BK490),BK490+ROW($B490)/1000,""))</f>
        <v/>
      </c>
      <c r="BP490" s="76" t="str">
        <f aca="false">IF(ISNUMBER(BO490), RANK(BO490,BO$8:BO$507,1), "")</f>
        <v/>
      </c>
      <c r="BQ490" s="76" t="str">
        <f aca="false">IF(ISBLANK($C490),
    "",
    $B490
)</f>
        <v/>
      </c>
      <c r="BR490" s="76" t="str">
        <f aca="false">IF(ISBLANK($C490),
    "",
    $C490
)</f>
        <v/>
      </c>
      <c r="BS490" s="76" t="str">
        <f aca="false">IF(ISBLANK($C490),
    "",
    $D490
)</f>
        <v/>
      </c>
      <c r="BT490" s="77" t="str">
        <f aca="false">BH490</f>
        <v/>
      </c>
      <c r="BU490" s="78" t="str">
        <f aca="false">BG490</f>
        <v/>
      </c>
      <c r="BV490" s="76" t="str">
        <f aca="false">IF(ISBLANK($C490),
    "",
    BJ490
)</f>
        <v/>
      </c>
      <c r="BW490" s="79" t="str">
        <f aca="false">IF(BN490&gt;BM$7,
    "",
    VLOOKUP(BN490,BP$8:BV989,7,FALSE())
)</f>
        <v/>
      </c>
      <c r="BX490" s="80" t="str">
        <f aca="false">IF(BN490&gt;BM$7,
    "",
    VLOOKUP(BN490,BP$8:BV989,2,FALSE())
)</f>
        <v/>
      </c>
      <c r="BY490" s="80" t="str">
        <f aca="false">IF(BN490&gt;BM$7,
    "",
    VLOOKUP(BN490,BP$8:BV989,3,FALSE())
)</f>
        <v/>
      </c>
      <c r="BZ490" s="80" t="str">
        <f aca="false">IF(BN490&gt;BM$7,
    "",
    VLOOKUP(BN490,BP$8:BV989,4,FALSE())
)</f>
        <v/>
      </c>
      <c r="CA490" s="80" t="str">
        <f aca="false">IF(BN490&gt;BM$7,
    "",
    VLOOKUP(BN490,BP$8:BV989,5,FALSE())
)</f>
        <v/>
      </c>
      <c r="CB490" s="81" t="str">
        <f aca="false">IF(BN490&gt;BM$7,
    "",
    VLOOKUP(BN490,BP$8:BV989,6,FALSE())
)</f>
        <v/>
      </c>
      <c r="CC490" s="53"/>
    </row>
    <row r="491" customFormat="false" ht="15.75" hidden="false" customHeight="false" outlineLevel="0" collapsed="false">
      <c r="A491" s="5"/>
      <c r="B491" s="125"/>
      <c r="C491" s="126"/>
      <c r="D491" s="115"/>
      <c r="E491" s="119"/>
      <c r="F491" s="119"/>
      <c r="G491" s="91"/>
      <c r="H491" s="92"/>
      <c r="I491" s="92"/>
      <c r="J491" s="128"/>
      <c r="K491" s="128"/>
      <c r="L491" s="128"/>
      <c r="M491" s="94"/>
      <c r="N491" s="94"/>
      <c r="O491" s="94"/>
      <c r="P491" s="95"/>
      <c r="Q491" s="96"/>
      <c r="R491" s="128"/>
      <c r="S491" s="98"/>
      <c r="T491" s="99"/>
      <c r="U491" s="99" t="str">
        <f aca="false">IF(ISBLANK($C491),"",IF(G491=Constants!$B$2, TRUE(), IF(G491=Constants!$B$3, FALSE(), TRUE())))</f>
        <v/>
      </c>
      <c r="V491" s="99" t="str">
        <f aca="false">IF(ISBLANK($C491),"",IF(H491=Constants!$B$2, TRUE(), IF(H491=Constants!$B$3, FALSE(), TRUE())))</f>
        <v/>
      </c>
      <c r="W491" s="99" t="str">
        <f aca="false">IF(ISBLANK($C491),"",IF(I491=Constants!$B$2, TRUE(), IF(I491=Constants!$B$3, FALSE(), TRUE())))</f>
        <v/>
      </c>
      <c r="X491" s="99" t="str">
        <f aca="false">IF(ISBLANK($C491),"",IF(AND(ISNUMBER(J491),J491&gt;0),INT(J491),0))</f>
        <v/>
      </c>
      <c r="Y491" s="99" t="str">
        <f aca="false">IF(ISBLANK($C491),"",IF(K491=Constants!$B$2, TRUE(), IF(K491=Constants!$B$3, FALSE(), TRUE())))</f>
        <v/>
      </c>
      <c r="Z491" s="100" t="str">
        <f aca="false">IF(ISBLANK($C491),"",IF(AND(ISNUMBER(L491),L491&gt;0),INT(L491),0))</f>
        <v/>
      </c>
      <c r="AA491" s="101" t="str">
        <f aca="false">IF(ISBLANK($C491),"",IF(ISNUMBER(M491), M491, ""))</f>
        <v/>
      </c>
      <c r="AB491" s="101" t="str">
        <f aca="false">IF(ISBLANK($C491),"",IF(ISNUMBER(N491), N491, ""))</f>
        <v/>
      </c>
      <c r="AC491" s="101" t="str">
        <f aca="false">IF(ISBLANK($C491),"",IF(ISNUMBER(O491), O491, ""))</f>
        <v/>
      </c>
      <c r="AD491" s="102" t="str">
        <f aca="false">IF(ISBLANK($C491),"",IF(ISNUMBER(P491), P491, ""))</f>
        <v/>
      </c>
      <c r="AE491" s="102" t="str">
        <f aca="false">IF(ISBLANK($C491),"",IF(ISNUMBER(Q491), Q491, Constants!$B$13))</f>
        <v/>
      </c>
      <c r="AF491" s="99" t="str">
        <f aca="false">IF(ISBLANK($C491),"",IF(R491=Constants!$B$2, TRUE(), IF(R491=Constants!$B$3, FALSE(), FALSE())))</f>
        <v/>
      </c>
      <c r="AG491" s="99" t="str">
        <f aca="false">IF(ISBLANK(C491), "", IF(AF491, Constants!$B$4,IF(COUNTA(G491:P491)=0, Constants!$B$5, Constants!$B$7)))</f>
        <v/>
      </c>
      <c r="AH491" s="99" t="str">
        <f aca="false">IF(ISBLANK($C491), "",IF($AG491=Constants!$B$7,1,$AG491))</f>
        <v/>
      </c>
      <c r="AI491" s="99" t="str">
        <f aca="false">IF($AG491=Constants!$B$7,POWER(Constants!$B$11,X491)*POWER(Constants!$B$12,Z491),"")</f>
        <v/>
      </c>
      <c r="AJ491" s="99" t="str">
        <f aca="false">IF(AND($AG491=Constants!$B$7, U491, V491) ,IF(OR($AA491="",$AC491=""),"",MAX(0, $AC491-$AA491)),"")</f>
        <v/>
      </c>
      <c r="AK491" s="99" t="str">
        <f aca="false">IF(AND($AG491=Constants!$B$7, U491, V491),IF(OR($AA491="",$AC491=""),$AK$6,""),"")</f>
        <v/>
      </c>
      <c r="AL491" s="99" t="str">
        <f aca="false">IF($AG491=Constants!$B$7,IF(AND(U491,V491,W491,Y491),IF($AJ491="",0,IF($AJ$6=0,Constants!$B$9,Constants!$B$9*AJ491/$AJ$6)), 0),"")</f>
        <v/>
      </c>
      <c r="AM491" s="99" t="str">
        <f aca="false">IF(AL491&lt;&gt;"", AL491*AI491,"")</f>
        <v/>
      </c>
      <c r="AN491" s="99" t="str">
        <f aca="false">IF(AND($AG491=Constants!$B$7, U491, V491) ,IF($AB491="", "", IF(OR($AC491="",$AC491=0),"",MAX(0,1-ABS($AC491-$AB491)/$AC491))),"")</f>
        <v/>
      </c>
      <c r="AO491" s="99" t="str">
        <f aca="false">IF(AND($AG491=Constants!$B$7, U491, V491),IF(AND($AA491&lt;&gt;"",$AB491&lt;&gt;"",$AC491=0),$AO$6,""),"")</f>
        <v/>
      </c>
      <c r="AP491" s="99" t="str">
        <f aca="false">IF($AG491=Constants!$B$7 ,IF(AND(U491,V491,W491,Y491,ISNUMBER(AB491)),IF($AN491="",0,IF($AN$6=0,Constants!$B$10,Constants!$B$10*AN491/$AN$6)), 0),"")</f>
        <v/>
      </c>
      <c r="AQ491" s="99" t="str">
        <f aca="false">IF(AP491&lt;&gt;"", AP491*AI491,"")</f>
        <v/>
      </c>
      <c r="AR491" s="99" t="str">
        <f aca="false">IF($AG491=Constants!$B$7,IF($AD491="",0,IF($AR$6=0,Constants!$B$8,Constants!$B$8*AD491/$AR$6)),"")</f>
        <v/>
      </c>
      <c r="AS491" s="99" t="str">
        <f aca="false">IF($AG491&lt;&gt;Constants!$B$7,$AG491,IF(AK491&amp;AO491&lt;&gt;"",Constants!$B$14,AM491+AQ491+AR491))</f>
        <v/>
      </c>
      <c r="AT491" s="99" t="str">
        <f aca="false">IF(ISBLANK($C491),"",IF($AG491=Constants!$B$7,IF(ISNUMBER(AS491),RANK(AS491,$AS$8:$AS$507),Constants!$B$14),$AG491))</f>
        <v/>
      </c>
      <c r="AU491" s="99" t="str">
        <f aca="false">IF(ISBLANK($C491), "",AM491)</f>
        <v/>
      </c>
      <c r="AV491" s="99" t="str">
        <f aca="false">IF(ISBLANK($C491),"",IF($AG491=Constants!$B$7,RANK(AU491,AU$8:AU$507),$AG491))</f>
        <v/>
      </c>
      <c r="AW491" s="99" t="str">
        <f aca="false">IF(ISBLANK($C491), "",AR491)</f>
        <v/>
      </c>
      <c r="AX491" s="99" t="str">
        <f aca="false">IF(ISBLANK($C491),"",IF($AG491=Constants!$B$7,RANK(AW491,AW$8:AW$507),$AG491))</f>
        <v/>
      </c>
      <c r="AY491" s="99" t="str">
        <f aca="false">IF(ISBLANK($C491), "",AE491)</f>
        <v/>
      </c>
      <c r="AZ491" s="99" t="str">
        <f aca="false">IF(ISBLANK($C491),"",
IF($AG491=Constants!$B$7,
  IF(ISNUMBER(AT491),
    COUNTIFS($AT$8:$AT$507,"&lt;"&amp;$AT491)
    + COUNTIFS($AT$8:$AT$507,$AT491,$AV$8:$AV$507,"&lt;"&amp;$AV491)
    + COUNTIFS($AT$8:$AT$507,$AT491,$AV$8:$AV$507,$AV491,$AX$8:$AX$507,"&lt;"&amp;$AX491)
    + COUNTIFS($AT$8:$AT$507,$AT491,$AV$8:$AV$507,$AV491,$AX$8:$AX$507,$AX491,$AY$8:$AY$507,"&lt;"&amp;$AY491)
    + 1,
  Constants!$B$14),
$AG491))</f>
        <v/>
      </c>
      <c r="BA491" s="99" t="str">
        <f aca="false">IF(ISBLANK(C491),"",IF($AG491=Constants!$B$7, IF(ISNUMBER(AT491),AT491-AZ491,Constants!$B$14),$AG491))</f>
        <v/>
      </c>
      <c r="BB491" s="103"/>
      <c r="BC491" s="104" t="str">
        <f aca="false">IF(ISBLANK($C491),"",TRIM(AK491&amp;" "&amp;AO491))</f>
        <v/>
      </c>
      <c r="BD491" s="105" t="str">
        <f aca="false">IF(ISBLANK($C491),"",IF($AG491&lt;&gt;Constants!$B$7,$AG491,AR491))</f>
        <v/>
      </c>
      <c r="BE491" s="105" t="str">
        <f aca="false">IF(ISBLANK($C491),"",IF($AG491&lt;&gt;Constants!$B$7,$AG491,AM491))</f>
        <v/>
      </c>
      <c r="BF491" s="105" t="str">
        <f aca="false">IF(ISBLANK($C491),"",IF($AG491&lt;&gt;Constants!$B$7,$AG491,AQ491))</f>
        <v/>
      </c>
      <c r="BG491" s="106" t="str">
        <f aca="false">IF(ISBLANK($C491),"",IF($AG491&lt;&gt;Constants!$B$7, $AG491 ,AS491))</f>
        <v/>
      </c>
      <c r="BH491" s="107" t="str">
        <f aca="false">IF(ISBLANK($C491),"",IF($AG491&lt;&gt;Constants!$B$7, $AG491 ,AH491))</f>
        <v/>
      </c>
      <c r="BI491" s="105" t="str">
        <f aca="false">IF(ISBLANK(C491),"",BA491)</f>
        <v/>
      </c>
      <c r="BJ491" s="105" t="str">
        <f aca="false">IF(ISBLANK(C491),"",AZ491)</f>
        <v/>
      </c>
      <c r="BK491" s="108" t="str">
        <f aca="false">IF(ISBLANK(C491),"",IFERROR(_xlfn.SWITCH(BJ491, Constants!$B$4, COUNTA($C$8:$C990)+2, Constants!$B$5, COUNTA($C$8:$C990)+1, Constants!$B$6, COUNTA($C$8:$C990)),BJ491))</f>
        <v/>
      </c>
      <c r="BL491" s="5"/>
      <c r="BM491" s="109" t="n">
        <f aca="false">IF(OR(ISNUMBER(BJ491),BJ491="DQ",BJ491="P",BJ491="NS"),
    1,
    0
)</f>
        <v>0</v>
      </c>
      <c r="BN491" s="109" t="n">
        <v>484</v>
      </c>
      <c r="BO491" s="109" t="str">
        <f aca="false">IF(ISBLANK($C491),"",IF(ISNUMBER(BK491),BK491+ROW($B491)/1000,""))</f>
        <v/>
      </c>
      <c r="BP491" s="109" t="str">
        <f aca="false">IF(ISNUMBER(BO491), RANK(BO491,BO$8:BO$507,1), "")</f>
        <v/>
      </c>
      <c r="BQ491" s="109" t="str">
        <f aca="false">IF(ISBLANK($C491),
    "",
    $B491
)</f>
        <v/>
      </c>
      <c r="BR491" s="109" t="str">
        <f aca="false">IF(ISBLANK($C491),
    "",
    $C491
)</f>
        <v/>
      </c>
      <c r="BS491" s="109" t="str">
        <f aca="false">IF(ISBLANK($C491),
    "",
    $D491
)</f>
        <v/>
      </c>
      <c r="BT491" s="110" t="str">
        <f aca="false">BH491</f>
        <v/>
      </c>
      <c r="BU491" s="111" t="str">
        <f aca="false">BG491</f>
        <v/>
      </c>
      <c r="BV491" s="109" t="str">
        <f aca="false">IF(ISBLANK($C491),
    "",
    BJ491
)</f>
        <v/>
      </c>
      <c r="BW491" s="112" t="str">
        <f aca="false">IF(BN491&gt;BM$7,
    "",
    VLOOKUP(BN491,BP$8:BV990,7,FALSE())
)</f>
        <v/>
      </c>
      <c r="BX491" s="113" t="str">
        <f aca="false">IF(BN491&gt;BM$7,
    "",
    VLOOKUP(BN491,BP$8:BV990,2,FALSE())
)</f>
        <v/>
      </c>
      <c r="BY491" s="113" t="str">
        <f aca="false">IF(BN491&gt;BM$7,
    "",
    VLOOKUP(BN491,BP$8:BV990,3,FALSE())
)</f>
        <v/>
      </c>
      <c r="BZ491" s="113" t="str">
        <f aca="false">IF(BN491&gt;BM$7,
    "",
    VLOOKUP(BN491,BP$8:BV990,4,FALSE())
)</f>
        <v/>
      </c>
      <c r="CA491" s="113" t="str">
        <f aca="false">IF(BN491&gt;BM$7,
    "",
    VLOOKUP(BN491,BP$8:BV990,5,FALSE())
)</f>
        <v/>
      </c>
      <c r="CB491" s="114" t="str">
        <f aca="false">IF(BN491&gt;BM$7,
    "",
    VLOOKUP(BN491,BP$8:BV990,6,FALSE())
)</f>
        <v/>
      </c>
      <c r="CC491" s="53"/>
    </row>
    <row r="492" customFormat="false" ht="15.75" hidden="false" customHeight="false" outlineLevel="0" collapsed="false">
      <c r="A492" s="5"/>
      <c r="B492" s="125"/>
      <c r="C492" s="126"/>
      <c r="D492" s="115"/>
      <c r="E492" s="119"/>
      <c r="F492" s="119"/>
      <c r="G492" s="91"/>
      <c r="H492" s="92"/>
      <c r="I492" s="92"/>
      <c r="J492" s="128"/>
      <c r="K492" s="128"/>
      <c r="L492" s="128"/>
      <c r="M492" s="94"/>
      <c r="N492" s="94"/>
      <c r="O492" s="94"/>
      <c r="P492" s="95"/>
      <c r="Q492" s="96"/>
      <c r="R492" s="128"/>
      <c r="S492" s="98"/>
      <c r="T492" s="99"/>
      <c r="U492" s="99" t="str">
        <f aca="false">IF(ISBLANK($C492),"",IF(G492=Constants!$B$2, TRUE(), IF(G492=Constants!$B$3, FALSE(), TRUE())))</f>
        <v/>
      </c>
      <c r="V492" s="99" t="str">
        <f aca="false">IF(ISBLANK($C492),"",IF(H492=Constants!$B$2, TRUE(), IF(H492=Constants!$B$3, FALSE(), TRUE())))</f>
        <v/>
      </c>
      <c r="W492" s="99" t="str">
        <f aca="false">IF(ISBLANK($C492),"",IF(I492=Constants!$B$2, TRUE(), IF(I492=Constants!$B$3, FALSE(), TRUE())))</f>
        <v/>
      </c>
      <c r="X492" s="99" t="str">
        <f aca="false">IF(ISBLANK($C492),"",IF(AND(ISNUMBER(J492),J492&gt;0),INT(J492),0))</f>
        <v/>
      </c>
      <c r="Y492" s="99" t="str">
        <f aca="false">IF(ISBLANK($C492),"",IF(K492=Constants!$B$2, TRUE(), IF(K492=Constants!$B$3, FALSE(), TRUE())))</f>
        <v/>
      </c>
      <c r="Z492" s="100" t="str">
        <f aca="false">IF(ISBLANK($C492),"",IF(AND(ISNUMBER(L492),L492&gt;0),INT(L492),0))</f>
        <v/>
      </c>
      <c r="AA492" s="101" t="str">
        <f aca="false">IF(ISBLANK($C492),"",IF(ISNUMBER(M492), M492, ""))</f>
        <v/>
      </c>
      <c r="AB492" s="101" t="str">
        <f aca="false">IF(ISBLANK($C492),"",IF(ISNUMBER(N492), N492, ""))</f>
        <v/>
      </c>
      <c r="AC492" s="101" t="str">
        <f aca="false">IF(ISBLANK($C492),"",IF(ISNUMBER(O492), O492, ""))</f>
        <v/>
      </c>
      <c r="AD492" s="102" t="str">
        <f aca="false">IF(ISBLANK($C492),"",IF(ISNUMBER(P492), P492, ""))</f>
        <v/>
      </c>
      <c r="AE492" s="102" t="str">
        <f aca="false">IF(ISBLANK($C492),"",IF(ISNUMBER(Q492), Q492, Constants!$B$13))</f>
        <v/>
      </c>
      <c r="AF492" s="99" t="str">
        <f aca="false">IF(ISBLANK($C492),"",IF(R492=Constants!$B$2, TRUE(), IF(R492=Constants!$B$3, FALSE(), FALSE())))</f>
        <v/>
      </c>
      <c r="AG492" s="99" t="str">
        <f aca="false">IF(ISBLANK(C492), "", IF(AF492, Constants!$B$4,IF(COUNTA(G492:P492)=0, Constants!$B$5, Constants!$B$7)))</f>
        <v/>
      </c>
      <c r="AH492" s="99" t="str">
        <f aca="false">IF(ISBLANK($C492), "",IF($AG492=Constants!$B$7,1,$AG492))</f>
        <v/>
      </c>
      <c r="AI492" s="99" t="str">
        <f aca="false">IF($AG492=Constants!$B$7,POWER(Constants!$B$11,X492)*POWER(Constants!$B$12,Z492),"")</f>
        <v/>
      </c>
      <c r="AJ492" s="99" t="str">
        <f aca="false">IF(AND($AG492=Constants!$B$7, U492, V492) ,IF(OR($AA492="",$AC492=""),"",MAX(0, $AC492-$AA492)),"")</f>
        <v/>
      </c>
      <c r="AK492" s="99" t="str">
        <f aca="false">IF(AND($AG492=Constants!$B$7, U492, V492),IF(OR($AA492="",$AC492=""),$AK$6,""),"")</f>
        <v/>
      </c>
      <c r="AL492" s="99" t="str">
        <f aca="false">IF($AG492=Constants!$B$7,IF(AND(U492,V492,W492,Y492),IF($AJ492="",0,IF($AJ$6=0,Constants!$B$9,Constants!$B$9*AJ492/$AJ$6)), 0),"")</f>
        <v/>
      </c>
      <c r="AM492" s="99" t="str">
        <f aca="false">IF(AL492&lt;&gt;"", AL492*AI492,"")</f>
        <v/>
      </c>
      <c r="AN492" s="99" t="str">
        <f aca="false">IF(AND($AG492=Constants!$B$7, U492, V492) ,IF($AB492="", "", IF(OR($AC492="",$AC492=0),"",MAX(0,1-ABS($AC492-$AB492)/$AC492))),"")</f>
        <v/>
      </c>
      <c r="AO492" s="99" t="str">
        <f aca="false">IF(AND($AG492=Constants!$B$7, U492, V492),IF(AND($AA492&lt;&gt;"",$AB492&lt;&gt;"",$AC492=0),$AO$6,""),"")</f>
        <v/>
      </c>
      <c r="AP492" s="99" t="str">
        <f aca="false">IF($AG492=Constants!$B$7 ,IF(AND(U492,V492,W492,Y492,ISNUMBER(AB492)),IF($AN492="",0,IF($AN$6=0,Constants!$B$10,Constants!$B$10*AN492/$AN$6)), 0),"")</f>
        <v/>
      </c>
      <c r="AQ492" s="99" t="str">
        <f aca="false">IF(AP492&lt;&gt;"", AP492*AI492,"")</f>
        <v/>
      </c>
      <c r="AR492" s="99" t="str">
        <f aca="false">IF($AG492=Constants!$B$7,IF($AD492="",0,IF($AR$6=0,Constants!$B$8,Constants!$B$8*AD492/$AR$6)),"")</f>
        <v/>
      </c>
      <c r="AS492" s="99" t="str">
        <f aca="false">IF($AG492&lt;&gt;Constants!$B$7,$AG492,IF(AK492&amp;AO492&lt;&gt;"",Constants!$B$14,AM492+AQ492+AR492))</f>
        <v/>
      </c>
      <c r="AT492" s="99" t="str">
        <f aca="false">IF(ISBLANK($C492),"",IF($AG492=Constants!$B$7,IF(ISNUMBER(AS492),RANK(AS492,$AS$8:$AS$507),Constants!$B$14),$AG492))</f>
        <v/>
      </c>
      <c r="AU492" s="99" t="str">
        <f aca="false">IF(ISBLANK($C492), "",AM492)</f>
        <v/>
      </c>
      <c r="AV492" s="99" t="str">
        <f aca="false">IF(ISBLANK($C492),"",IF($AG492=Constants!$B$7,RANK(AU492,AU$8:AU$507),$AG492))</f>
        <v/>
      </c>
      <c r="AW492" s="99" t="str">
        <f aca="false">IF(ISBLANK($C492), "",AR492)</f>
        <v/>
      </c>
      <c r="AX492" s="99" t="str">
        <f aca="false">IF(ISBLANK($C492),"",IF($AG492=Constants!$B$7,RANK(AW492,AW$8:AW$507),$AG492))</f>
        <v/>
      </c>
      <c r="AY492" s="99" t="str">
        <f aca="false">IF(ISBLANK($C492), "",AE492)</f>
        <v/>
      </c>
      <c r="AZ492" s="99" t="str">
        <f aca="false">IF(ISBLANK($C492),"",
IF($AG492=Constants!$B$7,
  IF(ISNUMBER(AT492),
    COUNTIFS($AT$8:$AT$507,"&lt;"&amp;$AT492)
    + COUNTIFS($AT$8:$AT$507,$AT492,$AV$8:$AV$507,"&lt;"&amp;$AV492)
    + COUNTIFS($AT$8:$AT$507,$AT492,$AV$8:$AV$507,$AV492,$AX$8:$AX$507,"&lt;"&amp;$AX492)
    + COUNTIFS($AT$8:$AT$507,$AT492,$AV$8:$AV$507,$AV492,$AX$8:$AX$507,$AX492,$AY$8:$AY$507,"&lt;"&amp;$AY492)
    + 1,
  Constants!$B$14),
$AG492))</f>
        <v/>
      </c>
      <c r="BA492" s="99" t="str">
        <f aca="false">IF(ISBLANK(C492),"",IF($AG492=Constants!$B$7, IF(ISNUMBER(AT492),AT492-AZ492,Constants!$B$14),$AG492))</f>
        <v/>
      </c>
      <c r="BB492" s="103"/>
      <c r="BC492" s="104" t="str">
        <f aca="false">IF(ISBLANK($C492),"",TRIM(AK492&amp;" "&amp;AO492))</f>
        <v/>
      </c>
      <c r="BD492" s="105" t="str">
        <f aca="false">IF(ISBLANK($C492),"",IF($AG492&lt;&gt;Constants!$B$7,$AG492,AR492))</f>
        <v/>
      </c>
      <c r="BE492" s="105" t="str">
        <f aca="false">IF(ISBLANK($C492),"",IF($AG492&lt;&gt;Constants!$B$7,$AG492,AM492))</f>
        <v/>
      </c>
      <c r="BF492" s="105" t="str">
        <f aca="false">IF(ISBLANK($C492),"",IF($AG492&lt;&gt;Constants!$B$7,$AG492,AQ492))</f>
        <v/>
      </c>
      <c r="BG492" s="106" t="str">
        <f aca="false">IF(ISBLANK($C492),"",IF($AG492&lt;&gt;Constants!$B$7, $AG492 ,AS492))</f>
        <v/>
      </c>
      <c r="BH492" s="107" t="str">
        <f aca="false">IF(ISBLANK($C492),"",IF($AG492&lt;&gt;Constants!$B$7, $AG492 ,AH492))</f>
        <v/>
      </c>
      <c r="BI492" s="105" t="str">
        <f aca="false">IF(ISBLANK(C492),"",BA492)</f>
        <v/>
      </c>
      <c r="BJ492" s="105" t="str">
        <f aca="false">IF(ISBLANK(C492),"",AZ492)</f>
        <v/>
      </c>
      <c r="BK492" s="108" t="str">
        <f aca="false">IF(ISBLANK(C492),"",IFERROR(_xlfn.SWITCH(BJ492, Constants!$B$4, COUNTA($C$8:$C991)+2, Constants!$B$5, COUNTA($C$8:$C991)+1, Constants!$B$6, COUNTA($C$8:$C991)),BJ492))</f>
        <v/>
      </c>
      <c r="BL492" s="5"/>
      <c r="BM492" s="109" t="n">
        <f aca="false">IF(OR(ISNUMBER(BJ492),BJ492="DQ",BJ492="P",BJ492="NS"),
    1,
    0
)</f>
        <v>0</v>
      </c>
      <c r="BN492" s="109" t="n">
        <v>485</v>
      </c>
      <c r="BO492" s="109" t="str">
        <f aca="false">IF(ISBLANK($C492),"",IF(ISNUMBER(BK492),BK492+ROW($B492)/1000,""))</f>
        <v/>
      </c>
      <c r="BP492" s="109" t="str">
        <f aca="false">IF(ISNUMBER(BO492), RANK(BO492,BO$8:BO$507,1), "")</f>
        <v/>
      </c>
      <c r="BQ492" s="109" t="str">
        <f aca="false">IF(ISBLANK($C492),
    "",
    $B492
)</f>
        <v/>
      </c>
      <c r="BR492" s="109" t="str">
        <f aca="false">IF(ISBLANK($C492),
    "",
    $C492
)</f>
        <v/>
      </c>
      <c r="BS492" s="109" t="str">
        <f aca="false">IF(ISBLANK($C492),
    "",
    $D492
)</f>
        <v/>
      </c>
      <c r="BT492" s="110" t="str">
        <f aca="false">BH492</f>
        <v/>
      </c>
      <c r="BU492" s="111" t="str">
        <f aca="false">BG492</f>
        <v/>
      </c>
      <c r="BV492" s="109" t="str">
        <f aca="false">IF(ISBLANK($C492),
    "",
    BJ492
)</f>
        <v/>
      </c>
      <c r="BW492" s="112" t="str">
        <f aca="false">IF(BN492&gt;BM$7,
    "",
    VLOOKUP(BN492,BP$8:BV991,7,FALSE())
)</f>
        <v/>
      </c>
      <c r="BX492" s="113" t="str">
        <f aca="false">IF(BN492&gt;BM$7,
    "",
    VLOOKUP(BN492,BP$8:BV991,2,FALSE())
)</f>
        <v/>
      </c>
      <c r="BY492" s="113" t="str">
        <f aca="false">IF(BN492&gt;BM$7,
    "",
    VLOOKUP(BN492,BP$8:BV991,3,FALSE())
)</f>
        <v/>
      </c>
      <c r="BZ492" s="113" t="str">
        <f aca="false">IF(BN492&gt;BM$7,
    "",
    VLOOKUP(BN492,BP$8:BV991,4,FALSE())
)</f>
        <v/>
      </c>
      <c r="CA492" s="113" t="str">
        <f aca="false">IF(BN492&gt;BM$7,
    "",
    VLOOKUP(BN492,BP$8:BV991,5,FALSE())
)</f>
        <v/>
      </c>
      <c r="CB492" s="114" t="str">
        <f aca="false">IF(BN492&gt;BM$7,
    "",
    VLOOKUP(BN492,BP$8:BV991,6,FALSE())
)</f>
        <v/>
      </c>
      <c r="CC492" s="53"/>
    </row>
    <row r="493" customFormat="false" ht="15.75" hidden="false" customHeight="false" outlineLevel="0" collapsed="false">
      <c r="A493" s="5"/>
      <c r="B493" s="125"/>
      <c r="C493" s="126"/>
      <c r="D493" s="115"/>
      <c r="E493" s="119"/>
      <c r="F493" s="119"/>
      <c r="G493" s="91"/>
      <c r="H493" s="92"/>
      <c r="I493" s="92"/>
      <c r="J493" s="128"/>
      <c r="K493" s="128"/>
      <c r="L493" s="128"/>
      <c r="M493" s="94"/>
      <c r="N493" s="94"/>
      <c r="O493" s="94"/>
      <c r="P493" s="95"/>
      <c r="Q493" s="96"/>
      <c r="R493" s="128"/>
      <c r="S493" s="98"/>
      <c r="T493" s="99"/>
      <c r="U493" s="99" t="str">
        <f aca="false">IF(ISBLANK($C493),"",IF(G493=Constants!$B$2, TRUE(), IF(G493=Constants!$B$3, FALSE(), TRUE())))</f>
        <v/>
      </c>
      <c r="V493" s="99" t="str">
        <f aca="false">IF(ISBLANK($C493),"",IF(H493=Constants!$B$2, TRUE(), IF(H493=Constants!$B$3, FALSE(), TRUE())))</f>
        <v/>
      </c>
      <c r="W493" s="99" t="str">
        <f aca="false">IF(ISBLANK($C493),"",IF(I493=Constants!$B$2, TRUE(), IF(I493=Constants!$B$3, FALSE(), TRUE())))</f>
        <v/>
      </c>
      <c r="X493" s="99" t="str">
        <f aca="false">IF(ISBLANK($C493),"",IF(AND(ISNUMBER(J493),J493&gt;0),INT(J493),0))</f>
        <v/>
      </c>
      <c r="Y493" s="99" t="str">
        <f aca="false">IF(ISBLANK($C493),"",IF(K493=Constants!$B$2, TRUE(), IF(K493=Constants!$B$3, FALSE(), TRUE())))</f>
        <v/>
      </c>
      <c r="Z493" s="100" t="str">
        <f aca="false">IF(ISBLANK($C493),"",IF(AND(ISNUMBER(L493),L493&gt;0),INT(L493),0))</f>
        <v/>
      </c>
      <c r="AA493" s="101" t="str">
        <f aca="false">IF(ISBLANK($C493),"",IF(ISNUMBER(M493), M493, ""))</f>
        <v/>
      </c>
      <c r="AB493" s="101" t="str">
        <f aca="false">IF(ISBLANK($C493),"",IF(ISNUMBER(N493), N493, ""))</f>
        <v/>
      </c>
      <c r="AC493" s="101" t="str">
        <f aca="false">IF(ISBLANK($C493),"",IF(ISNUMBER(O493), O493, ""))</f>
        <v/>
      </c>
      <c r="AD493" s="102" t="str">
        <f aca="false">IF(ISBLANK($C493),"",IF(ISNUMBER(P493), P493, ""))</f>
        <v/>
      </c>
      <c r="AE493" s="102" t="str">
        <f aca="false">IF(ISBLANK($C493),"",IF(ISNUMBER(Q493), Q493, Constants!$B$13))</f>
        <v/>
      </c>
      <c r="AF493" s="99" t="str">
        <f aca="false">IF(ISBLANK($C493),"",IF(R493=Constants!$B$2, TRUE(), IF(R493=Constants!$B$3, FALSE(), FALSE())))</f>
        <v/>
      </c>
      <c r="AG493" s="99" t="str">
        <f aca="false">IF(ISBLANK(C493), "", IF(AF493, Constants!$B$4,IF(COUNTA(G493:P493)=0, Constants!$B$5, Constants!$B$7)))</f>
        <v/>
      </c>
      <c r="AH493" s="99" t="str">
        <f aca="false">IF(ISBLANK($C493), "",IF($AG493=Constants!$B$7,1,$AG493))</f>
        <v/>
      </c>
      <c r="AI493" s="99" t="str">
        <f aca="false">IF($AG493=Constants!$B$7,POWER(Constants!$B$11,X493)*POWER(Constants!$B$12,Z493),"")</f>
        <v/>
      </c>
      <c r="AJ493" s="99" t="str">
        <f aca="false">IF(AND($AG493=Constants!$B$7, U493, V493) ,IF(OR($AA493="",$AC493=""),"",MAX(0, $AC493-$AA493)),"")</f>
        <v/>
      </c>
      <c r="AK493" s="99" t="str">
        <f aca="false">IF(AND($AG493=Constants!$B$7, U493, V493),IF(OR($AA493="",$AC493=""),$AK$6,""),"")</f>
        <v/>
      </c>
      <c r="AL493" s="99" t="str">
        <f aca="false">IF($AG493=Constants!$B$7,IF(AND(U493,V493,W493,Y493),IF($AJ493="",0,IF($AJ$6=0,Constants!$B$9,Constants!$B$9*AJ493/$AJ$6)), 0),"")</f>
        <v/>
      </c>
      <c r="AM493" s="99" t="str">
        <f aca="false">IF(AL493&lt;&gt;"", AL493*AI493,"")</f>
        <v/>
      </c>
      <c r="AN493" s="99" t="str">
        <f aca="false">IF(AND($AG493=Constants!$B$7, U493, V493) ,IF($AB493="", "", IF(OR($AC493="",$AC493=0),"",MAX(0,1-ABS($AC493-$AB493)/$AC493))),"")</f>
        <v/>
      </c>
      <c r="AO493" s="99" t="str">
        <f aca="false">IF(AND($AG493=Constants!$B$7, U493, V493),IF(AND($AA493&lt;&gt;"",$AB493&lt;&gt;"",$AC493=0),$AO$6,""),"")</f>
        <v/>
      </c>
      <c r="AP493" s="99" t="str">
        <f aca="false">IF($AG493=Constants!$B$7 ,IF(AND(U493,V493,W493,Y493,ISNUMBER(AB493)),IF($AN493="",0,IF($AN$6=0,Constants!$B$10,Constants!$B$10*AN493/$AN$6)), 0),"")</f>
        <v/>
      </c>
      <c r="AQ493" s="99" t="str">
        <f aca="false">IF(AP493&lt;&gt;"", AP493*AI493,"")</f>
        <v/>
      </c>
      <c r="AR493" s="99" t="str">
        <f aca="false">IF($AG493=Constants!$B$7,IF($AD493="",0,IF($AR$6=0,Constants!$B$8,Constants!$B$8*AD493/$AR$6)),"")</f>
        <v/>
      </c>
      <c r="AS493" s="99" t="str">
        <f aca="false">IF($AG493&lt;&gt;Constants!$B$7,$AG493,IF(AK493&amp;AO493&lt;&gt;"",Constants!$B$14,AM493+AQ493+AR493))</f>
        <v/>
      </c>
      <c r="AT493" s="99" t="str">
        <f aca="false">IF(ISBLANK($C493),"",IF($AG493=Constants!$B$7,IF(ISNUMBER(AS493),RANK(AS493,$AS$8:$AS$507),Constants!$B$14),$AG493))</f>
        <v/>
      </c>
      <c r="AU493" s="99" t="str">
        <f aca="false">IF(ISBLANK($C493), "",AM493)</f>
        <v/>
      </c>
      <c r="AV493" s="99" t="str">
        <f aca="false">IF(ISBLANK($C493),"",IF($AG493=Constants!$B$7,RANK(AU493,AU$8:AU$507),$AG493))</f>
        <v/>
      </c>
      <c r="AW493" s="99" t="str">
        <f aca="false">IF(ISBLANK($C493), "",AR493)</f>
        <v/>
      </c>
      <c r="AX493" s="99" t="str">
        <f aca="false">IF(ISBLANK($C493),"",IF($AG493=Constants!$B$7,RANK(AW493,AW$8:AW$507),$AG493))</f>
        <v/>
      </c>
      <c r="AY493" s="99" t="str">
        <f aca="false">IF(ISBLANK($C493), "",AE493)</f>
        <v/>
      </c>
      <c r="AZ493" s="99" t="str">
        <f aca="false">IF(ISBLANK($C493),"",
IF($AG493=Constants!$B$7,
  IF(ISNUMBER(AT493),
    COUNTIFS($AT$8:$AT$507,"&lt;"&amp;$AT493)
    + COUNTIFS($AT$8:$AT$507,$AT493,$AV$8:$AV$507,"&lt;"&amp;$AV493)
    + COUNTIFS($AT$8:$AT$507,$AT493,$AV$8:$AV$507,$AV493,$AX$8:$AX$507,"&lt;"&amp;$AX493)
    + COUNTIFS($AT$8:$AT$507,$AT493,$AV$8:$AV$507,$AV493,$AX$8:$AX$507,$AX493,$AY$8:$AY$507,"&lt;"&amp;$AY493)
    + 1,
  Constants!$B$14),
$AG493))</f>
        <v/>
      </c>
      <c r="BA493" s="99" t="str">
        <f aca="false">IF(ISBLANK(C493),"",IF($AG493=Constants!$B$7, IF(ISNUMBER(AT493),AT493-AZ493,Constants!$B$14),$AG493))</f>
        <v/>
      </c>
      <c r="BB493" s="103"/>
      <c r="BC493" s="104" t="str">
        <f aca="false">IF(ISBLANK($C493),"",TRIM(AK493&amp;" "&amp;AO493))</f>
        <v/>
      </c>
      <c r="BD493" s="105" t="str">
        <f aca="false">IF(ISBLANK($C493),"",IF($AG493&lt;&gt;Constants!$B$7,$AG493,AR493))</f>
        <v/>
      </c>
      <c r="BE493" s="105" t="str">
        <f aca="false">IF(ISBLANK($C493),"",IF($AG493&lt;&gt;Constants!$B$7,$AG493,AM493))</f>
        <v/>
      </c>
      <c r="BF493" s="105" t="str">
        <f aca="false">IF(ISBLANK($C493),"",IF($AG493&lt;&gt;Constants!$B$7,$AG493,AQ493))</f>
        <v/>
      </c>
      <c r="BG493" s="106" t="str">
        <f aca="false">IF(ISBLANK($C493),"",IF($AG493&lt;&gt;Constants!$B$7, $AG493 ,AS493))</f>
        <v/>
      </c>
      <c r="BH493" s="107" t="str">
        <f aca="false">IF(ISBLANK($C493),"",IF($AG493&lt;&gt;Constants!$B$7, $AG493 ,AH493))</f>
        <v/>
      </c>
      <c r="BI493" s="105" t="str">
        <f aca="false">IF(ISBLANK(C493),"",BA493)</f>
        <v/>
      </c>
      <c r="BJ493" s="105" t="str">
        <f aca="false">IF(ISBLANK(C493),"",AZ493)</f>
        <v/>
      </c>
      <c r="BK493" s="108" t="str">
        <f aca="false">IF(ISBLANK(C493),"",IFERROR(_xlfn.SWITCH(BJ493, Constants!$B$4, COUNTA($C$8:$C992)+2, Constants!$B$5, COUNTA($C$8:$C992)+1, Constants!$B$6, COUNTA($C$8:$C992)),BJ493))</f>
        <v/>
      </c>
      <c r="BL493" s="5"/>
      <c r="BM493" s="109" t="n">
        <f aca="false">IF(OR(ISNUMBER(BJ493),BJ493="DQ",BJ493="P",BJ493="NS"),
    1,
    0
)</f>
        <v>0</v>
      </c>
      <c r="BN493" s="109" t="n">
        <v>486</v>
      </c>
      <c r="BO493" s="109" t="str">
        <f aca="false">IF(ISBLANK($C493),"",IF(ISNUMBER(BK493),BK493+ROW($B493)/1000,""))</f>
        <v/>
      </c>
      <c r="BP493" s="109" t="str">
        <f aca="false">IF(ISNUMBER(BO493), RANK(BO493,BO$8:BO$507,1), "")</f>
        <v/>
      </c>
      <c r="BQ493" s="109" t="str">
        <f aca="false">IF(ISBLANK($C493),
    "",
    $B493
)</f>
        <v/>
      </c>
      <c r="BR493" s="109" t="str">
        <f aca="false">IF(ISBLANK($C493),
    "",
    $C493
)</f>
        <v/>
      </c>
      <c r="BS493" s="109" t="str">
        <f aca="false">IF(ISBLANK($C493),
    "",
    $D493
)</f>
        <v/>
      </c>
      <c r="BT493" s="110" t="str">
        <f aca="false">BH493</f>
        <v/>
      </c>
      <c r="BU493" s="111" t="str">
        <f aca="false">BG493</f>
        <v/>
      </c>
      <c r="BV493" s="109" t="str">
        <f aca="false">IF(ISBLANK($C493),
    "",
    BJ493
)</f>
        <v/>
      </c>
      <c r="BW493" s="112" t="str">
        <f aca="false">IF(BN493&gt;BM$7,
    "",
    VLOOKUP(BN493,BP$8:BV992,7,FALSE())
)</f>
        <v/>
      </c>
      <c r="BX493" s="113" t="str">
        <f aca="false">IF(BN493&gt;BM$7,
    "",
    VLOOKUP(BN493,BP$8:BV992,2,FALSE())
)</f>
        <v/>
      </c>
      <c r="BY493" s="113" t="str">
        <f aca="false">IF(BN493&gt;BM$7,
    "",
    VLOOKUP(BN493,BP$8:BV992,3,FALSE())
)</f>
        <v/>
      </c>
      <c r="BZ493" s="113" t="str">
        <f aca="false">IF(BN493&gt;BM$7,
    "",
    VLOOKUP(BN493,BP$8:BV992,4,FALSE())
)</f>
        <v/>
      </c>
      <c r="CA493" s="113" t="str">
        <f aca="false">IF(BN493&gt;BM$7,
    "",
    VLOOKUP(BN493,BP$8:BV992,5,FALSE())
)</f>
        <v/>
      </c>
      <c r="CB493" s="114" t="str">
        <f aca="false">IF(BN493&gt;BM$7,
    "",
    VLOOKUP(BN493,BP$8:BV992,6,FALSE())
)</f>
        <v/>
      </c>
      <c r="CC493" s="53"/>
    </row>
    <row r="494" customFormat="false" ht="15.75" hidden="false" customHeight="false" outlineLevel="0" collapsed="false">
      <c r="A494" s="5"/>
      <c r="B494" s="129"/>
      <c r="C494" s="55"/>
      <c r="D494" s="56"/>
      <c r="E494" s="123"/>
      <c r="F494" s="123"/>
      <c r="G494" s="58"/>
      <c r="H494" s="59"/>
      <c r="I494" s="59"/>
      <c r="J494" s="83"/>
      <c r="K494" s="83"/>
      <c r="L494" s="83"/>
      <c r="M494" s="61"/>
      <c r="N494" s="61"/>
      <c r="O494" s="61"/>
      <c r="P494" s="62"/>
      <c r="Q494" s="63"/>
      <c r="R494" s="83"/>
      <c r="S494" s="65"/>
      <c r="T494" s="66"/>
      <c r="U494" s="66" t="str">
        <f aca="false">IF(ISBLANK($C494),"",IF(G494=Constants!$B$2, TRUE(), IF(G494=Constants!$B$3, FALSE(), TRUE())))</f>
        <v/>
      </c>
      <c r="V494" s="66" t="str">
        <f aca="false">IF(ISBLANK($C494),"",IF(H494=Constants!$B$2, TRUE(), IF(H494=Constants!$B$3, FALSE(), TRUE())))</f>
        <v/>
      </c>
      <c r="W494" s="66" t="str">
        <f aca="false">IF(ISBLANK($C494),"",IF(I494=Constants!$B$2, TRUE(), IF(I494=Constants!$B$3, FALSE(), TRUE())))</f>
        <v/>
      </c>
      <c r="X494" s="66" t="str">
        <f aca="false">IF(ISBLANK($C494),"",IF(AND(ISNUMBER(J494),J494&gt;0),INT(J494),0))</f>
        <v/>
      </c>
      <c r="Y494" s="66" t="str">
        <f aca="false">IF(ISBLANK($C494),"",IF(K494=Constants!$B$2, TRUE(), IF(K494=Constants!$B$3, FALSE(), TRUE())))</f>
        <v/>
      </c>
      <c r="Z494" s="66" t="str">
        <f aca="false">IF(ISBLANK($C494),"",IF(AND(ISNUMBER(L494),L494&gt;0),INT(L494),0))</f>
        <v/>
      </c>
      <c r="AA494" s="68" t="str">
        <f aca="false">IF(ISBLANK($C494),"",IF(ISNUMBER(M494), M494, ""))</f>
        <v/>
      </c>
      <c r="AB494" s="68" t="str">
        <f aca="false">IF(ISBLANK($C494),"",IF(ISNUMBER(N494), N494, ""))</f>
        <v/>
      </c>
      <c r="AC494" s="68" t="str">
        <f aca="false">IF(ISBLANK($C494),"",IF(ISNUMBER(O494), O494, ""))</f>
        <v/>
      </c>
      <c r="AD494" s="69" t="str">
        <f aca="false">IF(ISBLANK($C494),"",IF(ISNUMBER(P494), P494, ""))</f>
        <v/>
      </c>
      <c r="AE494" s="69" t="str">
        <f aca="false">IF(ISBLANK($C494),"",IF(ISNUMBER(Q494), Q494, Constants!$B$13))</f>
        <v/>
      </c>
      <c r="AF494" s="66" t="str">
        <f aca="false">IF(ISBLANK($C494),"",IF(R494=Constants!$B$2, TRUE(), IF(R494=Constants!$B$3, FALSE(), FALSE())))</f>
        <v/>
      </c>
      <c r="AG494" s="66" t="str">
        <f aca="false">IF(ISBLANK(C494), "", IF(AF494, Constants!$B$4,IF(COUNTA(G494:P494)=0, Constants!$B$5, Constants!$B$7)))</f>
        <v/>
      </c>
      <c r="AH494" s="66" t="str">
        <f aca="false">IF(ISBLANK($C494), "",IF($AG494=Constants!$B$7,1,$AG494))</f>
        <v/>
      </c>
      <c r="AI494" s="66" t="str">
        <f aca="false">IF($AG494=Constants!$B$7,POWER(Constants!$B$11,X494)*POWER(Constants!$B$12,Z494),"")</f>
        <v/>
      </c>
      <c r="AJ494" s="66" t="str">
        <f aca="false">IF(AND($AG494=Constants!$B$7, U494, V494) ,IF(OR($AA494="",$AC494=""),"",MAX(0, $AC494-$AA494)),"")</f>
        <v/>
      </c>
      <c r="AK494" s="66" t="str">
        <f aca="false">IF(AND($AG494=Constants!$B$7, U494, V494),IF(OR($AA494="",$AC494=""),$AK$6,""),"")</f>
        <v/>
      </c>
      <c r="AL494" s="66" t="str">
        <f aca="false">IF($AG494=Constants!$B$7,IF(AND(U494,V494,W494,Y494),IF($AJ494="",0,IF($AJ$6=0,Constants!$B$9,Constants!$B$9*AJ494/$AJ$6)), 0),"")</f>
        <v/>
      </c>
      <c r="AM494" s="66" t="str">
        <f aca="false">IF(AL494&lt;&gt;"", AL494*AI494,"")</f>
        <v/>
      </c>
      <c r="AN494" s="66" t="str">
        <f aca="false">IF(AND($AG494=Constants!$B$7, U494, V494) ,IF($AB494="", "", IF(OR($AC494="",$AC494=0),"",MAX(0,1-ABS($AC494-$AB494)/$AC494))),"")</f>
        <v/>
      </c>
      <c r="AO494" s="66" t="str">
        <f aca="false">IF(AND($AG494=Constants!$B$7, U494, V494),IF(AND($AA494&lt;&gt;"",$AB494&lt;&gt;"",$AC494=0),$AO$6,""),"")</f>
        <v/>
      </c>
      <c r="AP494" s="66" t="str">
        <f aca="false">IF($AG494=Constants!$B$7 ,IF(AND(U494,V494,W494,Y494,ISNUMBER(AB494)),IF($AN494="",0,IF($AN$6=0,Constants!$B$10,Constants!$B$10*AN494/$AN$6)), 0),"")</f>
        <v/>
      </c>
      <c r="AQ494" s="66" t="str">
        <f aca="false">IF(AP494&lt;&gt;"", AP494*AI494,"")</f>
        <v/>
      </c>
      <c r="AR494" s="66" t="str">
        <f aca="false">IF($AG494=Constants!$B$7,IF($AD494="",0,IF($AR$6=0,Constants!$B$8,Constants!$B$8*AD494/$AR$6)),"")</f>
        <v/>
      </c>
      <c r="AS494" s="66" t="str">
        <f aca="false">IF($AG494&lt;&gt;Constants!$B$7,$AG494,IF(AK494&amp;AO494&lt;&gt;"",Constants!$B$14,AM494+AQ494+AR494))</f>
        <v/>
      </c>
      <c r="AT494" s="66" t="str">
        <f aca="false">IF(ISBLANK($C494),"",IF($AG494=Constants!$B$7,IF(ISNUMBER(AS494),RANK(AS494,$AS$8:$AS$507),Constants!$B$14),$AG494))</f>
        <v/>
      </c>
      <c r="AU494" s="66" t="str">
        <f aca="false">IF(ISBLANK($C494), "",AM494)</f>
        <v/>
      </c>
      <c r="AV494" s="66" t="str">
        <f aca="false">IF(ISBLANK($C494),"",IF($AG494=Constants!$B$7,RANK(AU494,AU$8:AU$507),$AG494))</f>
        <v/>
      </c>
      <c r="AW494" s="66" t="str">
        <f aca="false">IF(ISBLANK($C494), "",AR494)</f>
        <v/>
      </c>
      <c r="AX494" s="66" t="str">
        <f aca="false">IF(ISBLANK($C494),"",IF($AG494=Constants!$B$7,RANK(AW494,AW$8:AW$507),$AG494))</f>
        <v/>
      </c>
      <c r="AY494" s="66" t="str">
        <f aca="false">IF(ISBLANK($C494), "",AE494)</f>
        <v/>
      </c>
      <c r="AZ494" s="66" t="str">
        <f aca="false">IF(ISBLANK($C494),"",
IF($AG494=Constants!$B$7,
  IF(ISNUMBER(AT494),
    COUNTIFS($AT$8:$AT$507,"&lt;"&amp;$AT494)
    + COUNTIFS($AT$8:$AT$507,$AT494,$AV$8:$AV$507,"&lt;"&amp;$AV494)
    + COUNTIFS($AT$8:$AT$507,$AT494,$AV$8:$AV$507,$AV494,$AX$8:$AX$507,"&lt;"&amp;$AX494)
    + COUNTIFS($AT$8:$AT$507,$AT494,$AV$8:$AV$507,$AV494,$AX$8:$AX$507,$AX494,$AY$8:$AY$507,"&lt;"&amp;$AY494)
    + 1,
  Constants!$B$14),
$AG494))</f>
        <v/>
      </c>
      <c r="BA494" s="66" t="str">
        <f aca="false">IF(ISBLANK(C494),"",IF($AG494=Constants!$B$7, IF(ISNUMBER(AT494),AT494-AZ494,Constants!$B$14),$AG494))</f>
        <v/>
      </c>
      <c r="BB494" s="70"/>
      <c r="BC494" s="84" t="str">
        <f aca="false">IF(ISBLANK($C494),"",TRIM(AK494&amp;" "&amp;AO494))</f>
        <v/>
      </c>
      <c r="BD494" s="72" t="str">
        <f aca="false">IF(ISBLANK($C494),"",IF($AG494&lt;&gt;Constants!$B$7,$AG494,AR494))</f>
        <v/>
      </c>
      <c r="BE494" s="72" t="str">
        <f aca="false">IF(ISBLANK($C494),"",IF($AG494&lt;&gt;Constants!$B$7,$AG494,AM494))</f>
        <v/>
      </c>
      <c r="BF494" s="72" t="str">
        <f aca="false">IF(ISBLANK($C494),"",IF($AG494&lt;&gt;Constants!$B$7,$AG494,AQ494))</f>
        <v/>
      </c>
      <c r="BG494" s="73" t="str">
        <f aca="false">IF(ISBLANK($C494),"",IF($AG494&lt;&gt;Constants!$B$7, $AG494 ,AS494))</f>
        <v/>
      </c>
      <c r="BH494" s="74" t="str">
        <f aca="false">IF(ISBLANK($C494),"",IF($AG494&lt;&gt;Constants!$B$7, $AG494 ,AH494))</f>
        <v/>
      </c>
      <c r="BI494" s="72" t="str">
        <f aca="false">IF(ISBLANK(C494),"",BA494)</f>
        <v/>
      </c>
      <c r="BJ494" s="72" t="str">
        <f aca="false">IF(ISBLANK(C494),"",AZ494)</f>
        <v/>
      </c>
      <c r="BK494" s="75" t="str">
        <f aca="false">IF(ISBLANK(C494),"",IFERROR(_xlfn.SWITCH(BJ494, Constants!$B$4, COUNTA($C$8:$C993)+2, Constants!$B$5, COUNTA($C$8:$C993)+1, Constants!$B$6, COUNTA($C$8:$C993)),BJ494))</f>
        <v/>
      </c>
      <c r="BL494" s="5"/>
      <c r="BM494" s="76" t="n">
        <f aca="false">IF(OR(ISNUMBER(BJ494),BJ494="DQ",BJ494="P",BJ494="NS"),
    1,
    0
)</f>
        <v>0</v>
      </c>
      <c r="BN494" s="76" t="n">
        <v>487</v>
      </c>
      <c r="BO494" s="76" t="str">
        <f aca="false">IF(ISBLANK($C494),"",IF(ISNUMBER(BK494),BK494+ROW($B494)/1000,""))</f>
        <v/>
      </c>
      <c r="BP494" s="76" t="str">
        <f aca="false">IF(ISNUMBER(BO494), RANK(BO494,BO$8:BO$507,1), "")</f>
        <v/>
      </c>
      <c r="BQ494" s="76" t="str">
        <f aca="false">IF(ISBLANK($C494),
    "",
    $B494
)</f>
        <v/>
      </c>
      <c r="BR494" s="76" t="str">
        <f aca="false">IF(ISBLANK($C494),
    "",
    $C494
)</f>
        <v/>
      </c>
      <c r="BS494" s="76" t="str">
        <f aca="false">IF(ISBLANK($C494),
    "",
    $D494
)</f>
        <v/>
      </c>
      <c r="BT494" s="77" t="str">
        <f aca="false">BH494</f>
        <v/>
      </c>
      <c r="BU494" s="78" t="str">
        <f aca="false">BG494</f>
        <v/>
      </c>
      <c r="BV494" s="76" t="str">
        <f aca="false">IF(ISBLANK($C494),
    "",
    BJ494
)</f>
        <v/>
      </c>
      <c r="BW494" s="79" t="str">
        <f aca="false">IF(BN494&gt;BM$7,
    "",
    VLOOKUP(BN494,BP$8:BV993,7,FALSE())
)</f>
        <v/>
      </c>
      <c r="BX494" s="80" t="str">
        <f aca="false">IF(BN494&gt;BM$7,
    "",
    VLOOKUP(BN494,BP$8:BV993,2,FALSE())
)</f>
        <v/>
      </c>
      <c r="BY494" s="80" t="str">
        <f aca="false">IF(BN494&gt;BM$7,
    "",
    VLOOKUP(BN494,BP$8:BV993,3,FALSE())
)</f>
        <v/>
      </c>
      <c r="BZ494" s="80" t="str">
        <f aca="false">IF(BN494&gt;BM$7,
    "",
    VLOOKUP(BN494,BP$8:BV993,4,FALSE())
)</f>
        <v/>
      </c>
      <c r="CA494" s="80" t="str">
        <f aca="false">IF(BN494&gt;BM$7,
    "",
    VLOOKUP(BN494,BP$8:BV993,5,FALSE())
)</f>
        <v/>
      </c>
      <c r="CB494" s="81" t="str">
        <f aca="false">IF(BN494&gt;BM$7,
    "",
    VLOOKUP(BN494,BP$8:BV993,6,FALSE())
)</f>
        <v/>
      </c>
      <c r="CC494" s="53"/>
    </row>
    <row r="495" customFormat="false" ht="15.75" hidden="false" customHeight="false" outlineLevel="0" collapsed="false">
      <c r="A495" s="5"/>
      <c r="B495" s="129"/>
      <c r="C495" s="55"/>
      <c r="D495" s="56"/>
      <c r="E495" s="123"/>
      <c r="F495" s="123"/>
      <c r="G495" s="58"/>
      <c r="H495" s="59"/>
      <c r="I495" s="59"/>
      <c r="J495" s="83"/>
      <c r="K495" s="83"/>
      <c r="L495" s="83"/>
      <c r="M495" s="61"/>
      <c r="N495" s="61"/>
      <c r="O495" s="61"/>
      <c r="P495" s="62"/>
      <c r="Q495" s="63"/>
      <c r="R495" s="83"/>
      <c r="S495" s="65"/>
      <c r="T495" s="66"/>
      <c r="U495" s="66" t="str">
        <f aca="false">IF(ISBLANK($C495),"",IF(G495=Constants!$B$2, TRUE(), IF(G495=Constants!$B$3, FALSE(), TRUE())))</f>
        <v/>
      </c>
      <c r="V495" s="66" t="str">
        <f aca="false">IF(ISBLANK($C495),"",IF(H495=Constants!$B$2, TRUE(), IF(H495=Constants!$B$3, FALSE(), TRUE())))</f>
        <v/>
      </c>
      <c r="W495" s="66" t="str">
        <f aca="false">IF(ISBLANK($C495),"",IF(I495=Constants!$B$2, TRUE(), IF(I495=Constants!$B$3, FALSE(), TRUE())))</f>
        <v/>
      </c>
      <c r="X495" s="66" t="str">
        <f aca="false">IF(ISBLANK($C495),"",IF(AND(ISNUMBER(J495),J495&gt;0),INT(J495),0))</f>
        <v/>
      </c>
      <c r="Y495" s="66" t="str">
        <f aca="false">IF(ISBLANK($C495),"",IF(K495=Constants!$B$2, TRUE(), IF(K495=Constants!$B$3, FALSE(), TRUE())))</f>
        <v/>
      </c>
      <c r="Z495" s="66" t="str">
        <f aca="false">IF(ISBLANK($C495),"",IF(AND(ISNUMBER(L495),L495&gt;0),INT(L495),0))</f>
        <v/>
      </c>
      <c r="AA495" s="68" t="str">
        <f aca="false">IF(ISBLANK($C495),"",IF(ISNUMBER(M495), M495, ""))</f>
        <v/>
      </c>
      <c r="AB495" s="68" t="str">
        <f aca="false">IF(ISBLANK($C495),"",IF(ISNUMBER(N495), N495, ""))</f>
        <v/>
      </c>
      <c r="AC495" s="68" t="str">
        <f aca="false">IF(ISBLANK($C495),"",IF(ISNUMBER(O495), O495, ""))</f>
        <v/>
      </c>
      <c r="AD495" s="69" t="str">
        <f aca="false">IF(ISBLANK($C495),"",IF(ISNUMBER(P495), P495, ""))</f>
        <v/>
      </c>
      <c r="AE495" s="69" t="str">
        <f aca="false">IF(ISBLANK($C495),"",IF(ISNUMBER(Q495), Q495, Constants!$B$13))</f>
        <v/>
      </c>
      <c r="AF495" s="66" t="str">
        <f aca="false">IF(ISBLANK($C495),"",IF(R495=Constants!$B$2, TRUE(), IF(R495=Constants!$B$3, FALSE(), FALSE())))</f>
        <v/>
      </c>
      <c r="AG495" s="66" t="str">
        <f aca="false">IF(ISBLANK(C495), "", IF(AF495, Constants!$B$4,IF(COUNTA(G495:P495)=0, Constants!$B$5, Constants!$B$7)))</f>
        <v/>
      </c>
      <c r="AH495" s="66" t="str">
        <f aca="false">IF(ISBLANK($C495), "",IF($AG495=Constants!$B$7,1,$AG495))</f>
        <v/>
      </c>
      <c r="AI495" s="66" t="str">
        <f aca="false">IF($AG495=Constants!$B$7,POWER(Constants!$B$11,X495)*POWER(Constants!$B$12,Z495),"")</f>
        <v/>
      </c>
      <c r="AJ495" s="66" t="str">
        <f aca="false">IF(AND($AG495=Constants!$B$7, U495, V495) ,IF(OR($AA495="",$AC495=""),"",MAX(0, $AC495-$AA495)),"")</f>
        <v/>
      </c>
      <c r="AK495" s="66" t="str">
        <f aca="false">IF(AND($AG495=Constants!$B$7, U495, V495),IF(OR($AA495="",$AC495=""),$AK$6,""),"")</f>
        <v/>
      </c>
      <c r="AL495" s="66" t="str">
        <f aca="false">IF($AG495=Constants!$B$7,IF(AND(U495,V495,W495,Y495),IF($AJ495="",0,IF($AJ$6=0,Constants!$B$9,Constants!$B$9*AJ495/$AJ$6)), 0),"")</f>
        <v/>
      </c>
      <c r="AM495" s="66" t="str">
        <f aca="false">IF(AL495&lt;&gt;"", AL495*AI495,"")</f>
        <v/>
      </c>
      <c r="AN495" s="66" t="str">
        <f aca="false">IF(AND($AG495=Constants!$B$7, U495, V495) ,IF($AB495="", "", IF(OR($AC495="",$AC495=0),"",MAX(0,1-ABS($AC495-$AB495)/$AC495))),"")</f>
        <v/>
      </c>
      <c r="AO495" s="66" t="str">
        <f aca="false">IF(AND($AG495=Constants!$B$7, U495, V495),IF(AND($AA495&lt;&gt;"",$AB495&lt;&gt;"",$AC495=0),$AO$6,""),"")</f>
        <v/>
      </c>
      <c r="AP495" s="66" t="str">
        <f aca="false">IF($AG495=Constants!$B$7 ,IF(AND(U495,V495,W495,Y495,ISNUMBER(AB495)),IF($AN495="",0,IF($AN$6=0,Constants!$B$10,Constants!$B$10*AN495/$AN$6)), 0),"")</f>
        <v/>
      </c>
      <c r="AQ495" s="66" t="str">
        <f aca="false">IF(AP495&lt;&gt;"", AP495*AI495,"")</f>
        <v/>
      </c>
      <c r="AR495" s="66" t="str">
        <f aca="false">IF($AG495=Constants!$B$7,IF($AD495="",0,IF($AR$6=0,Constants!$B$8,Constants!$B$8*AD495/$AR$6)),"")</f>
        <v/>
      </c>
      <c r="AS495" s="66" t="str">
        <f aca="false">IF($AG495&lt;&gt;Constants!$B$7,$AG495,IF(AK495&amp;AO495&lt;&gt;"",Constants!$B$14,AM495+AQ495+AR495))</f>
        <v/>
      </c>
      <c r="AT495" s="66" t="str">
        <f aca="false">IF(ISBLANK($C495),"",IF($AG495=Constants!$B$7,IF(ISNUMBER(AS495),RANK(AS495,$AS$8:$AS$507),Constants!$B$14),$AG495))</f>
        <v/>
      </c>
      <c r="AU495" s="66" t="str">
        <f aca="false">IF(ISBLANK($C495), "",AM495)</f>
        <v/>
      </c>
      <c r="AV495" s="66" t="str">
        <f aca="false">IF(ISBLANK($C495),"",IF($AG495=Constants!$B$7,RANK(AU495,AU$8:AU$507),$AG495))</f>
        <v/>
      </c>
      <c r="AW495" s="66" t="str">
        <f aca="false">IF(ISBLANK($C495), "",AR495)</f>
        <v/>
      </c>
      <c r="AX495" s="66" t="str">
        <f aca="false">IF(ISBLANK($C495),"",IF($AG495=Constants!$B$7,RANK(AW495,AW$8:AW$507),$AG495))</f>
        <v/>
      </c>
      <c r="AY495" s="66" t="str">
        <f aca="false">IF(ISBLANK($C495), "",AE495)</f>
        <v/>
      </c>
      <c r="AZ495" s="66" t="str">
        <f aca="false">IF(ISBLANK($C495),"",
IF($AG495=Constants!$B$7,
  IF(ISNUMBER(AT495),
    COUNTIFS($AT$8:$AT$507,"&lt;"&amp;$AT495)
    + COUNTIFS($AT$8:$AT$507,$AT495,$AV$8:$AV$507,"&lt;"&amp;$AV495)
    + COUNTIFS($AT$8:$AT$507,$AT495,$AV$8:$AV$507,$AV495,$AX$8:$AX$507,"&lt;"&amp;$AX495)
    + COUNTIFS($AT$8:$AT$507,$AT495,$AV$8:$AV$507,$AV495,$AX$8:$AX$507,$AX495,$AY$8:$AY$507,"&lt;"&amp;$AY495)
    + 1,
  Constants!$B$14),
$AG495))</f>
        <v/>
      </c>
      <c r="BA495" s="66" t="str">
        <f aca="false">IF(ISBLANK(C495),"",IF($AG495=Constants!$B$7, IF(ISNUMBER(AT495),AT495-AZ495,Constants!$B$14),$AG495))</f>
        <v/>
      </c>
      <c r="BB495" s="70"/>
      <c r="BC495" s="84" t="str">
        <f aca="false">IF(ISBLANK($C495),"",TRIM(AK495&amp;" "&amp;AO495))</f>
        <v/>
      </c>
      <c r="BD495" s="72" t="str">
        <f aca="false">IF(ISBLANK($C495),"",IF($AG495&lt;&gt;Constants!$B$7,$AG495,AR495))</f>
        <v/>
      </c>
      <c r="BE495" s="72" t="str">
        <f aca="false">IF(ISBLANK($C495),"",IF($AG495&lt;&gt;Constants!$B$7,$AG495,AM495))</f>
        <v/>
      </c>
      <c r="BF495" s="72" t="str">
        <f aca="false">IF(ISBLANK($C495),"",IF($AG495&lt;&gt;Constants!$B$7,$AG495,AQ495))</f>
        <v/>
      </c>
      <c r="BG495" s="73" t="str">
        <f aca="false">IF(ISBLANK($C495),"",IF($AG495&lt;&gt;Constants!$B$7, $AG495 ,AS495))</f>
        <v/>
      </c>
      <c r="BH495" s="74" t="str">
        <f aca="false">IF(ISBLANK($C495),"",IF($AG495&lt;&gt;Constants!$B$7, $AG495 ,AH495))</f>
        <v/>
      </c>
      <c r="BI495" s="72" t="str">
        <f aca="false">IF(ISBLANK(C495),"",BA495)</f>
        <v/>
      </c>
      <c r="BJ495" s="72" t="str">
        <f aca="false">IF(ISBLANK(C495),"",AZ495)</f>
        <v/>
      </c>
      <c r="BK495" s="75" t="str">
        <f aca="false">IF(ISBLANK(C495),"",IFERROR(_xlfn.SWITCH(BJ495, Constants!$B$4, COUNTA($C$8:$C994)+2, Constants!$B$5, COUNTA($C$8:$C994)+1, Constants!$B$6, COUNTA($C$8:$C994)),BJ495))</f>
        <v/>
      </c>
      <c r="BL495" s="5"/>
      <c r="BM495" s="76" t="n">
        <f aca="false">IF(OR(ISNUMBER(BJ495),BJ495="DQ",BJ495="P",BJ495="NS"),
    1,
    0
)</f>
        <v>0</v>
      </c>
      <c r="BN495" s="76" t="n">
        <v>488</v>
      </c>
      <c r="BO495" s="76" t="str">
        <f aca="false">IF(ISBLANK($C495),"",IF(ISNUMBER(BK495),BK495+ROW($B495)/1000,""))</f>
        <v/>
      </c>
      <c r="BP495" s="76" t="str">
        <f aca="false">IF(ISNUMBER(BO495), RANK(BO495,BO$8:BO$507,1), "")</f>
        <v/>
      </c>
      <c r="BQ495" s="76" t="str">
        <f aca="false">IF(ISBLANK($C495),
    "",
    $B495
)</f>
        <v/>
      </c>
      <c r="BR495" s="76" t="str">
        <f aca="false">IF(ISBLANK($C495),
    "",
    $C495
)</f>
        <v/>
      </c>
      <c r="BS495" s="76" t="str">
        <f aca="false">IF(ISBLANK($C495),
    "",
    $D495
)</f>
        <v/>
      </c>
      <c r="BT495" s="77" t="str">
        <f aca="false">BH495</f>
        <v/>
      </c>
      <c r="BU495" s="78" t="str">
        <f aca="false">BG495</f>
        <v/>
      </c>
      <c r="BV495" s="76" t="str">
        <f aca="false">IF(ISBLANK($C495),
    "",
    BJ495
)</f>
        <v/>
      </c>
      <c r="BW495" s="79" t="str">
        <f aca="false">IF(BN495&gt;BM$7,
    "",
    VLOOKUP(BN495,BP$8:BV994,7,FALSE())
)</f>
        <v/>
      </c>
      <c r="BX495" s="80" t="str">
        <f aca="false">IF(BN495&gt;BM$7,
    "",
    VLOOKUP(BN495,BP$8:BV994,2,FALSE())
)</f>
        <v/>
      </c>
      <c r="BY495" s="80" t="str">
        <f aca="false">IF(BN495&gt;BM$7,
    "",
    VLOOKUP(BN495,BP$8:BV994,3,FALSE())
)</f>
        <v/>
      </c>
      <c r="BZ495" s="80" t="str">
        <f aca="false">IF(BN495&gt;BM$7,
    "",
    VLOOKUP(BN495,BP$8:BV994,4,FALSE())
)</f>
        <v/>
      </c>
      <c r="CA495" s="80" t="str">
        <f aca="false">IF(BN495&gt;BM$7,
    "",
    VLOOKUP(BN495,BP$8:BV994,5,FALSE())
)</f>
        <v/>
      </c>
      <c r="CB495" s="81" t="str">
        <f aca="false">IF(BN495&gt;BM$7,
    "",
    VLOOKUP(BN495,BP$8:BV994,6,FALSE())
)</f>
        <v/>
      </c>
      <c r="CC495" s="53"/>
    </row>
    <row r="496" customFormat="false" ht="15.75" hidden="false" customHeight="false" outlineLevel="0" collapsed="false">
      <c r="A496" s="5"/>
      <c r="B496" s="129"/>
      <c r="C496" s="55"/>
      <c r="D496" s="56"/>
      <c r="E496" s="123"/>
      <c r="F496" s="123"/>
      <c r="G496" s="58"/>
      <c r="H496" s="59"/>
      <c r="I496" s="59"/>
      <c r="J496" s="83"/>
      <c r="K496" s="83"/>
      <c r="L496" s="83"/>
      <c r="M496" s="61"/>
      <c r="N496" s="61"/>
      <c r="O496" s="61"/>
      <c r="P496" s="62"/>
      <c r="Q496" s="63"/>
      <c r="R496" s="83"/>
      <c r="S496" s="65"/>
      <c r="T496" s="66"/>
      <c r="U496" s="66" t="str">
        <f aca="false">IF(ISBLANK($C496),"",IF(G496=Constants!$B$2, TRUE(), IF(G496=Constants!$B$3, FALSE(), TRUE())))</f>
        <v/>
      </c>
      <c r="V496" s="66" t="str">
        <f aca="false">IF(ISBLANK($C496),"",IF(H496=Constants!$B$2, TRUE(), IF(H496=Constants!$B$3, FALSE(), TRUE())))</f>
        <v/>
      </c>
      <c r="W496" s="66" t="str">
        <f aca="false">IF(ISBLANK($C496),"",IF(I496=Constants!$B$2, TRUE(), IF(I496=Constants!$B$3, FALSE(), TRUE())))</f>
        <v/>
      </c>
      <c r="X496" s="66" t="str">
        <f aca="false">IF(ISBLANK($C496),"",IF(AND(ISNUMBER(J496),J496&gt;0),INT(J496),0))</f>
        <v/>
      </c>
      <c r="Y496" s="66" t="str">
        <f aca="false">IF(ISBLANK($C496),"",IF(K496=Constants!$B$2, TRUE(), IF(K496=Constants!$B$3, FALSE(), TRUE())))</f>
        <v/>
      </c>
      <c r="Z496" s="66" t="str">
        <f aca="false">IF(ISBLANK($C496),"",IF(AND(ISNUMBER(L496),L496&gt;0),INT(L496),0))</f>
        <v/>
      </c>
      <c r="AA496" s="68" t="str">
        <f aca="false">IF(ISBLANK($C496),"",IF(ISNUMBER(M496), M496, ""))</f>
        <v/>
      </c>
      <c r="AB496" s="68" t="str">
        <f aca="false">IF(ISBLANK($C496),"",IF(ISNUMBER(N496), N496, ""))</f>
        <v/>
      </c>
      <c r="AC496" s="68" t="str">
        <f aca="false">IF(ISBLANK($C496),"",IF(ISNUMBER(O496), O496, ""))</f>
        <v/>
      </c>
      <c r="AD496" s="69" t="str">
        <f aca="false">IF(ISBLANK($C496),"",IF(ISNUMBER(P496), P496, ""))</f>
        <v/>
      </c>
      <c r="AE496" s="69" t="str">
        <f aca="false">IF(ISBLANK($C496),"",IF(ISNUMBER(Q496), Q496, Constants!$B$13))</f>
        <v/>
      </c>
      <c r="AF496" s="66" t="str">
        <f aca="false">IF(ISBLANK($C496),"",IF(R496=Constants!$B$2, TRUE(), IF(R496=Constants!$B$3, FALSE(), FALSE())))</f>
        <v/>
      </c>
      <c r="AG496" s="66" t="str">
        <f aca="false">IF(ISBLANK(C496), "", IF(AF496, Constants!$B$4,IF(COUNTA(G496:P496)=0, Constants!$B$5, Constants!$B$7)))</f>
        <v/>
      </c>
      <c r="AH496" s="66" t="str">
        <f aca="false">IF(ISBLANK($C496), "",IF($AG496=Constants!$B$7,1,$AG496))</f>
        <v/>
      </c>
      <c r="AI496" s="66" t="str">
        <f aca="false">IF($AG496=Constants!$B$7,POWER(Constants!$B$11,X496)*POWER(Constants!$B$12,Z496),"")</f>
        <v/>
      </c>
      <c r="AJ496" s="66" t="str">
        <f aca="false">IF(AND($AG496=Constants!$B$7, U496, V496) ,IF(OR($AA496="",$AC496=""),"",MAX(0, $AC496-$AA496)),"")</f>
        <v/>
      </c>
      <c r="AK496" s="66" t="str">
        <f aca="false">IF(AND($AG496=Constants!$B$7, U496, V496),IF(OR($AA496="",$AC496=""),$AK$6,""),"")</f>
        <v/>
      </c>
      <c r="AL496" s="66" t="str">
        <f aca="false">IF($AG496=Constants!$B$7,IF(AND(U496,V496,W496,Y496),IF($AJ496="",0,IF($AJ$6=0,Constants!$B$9,Constants!$B$9*AJ496/$AJ$6)), 0),"")</f>
        <v/>
      </c>
      <c r="AM496" s="66" t="str">
        <f aca="false">IF(AL496&lt;&gt;"", AL496*AI496,"")</f>
        <v/>
      </c>
      <c r="AN496" s="66" t="str">
        <f aca="false">IF(AND($AG496=Constants!$B$7, U496, V496) ,IF($AB496="", "", IF(OR($AC496="",$AC496=0),"",MAX(0,1-ABS($AC496-$AB496)/$AC496))),"")</f>
        <v/>
      </c>
      <c r="AO496" s="66" t="str">
        <f aca="false">IF(AND($AG496=Constants!$B$7, U496, V496),IF(AND($AA496&lt;&gt;"",$AB496&lt;&gt;"",$AC496=0),$AO$6,""),"")</f>
        <v/>
      </c>
      <c r="AP496" s="66" t="str">
        <f aca="false">IF($AG496=Constants!$B$7 ,IF(AND(U496,V496,W496,Y496,ISNUMBER(AB496)),IF($AN496="",0,IF($AN$6=0,Constants!$B$10,Constants!$B$10*AN496/$AN$6)), 0),"")</f>
        <v/>
      </c>
      <c r="AQ496" s="66" t="str">
        <f aca="false">IF(AP496&lt;&gt;"", AP496*AI496,"")</f>
        <v/>
      </c>
      <c r="AR496" s="66" t="str">
        <f aca="false">IF($AG496=Constants!$B$7,IF($AD496="",0,IF($AR$6=0,Constants!$B$8,Constants!$B$8*AD496/$AR$6)),"")</f>
        <v/>
      </c>
      <c r="AS496" s="66" t="str">
        <f aca="false">IF($AG496&lt;&gt;Constants!$B$7,$AG496,IF(AK496&amp;AO496&lt;&gt;"",Constants!$B$14,AM496+AQ496+AR496))</f>
        <v/>
      </c>
      <c r="AT496" s="66" t="str">
        <f aca="false">IF(ISBLANK($C496),"",IF($AG496=Constants!$B$7,IF(ISNUMBER(AS496),RANK(AS496,$AS$8:$AS$507),Constants!$B$14),$AG496))</f>
        <v/>
      </c>
      <c r="AU496" s="66" t="str">
        <f aca="false">IF(ISBLANK($C496), "",AM496)</f>
        <v/>
      </c>
      <c r="AV496" s="66" t="str">
        <f aca="false">IF(ISBLANK($C496),"",IF($AG496=Constants!$B$7,RANK(AU496,AU$8:AU$507),$AG496))</f>
        <v/>
      </c>
      <c r="AW496" s="66" t="str">
        <f aca="false">IF(ISBLANK($C496), "",AR496)</f>
        <v/>
      </c>
      <c r="AX496" s="66" t="str">
        <f aca="false">IF(ISBLANK($C496),"",IF($AG496=Constants!$B$7,RANK(AW496,AW$8:AW$507),$AG496))</f>
        <v/>
      </c>
      <c r="AY496" s="66" t="str">
        <f aca="false">IF(ISBLANK($C496), "",AE496)</f>
        <v/>
      </c>
      <c r="AZ496" s="66" t="str">
        <f aca="false">IF(ISBLANK($C496),"",
IF($AG496=Constants!$B$7,
  IF(ISNUMBER(AT496),
    COUNTIFS($AT$8:$AT$507,"&lt;"&amp;$AT496)
    + COUNTIFS($AT$8:$AT$507,$AT496,$AV$8:$AV$507,"&lt;"&amp;$AV496)
    + COUNTIFS($AT$8:$AT$507,$AT496,$AV$8:$AV$507,$AV496,$AX$8:$AX$507,"&lt;"&amp;$AX496)
    + COUNTIFS($AT$8:$AT$507,$AT496,$AV$8:$AV$507,$AV496,$AX$8:$AX$507,$AX496,$AY$8:$AY$507,"&lt;"&amp;$AY496)
    + 1,
  Constants!$B$14),
$AG496))</f>
        <v/>
      </c>
      <c r="BA496" s="66" t="str">
        <f aca="false">IF(ISBLANK(C496),"",IF($AG496=Constants!$B$7, IF(ISNUMBER(AT496),AT496-AZ496,Constants!$B$14),$AG496))</f>
        <v/>
      </c>
      <c r="BB496" s="70"/>
      <c r="BC496" s="84" t="str">
        <f aca="false">IF(ISBLANK($C496),"",TRIM(AK496&amp;" "&amp;AO496))</f>
        <v/>
      </c>
      <c r="BD496" s="72" t="str">
        <f aca="false">IF(ISBLANK($C496),"",IF($AG496&lt;&gt;Constants!$B$7,$AG496,AR496))</f>
        <v/>
      </c>
      <c r="BE496" s="72" t="str">
        <f aca="false">IF(ISBLANK($C496),"",IF($AG496&lt;&gt;Constants!$B$7,$AG496,AM496))</f>
        <v/>
      </c>
      <c r="BF496" s="72" t="str">
        <f aca="false">IF(ISBLANK($C496),"",IF($AG496&lt;&gt;Constants!$B$7,$AG496,AQ496))</f>
        <v/>
      </c>
      <c r="BG496" s="73" t="str">
        <f aca="false">IF(ISBLANK($C496),"",IF($AG496&lt;&gt;Constants!$B$7, $AG496 ,AS496))</f>
        <v/>
      </c>
      <c r="BH496" s="74" t="str">
        <f aca="false">IF(ISBLANK($C496),"",IF($AG496&lt;&gt;Constants!$B$7, $AG496 ,AH496))</f>
        <v/>
      </c>
      <c r="BI496" s="72" t="str">
        <f aca="false">IF(ISBLANK(C496),"",BA496)</f>
        <v/>
      </c>
      <c r="BJ496" s="72" t="str">
        <f aca="false">IF(ISBLANK(C496),"",AZ496)</f>
        <v/>
      </c>
      <c r="BK496" s="75" t="str">
        <f aca="false">IF(ISBLANK(C496),"",IFERROR(_xlfn.SWITCH(BJ496, Constants!$B$4, COUNTA($C$8:$C995)+2, Constants!$B$5, COUNTA($C$8:$C995)+1, Constants!$B$6, COUNTA($C$8:$C995)),BJ496))</f>
        <v/>
      </c>
      <c r="BL496" s="5"/>
      <c r="BM496" s="76" t="n">
        <f aca="false">IF(OR(ISNUMBER(BJ496),BJ496="DQ",BJ496="P",BJ496="NS"),
    1,
    0
)</f>
        <v>0</v>
      </c>
      <c r="BN496" s="76" t="n">
        <v>489</v>
      </c>
      <c r="BO496" s="76" t="str">
        <f aca="false">IF(ISBLANK($C496),"",IF(ISNUMBER(BK496),BK496+ROW($B496)/1000,""))</f>
        <v/>
      </c>
      <c r="BP496" s="76" t="str">
        <f aca="false">IF(ISNUMBER(BO496), RANK(BO496,BO$8:BO$507,1), "")</f>
        <v/>
      </c>
      <c r="BQ496" s="76" t="str">
        <f aca="false">IF(ISBLANK($C496),
    "",
    $B496
)</f>
        <v/>
      </c>
      <c r="BR496" s="76" t="str">
        <f aca="false">IF(ISBLANK($C496),
    "",
    $C496
)</f>
        <v/>
      </c>
      <c r="BS496" s="76" t="str">
        <f aca="false">IF(ISBLANK($C496),
    "",
    $D496
)</f>
        <v/>
      </c>
      <c r="BT496" s="77" t="str">
        <f aca="false">BH496</f>
        <v/>
      </c>
      <c r="BU496" s="78" t="str">
        <f aca="false">BG496</f>
        <v/>
      </c>
      <c r="BV496" s="76" t="str">
        <f aca="false">IF(ISBLANK($C496),
    "",
    BJ496
)</f>
        <v/>
      </c>
      <c r="BW496" s="79" t="str">
        <f aca="false">IF(BN496&gt;BM$7,
    "",
    VLOOKUP(BN496,BP$8:BV995,7,FALSE())
)</f>
        <v/>
      </c>
      <c r="BX496" s="80" t="str">
        <f aca="false">IF(BN496&gt;BM$7,
    "",
    VLOOKUP(BN496,BP$8:BV995,2,FALSE())
)</f>
        <v/>
      </c>
      <c r="BY496" s="80" t="str">
        <f aca="false">IF(BN496&gt;BM$7,
    "",
    VLOOKUP(BN496,BP$8:BV995,3,FALSE())
)</f>
        <v/>
      </c>
      <c r="BZ496" s="80" t="str">
        <f aca="false">IF(BN496&gt;BM$7,
    "",
    VLOOKUP(BN496,BP$8:BV995,4,FALSE())
)</f>
        <v/>
      </c>
      <c r="CA496" s="80" t="str">
        <f aca="false">IF(BN496&gt;BM$7,
    "",
    VLOOKUP(BN496,BP$8:BV995,5,FALSE())
)</f>
        <v/>
      </c>
      <c r="CB496" s="81" t="str">
        <f aca="false">IF(BN496&gt;BM$7,
    "",
    VLOOKUP(BN496,BP$8:BV995,6,FALSE())
)</f>
        <v/>
      </c>
      <c r="CC496" s="53"/>
    </row>
    <row r="497" customFormat="false" ht="15.75" hidden="false" customHeight="false" outlineLevel="0" collapsed="false">
      <c r="A497" s="5"/>
      <c r="B497" s="125"/>
      <c r="C497" s="126"/>
      <c r="D497" s="115"/>
      <c r="E497" s="119"/>
      <c r="F497" s="119"/>
      <c r="G497" s="91"/>
      <c r="H497" s="92"/>
      <c r="I497" s="92"/>
      <c r="J497" s="128"/>
      <c r="K497" s="128"/>
      <c r="L497" s="128"/>
      <c r="M497" s="94"/>
      <c r="N497" s="94"/>
      <c r="O497" s="94"/>
      <c r="P497" s="95"/>
      <c r="Q497" s="96"/>
      <c r="R497" s="128"/>
      <c r="S497" s="98"/>
      <c r="T497" s="99"/>
      <c r="U497" s="99" t="str">
        <f aca="false">IF(ISBLANK($C497),"",IF(G497=Constants!$B$2, TRUE(), IF(G497=Constants!$B$3, FALSE(), TRUE())))</f>
        <v/>
      </c>
      <c r="V497" s="99" t="str">
        <f aca="false">IF(ISBLANK($C497),"",IF(H497=Constants!$B$2, TRUE(), IF(H497=Constants!$B$3, FALSE(), TRUE())))</f>
        <v/>
      </c>
      <c r="W497" s="99" t="str">
        <f aca="false">IF(ISBLANK($C497),"",IF(I497=Constants!$B$2, TRUE(), IF(I497=Constants!$B$3, FALSE(), TRUE())))</f>
        <v/>
      </c>
      <c r="X497" s="99" t="str">
        <f aca="false">IF(ISBLANK($C497),"",IF(AND(ISNUMBER(J497),J497&gt;0),INT(J497),0))</f>
        <v/>
      </c>
      <c r="Y497" s="99" t="str">
        <f aca="false">IF(ISBLANK($C497),"",IF(K497=Constants!$B$2, TRUE(), IF(K497=Constants!$B$3, FALSE(), TRUE())))</f>
        <v/>
      </c>
      <c r="Z497" s="100" t="str">
        <f aca="false">IF(ISBLANK($C497),"",IF(AND(ISNUMBER(L497),L497&gt;0),INT(L497),0))</f>
        <v/>
      </c>
      <c r="AA497" s="101" t="str">
        <f aca="false">IF(ISBLANK($C497),"",IF(ISNUMBER(M497), M497, ""))</f>
        <v/>
      </c>
      <c r="AB497" s="101" t="str">
        <f aca="false">IF(ISBLANK($C497),"",IF(ISNUMBER(N497), N497, ""))</f>
        <v/>
      </c>
      <c r="AC497" s="101" t="str">
        <f aca="false">IF(ISBLANK($C497),"",IF(ISNUMBER(O497), O497, ""))</f>
        <v/>
      </c>
      <c r="AD497" s="102" t="str">
        <f aca="false">IF(ISBLANK($C497),"",IF(ISNUMBER(P497), P497, ""))</f>
        <v/>
      </c>
      <c r="AE497" s="102" t="str">
        <f aca="false">IF(ISBLANK($C497),"",IF(ISNUMBER(Q497), Q497, Constants!$B$13))</f>
        <v/>
      </c>
      <c r="AF497" s="99" t="str">
        <f aca="false">IF(ISBLANK($C497),"",IF(R497=Constants!$B$2, TRUE(), IF(R497=Constants!$B$3, FALSE(), FALSE())))</f>
        <v/>
      </c>
      <c r="AG497" s="99" t="str">
        <f aca="false">IF(ISBLANK(C497), "", IF(AF497, Constants!$B$4,IF(COUNTA(G497:P497)=0, Constants!$B$5, Constants!$B$7)))</f>
        <v/>
      </c>
      <c r="AH497" s="99" t="str">
        <f aca="false">IF(ISBLANK($C497), "",IF($AG497=Constants!$B$7,1,$AG497))</f>
        <v/>
      </c>
      <c r="AI497" s="99" t="str">
        <f aca="false">IF($AG497=Constants!$B$7,POWER(Constants!$B$11,X497)*POWER(Constants!$B$12,Z497),"")</f>
        <v/>
      </c>
      <c r="AJ497" s="99" t="str">
        <f aca="false">IF(AND($AG497=Constants!$B$7, U497, V497) ,IF(OR($AA497="",$AC497=""),"",MAX(0, $AC497-$AA497)),"")</f>
        <v/>
      </c>
      <c r="AK497" s="99" t="str">
        <f aca="false">IF(AND($AG497=Constants!$B$7, U497, V497),IF(OR($AA497="",$AC497=""),$AK$6,""),"")</f>
        <v/>
      </c>
      <c r="AL497" s="99" t="str">
        <f aca="false">IF($AG497=Constants!$B$7,IF(AND(U497,V497,W497,Y497),IF($AJ497="",0,IF($AJ$6=0,Constants!$B$9,Constants!$B$9*AJ497/$AJ$6)), 0),"")</f>
        <v/>
      </c>
      <c r="AM497" s="99" t="str">
        <f aca="false">IF(AL497&lt;&gt;"", AL497*AI497,"")</f>
        <v/>
      </c>
      <c r="AN497" s="99" t="str">
        <f aca="false">IF(AND($AG497=Constants!$B$7, U497, V497) ,IF($AB497="", "", IF(OR($AC497="",$AC497=0),"",MAX(0,1-ABS($AC497-$AB497)/$AC497))),"")</f>
        <v/>
      </c>
      <c r="AO497" s="99" t="str">
        <f aca="false">IF(AND($AG497=Constants!$B$7, U497, V497),IF(AND($AA497&lt;&gt;"",$AB497&lt;&gt;"",$AC497=0),$AO$6,""),"")</f>
        <v/>
      </c>
      <c r="AP497" s="99" t="str">
        <f aca="false">IF($AG497=Constants!$B$7 ,IF(AND(U497,V497,W497,Y497,ISNUMBER(AB497)),IF($AN497="",0,IF($AN$6=0,Constants!$B$10,Constants!$B$10*AN497/$AN$6)), 0),"")</f>
        <v/>
      </c>
      <c r="AQ497" s="99" t="str">
        <f aca="false">IF(AP497&lt;&gt;"", AP497*AI497,"")</f>
        <v/>
      </c>
      <c r="AR497" s="99" t="str">
        <f aca="false">IF($AG497=Constants!$B$7,IF($AD497="",0,IF($AR$6=0,Constants!$B$8,Constants!$B$8*AD497/$AR$6)),"")</f>
        <v/>
      </c>
      <c r="AS497" s="99" t="str">
        <f aca="false">IF($AG497&lt;&gt;Constants!$B$7,$AG497,IF(AK497&amp;AO497&lt;&gt;"",Constants!$B$14,AM497+AQ497+AR497))</f>
        <v/>
      </c>
      <c r="AT497" s="99" t="str">
        <f aca="false">IF(ISBLANK($C497),"",IF($AG497=Constants!$B$7,IF(ISNUMBER(AS497),RANK(AS497,$AS$8:$AS$507),Constants!$B$14),$AG497))</f>
        <v/>
      </c>
      <c r="AU497" s="99" t="str">
        <f aca="false">IF(ISBLANK($C497), "",AM497)</f>
        <v/>
      </c>
      <c r="AV497" s="99" t="str">
        <f aca="false">IF(ISBLANK($C497),"",IF($AG497=Constants!$B$7,RANK(AU497,AU$8:AU$507),$AG497))</f>
        <v/>
      </c>
      <c r="AW497" s="99" t="str">
        <f aca="false">IF(ISBLANK($C497), "",AR497)</f>
        <v/>
      </c>
      <c r="AX497" s="99" t="str">
        <f aca="false">IF(ISBLANK($C497),"",IF($AG497=Constants!$B$7,RANK(AW497,AW$8:AW$507),$AG497))</f>
        <v/>
      </c>
      <c r="AY497" s="99" t="str">
        <f aca="false">IF(ISBLANK($C497), "",AE497)</f>
        <v/>
      </c>
      <c r="AZ497" s="99" t="str">
        <f aca="false">IF(ISBLANK($C497),"",
IF($AG497=Constants!$B$7,
  IF(ISNUMBER(AT497),
    COUNTIFS($AT$8:$AT$507,"&lt;"&amp;$AT497)
    + COUNTIFS($AT$8:$AT$507,$AT497,$AV$8:$AV$507,"&lt;"&amp;$AV497)
    + COUNTIFS($AT$8:$AT$507,$AT497,$AV$8:$AV$507,$AV497,$AX$8:$AX$507,"&lt;"&amp;$AX497)
    + COUNTIFS($AT$8:$AT$507,$AT497,$AV$8:$AV$507,$AV497,$AX$8:$AX$507,$AX497,$AY$8:$AY$507,"&lt;"&amp;$AY497)
    + 1,
  Constants!$B$14),
$AG497))</f>
        <v/>
      </c>
      <c r="BA497" s="99" t="str">
        <f aca="false">IF(ISBLANK(C497),"",IF($AG497=Constants!$B$7, IF(ISNUMBER(AT497),AT497-AZ497,Constants!$B$14),$AG497))</f>
        <v/>
      </c>
      <c r="BB497" s="103"/>
      <c r="BC497" s="104" t="str">
        <f aca="false">IF(ISBLANK($C497),"",TRIM(AK497&amp;" "&amp;AO497))</f>
        <v/>
      </c>
      <c r="BD497" s="105" t="str">
        <f aca="false">IF(ISBLANK($C497),"",IF($AG497&lt;&gt;Constants!$B$7,$AG497,AR497))</f>
        <v/>
      </c>
      <c r="BE497" s="105" t="str">
        <f aca="false">IF(ISBLANK($C497),"",IF($AG497&lt;&gt;Constants!$B$7,$AG497,AM497))</f>
        <v/>
      </c>
      <c r="BF497" s="105" t="str">
        <f aca="false">IF(ISBLANK($C497),"",IF($AG497&lt;&gt;Constants!$B$7,$AG497,AQ497))</f>
        <v/>
      </c>
      <c r="BG497" s="106" t="str">
        <f aca="false">IF(ISBLANK($C497),"",IF($AG497&lt;&gt;Constants!$B$7, $AG497 ,AS497))</f>
        <v/>
      </c>
      <c r="BH497" s="107" t="str">
        <f aca="false">IF(ISBLANK($C497),"",IF($AG497&lt;&gt;Constants!$B$7, $AG497 ,AH497))</f>
        <v/>
      </c>
      <c r="BI497" s="105" t="str">
        <f aca="false">IF(ISBLANK(C497),"",BA497)</f>
        <v/>
      </c>
      <c r="BJ497" s="105" t="str">
        <f aca="false">IF(ISBLANK(C497),"",AZ497)</f>
        <v/>
      </c>
      <c r="BK497" s="108" t="str">
        <f aca="false">IF(ISBLANK(C497),"",IFERROR(_xlfn.SWITCH(BJ497, Constants!$B$4, COUNTA($C$8:$C996)+2, Constants!$B$5, COUNTA($C$8:$C996)+1, Constants!$B$6, COUNTA($C$8:$C996)),BJ497))</f>
        <v/>
      </c>
      <c r="BL497" s="5"/>
      <c r="BM497" s="109" t="n">
        <f aca="false">IF(OR(ISNUMBER(BJ497),BJ497="DQ",BJ497="P",BJ497="NS"),
    1,
    0
)</f>
        <v>0</v>
      </c>
      <c r="BN497" s="109" t="n">
        <v>490</v>
      </c>
      <c r="BO497" s="109" t="str">
        <f aca="false">IF(ISBLANK($C497),"",IF(ISNUMBER(BK497),BK497+ROW($B497)/1000,""))</f>
        <v/>
      </c>
      <c r="BP497" s="109" t="str">
        <f aca="false">IF(ISNUMBER(BO497), RANK(BO497,BO$8:BO$507,1), "")</f>
        <v/>
      </c>
      <c r="BQ497" s="109" t="str">
        <f aca="false">IF(ISBLANK($C497),
    "",
    $B497
)</f>
        <v/>
      </c>
      <c r="BR497" s="109" t="str">
        <f aca="false">IF(ISBLANK($C497),
    "",
    $C497
)</f>
        <v/>
      </c>
      <c r="BS497" s="109" t="str">
        <f aca="false">IF(ISBLANK($C497),
    "",
    $D497
)</f>
        <v/>
      </c>
      <c r="BT497" s="110" t="str">
        <f aca="false">BH497</f>
        <v/>
      </c>
      <c r="BU497" s="111" t="str">
        <f aca="false">BG497</f>
        <v/>
      </c>
      <c r="BV497" s="109" t="str">
        <f aca="false">IF(ISBLANK($C497),
    "",
    BJ497
)</f>
        <v/>
      </c>
      <c r="BW497" s="112" t="str">
        <f aca="false">IF(BN497&gt;BM$7,
    "",
    VLOOKUP(BN497,BP$8:BV996,7,FALSE())
)</f>
        <v/>
      </c>
      <c r="BX497" s="113" t="str">
        <f aca="false">IF(BN497&gt;BM$7,
    "",
    VLOOKUP(BN497,BP$8:BV996,2,FALSE())
)</f>
        <v/>
      </c>
      <c r="BY497" s="113" t="str">
        <f aca="false">IF(BN497&gt;BM$7,
    "",
    VLOOKUP(BN497,BP$8:BV996,3,FALSE())
)</f>
        <v/>
      </c>
      <c r="BZ497" s="113" t="str">
        <f aca="false">IF(BN497&gt;BM$7,
    "",
    VLOOKUP(BN497,BP$8:BV996,4,FALSE())
)</f>
        <v/>
      </c>
      <c r="CA497" s="113" t="str">
        <f aca="false">IF(BN497&gt;BM$7,
    "",
    VLOOKUP(BN497,BP$8:BV996,5,FALSE())
)</f>
        <v/>
      </c>
      <c r="CB497" s="114" t="str">
        <f aca="false">IF(BN497&gt;BM$7,
    "",
    VLOOKUP(BN497,BP$8:BV996,6,FALSE())
)</f>
        <v/>
      </c>
      <c r="CC497" s="53"/>
    </row>
    <row r="498" customFormat="false" ht="15.75" hidden="false" customHeight="false" outlineLevel="0" collapsed="false">
      <c r="A498" s="5"/>
      <c r="B498" s="125"/>
      <c r="C498" s="126"/>
      <c r="D498" s="115"/>
      <c r="E498" s="119"/>
      <c r="F498" s="119"/>
      <c r="G498" s="91"/>
      <c r="H498" s="92"/>
      <c r="I498" s="92"/>
      <c r="J498" s="128"/>
      <c r="K498" s="128"/>
      <c r="L498" s="128"/>
      <c r="M498" s="94"/>
      <c r="N498" s="94"/>
      <c r="O498" s="94"/>
      <c r="P498" s="95"/>
      <c r="Q498" s="96"/>
      <c r="R498" s="128"/>
      <c r="S498" s="98"/>
      <c r="T498" s="99"/>
      <c r="U498" s="99" t="str">
        <f aca="false">IF(ISBLANK($C498),"",IF(G498=Constants!$B$2, TRUE(), IF(G498=Constants!$B$3, FALSE(), TRUE())))</f>
        <v/>
      </c>
      <c r="V498" s="99" t="str">
        <f aca="false">IF(ISBLANK($C498),"",IF(H498=Constants!$B$2, TRUE(), IF(H498=Constants!$B$3, FALSE(), TRUE())))</f>
        <v/>
      </c>
      <c r="W498" s="99" t="str">
        <f aca="false">IF(ISBLANK($C498),"",IF(I498=Constants!$B$2, TRUE(), IF(I498=Constants!$B$3, FALSE(), TRUE())))</f>
        <v/>
      </c>
      <c r="X498" s="99" t="str">
        <f aca="false">IF(ISBLANK($C498),"",IF(AND(ISNUMBER(J498),J498&gt;0),INT(J498),0))</f>
        <v/>
      </c>
      <c r="Y498" s="99" t="str">
        <f aca="false">IF(ISBLANK($C498),"",IF(K498=Constants!$B$2, TRUE(), IF(K498=Constants!$B$3, FALSE(), TRUE())))</f>
        <v/>
      </c>
      <c r="Z498" s="100" t="str">
        <f aca="false">IF(ISBLANK($C498),"",IF(AND(ISNUMBER(L498),L498&gt;0),INT(L498),0))</f>
        <v/>
      </c>
      <c r="AA498" s="101" t="str">
        <f aca="false">IF(ISBLANK($C498),"",IF(ISNUMBER(M498), M498, ""))</f>
        <v/>
      </c>
      <c r="AB498" s="101" t="str">
        <f aca="false">IF(ISBLANK($C498),"",IF(ISNUMBER(N498), N498, ""))</f>
        <v/>
      </c>
      <c r="AC498" s="101" t="str">
        <f aca="false">IF(ISBLANK($C498),"",IF(ISNUMBER(O498), O498, ""))</f>
        <v/>
      </c>
      <c r="AD498" s="102" t="str">
        <f aca="false">IF(ISBLANK($C498),"",IF(ISNUMBER(P498), P498, ""))</f>
        <v/>
      </c>
      <c r="AE498" s="102" t="str">
        <f aca="false">IF(ISBLANK($C498),"",IF(ISNUMBER(Q498), Q498, Constants!$B$13))</f>
        <v/>
      </c>
      <c r="AF498" s="99" t="str">
        <f aca="false">IF(ISBLANK($C498),"",IF(R498=Constants!$B$2, TRUE(), IF(R498=Constants!$B$3, FALSE(), FALSE())))</f>
        <v/>
      </c>
      <c r="AG498" s="99" t="str">
        <f aca="false">IF(ISBLANK(C498), "", IF(AF498, Constants!$B$4,IF(COUNTA(G498:P498)=0, Constants!$B$5, Constants!$B$7)))</f>
        <v/>
      </c>
      <c r="AH498" s="99" t="str">
        <f aca="false">IF(ISBLANK($C498), "",IF($AG498=Constants!$B$7,1,$AG498))</f>
        <v/>
      </c>
      <c r="AI498" s="99" t="str">
        <f aca="false">IF($AG498=Constants!$B$7,POWER(Constants!$B$11,X498)*POWER(Constants!$B$12,Z498),"")</f>
        <v/>
      </c>
      <c r="AJ498" s="99" t="str">
        <f aca="false">IF(AND($AG498=Constants!$B$7, U498, V498) ,IF(OR($AA498="",$AC498=""),"",MAX(0, $AC498-$AA498)),"")</f>
        <v/>
      </c>
      <c r="AK498" s="99" t="str">
        <f aca="false">IF(AND($AG498=Constants!$B$7, U498, V498),IF(OR($AA498="",$AC498=""),$AK$6,""),"")</f>
        <v/>
      </c>
      <c r="AL498" s="99" t="str">
        <f aca="false">IF($AG498=Constants!$B$7,IF(AND(U498,V498,W498,Y498),IF($AJ498="",0,IF($AJ$6=0,Constants!$B$9,Constants!$B$9*AJ498/$AJ$6)), 0),"")</f>
        <v/>
      </c>
      <c r="AM498" s="99" t="str">
        <f aca="false">IF(AL498&lt;&gt;"", AL498*AI498,"")</f>
        <v/>
      </c>
      <c r="AN498" s="99" t="str">
        <f aca="false">IF(AND($AG498=Constants!$B$7, U498, V498) ,IF($AB498="", "", IF(OR($AC498="",$AC498=0),"",MAX(0,1-ABS($AC498-$AB498)/$AC498))),"")</f>
        <v/>
      </c>
      <c r="AO498" s="99" t="str">
        <f aca="false">IF(AND($AG498=Constants!$B$7, U498, V498),IF(AND($AA498&lt;&gt;"",$AB498&lt;&gt;"",$AC498=0),$AO$6,""),"")</f>
        <v/>
      </c>
      <c r="AP498" s="99" t="str">
        <f aca="false">IF($AG498=Constants!$B$7 ,IF(AND(U498,V498,W498,Y498,ISNUMBER(AB498)),IF($AN498="",0,IF($AN$6=0,Constants!$B$10,Constants!$B$10*AN498/$AN$6)), 0),"")</f>
        <v/>
      </c>
      <c r="AQ498" s="99" t="str">
        <f aca="false">IF(AP498&lt;&gt;"", AP498*AI498,"")</f>
        <v/>
      </c>
      <c r="AR498" s="99" t="str">
        <f aca="false">IF($AG498=Constants!$B$7,IF($AD498="",0,IF($AR$6=0,Constants!$B$8,Constants!$B$8*AD498/$AR$6)),"")</f>
        <v/>
      </c>
      <c r="AS498" s="99" t="str">
        <f aca="false">IF($AG498&lt;&gt;Constants!$B$7,$AG498,IF(AK498&amp;AO498&lt;&gt;"",Constants!$B$14,AM498+AQ498+AR498))</f>
        <v/>
      </c>
      <c r="AT498" s="99" t="str">
        <f aca="false">IF(ISBLANK($C498),"",IF($AG498=Constants!$B$7,IF(ISNUMBER(AS498),RANK(AS498,$AS$8:$AS$507),Constants!$B$14),$AG498))</f>
        <v/>
      </c>
      <c r="AU498" s="99" t="str">
        <f aca="false">IF(ISBLANK($C498), "",AM498)</f>
        <v/>
      </c>
      <c r="AV498" s="99" t="str">
        <f aca="false">IF(ISBLANK($C498),"",IF($AG498=Constants!$B$7,RANK(AU498,AU$8:AU$507),$AG498))</f>
        <v/>
      </c>
      <c r="AW498" s="99" t="str">
        <f aca="false">IF(ISBLANK($C498), "",AR498)</f>
        <v/>
      </c>
      <c r="AX498" s="99" t="str">
        <f aca="false">IF(ISBLANK($C498),"",IF($AG498=Constants!$B$7,RANK(AW498,AW$8:AW$507),$AG498))</f>
        <v/>
      </c>
      <c r="AY498" s="99" t="str">
        <f aca="false">IF(ISBLANK($C498), "",AE498)</f>
        <v/>
      </c>
      <c r="AZ498" s="99" t="str">
        <f aca="false">IF(ISBLANK($C498),"",
IF($AG498=Constants!$B$7,
  IF(ISNUMBER(AT498),
    COUNTIFS($AT$8:$AT$507,"&lt;"&amp;$AT498)
    + COUNTIFS($AT$8:$AT$507,$AT498,$AV$8:$AV$507,"&lt;"&amp;$AV498)
    + COUNTIFS($AT$8:$AT$507,$AT498,$AV$8:$AV$507,$AV498,$AX$8:$AX$507,"&lt;"&amp;$AX498)
    + COUNTIFS($AT$8:$AT$507,$AT498,$AV$8:$AV$507,$AV498,$AX$8:$AX$507,$AX498,$AY$8:$AY$507,"&lt;"&amp;$AY498)
    + 1,
  Constants!$B$14),
$AG498))</f>
        <v/>
      </c>
      <c r="BA498" s="99" t="str">
        <f aca="false">IF(ISBLANK(C498),"",IF($AG498=Constants!$B$7, IF(ISNUMBER(AT498),AT498-AZ498,Constants!$B$14),$AG498))</f>
        <v/>
      </c>
      <c r="BB498" s="103"/>
      <c r="BC498" s="104" t="str">
        <f aca="false">IF(ISBLANK($C498),"",TRIM(AK498&amp;" "&amp;AO498))</f>
        <v/>
      </c>
      <c r="BD498" s="105" t="str">
        <f aca="false">IF(ISBLANK($C498),"",IF($AG498&lt;&gt;Constants!$B$7,$AG498,AR498))</f>
        <v/>
      </c>
      <c r="BE498" s="105" t="str">
        <f aca="false">IF(ISBLANK($C498),"",IF($AG498&lt;&gt;Constants!$B$7,$AG498,AM498))</f>
        <v/>
      </c>
      <c r="BF498" s="105" t="str">
        <f aca="false">IF(ISBLANK($C498),"",IF($AG498&lt;&gt;Constants!$B$7,$AG498,AQ498))</f>
        <v/>
      </c>
      <c r="BG498" s="106" t="str">
        <f aca="false">IF(ISBLANK($C498),"",IF($AG498&lt;&gt;Constants!$B$7, $AG498 ,AS498))</f>
        <v/>
      </c>
      <c r="BH498" s="107" t="str">
        <f aca="false">IF(ISBLANK($C498),"",IF($AG498&lt;&gt;Constants!$B$7, $AG498 ,AH498))</f>
        <v/>
      </c>
      <c r="BI498" s="105" t="str">
        <f aca="false">IF(ISBLANK(C498),"",BA498)</f>
        <v/>
      </c>
      <c r="BJ498" s="105" t="str">
        <f aca="false">IF(ISBLANK(C498),"",AZ498)</f>
        <v/>
      </c>
      <c r="BK498" s="108" t="str">
        <f aca="false">IF(ISBLANK(C498),"",IFERROR(_xlfn.SWITCH(BJ498, Constants!$B$4, COUNTA($C$8:$C997)+2, Constants!$B$5, COUNTA($C$8:$C997)+1, Constants!$B$6, COUNTA($C$8:$C997)),BJ498))</f>
        <v/>
      </c>
      <c r="BL498" s="5"/>
      <c r="BM498" s="109" t="n">
        <f aca="false">IF(OR(ISNUMBER(BJ498),BJ498="DQ",BJ498="P",BJ498="NS"),
    1,
    0
)</f>
        <v>0</v>
      </c>
      <c r="BN498" s="109" t="n">
        <v>491</v>
      </c>
      <c r="BO498" s="109" t="str">
        <f aca="false">IF(ISBLANK($C498),"",IF(ISNUMBER(BK498),BK498+ROW($B498)/1000,""))</f>
        <v/>
      </c>
      <c r="BP498" s="109" t="str">
        <f aca="false">IF(ISNUMBER(BO498), RANK(BO498,BO$8:BO$507,1), "")</f>
        <v/>
      </c>
      <c r="BQ498" s="109" t="str">
        <f aca="false">IF(ISBLANK($C498),
    "",
    $B498
)</f>
        <v/>
      </c>
      <c r="BR498" s="109" t="str">
        <f aca="false">IF(ISBLANK($C498),
    "",
    $C498
)</f>
        <v/>
      </c>
      <c r="BS498" s="109" t="str">
        <f aca="false">IF(ISBLANK($C498),
    "",
    $D498
)</f>
        <v/>
      </c>
      <c r="BT498" s="110" t="str">
        <f aca="false">BH498</f>
        <v/>
      </c>
      <c r="BU498" s="111" t="str">
        <f aca="false">BG498</f>
        <v/>
      </c>
      <c r="BV498" s="109" t="str">
        <f aca="false">IF(ISBLANK($C498),
    "",
    BJ498
)</f>
        <v/>
      </c>
      <c r="BW498" s="112" t="str">
        <f aca="false">IF(BN498&gt;BM$7,
    "",
    VLOOKUP(BN498,BP$8:BV997,7,FALSE())
)</f>
        <v/>
      </c>
      <c r="BX498" s="113" t="str">
        <f aca="false">IF(BN498&gt;BM$7,
    "",
    VLOOKUP(BN498,BP$8:BV997,2,FALSE())
)</f>
        <v/>
      </c>
      <c r="BY498" s="113" t="str">
        <f aca="false">IF(BN498&gt;BM$7,
    "",
    VLOOKUP(BN498,BP$8:BV997,3,FALSE())
)</f>
        <v/>
      </c>
      <c r="BZ498" s="113" t="str">
        <f aca="false">IF(BN498&gt;BM$7,
    "",
    VLOOKUP(BN498,BP$8:BV997,4,FALSE())
)</f>
        <v/>
      </c>
      <c r="CA498" s="113" t="str">
        <f aca="false">IF(BN498&gt;BM$7,
    "",
    VLOOKUP(BN498,BP$8:BV997,5,FALSE())
)</f>
        <v/>
      </c>
      <c r="CB498" s="114" t="str">
        <f aca="false">IF(BN498&gt;BM$7,
    "",
    VLOOKUP(BN498,BP$8:BV997,6,FALSE())
)</f>
        <v/>
      </c>
      <c r="CC498" s="53"/>
    </row>
    <row r="499" customFormat="false" ht="15.75" hidden="false" customHeight="false" outlineLevel="0" collapsed="false">
      <c r="A499" s="5"/>
      <c r="B499" s="125"/>
      <c r="C499" s="126"/>
      <c r="D499" s="115"/>
      <c r="E499" s="119"/>
      <c r="F499" s="119"/>
      <c r="G499" s="91"/>
      <c r="H499" s="92"/>
      <c r="I499" s="92"/>
      <c r="J499" s="128"/>
      <c r="K499" s="128"/>
      <c r="L499" s="128"/>
      <c r="M499" s="94"/>
      <c r="N499" s="94"/>
      <c r="O499" s="94"/>
      <c r="P499" s="95"/>
      <c r="Q499" s="96"/>
      <c r="R499" s="128"/>
      <c r="S499" s="98"/>
      <c r="T499" s="99"/>
      <c r="U499" s="99" t="str">
        <f aca="false">IF(ISBLANK($C499),"",IF(G499=Constants!$B$2, TRUE(), IF(G499=Constants!$B$3, FALSE(), TRUE())))</f>
        <v/>
      </c>
      <c r="V499" s="99" t="str">
        <f aca="false">IF(ISBLANK($C499),"",IF(H499=Constants!$B$2, TRUE(), IF(H499=Constants!$B$3, FALSE(), TRUE())))</f>
        <v/>
      </c>
      <c r="W499" s="99" t="str">
        <f aca="false">IF(ISBLANK($C499),"",IF(I499=Constants!$B$2, TRUE(), IF(I499=Constants!$B$3, FALSE(), TRUE())))</f>
        <v/>
      </c>
      <c r="X499" s="99" t="str">
        <f aca="false">IF(ISBLANK($C499),"",IF(AND(ISNUMBER(J499),J499&gt;0),INT(J499),0))</f>
        <v/>
      </c>
      <c r="Y499" s="99" t="str">
        <f aca="false">IF(ISBLANK($C499),"",IF(K499=Constants!$B$2, TRUE(), IF(K499=Constants!$B$3, FALSE(), TRUE())))</f>
        <v/>
      </c>
      <c r="Z499" s="100" t="str">
        <f aca="false">IF(ISBLANK($C499),"",IF(AND(ISNUMBER(L499),L499&gt;0),INT(L499),0))</f>
        <v/>
      </c>
      <c r="AA499" s="101" t="str">
        <f aca="false">IF(ISBLANK($C499),"",IF(ISNUMBER(M499), M499, ""))</f>
        <v/>
      </c>
      <c r="AB499" s="101" t="str">
        <f aca="false">IF(ISBLANK($C499),"",IF(ISNUMBER(N499), N499, ""))</f>
        <v/>
      </c>
      <c r="AC499" s="101" t="str">
        <f aca="false">IF(ISBLANK($C499),"",IF(ISNUMBER(O499), O499, ""))</f>
        <v/>
      </c>
      <c r="AD499" s="102" t="str">
        <f aca="false">IF(ISBLANK($C499),"",IF(ISNUMBER(P499), P499, ""))</f>
        <v/>
      </c>
      <c r="AE499" s="102" t="str">
        <f aca="false">IF(ISBLANK($C499),"",IF(ISNUMBER(Q499), Q499, Constants!$B$13))</f>
        <v/>
      </c>
      <c r="AF499" s="99" t="str">
        <f aca="false">IF(ISBLANK($C499),"",IF(R499=Constants!$B$2, TRUE(), IF(R499=Constants!$B$3, FALSE(), FALSE())))</f>
        <v/>
      </c>
      <c r="AG499" s="99" t="str">
        <f aca="false">IF(ISBLANK(C499), "", IF(AF499, Constants!$B$4,IF(COUNTA(G499:P499)=0, Constants!$B$5, Constants!$B$7)))</f>
        <v/>
      </c>
      <c r="AH499" s="99" t="str">
        <f aca="false">IF(ISBLANK($C499), "",IF($AG499=Constants!$B$7,1,$AG499))</f>
        <v/>
      </c>
      <c r="AI499" s="99" t="str">
        <f aca="false">IF($AG499=Constants!$B$7,POWER(Constants!$B$11,X499)*POWER(Constants!$B$12,Z499),"")</f>
        <v/>
      </c>
      <c r="AJ499" s="99" t="str">
        <f aca="false">IF(AND($AG499=Constants!$B$7, U499, V499) ,IF(OR($AA499="",$AC499=""),"",MAX(0, $AC499-$AA499)),"")</f>
        <v/>
      </c>
      <c r="AK499" s="99" t="str">
        <f aca="false">IF(AND($AG499=Constants!$B$7, U499, V499),IF(OR($AA499="",$AC499=""),$AK$6,""),"")</f>
        <v/>
      </c>
      <c r="AL499" s="99" t="str">
        <f aca="false">IF($AG499=Constants!$B$7,IF(AND(U499,V499,W499,Y499),IF($AJ499="",0,IF($AJ$6=0,Constants!$B$9,Constants!$B$9*AJ499/$AJ$6)), 0),"")</f>
        <v/>
      </c>
      <c r="AM499" s="99" t="str">
        <f aca="false">IF(AL499&lt;&gt;"", AL499*AI499,"")</f>
        <v/>
      </c>
      <c r="AN499" s="99" t="str">
        <f aca="false">IF(AND($AG499=Constants!$B$7, U499, V499) ,IF($AB499="", "", IF(OR($AC499="",$AC499=0),"",MAX(0,1-ABS($AC499-$AB499)/$AC499))),"")</f>
        <v/>
      </c>
      <c r="AO499" s="99" t="str">
        <f aca="false">IF(AND($AG499=Constants!$B$7, U499, V499),IF(AND($AA499&lt;&gt;"",$AB499&lt;&gt;"",$AC499=0),$AO$6,""),"")</f>
        <v/>
      </c>
      <c r="AP499" s="99" t="str">
        <f aca="false">IF($AG499=Constants!$B$7 ,IF(AND(U499,V499,W499,Y499,ISNUMBER(AB499)),IF($AN499="",0,IF($AN$6=0,Constants!$B$10,Constants!$B$10*AN499/$AN$6)), 0),"")</f>
        <v/>
      </c>
      <c r="AQ499" s="99" t="str">
        <f aca="false">IF(AP499&lt;&gt;"", AP499*AI499,"")</f>
        <v/>
      </c>
      <c r="AR499" s="99" t="str">
        <f aca="false">IF($AG499=Constants!$B$7,IF($AD499="",0,IF($AR$6=0,Constants!$B$8,Constants!$B$8*AD499/$AR$6)),"")</f>
        <v/>
      </c>
      <c r="AS499" s="99" t="str">
        <f aca="false">IF($AG499&lt;&gt;Constants!$B$7,$AG499,IF(AK499&amp;AO499&lt;&gt;"",Constants!$B$14,AM499+AQ499+AR499))</f>
        <v/>
      </c>
      <c r="AT499" s="99" t="str">
        <f aca="false">IF(ISBLANK($C499),"",IF($AG499=Constants!$B$7,IF(ISNUMBER(AS499),RANK(AS499,$AS$8:$AS$507),Constants!$B$14),$AG499))</f>
        <v/>
      </c>
      <c r="AU499" s="99" t="str">
        <f aca="false">IF(ISBLANK($C499), "",AM499)</f>
        <v/>
      </c>
      <c r="AV499" s="99" t="str">
        <f aca="false">IF(ISBLANK($C499),"",IF($AG499=Constants!$B$7,RANK(AU499,AU$8:AU$507),$AG499))</f>
        <v/>
      </c>
      <c r="AW499" s="99" t="str">
        <f aca="false">IF(ISBLANK($C499), "",AR499)</f>
        <v/>
      </c>
      <c r="AX499" s="99" t="str">
        <f aca="false">IF(ISBLANK($C499),"",IF($AG499=Constants!$B$7,RANK(AW499,AW$8:AW$507),$AG499))</f>
        <v/>
      </c>
      <c r="AY499" s="99" t="str">
        <f aca="false">IF(ISBLANK($C499), "",AE499)</f>
        <v/>
      </c>
      <c r="AZ499" s="99" t="str">
        <f aca="false">IF(ISBLANK($C499),"",
IF($AG499=Constants!$B$7,
  IF(ISNUMBER(AT499),
    COUNTIFS($AT$8:$AT$507,"&lt;"&amp;$AT499)
    + COUNTIFS($AT$8:$AT$507,$AT499,$AV$8:$AV$507,"&lt;"&amp;$AV499)
    + COUNTIFS($AT$8:$AT$507,$AT499,$AV$8:$AV$507,$AV499,$AX$8:$AX$507,"&lt;"&amp;$AX499)
    + COUNTIFS($AT$8:$AT$507,$AT499,$AV$8:$AV$507,$AV499,$AX$8:$AX$507,$AX499,$AY$8:$AY$507,"&lt;"&amp;$AY499)
    + 1,
  Constants!$B$14),
$AG499))</f>
        <v/>
      </c>
      <c r="BA499" s="99" t="str">
        <f aca="false">IF(ISBLANK(C499),"",IF($AG499=Constants!$B$7, IF(ISNUMBER(AT499),AT499-AZ499,Constants!$B$14),$AG499))</f>
        <v/>
      </c>
      <c r="BB499" s="103"/>
      <c r="BC499" s="104" t="str">
        <f aca="false">IF(ISBLANK($C499),"",TRIM(AK499&amp;" "&amp;AO499))</f>
        <v/>
      </c>
      <c r="BD499" s="105" t="str">
        <f aca="false">IF(ISBLANK($C499),"",IF($AG499&lt;&gt;Constants!$B$7,$AG499,AR499))</f>
        <v/>
      </c>
      <c r="BE499" s="105" t="str">
        <f aca="false">IF(ISBLANK($C499),"",IF($AG499&lt;&gt;Constants!$B$7,$AG499,AM499))</f>
        <v/>
      </c>
      <c r="BF499" s="105" t="str">
        <f aca="false">IF(ISBLANK($C499),"",IF($AG499&lt;&gt;Constants!$B$7,$AG499,AQ499))</f>
        <v/>
      </c>
      <c r="BG499" s="106" t="str">
        <f aca="false">IF(ISBLANK($C499),"",IF($AG499&lt;&gt;Constants!$B$7, $AG499 ,AS499))</f>
        <v/>
      </c>
      <c r="BH499" s="107" t="str">
        <f aca="false">IF(ISBLANK($C499),"",IF($AG499&lt;&gt;Constants!$B$7, $AG499 ,AH499))</f>
        <v/>
      </c>
      <c r="BI499" s="105" t="str">
        <f aca="false">IF(ISBLANK(C499),"",BA499)</f>
        <v/>
      </c>
      <c r="BJ499" s="105" t="str">
        <f aca="false">IF(ISBLANK(C499),"",AZ499)</f>
        <v/>
      </c>
      <c r="BK499" s="108" t="str">
        <f aca="false">IF(ISBLANK(C499),"",IFERROR(_xlfn.SWITCH(BJ499, Constants!$B$4, COUNTA($C$8:$C998)+2, Constants!$B$5, COUNTA($C$8:$C998)+1, Constants!$B$6, COUNTA($C$8:$C998)),BJ499))</f>
        <v/>
      </c>
      <c r="BL499" s="5"/>
      <c r="BM499" s="109" t="n">
        <f aca="false">IF(OR(ISNUMBER(BJ499),BJ499="DQ",BJ499="P",BJ499="NS"),
    1,
    0
)</f>
        <v>0</v>
      </c>
      <c r="BN499" s="109" t="n">
        <v>492</v>
      </c>
      <c r="BO499" s="109" t="str">
        <f aca="false">IF(ISBLANK($C499),"",IF(ISNUMBER(BK499),BK499+ROW($B499)/1000,""))</f>
        <v/>
      </c>
      <c r="BP499" s="109" t="str">
        <f aca="false">IF(ISNUMBER(BO499), RANK(BO499,BO$8:BO$507,1), "")</f>
        <v/>
      </c>
      <c r="BQ499" s="109" t="str">
        <f aca="false">IF(ISBLANK($C499),
    "",
    $B499
)</f>
        <v/>
      </c>
      <c r="BR499" s="109" t="str">
        <f aca="false">IF(ISBLANK($C499),
    "",
    $C499
)</f>
        <v/>
      </c>
      <c r="BS499" s="109" t="str">
        <f aca="false">IF(ISBLANK($C499),
    "",
    $D499
)</f>
        <v/>
      </c>
      <c r="BT499" s="110" t="str">
        <f aca="false">BH499</f>
        <v/>
      </c>
      <c r="BU499" s="111" t="str">
        <f aca="false">BG499</f>
        <v/>
      </c>
      <c r="BV499" s="109" t="str">
        <f aca="false">IF(ISBLANK($C499),
    "",
    BJ499
)</f>
        <v/>
      </c>
      <c r="BW499" s="112" t="str">
        <f aca="false">IF(BN499&gt;BM$7,
    "",
    VLOOKUP(BN499,BP$8:BV998,7,FALSE())
)</f>
        <v/>
      </c>
      <c r="BX499" s="113" t="str">
        <f aca="false">IF(BN499&gt;BM$7,
    "",
    VLOOKUP(BN499,BP$8:BV998,2,FALSE())
)</f>
        <v/>
      </c>
      <c r="BY499" s="113" t="str">
        <f aca="false">IF(BN499&gt;BM$7,
    "",
    VLOOKUP(BN499,BP$8:BV998,3,FALSE())
)</f>
        <v/>
      </c>
      <c r="BZ499" s="113" t="str">
        <f aca="false">IF(BN499&gt;BM$7,
    "",
    VLOOKUP(BN499,BP$8:BV998,4,FALSE())
)</f>
        <v/>
      </c>
      <c r="CA499" s="113" t="str">
        <f aca="false">IF(BN499&gt;BM$7,
    "",
    VLOOKUP(BN499,BP$8:BV998,5,FALSE())
)</f>
        <v/>
      </c>
      <c r="CB499" s="114" t="str">
        <f aca="false">IF(BN499&gt;BM$7,
    "",
    VLOOKUP(BN499,BP$8:BV998,6,FALSE())
)</f>
        <v/>
      </c>
      <c r="CC499" s="53"/>
    </row>
    <row r="500" customFormat="false" ht="15.75" hidden="false" customHeight="false" outlineLevel="0" collapsed="false">
      <c r="A500" s="5"/>
      <c r="B500" s="129"/>
      <c r="C500" s="55"/>
      <c r="D500" s="56"/>
      <c r="E500" s="123"/>
      <c r="F500" s="123"/>
      <c r="G500" s="58"/>
      <c r="H500" s="59"/>
      <c r="I500" s="59"/>
      <c r="J500" s="83"/>
      <c r="K500" s="83"/>
      <c r="L500" s="83"/>
      <c r="M500" s="61"/>
      <c r="N500" s="61"/>
      <c r="O500" s="61"/>
      <c r="P500" s="62"/>
      <c r="Q500" s="63"/>
      <c r="R500" s="83"/>
      <c r="S500" s="65"/>
      <c r="T500" s="66"/>
      <c r="U500" s="66" t="str">
        <f aca="false">IF(ISBLANK($C500),"",IF(G500=Constants!$B$2, TRUE(), IF(G500=Constants!$B$3, FALSE(), TRUE())))</f>
        <v/>
      </c>
      <c r="V500" s="66" t="str">
        <f aca="false">IF(ISBLANK($C500),"",IF(H500=Constants!$B$2, TRUE(), IF(H500=Constants!$B$3, FALSE(), TRUE())))</f>
        <v/>
      </c>
      <c r="W500" s="66" t="str">
        <f aca="false">IF(ISBLANK($C500),"",IF(I500=Constants!$B$2, TRUE(), IF(I500=Constants!$B$3, FALSE(), TRUE())))</f>
        <v/>
      </c>
      <c r="X500" s="66" t="str">
        <f aca="false">IF(ISBLANK($C500),"",IF(AND(ISNUMBER(J500),J500&gt;0),INT(J500),0))</f>
        <v/>
      </c>
      <c r="Y500" s="66" t="str">
        <f aca="false">IF(ISBLANK($C500),"",IF(K500=Constants!$B$2, TRUE(), IF(K500=Constants!$B$3, FALSE(), TRUE())))</f>
        <v/>
      </c>
      <c r="Z500" s="66" t="str">
        <f aca="false">IF(ISBLANK($C500),"",IF(AND(ISNUMBER(L500),L500&gt;0),INT(L500),0))</f>
        <v/>
      </c>
      <c r="AA500" s="68" t="str">
        <f aca="false">IF(ISBLANK($C500),"",IF(ISNUMBER(M500), M500, ""))</f>
        <v/>
      </c>
      <c r="AB500" s="68" t="str">
        <f aca="false">IF(ISBLANK($C500),"",IF(ISNUMBER(N500), N500, ""))</f>
        <v/>
      </c>
      <c r="AC500" s="68" t="str">
        <f aca="false">IF(ISBLANK($C500),"",IF(ISNUMBER(O500), O500, ""))</f>
        <v/>
      </c>
      <c r="AD500" s="69" t="str">
        <f aca="false">IF(ISBLANK($C500),"",IF(ISNUMBER(P500), P500, ""))</f>
        <v/>
      </c>
      <c r="AE500" s="69" t="str">
        <f aca="false">IF(ISBLANK($C500),"",IF(ISNUMBER(Q500), Q500, Constants!$B$13))</f>
        <v/>
      </c>
      <c r="AF500" s="66" t="str">
        <f aca="false">IF(ISBLANK($C500),"",IF(R500=Constants!$B$2, TRUE(), IF(R500=Constants!$B$3, FALSE(), FALSE())))</f>
        <v/>
      </c>
      <c r="AG500" s="66" t="str">
        <f aca="false">IF(ISBLANK(C500), "", IF(AF500, Constants!$B$4,IF(COUNTA(G500:P500)=0, Constants!$B$5, Constants!$B$7)))</f>
        <v/>
      </c>
      <c r="AH500" s="66" t="str">
        <f aca="false">IF(ISBLANK($C500), "",IF($AG500=Constants!$B$7,1,$AG500))</f>
        <v/>
      </c>
      <c r="AI500" s="66" t="str">
        <f aca="false">IF($AG500=Constants!$B$7,POWER(Constants!$B$11,X500)*POWER(Constants!$B$12,Z500),"")</f>
        <v/>
      </c>
      <c r="AJ500" s="66" t="str">
        <f aca="false">IF(AND($AG500=Constants!$B$7, U500, V500) ,IF(OR($AA500="",$AC500=""),"",MAX(0, $AC500-$AA500)),"")</f>
        <v/>
      </c>
      <c r="AK500" s="66" t="str">
        <f aca="false">IF(AND($AG500=Constants!$B$7, U500, V500),IF(OR($AA500="",$AC500=""),$AK$6,""),"")</f>
        <v/>
      </c>
      <c r="AL500" s="66" t="str">
        <f aca="false">IF($AG500=Constants!$B$7,IF(AND(U500,V500,W500,Y500),IF($AJ500="",0,IF($AJ$6=0,Constants!$B$9,Constants!$B$9*AJ500/$AJ$6)), 0),"")</f>
        <v/>
      </c>
      <c r="AM500" s="66" t="str">
        <f aca="false">IF(AL500&lt;&gt;"", AL500*AI500,"")</f>
        <v/>
      </c>
      <c r="AN500" s="66" t="str">
        <f aca="false">IF(AND($AG500=Constants!$B$7, U500, V500) ,IF($AB500="", "", IF(OR($AC500="",$AC500=0),"",MAX(0,1-ABS($AC500-$AB500)/$AC500))),"")</f>
        <v/>
      </c>
      <c r="AO500" s="66" t="str">
        <f aca="false">IF(AND($AG500=Constants!$B$7, U500, V500),IF(AND($AA500&lt;&gt;"",$AB500&lt;&gt;"",$AC500=0),$AO$6,""),"")</f>
        <v/>
      </c>
      <c r="AP500" s="66" t="str">
        <f aca="false">IF($AG500=Constants!$B$7 ,IF(AND(U500,V500,W500,Y500,ISNUMBER(AB500)),IF($AN500="",0,IF($AN$6=0,Constants!$B$10,Constants!$B$10*AN500/$AN$6)), 0),"")</f>
        <v/>
      </c>
      <c r="AQ500" s="66" t="str">
        <f aca="false">IF(AP500&lt;&gt;"", AP500*AI500,"")</f>
        <v/>
      </c>
      <c r="AR500" s="66" t="str">
        <f aca="false">IF($AG500=Constants!$B$7,IF($AD500="",0,IF($AR$6=0,Constants!$B$8,Constants!$B$8*AD500/$AR$6)),"")</f>
        <v/>
      </c>
      <c r="AS500" s="66" t="str">
        <f aca="false">IF($AG500&lt;&gt;Constants!$B$7,$AG500,IF(AK500&amp;AO500&lt;&gt;"",Constants!$B$14,AM500+AQ500+AR500))</f>
        <v/>
      </c>
      <c r="AT500" s="66" t="str">
        <f aca="false">IF(ISBLANK($C500),"",IF($AG500=Constants!$B$7,IF(ISNUMBER(AS500),RANK(AS500,$AS$8:$AS$507),Constants!$B$14),$AG500))</f>
        <v/>
      </c>
      <c r="AU500" s="66" t="str">
        <f aca="false">IF(ISBLANK($C500), "",AM500)</f>
        <v/>
      </c>
      <c r="AV500" s="66" t="str">
        <f aca="false">IF(ISBLANK($C500),"",IF($AG500=Constants!$B$7,RANK(AU500,AU$8:AU$507),$AG500))</f>
        <v/>
      </c>
      <c r="AW500" s="66" t="str">
        <f aca="false">IF(ISBLANK($C500), "",AR500)</f>
        <v/>
      </c>
      <c r="AX500" s="66" t="str">
        <f aca="false">IF(ISBLANK($C500),"",IF($AG500=Constants!$B$7,RANK(AW500,AW$8:AW$507),$AG500))</f>
        <v/>
      </c>
      <c r="AY500" s="66" t="str">
        <f aca="false">IF(ISBLANK($C500), "",AE500)</f>
        <v/>
      </c>
      <c r="AZ500" s="66" t="str">
        <f aca="false">IF(ISBLANK($C500),"",
IF($AG500=Constants!$B$7,
  IF(ISNUMBER(AT500),
    COUNTIFS($AT$8:$AT$507,"&lt;"&amp;$AT500)
    + COUNTIFS($AT$8:$AT$507,$AT500,$AV$8:$AV$507,"&lt;"&amp;$AV500)
    + COUNTIFS($AT$8:$AT$507,$AT500,$AV$8:$AV$507,$AV500,$AX$8:$AX$507,"&lt;"&amp;$AX500)
    + COUNTIFS($AT$8:$AT$507,$AT500,$AV$8:$AV$507,$AV500,$AX$8:$AX$507,$AX500,$AY$8:$AY$507,"&lt;"&amp;$AY500)
    + 1,
  Constants!$B$14),
$AG500))</f>
        <v/>
      </c>
      <c r="BA500" s="66" t="str">
        <f aca="false">IF(ISBLANK(C500),"",IF($AG500=Constants!$B$7, IF(ISNUMBER(AT500),AT500-AZ500,Constants!$B$14),$AG500))</f>
        <v/>
      </c>
      <c r="BB500" s="70"/>
      <c r="BC500" s="84" t="str">
        <f aca="false">IF(ISBLANK($C500),"",TRIM(AK500&amp;" "&amp;AO500))</f>
        <v/>
      </c>
      <c r="BD500" s="72" t="str">
        <f aca="false">IF(ISBLANK($C500),"",IF($AG500&lt;&gt;Constants!$B$7,$AG500,AR500))</f>
        <v/>
      </c>
      <c r="BE500" s="72" t="str">
        <f aca="false">IF(ISBLANK($C500),"",IF($AG500&lt;&gt;Constants!$B$7,$AG500,AM500))</f>
        <v/>
      </c>
      <c r="BF500" s="72" t="str">
        <f aca="false">IF(ISBLANK($C500),"",IF($AG500&lt;&gt;Constants!$B$7,$AG500,AQ500))</f>
        <v/>
      </c>
      <c r="BG500" s="73" t="str">
        <f aca="false">IF(ISBLANK($C500),"",IF($AG500&lt;&gt;Constants!$B$7, $AG500 ,AS500))</f>
        <v/>
      </c>
      <c r="BH500" s="74" t="str">
        <f aca="false">IF(ISBLANK($C500),"",IF($AG500&lt;&gt;Constants!$B$7, $AG500 ,AH500))</f>
        <v/>
      </c>
      <c r="BI500" s="72" t="str">
        <f aca="false">IF(ISBLANK(C500),"",BA500)</f>
        <v/>
      </c>
      <c r="BJ500" s="72" t="str">
        <f aca="false">IF(ISBLANK(C500),"",AZ500)</f>
        <v/>
      </c>
      <c r="BK500" s="75" t="str">
        <f aca="false">IF(ISBLANK(C500),"",IFERROR(_xlfn.SWITCH(BJ500, Constants!$B$4, COUNTA($C$8:$C999)+2, Constants!$B$5, COUNTA($C$8:$C999)+1, Constants!$B$6, COUNTA($C$8:$C999)),BJ500))</f>
        <v/>
      </c>
      <c r="BL500" s="5"/>
      <c r="BM500" s="76" t="n">
        <f aca="false">IF(OR(ISNUMBER(BJ500),BJ500="DQ",BJ500="P",BJ500="NS"),
    1,
    0
)</f>
        <v>0</v>
      </c>
      <c r="BN500" s="76" t="n">
        <v>493</v>
      </c>
      <c r="BO500" s="76" t="str">
        <f aca="false">IF(ISBLANK($C500),"",IF(ISNUMBER(BK500),BK500+ROW($B500)/1000,""))</f>
        <v/>
      </c>
      <c r="BP500" s="76" t="str">
        <f aca="false">IF(ISNUMBER(BO500), RANK(BO500,BO$8:BO$507,1), "")</f>
        <v/>
      </c>
      <c r="BQ500" s="76" t="str">
        <f aca="false">IF(ISBLANK($C500),
    "",
    $B500
)</f>
        <v/>
      </c>
      <c r="BR500" s="76" t="str">
        <f aca="false">IF(ISBLANK($C500),
    "",
    $C500
)</f>
        <v/>
      </c>
      <c r="BS500" s="76" t="str">
        <f aca="false">IF(ISBLANK($C500),
    "",
    $D500
)</f>
        <v/>
      </c>
      <c r="BT500" s="77" t="str">
        <f aca="false">BH500</f>
        <v/>
      </c>
      <c r="BU500" s="78" t="str">
        <f aca="false">BG500</f>
        <v/>
      </c>
      <c r="BV500" s="76" t="str">
        <f aca="false">IF(ISBLANK($C500),
    "",
    BJ500
)</f>
        <v/>
      </c>
      <c r="BW500" s="79" t="str">
        <f aca="false">IF(BN500&gt;BM$7,
    "",
    VLOOKUP(BN500,BP$8:BV999,7,FALSE())
)</f>
        <v/>
      </c>
      <c r="BX500" s="80" t="str">
        <f aca="false">IF(BN500&gt;BM$7,
    "",
    VLOOKUP(BN500,BP$8:BV999,2,FALSE())
)</f>
        <v/>
      </c>
      <c r="BY500" s="80" t="str">
        <f aca="false">IF(BN500&gt;BM$7,
    "",
    VLOOKUP(BN500,BP$8:BV999,3,FALSE())
)</f>
        <v/>
      </c>
      <c r="BZ500" s="80" t="str">
        <f aca="false">IF(BN500&gt;BM$7,
    "",
    VLOOKUP(BN500,BP$8:BV999,4,FALSE())
)</f>
        <v/>
      </c>
      <c r="CA500" s="80" t="str">
        <f aca="false">IF(BN500&gt;BM$7,
    "",
    VLOOKUP(BN500,BP$8:BV999,5,FALSE())
)</f>
        <v/>
      </c>
      <c r="CB500" s="81" t="str">
        <f aca="false">IF(BN500&gt;BM$7,
    "",
    VLOOKUP(BN500,BP$8:BV999,6,FALSE())
)</f>
        <v/>
      </c>
      <c r="CC500" s="53"/>
    </row>
    <row r="501" customFormat="false" ht="15.75" hidden="false" customHeight="false" outlineLevel="0" collapsed="false">
      <c r="A501" s="5"/>
      <c r="B501" s="129"/>
      <c r="C501" s="55"/>
      <c r="D501" s="56"/>
      <c r="E501" s="123"/>
      <c r="F501" s="123"/>
      <c r="G501" s="58"/>
      <c r="H501" s="59"/>
      <c r="I501" s="59"/>
      <c r="J501" s="83"/>
      <c r="K501" s="83"/>
      <c r="L501" s="83"/>
      <c r="M501" s="61"/>
      <c r="N501" s="61"/>
      <c r="O501" s="61"/>
      <c r="P501" s="62"/>
      <c r="Q501" s="63"/>
      <c r="R501" s="83"/>
      <c r="S501" s="65"/>
      <c r="T501" s="66"/>
      <c r="U501" s="66" t="str">
        <f aca="false">IF(ISBLANK($C501),"",IF(G501=Constants!$B$2, TRUE(), IF(G501=Constants!$B$3, FALSE(), TRUE())))</f>
        <v/>
      </c>
      <c r="V501" s="66" t="str">
        <f aca="false">IF(ISBLANK($C501),"",IF(H501=Constants!$B$2, TRUE(), IF(H501=Constants!$B$3, FALSE(), TRUE())))</f>
        <v/>
      </c>
      <c r="W501" s="66" t="str">
        <f aca="false">IF(ISBLANK($C501),"",IF(I501=Constants!$B$2, TRUE(), IF(I501=Constants!$B$3, FALSE(), TRUE())))</f>
        <v/>
      </c>
      <c r="X501" s="66" t="str">
        <f aca="false">IF(ISBLANK($C501),"",IF(AND(ISNUMBER(J501),J501&gt;0),INT(J501),0))</f>
        <v/>
      </c>
      <c r="Y501" s="66" t="str">
        <f aca="false">IF(ISBLANK($C501),"",IF(K501=Constants!$B$2, TRUE(), IF(K501=Constants!$B$3, FALSE(), TRUE())))</f>
        <v/>
      </c>
      <c r="Z501" s="66" t="str">
        <f aca="false">IF(ISBLANK($C501),"",IF(AND(ISNUMBER(L501),L501&gt;0),INT(L501),0))</f>
        <v/>
      </c>
      <c r="AA501" s="68" t="str">
        <f aca="false">IF(ISBLANK($C501),"",IF(ISNUMBER(M501), M501, ""))</f>
        <v/>
      </c>
      <c r="AB501" s="68" t="str">
        <f aca="false">IF(ISBLANK($C501),"",IF(ISNUMBER(N501), N501, ""))</f>
        <v/>
      </c>
      <c r="AC501" s="68" t="str">
        <f aca="false">IF(ISBLANK($C501),"",IF(ISNUMBER(O501), O501, ""))</f>
        <v/>
      </c>
      <c r="AD501" s="69" t="str">
        <f aca="false">IF(ISBLANK($C501),"",IF(ISNUMBER(P501), P501, ""))</f>
        <v/>
      </c>
      <c r="AE501" s="69" t="str">
        <f aca="false">IF(ISBLANK($C501),"",IF(ISNUMBER(Q501), Q501, Constants!$B$13))</f>
        <v/>
      </c>
      <c r="AF501" s="66" t="str">
        <f aca="false">IF(ISBLANK($C501),"",IF(R501=Constants!$B$2, TRUE(), IF(R501=Constants!$B$3, FALSE(), FALSE())))</f>
        <v/>
      </c>
      <c r="AG501" s="66" t="str">
        <f aca="false">IF(ISBLANK(C501), "", IF(AF501, Constants!$B$4,IF(COUNTA(G501:P501)=0, Constants!$B$5, Constants!$B$7)))</f>
        <v/>
      </c>
      <c r="AH501" s="66" t="str">
        <f aca="false">IF(ISBLANK($C501), "",IF($AG501=Constants!$B$7,1,$AG501))</f>
        <v/>
      </c>
      <c r="AI501" s="66" t="str">
        <f aca="false">IF($AG501=Constants!$B$7,POWER(Constants!$B$11,X501)*POWER(Constants!$B$12,Z501),"")</f>
        <v/>
      </c>
      <c r="AJ501" s="66" t="str">
        <f aca="false">IF(AND($AG501=Constants!$B$7, U501, V501) ,IF(OR($AA501="",$AC501=""),"",MAX(0, $AC501-$AA501)),"")</f>
        <v/>
      </c>
      <c r="AK501" s="66" t="str">
        <f aca="false">IF(AND($AG501=Constants!$B$7, U501, V501),IF(OR($AA501="",$AC501=""),$AK$6,""),"")</f>
        <v/>
      </c>
      <c r="AL501" s="66" t="str">
        <f aca="false">IF($AG501=Constants!$B$7,IF(AND(U501,V501,W501,Y501),IF($AJ501="",0,IF($AJ$6=0,Constants!$B$9,Constants!$B$9*AJ501/$AJ$6)), 0),"")</f>
        <v/>
      </c>
      <c r="AM501" s="66" t="str">
        <f aca="false">IF(AL501&lt;&gt;"", AL501*AI501,"")</f>
        <v/>
      </c>
      <c r="AN501" s="66" t="str">
        <f aca="false">IF(AND($AG501=Constants!$B$7, U501, V501) ,IF($AB501="", "", IF(OR($AC501="",$AC501=0),"",MAX(0,1-ABS($AC501-$AB501)/$AC501))),"")</f>
        <v/>
      </c>
      <c r="AO501" s="66" t="str">
        <f aca="false">IF(AND($AG501=Constants!$B$7, U501, V501),IF(AND($AA501&lt;&gt;"",$AB501&lt;&gt;"",$AC501=0),$AO$6,""),"")</f>
        <v/>
      </c>
      <c r="AP501" s="66" t="str">
        <f aca="false">IF($AG501=Constants!$B$7 ,IF(AND(U501,V501,W501,Y501,ISNUMBER(AB501)),IF($AN501="",0,IF($AN$6=0,Constants!$B$10,Constants!$B$10*AN501/$AN$6)), 0),"")</f>
        <v/>
      </c>
      <c r="AQ501" s="66" t="str">
        <f aca="false">IF(AP501&lt;&gt;"", AP501*AI501,"")</f>
        <v/>
      </c>
      <c r="AR501" s="66" t="str">
        <f aca="false">IF($AG501=Constants!$B$7,IF($AD501="",0,IF($AR$6=0,Constants!$B$8,Constants!$B$8*AD501/$AR$6)),"")</f>
        <v/>
      </c>
      <c r="AS501" s="66" t="str">
        <f aca="false">IF($AG501&lt;&gt;Constants!$B$7,$AG501,IF(AK501&amp;AO501&lt;&gt;"",Constants!$B$14,AM501+AQ501+AR501))</f>
        <v/>
      </c>
      <c r="AT501" s="66" t="str">
        <f aca="false">IF(ISBLANK($C501),"",IF($AG501=Constants!$B$7,IF(ISNUMBER(AS501),RANK(AS501,$AS$8:$AS$507),Constants!$B$14),$AG501))</f>
        <v/>
      </c>
      <c r="AU501" s="66" t="str">
        <f aca="false">IF(ISBLANK($C501), "",AM501)</f>
        <v/>
      </c>
      <c r="AV501" s="66" t="str">
        <f aca="false">IF(ISBLANK($C501),"",IF($AG501=Constants!$B$7,RANK(AU501,AU$8:AU$507),$AG501))</f>
        <v/>
      </c>
      <c r="AW501" s="66" t="str">
        <f aca="false">IF(ISBLANK($C501), "",AR501)</f>
        <v/>
      </c>
      <c r="AX501" s="66" t="str">
        <f aca="false">IF(ISBLANK($C501),"",IF($AG501=Constants!$B$7,RANK(AW501,AW$8:AW$507),$AG501))</f>
        <v/>
      </c>
      <c r="AY501" s="66" t="str">
        <f aca="false">IF(ISBLANK($C501), "",AE501)</f>
        <v/>
      </c>
      <c r="AZ501" s="66" t="str">
        <f aca="false">IF(ISBLANK($C501),"",
IF($AG501=Constants!$B$7,
  IF(ISNUMBER(AT501),
    COUNTIFS($AT$8:$AT$507,"&lt;"&amp;$AT501)
    + COUNTIFS($AT$8:$AT$507,$AT501,$AV$8:$AV$507,"&lt;"&amp;$AV501)
    + COUNTIFS($AT$8:$AT$507,$AT501,$AV$8:$AV$507,$AV501,$AX$8:$AX$507,"&lt;"&amp;$AX501)
    + COUNTIFS($AT$8:$AT$507,$AT501,$AV$8:$AV$507,$AV501,$AX$8:$AX$507,$AX501,$AY$8:$AY$507,"&lt;"&amp;$AY501)
    + 1,
  Constants!$B$14),
$AG501))</f>
        <v/>
      </c>
      <c r="BA501" s="66" t="str">
        <f aca="false">IF(ISBLANK(C501),"",IF($AG501=Constants!$B$7, IF(ISNUMBER(AT501),AT501-AZ501,Constants!$B$14),$AG501))</f>
        <v/>
      </c>
      <c r="BB501" s="70"/>
      <c r="BC501" s="84" t="str">
        <f aca="false">IF(ISBLANK($C501),"",TRIM(AK501&amp;" "&amp;AO501))</f>
        <v/>
      </c>
      <c r="BD501" s="72" t="str">
        <f aca="false">IF(ISBLANK($C501),"",IF($AG501&lt;&gt;Constants!$B$7,$AG501,AR501))</f>
        <v/>
      </c>
      <c r="BE501" s="72" t="str">
        <f aca="false">IF(ISBLANK($C501),"",IF($AG501&lt;&gt;Constants!$B$7,$AG501,AM501))</f>
        <v/>
      </c>
      <c r="BF501" s="72" t="str">
        <f aca="false">IF(ISBLANK($C501),"",IF($AG501&lt;&gt;Constants!$B$7,$AG501,AQ501))</f>
        <v/>
      </c>
      <c r="BG501" s="73" t="str">
        <f aca="false">IF(ISBLANK($C501),"",IF($AG501&lt;&gt;Constants!$B$7, $AG501 ,AS501))</f>
        <v/>
      </c>
      <c r="BH501" s="74" t="str">
        <f aca="false">IF(ISBLANK($C501),"",IF($AG501&lt;&gt;Constants!$B$7, $AG501 ,AH501))</f>
        <v/>
      </c>
      <c r="BI501" s="72" t="str">
        <f aca="false">IF(ISBLANK(C501),"",BA501)</f>
        <v/>
      </c>
      <c r="BJ501" s="72" t="str">
        <f aca="false">IF(ISBLANK(C501),"",AZ501)</f>
        <v/>
      </c>
      <c r="BK501" s="75" t="str">
        <f aca="false">IF(ISBLANK(C501),"",IFERROR(_xlfn.SWITCH(BJ501, Constants!$B$4, COUNTA($C$8:$C1000)+2, Constants!$B$5, COUNTA($C$8:$C1000)+1, Constants!$B$6, COUNTA($C$8:$C1000)),BJ501))</f>
        <v/>
      </c>
      <c r="BL501" s="5"/>
      <c r="BM501" s="76" t="n">
        <f aca="false">IF(OR(ISNUMBER(BJ501),BJ501="DQ",BJ501="P",BJ501="NS"),
    1,
    0
)</f>
        <v>0</v>
      </c>
      <c r="BN501" s="76" t="n">
        <v>494</v>
      </c>
      <c r="BO501" s="76" t="str">
        <f aca="false">IF(ISBLANK($C501),"",IF(ISNUMBER(BK501),BK501+ROW($B501)/1000,""))</f>
        <v/>
      </c>
      <c r="BP501" s="76" t="str">
        <f aca="false">IF(ISNUMBER(BO501), RANK(BO501,BO$8:BO$507,1), "")</f>
        <v/>
      </c>
      <c r="BQ501" s="76" t="str">
        <f aca="false">IF(ISBLANK($C501),
    "",
    $B501
)</f>
        <v/>
      </c>
      <c r="BR501" s="76" t="str">
        <f aca="false">IF(ISBLANK($C501),
    "",
    $C501
)</f>
        <v/>
      </c>
      <c r="BS501" s="76" t="str">
        <f aca="false">IF(ISBLANK($C501),
    "",
    $D501
)</f>
        <v/>
      </c>
      <c r="BT501" s="77" t="str">
        <f aca="false">BH501</f>
        <v/>
      </c>
      <c r="BU501" s="78" t="str">
        <f aca="false">BG501</f>
        <v/>
      </c>
      <c r="BV501" s="76" t="str">
        <f aca="false">IF(ISBLANK($C501),
    "",
    BJ501
)</f>
        <v/>
      </c>
      <c r="BW501" s="79" t="str">
        <f aca="false">IF(BN501&gt;BM$7,
    "",
    VLOOKUP(BN501,BP$8:BV1000,7,FALSE())
)</f>
        <v/>
      </c>
      <c r="BX501" s="80" t="str">
        <f aca="false">IF(BN501&gt;BM$7,
    "",
    VLOOKUP(BN501,BP$8:BV1000,2,FALSE())
)</f>
        <v/>
      </c>
      <c r="BY501" s="80" t="str">
        <f aca="false">IF(BN501&gt;BM$7,
    "",
    VLOOKUP(BN501,BP$8:BV1000,3,FALSE())
)</f>
        <v/>
      </c>
      <c r="BZ501" s="80" t="str">
        <f aca="false">IF(BN501&gt;BM$7,
    "",
    VLOOKUP(BN501,BP$8:BV1000,4,FALSE())
)</f>
        <v/>
      </c>
      <c r="CA501" s="80" t="str">
        <f aca="false">IF(BN501&gt;BM$7,
    "",
    VLOOKUP(BN501,BP$8:BV1000,5,FALSE())
)</f>
        <v/>
      </c>
      <c r="CB501" s="81" t="str">
        <f aca="false">IF(BN501&gt;BM$7,
    "",
    VLOOKUP(BN501,BP$8:BV1000,6,FALSE())
)</f>
        <v/>
      </c>
      <c r="CC501" s="53"/>
    </row>
    <row r="502" customFormat="false" ht="15.75" hidden="false" customHeight="false" outlineLevel="0" collapsed="false">
      <c r="A502" s="5"/>
      <c r="B502" s="129"/>
      <c r="C502" s="55"/>
      <c r="D502" s="56"/>
      <c r="E502" s="123"/>
      <c r="F502" s="123"/>
      <c r="G502" s="58"/>
      <c r="H502" s="59"/>
      <c r="I502" s="59"/>
      <c r="J502" s="83"/>
      <c r="K502" s="83"/>
      <c r="L502" s="83"/>
      <c r="M502" s="61"/>
      <c r="N502" s="61"/>
      <c r="O502" s="61"/>
      <c r="P502" s="62"/>
      <c r="Q502" s="63"/>
      <c r="R502" s="83"/>
      <c r="S502" s="65"/>
      <c r="T502" s="66"/>
      <c r="U502" s="66" t="str">
        <f aca="false">IF(ISBLANK($C502),"",IF(G502=Constants!$B$2, TRUE(), IF(G502=Constants!$B$3, FALSE(), TRUE())))</f>
        <v/>
      </c>
      <c r="V502" s="66" t="str">
        <f aca="false">IF(ISBLANK($C502),"",IF(H502=Constants!$B$2, TRUE(), IF(H502=Constants!$B$3, FALSE(), TRUE())))</f>
        <v/>
      </c>
      <c r="W502" s="66" t="str">
        <f aca="false">IF(ISBLANK($C502),"",IF(I502=Constants!$B$2, TRUE(), IF(I502=Constants!$B$3, FALSE(), TRUE())))</f>
        <v/>
      </c>
      <c r="X502" s="66" t="str">
        <f aca="false">IF(ISBLANK($C502),"",IF(AND(ISNUMBER(J502),J502&gt;0),INT(J502),0))</f>
        <v/>
      </c>
      <c r="Y502" s="66" t="str">
        <f aca="false">IF(ISBLANK($C502),"",IF(K502=Constants!$B$2, TRUE(), IF(K502=Constants!$B$3, FALSE(), TRUE())))</f>
        <v/>
      </c>
      <c r="Z502" s="66" t="str">
        <f aca="false">IF(ISBLANK($C502),"",IF(AND(ISNUMBER(L502),L502&gt;0),INT(L502),0))</f>
        <v/>
      </c>
      <c r="AA502" s="68" t="str">
        <f aca="false">IF(ISBLANK($C502),"",IF(ISNUMBER(M502), M502, ""))</f>
        <v/>
      </c>
      <c r="AB502" s="68" t="str">
        <f aca="false">IF(ISBLANK($C502),"",IF(ISNUMBER(N502), N502, ""))</f>
        <v/>
      </c>
      <c r="AC502" s="68" t="str">
        <f aca="false">IF(ISBLANK($C502),"",IF(ISNUMBER(O502), O502, ""))</f>
        <v/>
      </c>
      <c r="AD502" s="69" t="str">
        <f aca="false">IF(ISBLANK($C502),"",IF(ISNUMBER(P502), P502, ""))</f>
        <v/>
      </c>
      <c r="AE502" s="69" t="str">
        <f aca="false">IF(ISBLANK($C502),"",IF(ISNUMBER(Q502), Q502, Constants!$B$13))</f>
        <v/>
      </c>
      <c r="AF502" s="66" t="str">
        <f aca="false">IF(ISBLANK($C502),"",IF(R502=Constants!$B$2, TRUE(), IF(R502=Constants!$B$3, FALSE(), FALSE())))</f>
        <v/>
      </c>
      <c r="AG502" s="66" t="str">
        <f aca="false">IF(ISBLANK(C502), "", IF(AF502, Constants!$B$4,IF(COUNTA(G502:P502)=0, Constants!$B$5, Constants!$B$7)))</f>
        <v/>
      </c>
      <c r="AH502" s="66" t="str">
        <f aca="false">IF(ISBLANK($C502), "",IF($AG502=Constants!$B$7,1,$AG502))</f>
        <v/>
      </c>
      <c r="AI502" s="66" t="str">
        <f aca="false">IF($AG502=Constants!$B$7,POWER(Constants!$B$11,X502)*POWER(Constants!$B$12,Z502),"")</f>
        <v/>
      </c>
      <c r="AJ502" s="66" t="str">
        <f aca="false">IF(AND($AG502=Constants!$B$7, U502, V502) ,IF(OR($AA502="",$AC502=""),"",MAX(0, $AC502-$AA502)),"")</f>
        <v/>
      </c>
      <c r="AK502" s="66" t="str">
        <f aca="false">IF(AND($AG502=Constants!$B$7, U502, V502),IF(OR($AA502="",$AC502=""),$AK$6,""),"")</f>
        <v/>
      </c>
      <c r="AL502" s="66" t="str">
        <f aca="false">IF($AG502=Constants!$B$7,IF(AND(U502,V502,W502,Y502),IF($AJ502="",0,IF($AJ$6=0,Constants!$B$9,Constants!$B$9*AJ502/$AJ$6)), 0),"")</f>
        <v/>
      </c>
      <c r="AM502" s="66" t="str">
        <f aca="false">IF(AL502&lt;&gt;"", AL502*AI502,"")</f>
        <v/>
      </c>
      <c r="AN502" s="66" t="str">
        <f aca="false">IF(AND($AG502=Constants!$B$7, U502, V502) ,IF($AB502="", "", IF(OR($AC502="",$AC502=0),"",MAX(0,1-ABS($AC502-$AB502)/$AC502))),"")</f>
        <v/>
      </c>
      <c r="AO502" s="66" t="str">
        <f aca="false">IF(AND($AG502=Constants!$B$7, U502, V502),IF(AND($AA502&lt;&gt;"",$AB502&lt;&gt;"",$AC502=0),$AO$6,""),"")</f>
        <v/>
      </c>
      <c r="AP502" s="66" t="str">
        <f aca="false">IF($AG502=Constants!$B$7 ,IF(AND(U502,V502,W502,Y502,ISNUMBER(AB502)),IF($AN502="",0,IF($AN$6=0,Constants!$B$10,Constants!$B$10*AN502/$AN$6)), 0),"")</f>
        <v/>
      </c>
      <c r="AQ502" s="66" t="str">
        <f aca="false">IF(AP502&lt;&gt;"", AP502*AI502,"")</f>
        <v/>
      </c>
      <c r="AR502" s="66" t="str">
        <f aca="false">IF($AG502=Constants!$B$7,IF($AD502="",0,IF($AR$6=0,Constants!$B$8,Constants!$B$8*AD502/$AR$6)),"")</f>
        <v/>
      </c>
      <c r="AS502" s="66" t="str">
        <f aca="false">IF($AG502&lt;&gt;Constants!$B$7,$AG502,IF(AK502&amp;AO502&lt;&gt;"",Constants!$B$14,AM502+AQ502+AR502))</f>
        <v/>
      </c>
      <c r="AT502" s="66" t="str">
        <f aca="false">IF(ISBLANK($C502),"",IF($AG502=Constants!$B$7,IF(ISNUMBER(AS502),RANK(AS502,$AS$8:$AS$507),Constants!$B$14),$AG502))</f>
        <v/>
      </c>
      <c r="AU502" s="66" t="str">
        <f aca="false">IF(ISBLANK($C502), "",AM502)</f>
        <v/>
      </c>
      <c r="AV502" s="66" t="str">
        <f aca="false">IF(ISBLANK($C502),"",IF($AG502=Constants!$B$7,RANK(AU502,AU$8:AU$507),$AG502))</f>
        <v/>
      </c>
      <c r="AW502" s="66" t="str">
        <f aca="false">IF(ISBLANK($C502), "",AR502)</f>
        <v/>
      </c>
      <c r="AX502" s="66" t="str">
        <f aca="false">IF(ISBLANK($C502),"",IF($AG502=Constants!$B$7,RANK(AW502,AW$8:AW$507),$AG502))</f>
        <v/>
      </c>
      <c r="AY502" s="66" t="str">
        <f aca="false">IF(ISBLANK($C502), "",AE502)</f>
        <v/>
      </c>
      <c r="AZ502" s="66" t="str">
        <f aca="false">IF(ISBLANK($C502),"",
IF($AG502=Constants!$B$7,
  IF(ISNUMBER(AT502),
    COUNTIFS($AT$8:$AT$507,"&lt;"&amp;$AT502)
    + COUNTIFS($AT$8:$AT$507,$AT502,$AV$8:$AV$507,"&lt;"&amp;$AV502)
    + COUNTIFS($AT$8:$AT$507,$AT502,$AV$8:$AV$507,$AV502,$AX$8:$AX$507,"&lt;"&amp;$AX502)
    + COUNTIFS($AT$8:$AT$507,$AT502,$AV$8:$AV$507,$AV502,$AX$8:$AX$507,$AX502,$AY$8:$AY$507,"&lt;"&amp;$AY502)
    + 1,
  Constants!$B$14),
$AG502))</f>
        <v/>
      </c>
      <c r="BA502" s="66" t="str">
        <f aca="false">IF(ISBLANK(C502),"",IF($AG502=Constants!$B$7, IF(ISNUMBER(AT502),AT502-AZ502,Constants!$B$14),$AG502))</f>
        <v/>
      </c>
      <c r="BB502" s="70"/>
      <c r="BC502" s="84" t="str">
        <f aca="false">IF(ISBLANK($C502),"",TRIM(AK502&amp;" "&amp;AO502))</f>
        <v/>
      </c>
      <c r="BD502" s="72" t="str">
        <f aca="false">IF(ISBLANK($C502),"",IF($AG502&lt;&gt;Constants!$B$7,$AG502,AR502))</f>
        <v/>
      </c>
      <c r="BE502" s="72" t="str">
        <f aca="false">IF(ISBLANK($C502),"",IF($AG502&lt;&gt;Constants!$B$7,$AG502,AM502))</f>
        <v/>
      </c>
      <c r="BF502" s="72" t="str">
        <f aca="false">IF(ISBLANK($C502),"",IF($AG502&lt;&gt;Constants!$B$7,$AG502,AQ502))</f>
        <v/>
      </c>
      <c r="BG502" s="73" t="str">
        <f aca="false">IF(ISBLANK($C502),"",IF($AG502&lt;&gt;Constants!$B$7, $AG502 ,AS502))</f>
        <v/>
      </c>
      <c r="BH502" s="74" t="str">
        <f aca="false">IF(ISBLANK($C502),"",IF($AG502&lt;&gt;Constants!$B$7, $AG502 ,AH502))</f>
        <v/>
      </c>
      <c r="BI502" s="72" t="str">
        <f aca="false">IF(ISBLANK(C502),"",BA502)</f>
        <v/>
      </c>
      <c r="BJ502" s="72" t="str">
        <f aca="false">IF(ISBLANK(C502),"",AZ502)</f>
        <v/>
      </c>
      <c r="BK502" s="75" t="str">
        <f aca="false">IF(ISBLANK(C502),"",IFERROR(_xlfn.SWITCH(BJ502, Constants!$B$4, COUNTA($C$8:$C1001)+2, Constants!$B$5, COUNTA($C$8:$C1001)+1, Constants!$B$6, COUNTA($C$8:$C1001)),BJ502))</f>
        <v/>
      </c>
      <c r="BL502" s="5"/>
      <c r="BM502" s="76" t="n">
        <f aca="false">IF(OR(ISNUMBER(BJ502),BJ502="DQ",BJ502="P",BJ502="NS"),
    1,
    0
)</f>
        <v>0</v>
      </c>
      <c r="BN502" s="76" t="n">
        <v>495</v>
      </c>
      <c r="BO502" s="76" t="str">
        <f aca="false">IF(ISBLANK($C502),"",IF(ISNUMBER(BK502),BK502+ROW($B502)/1000,""))</f>
        <v/>
      </c>
      <c r="BP502" s="76" t="str">
        <f aca="false">IF(ISNUMBER(BO502), RANK(BO502,BO$8:BO$507,1), "")</f>
        <v/>
      </c>
      <c r="BQ502" s="76" t="str">
        <f aca="false">IF(ISBLANK($C502),
    "",
    $B502
)</f>
        <v/>
      </c>
      <c r="BR502" s="76" t="str">
        <f aca="false">IF(ISBLANK($C502),
    "",
    $C502
)</f>
        <v/>
      </c>
      <c r="BS502" s="76" t="str">
        <f aca="false">IF(ISBLANK($C502),
    "",
    $D502
)</f>
        <v/>
      </c>
      <c r="BT502" s="77" t="str">
        <f aca="false">BH502</f>
        <v/>
      </c>
      <c r="BU502" s="78" t="str">
        <f aca="false">BG502</f>
        <v/>
      </c>
      <c r="BV502" s="76" t="str">
        <f aca="false">IF(ISBLANK($C502),
    "",
    BJ502
)</f>
        <v/>
      </c>
      <c r="BW502" s="79" t="str">
        <f aca="false">IF(BN502&gt;BM$7,
    "",
    VLOOKUP(BN502,BP$8:BV1001,7,FALSE())
)</f>
        <v/>
      </c>
      <c r="BX502" s="80" t="str">
        <f aca="false">IF(BN502&gt;BM$7,
    "",
    VLOOKUP(BN502,BP$8:BV1001,2,FALSE())
)</f>
        <v/>
      </c>
      <c r="BY502" s="80" t="str">
        <f aca="false">IF(BN502&gt;BM$7,
    "",
    VLOOKUP(BN502,BP$8:BV1001,3,FALSE())
)</f>
        <v/>
      </c>
      <c r="BZ502" s="80" t="str">
        <f aca="false">IF(BN502&gt;BM$7,
    "",
    VLOOKUP(BN502,BP$8:BV1001,4,FALSE())
)</f>
        <v/>
      </c>
      <c r="CA502" s="80" t="str">
        <f aca="false">IF(BN502&gt;BM$7,
    "",
    VLOOKUP(BN502,BP$8:BV1001,5,FALSE())
)</f>
        <v/>
      </c>
      <c r="CB502" s="81" t="str">
        <f aca="false">IF(BN502&gt;BM$7,
    "",
    VLOOKUP(BN502,BP$8:BV1001,6,FALSE())
)</f>
        <v/>
      </c>
      <c r="CC502" s="53"/>
    </row>
    <row r="503" customFormat="false" ht="15.75" hidden="false" customHeight="false" outlineLevel="0" collapsed="false">
      <c r="A503" s="5"/>
      <c r="B503" s="125"/>
      <c r="C503" s="126"/>
      <c r="D503" s="115"/>
      <c r="E503" s="119"/>
      <c r="F503" s="119"/>
      <c r="G503" s="91"/>
      <c r="H503" s="92"/>
      <c r="I503" s="92"/>
      <c r="J503" s="128"/>
      <c r="K503" s="128"/>
      <c r="L503" s="128"/>
      <c r="M503" s="94"/>
      <c r="N503" s="94"/>
      <c r="O503" s="94"/>
      <c r="P503" s="95"/>
      <c r="Q503" s="96"/>
      <c r="R503" s="128"/>
      <c r="S503" s="98"/>
      <c r="T503" s="99"/>
      <c r="U503" s="99" t="str">
        <f aca="false">IF(ISBLANK($C503),"",IF(G503=Constants!$B$2, TRUE(), IF(G503=Constants!$B$3, FALSE(), TRUE())))</f>
        <v/>
      </c>
      <c r="V503" s="99" t="str">
        <f aca="false">IF(ISBLANK($C503),"",IF(H503=Constants!$B$2, TRUE(), IF(H503=Constants!$B$3, FALSE(), TRUE())))</f>
        <v/>
      </c>
      <c r="W503" s="99" t="str">
        <f aca="false">IF(ISBLANK($C503),"",IF(I503=Constants!$B$2, TRUE(), IF(I503=Constants!$B$3, FALSE(), TRUE())))</f>
        <v/>
      </c>
      <c r="X503" s="99" t="str">
        <f aca="false">IF(ISBLANK($C503),"",IF(AND(ISNUMBER(J503),J503&gt;0),INT(J503),0))</f>
        <v/>
      </c>
      <c r="Y503" s="99" t="str">
        <f aca="false">IF(ISBLANK($C503),"",IF(K503=Constants!$B$2, TRUE(), IF(K503=Constants!$B$3, FALSE(), TRUE())))</f>
        <v/>
      </c>
      <c r="Z503" s="100" t="str">
        <f aca="false">IF(ISBLANK($C503),"",IF(AND(ISNUMBER(L503),L503&gt;0),INT(L503),0))</f>
        <v/>
      </c>
      <c r="AA503" s="101" t="str">
        <f aca="false">IF(ISBLANK($C503),"",IF(ISNUMBER(M503), M503, ""))</f>
        <v/>
      </c>
      <c r="AB503" s="101" t="str">
        <f aca="false">IF(ISBLANK($C503),"",IF(ISNUMBER(N503), N503, ""))</f>
        <v/>
      </c>
      <c r="AC503" s="101" t="str">
        <f aca="false">IF(ISBLANK($C503),"",IF(ISNUMBER(O503), O503, ""))</f>
        <v/>
      </c>
      <c r="AD503" s="102" t="str">
        <f aca="false">IF(ISBLANK($C503),"",IF(ISNUMBER(P503), P503, ""))</f>
        <v/>
      </c>
      <c r="AE503" s="102" t="str">
        <f aca="false">IF(ISBLANK($C503),"",IF(ISNUMBER(Q503), Q503, Constants!$B$13))</f>
        <v/>
      </c>
      <c r="AF503" s="99" t="str">
        <f aca="false">IF(ISBLANK($C503),"",IF(R503=Constants!$B$2, TRUE(), IF(R503=Constants!$B$3, FALSE(), FALSE())))</f>
        <v/>
      </c>
      <c r="AG503" s="99" t="str">
        <f aca="false">IF(ISBLANK(C503), "", IF(AF503, Constants!$B$4,IF(COUNTA(G503:P503)=0, Constants!$B$5, Constants!$B$7)))</f>
        <v/>
      </c>
      <c r="AH503" s="99" t="str">
        <f aca="false">IF(ISBLANK($C503), "",IF($AG503=Constants!$B$7,1,$AG503))</f>
        <v/>
      </c>
      <c r="AI503" s="99" t="str">
        <f aca="false">IF($AG503=Constants!$B$7,POWER(Constants!$B$11,X503)*POWER(Constants!$B$12,Z503),"")</f>
        <v/>
      </c>
      <c r="AJ503" s="99" t="str">
        <f aca="false">IF(AND($AG503=Constants!$B$7, U503, V503) ,IF(OR($AA503="",$AC503=""),"",MAX(0, $AC503-$AA503)),"")</f>
        <v/>
      </c>
      <c r="AK503" s="99" t="str">
        <f aca="false">IF(AND($AG503=Constants!$B$7, U503, V503),IF(OR($AA503="",$AC503=""),$AK$6,""),"")</f>
        <v/>
      </c>
      <c r="AL503" s="99" t="str">
        <f aca="false">IF($AG503=Constants!$B$7,IF(AND(U503,V503,W503,Y503),IF($AJ503="",0,IF($AJ$6=0,Constants!$B$9,Constants!$B$9*AJ503/$AJ$6)), 0),"")</f>
        <v/>
      </c>
      <c r="AM503" s="99" t="str">
        <f aca="false">IF(AL503&lt;&gt;"", AL503*AI503,"")</f>
        <v/>
      </c>
      <c r="AN503" s="99" t="str">
        <f aca="false">IF(AND($AG503=Constants!$B$7, U503, V503) ,IF($AB503="", "", IF(OR($AC503="",$AC503=0),"",MAX(0,1-ABS($AC503-$AB503)/$AC503))),"")</f>
        <v/>
      </c>
      <c r="AO503" s="99" t="str">
        <f aca="false">IF(AND($AG503=Constants!$B$7, U503, V503),IF(AND($AA503&lt;&gt;"",$AB503&lt;&gt;"",$AC503=0),$AO$6,""),"")</f>
        <v/>
      </c>
      <c r="AP503" s="99" t="str">
        <f aca="false">IF($AG503=Constants!$B$7 ,IF(AND(U503,V503,W503,Y503,ISNUMBER(AB503)),IF($AN503="",0,IF($AN$6=0,Constants!$B$10,Constants!$B$10*AN503/$AN$6)), 0),"")</f>
        <v/>
      </c>
      <c r="AQ503" s="99" t="str">
        <f aca="false">IF(AP503&lt;&gt;"", AP503*AI503,"")</f>
        <v/>
      </c>
      <c r="AR503" s="99" t="str">
        <f aca="false">IF($AG503=Constants!$B$7,IF($AD503="",0,IF($AR$6=0,Constants!$B$8,Constants!$B$8*AD503/$AR$6)),"")</f>
        <v/>
      </c>
      <c r="AS503" s="99" t="str">
        <f aca="false">IF($AG503&lt;&gt;Constants!$B$7,$AG503,IF(AK503&amp;AO503&lt;&gt;"",Constants!$B$14,AM503+AQ503+AR503))</f>
        <v/>
      </c>
      <c r="AT503" s="99" t="str">
        <f aca="false">IF(ISBLANK($C503),"",IF($AG503=Constants!$B$7,IF(ISNUMBER(AS503),RANK(AS503,$AS$8:$AS$507),Constants!$B$14),$AG503))</f>
        <v/>
      </c>
      <c r="AU503" s="99" t="str">
        <f aca="false">IF(ISBLANK($C503), "",AM503)</f>
        <v/>
      </c>
      <c r="AV503" s="99" t="str">
        <f aca="false">IF(ISBLANK($C503),"",IF($AG503=Constants!$B$7,RANK(AU503,AU$8:AU$507),$AG503))</f>
        <v/>
      </c>
      <c r="AW503" s="99" t="str">
        <f aca="false">IF(ISBLANK($C503), "",AR503)</f>
        <v/>
      </c>
      <c r="AX503" s="99" t="str">
        <f aca="false">IF(ISBLANK($C503),"",IF($AG503=Constants!$B$7,RANK(AW503,AW$8:AW$507),$AG503))</f>
        <v/>
      </c>
      <c r="AY503" s="99" t="str">
        <f aca="false">IF(ISBLANK($C503), "",AE503)</f>
        <v/>
      </c>
      <c r="AZ503" s="99" t="str">
        <f aca="false">IF(ISBLANK($C503),"",
IF($AG503=Constants!$B$7,
  IF(ISNUMBER(AT503),
    COUNTIFS($AT$8:$AT$507,"&lt;"&amp;$AT503)
    + COUNTIFS($AT$8:$AT$507,$AT503,$AV$8:$AV$507,"&lt;"&amp;$AV503)
    + COUNTIFS($AT$8:$AT$507,$AT503,$AV$8:$AV$507,$AV503,$AX$8:$AX$507,"&lt;"&amp;$AX503)
    + COUNTIFS($AT$8:$AT$507,$AT503,$AV$8:$AV$507,$AV503,$AX$8:$AX$507,$AX503,$AY$8:$AY$507,"&lt;"&amp;$AY503)
    + 1,
  Constants!$B$14),
$AG503))</f>
        <v/>
      </c>
      <c r="BA503" s="99" t="str">
        <f aca="false">IF(ISBLANK(C503),"",IF($AG503=Constants!$B$7, IF(ISNUMBER(AT503),AT503-AZ503,Constants!$B$14),$AG503))</f>
        <v/>
      </c>
      <c r="BB503" s="103"/>
      <c r="BC503" s="104" t="str">
        <f aca="false">IF(ISBLANK($C503),"",TRIM(AK503&amp;" "&amp;AO503))</f>
        <v/>
      </c>
      <c r="BD503" s="105" t="str">
        <f aca="false">IF(ISBLANK($C503),"",IF($AG503&lt;&gt;Constants!$B$7,$AG503,AR503))</f>
        <v/>
      </c>
      <c r="BE503" s="105" t="str">
        <f aca="false">IF(ISBLANK($C503),"",IF($AG503&lt;&gt;Constants!$B$7,$AG503,AM503))</f>
        <v/>
      </c>
      <c r="BF503" s="105" t="str">
        <f aca="false">IF(ISBLANK($C503),"",IF($AG503&lt;&gt;Constants!$B$7,$AG503,AQ503))</f>
        <v/>
      </c>
      <c r="BG503" s="106" t="str">
        <f aca="false">IF(ISBLANK($C503),"",IF($AG503&lt;&gt;Constants!$B$7, $AG503 ,AS503))</f>
        <v/>
      </c>
      <c r="BH503" s="107" t="str">
        <f aca="false">IF(ISBLANK($C503),"",IF($AG503&lt;&gt;Constants!$B$7, $AG503 ,AH503))</f>
        <v/>
      </c>
      <c r="BI503" s="105" t="str">
        <f aca="false">IF(ISBLANK(C503),"",BA503)</f>
        <v/>
      </c>
      <c r="BJ503" s="105" t="str">
        <f aca="false">IF(ISBLANK(C503),"",AZ503)</f>
        <v/>
      </c>
      <c r="BK503" s="108" t="str">
        <f aca="false">IF(ISBLANK(C503),"",IFERROR(_xlfn.SWITCH(BJ503, Constants!$B$4, COUNTA($C$8:$C1002)+2, Constants!$B$5, COUNTA($C$8:$C1002)+1, Constants!$B$6, COUNTA($C$8:$C1002)),BJ503))</f>
        <v/>
      </c>
      <c r="BL503" s="5"/>
      <c r="BM503" s="109" t="n">
        <f aca="false">IF(OR(ISNUMBER(BJ503),BJ503="DQ",BJ503="P",BJ503="NS"),
    1,
    0
)</f>
        <v>0</v>
      </c>
      <c r="BN503" s="109" t="n">
        <v>496</v>
      </c>
      <c r="BO503" s="109" t="str">
        <f aca="false">IF(ISBLANK($C503),"",IF(ISNUMBER(BK503),BK503+ROW($B503)/1000,""))</f>
        <v/>
      </c>
      <c r="BP503" s="109" t="str">
        <f aca="false">IF(ISNUMBER(BO503), RANK(BO503,BO$8:BO$507,1), "")</f>
        <v/>
      </c>
      <c r="BQ503" s="109" t="str">
        <f aca="false">IF(ISBLANK($C503),
    "",
    $B503
)</f>
        <v/>
      </c>
      <c r="BR503" s="109" t="str">
        <f aca="false">IF(ISBLANK($C503),
    "",
    $C503
)</f>
        <v/>
      </c>
      <c r="BS503" s="109" t="str">
        <f aca="false">IF(ISBLANK($C503),
    "",
    $D503
)</f>
        <v/>
      </c>
      <c r="BT503" s="110" t="str">
        <f aca="false">BH503</f>
        <v/>
      </c>
      <c r="BU503" s="111" t="str">
        <f aca="false">BG503</f>
        <v/>
      </c>
      <c r="BV503" s="109" t="str">
        <f aca="false">IF(ISBLANK($C503),
    "",
    BJ503
)</f>
        <v/>
      </c>
      <c r="BW503" s="112" t="str">
        <f aca="false">IF(BN503&gt;BM$7,
    "",
    VLOOKUP(BN503,BP$8:BV1002,7,FALSE())
)</f>
        <v/>
      </c>
      <c r="BX503" s="113" t="str">
        <f aca="false">IF(BN503&gt;BM$7,
    "",
    VLOOKUP(BN503,BP$8:BV1002,2,FALSE())
)</f>
        <v/>
      </c>
      <c r="BY503" s="113" t="str">
        <f aca="false">IF(BN503&gt;BM$7,
    "",
    VLOOKUP(BN503,BP$8:BV1002,3,FALSE())
)</f>
        <v/>
      </c>
      <c r="BZ503" s="113" t="str">
        <f aca="false">IF(BN503&gt;BM$7,
    "",
    VLOOKUP(BN503,BP$8:BV1002,4,FALSE())
)</f>
        <v/>
      </c>
      <c r="CA503" s="113" t="str">
        <f aca="false">IF(BN503&gt;BM$7,
    "",
    VLOOKUP(BN503,BP$8:BV1002,5,FALSE())
)</f>
        <v/>
      </c>
      <c r="CB503" s="114" t="str">
        <f aca="false">IF(BN503&gt;BM$7,
    "",
    VLOOKUP(BN503,BP$8:BV1002,6,FALSE())
)</f>
        <v/>
      </c>
      <c r="CC503" s="53"/>
    </row>
    <row r="504" customFormat="false" ht="15.75" hidden="false" customHeight="false" outlineLevel="0" collapsed="false">
      <c r="A504" s="5"/>
      <c r="B504" s="125"/>
      <c r="C504" s="126"/>
      <c r="D504" s="115"/>
      <c r="E504" s="119"/>
      <c r="F504" s="119"/>
      <c r="G504" s="91"/>
      <c r="H504" s="92"/>
      <c r="I504" s="92"/>
      <c r="J504" s="128"/>
      <c r="K504" s="128"/>
      <c r="L504" s="128"/>
      <c r="M504" s="94"/>
      <c r="N504" s="94"/>
      <c r="O504" s="94"/>
      <c r="P504" s="95"/>
      <c r="Q504" s="96"/>
      <c r="R504" s="128"/>
      <c r="S504" s="98"/>
      <c r="T504" s="99"/>
      <c r="U504" s="99" t="str">
        <f aca="false">IF(ISBLANK($C504),"",IF(G504=Constants!$B$2, TRUE(), IF(G504=Constants!$B$3, FALSE(), TRUE())))</f>
        <v/>
      </c>
      <c r="V504" s="99" t="str">
        <f aca="false">IF(ISBLANK($C504),"",IF(H504=Constants!$B$2, TRUE(), IF(H504=Constants!$B$3, FALSE(), TRUE())))</f>
        <v/>
      </c>
      <c r="W504" s="99" t="str">
        <f aca="false">IF(ISBLANK($C504),"",IF(I504=Constants!$B$2, TRUE(), IF(I504=Constants!$B$3, FALSE(), TRUE())))</f>
        <v/>
      </c>
      <c r="X504" s="99" t="str">
        <f aca="false">IF(ISBLANK($C504),"",IF(AND(ISNUMBER(J504),J504&gt;0),INT(J504),0))</f>
        <v/>
      </c>
      <c r="Y504" s="99" t="str">
        <f aca="false">IF(ISBLANK($C504),"",IF(K504=Constants!$B$2, TRUE(), IF(K504=Constants!$B$3, FALSE(), TRUE())))</f>
        <v/>
      </c>
      <c r="Z504" s="100" t="str">
        <f aca="false">IF(ISBLANK($C504),"",IF(AND(ISNUMBER(L504),L504&gt;0),INT(L504),0))</f>
        <v/>
      </c>
      <c r="AA504" s="101" t="str">
        <f aca="false">IF(ISBLANK($C504),"",IF(ISNUMBER(M504), M504, ""))</f>
        <v/>
      </c>
      <c r="AB504" s="101" t="str">
        <f aca="false">IF(ISBLANK($C504),"",IF(ISNUMBER(N504), N504, ""))</f>
        <v/>
      </c>
      <c r="AC504" s="101" t="str">
        <f aca="false">IF(ISBLANK($C504),"",IF(ISNUMBER(O504), O504, ""))</f>
        <v/>
      </c>
      <c r="AD504" s="102" t="str">
        <f aca="false">IF(ISBLANK($C504),"",IF(ISNUMBER(P504), P504, ""))</f>
        <v/>
      </c>
      <c r="AE504" s="102" t="str">
        <f aca="false">IF(ISBLANK($C504),"",IF(ISNUMBER(Q504), Q504, Constants!$B$13))</f>
        <v/>
      </c>
      <c r="AF504" s="99" t="str">
        <f aca="false">IF(ISBLANK($C504),"",IF(R504=Constants!$B$2, TRUE(), IF(R504=Constants!$B$3, FALSE(), FALSE())))</f>
        <v/>
      </c>
      <c r="AG504" s="99" t="str">
        <f aca="false">IF(ISBLANK(C504), "", IF(AF504, Constants!$B$4,IF(COUNTA(G504:P504)=0, Constants!$B$5, Constants!$B$7)))</f>
        <v/>
      </c>
      <c r="AH504" s="99" t="str">
        <f aca="false">IF(ISBLANK($C504), "",IF($AG504=Constants!$B$7,1,$AG504))</f>
        <v/>
      </c>
      <c r="AI504" s="99" t="str">
        <f aca="false">IF($AG504=Constants!$B$7,POWER(Constants!$B$11,X504)*POWER(Constants!$B$12,Z504),"")</f>
        <v/>
      </c>
      <c r="AJ504" s="99" t="str">
        <f aca="false">IF(AND($AG504=Constants!$B$7, U504, V504) ,IF(OR($AA504="",$AC504=""),"",MAX(0, $AC504-$AA504)),"")</f>
        <v/>
      </c>
      <c r="AK504" s="99" t="str">
        <f aca="false">IF(AND($AG504=Constants!$B$7, U504, V504),IF(OR($AA504="",$AC504=""),$AK$6,""),"")</f>
        <v/>
      </c>
      <c r="AL504" s="99" t="str">
        <f aca="false">IF($AG504=Constants!$B$7,IF(AND(U504,V504,W504,Y504),IF($AJ504="",0,IF($AJ$6=0,Constants!$B$9,Constants!$B$9*AJ504/$AJ$6)), 0),"")</f>
        <v/>
      </c>
      <c r="AM504" s="99" t="str">
        <f aca="false">IF(AL504&lt;&gt;"", AL504*AI504,"")</f>
        <v/>
      </c>
      <c r="AN504" s="99" t="str">
        <f aca="false">IF(AND($AG504=Constants!$B$7, U504, V504) ,IF($AB504="", "", IF(OR($AC504="",$AC504=0),"",MAX(0,1-ABS($AC504-$AB504)/$AC504))),"")</f>
        <v/>
      </c>
      <c r="AO504" s="99" t="str">
        <f aca="false">IF(AND($AG504=Constants!$B$7, U504, V504),IF(AND($AA504&lt;&gt;"",$AB504&lt;&gt;"",$AC504=0),$AO$6,""),"")</f>
        <v/>
      </c>
      <c r="AP504" s="99" t="str">
        <f aca="false">IF($AG504=Constants!$B$7 ,IF(AND(U504,V504,W504,Y504,ISNUMBER(AB504)),IF($AN504="",0,IF($AN$6=0,Constants!$B$10,Constants!$B$10*AN504/$AN$6)), 0),"")</f>
        <v/>
      </c>
      <c r="AQ504" s="99" t="str">
        <f aca="false">IF(AP504&lt;&gt;"", AP504*AI504,"")</f>
        <v/>
      </c>
      <c r="AR504" s="99" t="str">
        <f aca="false">IF($AG504=Constants!$B$7,IF($AD504="",0,IF($AR$6=0,Constants!$B$8,Constants!$B$8*AD504/$AR$6)),"")</f>
        <v/>
      </c>
      <c r="AS504" s="99" t="str">
        <f aca="false">IF($AG504&lt;&gt;Constants!$B$7,$AG504,IF(AK504&amp;AO504&lt;&gt;"",Constants!$B$14,AM504+AQ504+AR504))</f>
        <v/>
      </c>
      <c r="AT504" s="99" t="str">
        <f aca="false">IF(ISBLANK($C504),"",IF($AG504=Constants!$B$7,IF(ISNUMBER(AS504),RANK(AS504,$AS$8:$AS$507),Constants!$B$14),$AG504))</f>
        <v/>
      </c>
      <c r="AU504" s="99" t="str">
        <f aca="false">IF(ISBLANK($C504), "",AM504)</f>
        <v/>
      </c>
      <c r="AV504" s="99" t="str">
        <f aca="false">IF(ISBLANK($C504),"",IF($AG504=Constants!$B$7,RANK(AU504,AU$8:AU$507),$AG504))</f>
        <v/>
      </c>
      <c r="AW504" s="99" t="str">
        <f aca="false">IF(ISBLANK($C504), "",AR504)</f>
        <v/>
      </c>
      <c r="AX504" s="99" t="str">
        <f aca="false">IF(ISBLANK($C504),"",IF($AG504=Constants!$B$7,RANK(AW504,AW$8:AW$507),$AG504))</f>
        <v/>
      </c>
      <c r="AY504" s="99" t="str">
        <f aca="false">IF(ISBLANK($C504), "",AE504)</f>
        <v/>
      </c>
      <c r="AZ504" s="99" t="str">
        <f aca="false">IF(ISBLANK($C504),"",
IF($AG504=Constants!$B$7,
  IF(ISNUMBER(AT504),
    COUNTIFS($AT$8:$AT$507,"&lt;"&amp;$AT504)
    + COUNTIFS($AT$8:$AT$507,$AT504,$AV$8:$AV$507,"&lt;"&amp;$AV504)
    + COUNTIFS($AT$8:$AT$507,$AT504,$AV$8:$AV$507,$AV504,$AX$8:$AX$507,"&lt;"&amp;$AX504)
    + COUNTIFS($AT$8:$AT$507,$AT504,$AV$8:$AV$507,$AV504,$AX$8:$AX$507,$AX504,$AY$8:$AY$507,"&lt;"&amp;$AY504)
    + 1,
  Constants!$B$14),
$AG504))</f>
        <v/>
      </c>
      <c r="BA504" s="99" t="str">
        <f aca="false">IF(ISBLANK(C504),"",IF($AG504=Constants!$B$7, IF(ISNUMBER(AT504),AT504-AZ504,Constants!$B$14),$AG504))</f>
        <v/>
      </c>
      <c r="BB504" s="103"/>
      <c r="BC504" s="104" t="str">
        <f aca="false">IF(ISBLANK($C504),"",TRIM(AK504&amp;" "&amp;AO504))</f>
        <v/>
      </c>
      <c r="BD504" s="105" t="str">
        <f aca="false">IF(ISBLANK($C504),"",IF($AG504&lt;&gt;Constants!$B$7,$AG504,AR504))</f>
        <v/>
      </c>
      <c r="BE504" s="105" t="str">
        <f aca="false">IF(ISBLANK($C504),"",IF($AG504&lt;&gt;Constants!$B$7,$AG504,AM504))</f>
        <v/>
      </c>
      <c r="BF504" s="105" t="str">
        <f aca="false">IF(ISBLANK($C504),"",IF($AG504&lt;&gt;Constants!$B$7,$AG504,AQ504))</f>
        <v/>
      </c>
      <c r="BG504" s="106" t="str">
        <f aca="false">IF(ISBLANK($C504),"",IF($AG504&lt;&gt;Constants!$B$7, $AG504 ,AS504))</f>
        <v/>
      </c>
      <c r="BH504" s="107" t="str">
        <f aca="false">IF(ISBLANK($C504),"",IF($AG504&lt;&gt;Constants!$B$7, $AG504 ,AH504))</f>
        <v/>
      </c>
      <c r="BI504" s="105" t="str">
        <f aca="false">IF(ISBLANK(C504),"",BA504)</f>
        <v/>
      </c>
      <c r="BJ504" s="105" t="str">
        <f aca="false">IF(ISBLANK(C504),"",AZ504)</f>
        <v/>
      </c>
      <c r="BK504" s="108" t="str">
        <f aca="false">IF(ISBLANK(C504),"",IFERROR(_xlfn.SWITCH(BJ504, Constants!$B$4, COUNTA($C$8:$C1003)+2, Constants!$B$5, COUNTA($C$8:$C1003)+1, Constants!$B$6, COUNTA($C$8:$C1003)),BJ504))</f>
        <v/>
      </c>
      <c r="BL504" s="5"/>
      <c r="BM504" s="109" t="n">
        <f aca="false">IF(OR(ISNUMBER(BJ504),BJ504="DQ",BJ504="P",BJ504="NS"),
    1,
    0
)</f>
        <v>0</v>
      </c>
      <c r="BN504" s="109" t="n">
        <v>497</v>
      </c>
      <c r="BO504" s="109" t="str">
        <f aca="false">IF(ISBLANK($C504),"",IF(ISNUMBER(BK504),BK504+ROW($B504)/1000,""))</f>
        <v/>
      </c>
      <c r="BP504" s="109" t="str">
        <f aca="false">IF(ISNUMBER(BO504), RANK(BO504,BO$8:BO$507,1), "")</f>
        <v/>
      </c>
      <c r="BQ504" s="109" t="str">
        <f aca="false">IF(ISBLANK($C504),
    "",
    $B504
)</f>
        <v/>
      </c>
      <c r="BR504" s="109" t="str">
        <f aca="false">IF(ISBLANK($C504),
    "",
    $C504
)</f>
        <v/>
      </c>
      <c r="BS504" s="109" t="str">
        <f aca="false">IF(ISBLANK($C504),
    "",
    $D504
)</f>
        <v/>
      </c>
      <c r="BT504" s="110" t="str">
        <f aca="false">BH504</f>
        <v/>
      </c>
      <c r="BU504" s="111" t="str">
        <f aca="false">BG504</f>
        <v/>
      </c>
      <c r="BV504" s="109" t="str">
        <f aca="false">IF(ISBLANK($C504),
    "",
    BJ504
)</f>
        <v/>
      </c>
      <c r="BW504" s="112" t="str">
        <f aca="false">IF(BN504&gt;BM$7,
    "",
    VLOOKUP(BN504,BP$8:BV1003,7,FALSE())
)</f>
        <v/>
      </c>
      <c r="BX504" s="113" t="str">
        <f aca="false">IF(BN504&gt;BM$7,
    "",
    VLOOKUP(BN504,BP$8:BV1003,2,FALSE())
)</f>
        <v/>
      </c>
      <c r="BY504" s="113" t="str">
        <f aca="false">IF(BN504&gt;BM$7,
    "",
    VLOOKUP(BN504,BP$8:BV1003,3,FALSE())
)</f>
        <v/>
      </c>
      <c r="BZ504" s="113" t="str">
        <f aca="false">IF(BN504&gt;BM$7,
    "",
    VLOOKUP(BN504,BP$8:BV1003,4,FALSE())
)</f>
        <v/>
      </c>
      <c r="CA504" s="113" t="str">
        <f aca="false">IF(BN504&gt;BM$7,
    "",
    VLOOKUP(BN504,BP$8:BV1003,5,FALSE())
)</f>
        <v/>
      </c>
      <c r="CB504" s="114" t="str">
        <f aca="false">IF(BN504&gt;BM$7,
    "",
    VLOOKUP(BN504,BP$8:BV1003,6,FALSE())
)</f>
        <v/>
      </c>
      <c r="CC504" s="53"/>
    </row>
    <row r="505" customFormat="false" ht="15.75" hidden="false" customHeight="false" outlineLevel="0" collapsed="false">
      <c r="A505" s="5"/>
      <c r="B505" s="125"/>
      <c r="C505" s="126"/>
      <c r="D505" s="115"/>
      <c r="E505" s="119"/>
      <c r="F505" s="119"/>
      <c r="G505" s="91"/>
      <c r="H505" s="92"/>
      <c r="I505" s="92"/>
      <c r="J505" s="128"/>
      <c r="K505" s="128"/>
      <c r="L505" s="128"/>
      <c r="M505" s="94"/>
      <c r="N505" s="94"/>
      <c r="O505" s="94"/>
      <c r="P505" s="95"/>
      <c r="Q505" s="96"/>
      <c r="R505" s="128"/>
      <c r="S505" s="98"/>
      <c r="T505" s="99"/>
      <c r="U505" s="99" t="str">
        <f aca="false">IF(ISBLANK($C505),"",IF(G505=Constants!$B$2, TRUE(), IF(G505=Constants!$B$3, FALSE(), TRUE())))</f>
        <v/>
      </c>
      <c r="V505" s="99" t="str">
        <f aca="false">IF(ISBLANK($C505),"",IF(H505=Constants!$B$2, TRUE(), IF(H505=Constants!$B$3, FALSE(), TRUE())))</f>
        <v/>
      </c>
      <c r="W505" s="99" t="str">
        <f aca="false">IF(ISBLANK($C505),"",IF(I505=Constants!$B$2, TRUE(), IF(I505=Constants!$B$3, FALSE(), TRUE())))</f>
        <v/>
      </c>
      <c r="X505" s="99" t="str">
        <f aca="false">IF(ISBLANK($C505),"",IF(AND(ISNUMBER(J505),J505&gt;0),INT(J505),0))</f>
        <v/>
      </c>
      <c r="Y505" s="99" t="str">
        <f aca="false">IF(ISBLANK($C505),"",IF(K505=Constants!$B$2, TRUE(), IF(K505=Constants!$B$3, FALSE(), TRUE())))</f>
        <v/>
      </c>
      <c r="Z505" s="100" t="str">
        <f aca="false">IF(ISBLANK($C505),"",IF(AND(ISNUMBER(L505),L505&gt;0),INT(L505),0))</f>
        <v/>
      </c>
      <c r="AA505" s="101" t="str">
        <f aca="false">IF(ISBLANK($C505),"",IF(ISNUMBER(M505), M505, ""))</f>
        <v/>
      </c>
      <c r="AB505" s="101" t="str">
        <f aca="false">IF(ISBLANK($C505),"",IF(ISNUMBER(N505), N505, ""))</f>
        <v/>
      </c>
      <c r="AC505" s="101" t="str">
        <f aca="false">IF(ISBLANK($C505),"",IF(ISNUMBER(O505), O505, ""))</f>
        <v/>
      </c>
      <c r="AD505" s="102" t="str">
        <f aca="false">IF(ISBLANK($C505),"",IF(ISNUMBER(P505), P505, ""))</f>
        <v/>
      </c>
      <c r="AE505" s="102" t="str">
        <f aca="false">IF(ISBLANK($C505),"",IF(ISNUMBER(Q505), Q505, Constants!$B$13))</f>
        <v/>
      </c>
      <c r="AF505" s="99" t="str">
        <f aca="false">IF(ISBLANK($C505),"",IF(R505=Constants!$B$2, TRUE(), IF(R505=Constants!$B$3, FALSE(), FALSE())))</f>
        <v/>
      </c>
      <c r="AG505" s="99" t="str">
        <f aca="false">IF(ISBLANK(C505), "", IF(AF505, Constants!$B$4,IF(COUNTA(G505:P505)=0, Constants!$B$5, Constants!$B$7)))</f>
        <v/>
      </c>
      <c r="AH505" s="99" t="str">
        <f aca="false">IF(ISBLANK($C505), "",IF($AG505=Constants!$B$7,1,$AG505))</f>
        <v/>
      </c>
      <c r="AI505" s="99" t="str">
        <f aca="false">IF($AG505=Constants!$B$7,POWER(Constants!$B$11,X505)*POWER(Constants!$B$12,Z505),"")</f>
        <v/>
      </c>
      <c r="AJ505" s="99" t="str">
        <f aca="false">IF(AND($AG505=Constants!$B$7, U505, V505) ,IF(OR($AA505="",$AC505=""),"",MAX(0, $AC505-$AA505)),"")</f>
        <v/>
      </c>
      <c r="AK505" s="99" t="str">
        <f aca="false">IF(AND($AG505=Constants!$B$7, U505, V505),IF(OR($AA505="",$AC505=""),$AK$6,""),"")</f>
        <v/>
      </c>
      <c r="AL505" s="99" t="str">
        <f aca="false">IF($AG505=Constants!$B$7,IF(AND(U505,V505,W505,Y505),IF($AJ505="",0,IF($AJ$6=0,Constants!$B$9,Constants!$B$9*AJ505/$AJ$6)), 0),"")</f>
        <v/>
      </c>
      <c r="AM505" s="99" t="str">
        <f aca="false">IF(AL505&lt;&gt;"", AL505*AI505,"")</f>
        <v/>
      </c>
      <c r="AN505" s="99" t="str">
        <f aca="false">IF(AND($AG505=Constants!$B$7, U505, V505) ,IF($AB505="", "", IF(OR($AC505="",$AC505=0),"",MAX(0,1-ABS($AC505-$AB505)/$AC505))),"")</f>
        <v/>
      </c>
      <c r="AO505" s="99" t="str">
        <f aca="false">IF(AND($AG505=Constants!$B$7, U505, V505),IF(AND($AA505&lt;&gt;"",$AB505&lt;&gt;"",$AC505=0),$AO$6,""),"")</f>
        <v/>
      </c>
      <c r="AP505" s="99" t="str">
        <f aca="false">IF($AG505=Constants!$B$7 ,IF(AND(U505,V505,W505,Y505,ISNUMBER(AB505)),IF($AN505="",0,IF($AN$6=0,Constants!$B$10,Constants!$B$10*AN505/$AN$6)), 0),"")</f>
        <v/>
      </c>
      <c r="AQ505" s="99" t="str">
        <f aca="false">IF(AP505&lt;&gt;"", AP505*AI505,"")</f>
        <v/>
      </c>
      <c r="AR505" s="99" t="str">
        <f aca="false">IF($AG505=Constants!$B$7,IF($AD505="",0,IF($AR$6=0,Constants!$B$8,Constants!$B$8*AD505/$AR$6)),"")</f>
        <v/>
      </c>
      <c r="AS505" s="99" t="str">
        <f aca="false">IF($AG505&lt;&gt;Constants!$B$7,$AG505,IF(AK505&amp;AO505&lt;&gt;"",Constants!$B$14,AM505+AQ505+AR505))</f>
        <v/>
      </c>
      <c r="AT505" s="99" t="str">
        <f aca="false">IF(ISBLANK($C505),"",IF($AG505=Constants!$B$7,IF(ISNUMBER(AS505),RANK(AS505,$AS$8:$AS$507),Constants!$B$14),$AG505))</f>
        <v/>
      </c>
      <c r="AU505" s="99" t="str">
        <f aca="false">IF(ISBLANK($C505), "",AM505)</f>
        <v/>
      </c>
      <c r="AV505" s="99" t="str">
        <f aca="false">IF(ISBLANK($C505),"",IF($AG505=Constants!$B$7,RANK(AU505,AU$8:AU$507),$AG505))</f>
        <v/>
      </c>
      <c r="AW505" s="99" t="str">
        <f aca="false">IF(ISBLANK($C505), "",AR505)</f>
        <v/>
      </c>
      <c r="AX505" s="99" t="str">
        <f aca="false">IF(ISBLANK($C505),"",IF($AG505=Constants!$B$7,RANK(AW505,AW$8:AW$507),$AG505))</f>
        <v/>
      </c>
      <c r="AY505" s="99" t="str">
        <f aca="false">IF(ISBLANK($C505), "",AE505)</f>
        <v/>
      </c>
      <c r="AZ505" s="99" t="str">
        <f aca="false">IF(ISBLANK($C505),"",
IF($AG505=Constants!$B$7,
  IF(ISNUMBER(AT505),
    COUNTIFS($AT$8:$AT$507,"&lt;"&amp;$AT505)
    + COUNTIFS($AT$8:$AT$507,$AT505,$AV$8:$AV$507,"&lt;"&amp;$AV505)
    + COUNTIFS($AT$8:$AT$507,$AT505,$AV$8:$AV$507,$AV505,$AX$8:$AX$507,"&lt;"&amp;$AX505)
    + COUNTIFS($AT$8:$AT$507,$AT505,$AV$8:$AV$507,$AV505,$AX$8:$AX$507,$AX505,$AY$8:$AY$507,"&lt;"&amp;$AY505)
    + 1,
  Constants!$B$14),
$AG505))</f>
        <v/>
      </c>
      <c r="BA505" s="99" t="str">
        <f aca="false">IF(ISBLANK(C505),"",IF($AG505=Constants!$B$7, IF(ISNUMBER(AT505),AT505-AZ505,Constants!$B$14),$AG505))</f>
        <v/>
      </c>
      <c r="BB505" s="103"/>
      <c r="BC505" s="104" t="str">
        <f aca="false">IF(ISBLANK($C505),"",TRIM(AK505&amp;" "&amp;AO505))</f>
        <v/>
      </c>
      <c r="BD505" s="105" t="str">
        <f aca="false">IF(ISBLANK($C505),"",IF($AG505&lt;&gt;Constants!$B$7,$AG505,AR505))</f>
        <v/>
      </c>
      <c r="BE505" s="105" t="str">
        <f aca="false">IF(ISBLANK($C505),"",IF($AG505&lt;&gt;Constants!$B$7,$AG505,AM505))</f>
        <v/>
      </c>
      <c r="BF505" s="105" t="str">
        <f aca="false">IF(ISBLANK($C505),"",IF($AG505&lt;&gt;Constants!$B$7,$AG505,AQ505))</f>
        <v/>
      </c>
      <c r="BG505" s="106" t="str">
        <f aca="false">IF(ISBLANK($C505),"",IF($AG505&lt;&gt;Constants!$B$7, $AG505 ,AS505))</f>
        <v/>
      </c>
      <c r="BH505" s="107" t="str">
        <f aca="false">IF(ISBLANK($C505),"",IF($AG505&lt;&gt;Constants!$B$7, $AG505 ,AH505))</f>
        <v/>
      </c>
      <c r="BI505" s="105" t="str">
        <f aca="false">IF(ISBLANK(C505),"",BA505)</f>
        <v/>
      </c>
      <c r="BJ505" s="105" t="str">
        <f aca="false">IF(ISBLANK(C505),"",AZ505)</f>
        <v/>
      </c>
      <c r="BK505" s="108" t="str">
        <f aca="false">IF(ISBLANK(C505),"",IFERROR(_xlfn.SWITCH(BJ505, Constants!$B$4, COUNTA($C$8:$C1004)+2, Constants!$B$5, COUNTA($C$8:$C1004)+1, Constants!$B$6, COUNTA($C$8:$C1004)),BJ505))</f>
        <v/>
      </c>
      <c r="BL505" s="5"/>
      <c r="BM505" s="109" t="n">
        <f aca="false">IF(OR(ISNUMBER(BJ505),BJ505="DQ",BJ505="P",BJ505="NS"),
    1,
    0
)</f>
        <v>0</v>
      </c>
      <c r="BN505" s="109" t="n">
        <v>498</v>
      </c>
      <c r="BO505" s="109" t="str">
        <f aca="false">IF(ISBLANK($C505),"",IF(ISNUMBER(BK505),BK505+ROW($B505)/1000,""))</f>
        <v/>
      </c>
      <c r="BP505" s="109" t="str">
        <f aca="false">IF(ISNUMBER(BO505), RANK(BO505,BO$8:BO$507,1), "")</f>
        <v/>
      </c>
      <c r="BQ505" s="109" t="str">
        <f aca="false">IF(ISBLANK($C505),
    "",
    $B505
)</f>
        <v/>
      </c>
      <c r="BR505" s="109" t="str">
        <f aca="false">IF(ISBLANK($C505),
    "",
    $C505
)</f>
        <v/>
      </c>
      <c r="BS505" s="109" t="str">
        <f aca="false">IF(ISBLANK($C505),
    "",
    $D505
)</f>
        <v/>
      </c>
      <c r="BT505" s="110" t="str">
        <f aca="false">BH505</f>
        <v/>
      </c>
      <c r="BU505" s="111" t="str">
        <f aca="false">BG505</f>
        <v/>
      </c>
      <c r="BV505" s="109" t="str">
        <f aca="false">IF(ISBLANK($C505),
    "",
    BJ505
)</f>
        <v/>
      </c>
      <c r="BW505" s="112" t="str">
        <f aca="false">IF(BN505&gt;BM$7,
    "",
    VLOOKUP(BN505,BP$8:BV1004,7,FALSE())
)</f>
        <v/>
      </c>
      <c r="BX505" s="113" t="str">
        <f aca="false">IF(BN505&gt;BM$7,
    "",
    VLOOKUP(BN505,BP$8:BV1004,2,FALSE())
)</f>
        <v/>
      </c>
      <c r="BY505" s="113" t="str">
        <f aca="false">IF(BN505&gt;BM$7,
    "",
    VLOOKUP(BN505,BP$8:BV1004,3,FALSE())
)</f>
        <v/>
      </c>
      <c r="BZ505" s="113" t="str">
        <f aca="false">IF(BN505&gt;BM$7,
    "",
    VLOOKUP(BN505,BP$8:BV1004,4,FALSE())
)</f>
        <v/>
      </c>
      <c r="CA505" s="113" t="str">
        <f aca="false">IF(BN505&gt;BM$7,
    "",
    VLOOKUP(BN505,BP$8:BV1004,5,FALSE())
)</f>
        <v/>
      </c>
      <c r="CB505" s="114" t="str">
        <f aca="false">IF(BN505&gt;BM$7,
    "",
    VLOOKUP(BN505,BP$8:BV1004,6,FALSE())
)</f>
        <v/>
      </c>
      <c r="CC505" s="53"/>
    </row>
    <row r="506" customFormat="false" ht="15.75" hidden="false" customHeight="false" outlineLevel="0" collapsed="false">
      <c r="A506" s="5"/>
      <c r="B506" s="129"/>
      <c r="C506" s="55"/>
      <c r="D506" s="56"/>
      <c r="E506" s="123"/>
      <c r="F506" s="123"/>
      <c r="G506" s="58"/>
      <c r="H506" s="59"/>
      <c r="I506" s="59"/>
      <c r="J506" s="83"/>
      <c r="K506" s="83"/>
      <c r="L506" s="83"/>
      <c r="M506" s="61"/>
      <c r="N506" s="61"/>
      <c r="O506" s="61"/>
      <c r="P506" s="62"/>
      <c r="Q506" s="63"/>
      <c r="R506" s="83"/>
      <c r="S506" s="65"/>
      <c r="T506" s="66"/>
      <c r="U506" s="66" t="str">
        <f aca="false">IF(ISBLANK($C506),"",IF(G506=Constants!$B$2, TRUE(), IF(G506=Constants!$B$3, FALSE(), TRUE())))</f>
        <v/>
      </c>
      <c r="V506" s="66" t="str">
        <f aca="false">IF(ISBLANK($C506),"",IF(H506=Constants!$B$2, TRUE(), IF(H506=Constants!$B$3, FALSE(), TRUE())))</f>
        <v/>
      </c>
      <c r="W506" s="66" t="str">
        <f aca="false">IF(ISBLANK($C506),"",IF(I506=Constants!$B$2, TRUE(), IF(I506=Constants!$B$3, FALSE(), TRUE())))</f>
        <v/>
      </c>
      <c r="X506" s="66" t="str">
        <f aca="false">IF(ISBLANK($C506),"",IF(AND(ISNUMBER(J506),J506&gt;0),INT(J506),0))</f>
        <v/>
      </c>
      <c r="Y506" s="66" t="str">
        <f aca="false">IF(ISBLANK($C506),"",IF(K506=Constants!$B$2, TRUE(), IF(K506=Constants!$B$3, FALSE(), TRUE())))</f>
        <v/>
      </c>
      <c r="Z506" s="66" t="str">
        <f aca="false">IF(ISBLANK($C506),"",IF(AND(ISNUMBER(L506),L506&gt;0),INT(L506),0))</f>
        <v/>
      </c>
      <c r="AA506" s="68" t="str">
        <f aca="false">IF(ISBLANK($C506),"",IF(ISNUMBER(M506), M506, ""))</f>
        <v/>
      </c>
      <c r="AB506" s="68" t="str">
        <f aca="false">IF(ISBLANK($C506),"",IF(ISNUMBER(N506), N506, ""))</f>
        <v/>
      </c>
      <c r="AC506" s="68" t="str">
        <f aca="false">IF(ISBLANK($C506),"",IF(ISNUMBER(O506), O506, ""))</f>
        <v/>
      </c>
      <c r="AD506" s="69" t="str">
        <f aca="false">IF(ISBLANK($C506),"",IF(ISNUMBER(P506), P506, ""))</f>
        <v/>
      </c>
      <c r="AE506" s="69" t="str">
        <f aca="false">IF(ISBLANK($C506),"",IF(ISNUMBER(Q506), Q506, Constants!$B$13))</f>
        <v/>
      </c>
      <c r="AF506" s="66" t="str">
        <f aca="false">IF(ISBLANK($C506),"",IF(R506=Constants!$B$2, TRUE(), IF(R506=Constants!$B$3, FALSE(), FALSE())))</f>
        <v/>
      </c>
      <c r="AG506" s="66" t="str">
        <f aca="false">IF(ISBLANK(C506), "", IF(AF506, Constants!$B$4,IF(COUNTA(G506:P506)=0, Constants!$B$5, Constants!$B$7)))</f>
        <v/>
      </c>
      <c r="AH506" s="66" t="str">
        <f aca="false">IF(ISBLANK($C506), "",IF($AG506=Constants!$B$7,1,$AG506))</f>
        <v/>
      </c>
      <c r="AI506" s="66" t="str">
        <f aca="false">IF($AG506=Constants!$B$7,POWER(Constants!$B$11,X506)*POWER(Constants!$B$12,Z506),"")</f>
        <v/>
      </c>
      <c r="AJ506" s="66" t="str">
        <f aca="false">IF(AND($AG506=Constants!$B$7, U506, V506) ,IF(OR($AA506="",$AC506=""),"",MAX(0, $AC506-$AA506)),"")</f>
        <v/>
      </c>
      <c r="AK506" s="66" t="str">
        <f aca="false">IF(AND($AG506=Constants!$B$7, U506, V506),IF(OR($AA506="",$AC506=""),$AK$6,""),"")</f>
        <v/>
      </c>
      <c r="AL506" s="66" t="str">
        <f aca="false">IF($AG506=Constants!$B$7,IF(AND(U506,V506,W506,Y506),IF($AJ506="",0,IF($AJ$6=0,Constants!$B$9,Constants!$B$9*AJ506/$AJ$6)), 0),"")</f>
        <v/>
      </c>
      <c r="AM506" s="66" t="str">
        <f aca="false">IF(AL506&lt;&gt;"", AL506*AI506,"")</f>
        <v/>
      </c>
      <c r="AN506" s="66" t="str">
        <f aca="false">IF(AND($AG506=Constants!$B$7, U506, V506) ,IF($AB506="", "", IF(OR($AC506="",$AC506=0),"",MAX(0,1-ABS($AC506-$AB506)/$AC506))),"")</f>
        <v/>
      </c>
      <c r="AO506" s="66" t="str">
        <f aca="false">IF(AND($AG506=Constants!$B$7, U506, V506),IF(AND($AA506&lt;&gt;"",$AB506&lt;&gt;"",$AC506=0),$AO$6,""),"")</f>
        <v/>
      </c>
      <c r="AP506" s="66" t="str">
        <f aca="false">IF($AG506=Constants!$B$7 ,IF(AND(U506,V506,W506,Y506,ISNUMBER(AB506)),IF($AN506="",0,IF($AN$6=0,Constants!$B$10,Constants!$B$10*AN506/$AN$6)), 0),"")</f>
        <v/>
      </c>
      <c r="AQ506" s="66" t="str">
        <f aca="false">IF(AP506&lt;&gt;"", AP506*AI506,"")</f>
        <v/>
      </c>
      <c r="AR506" s="66" t="str">
        <f aca="false">IF($AG506=Constants!$B$7,IF($AD506="",0,IF($AR$6=0,Constants!$B$8,Constants!$B$8*AD506/$AR$6)),"")</f>
        <v/>
      </c>
      <c r="AS506" s="66" t="str">
        <f aca="false">IF($AG506&lt;&gt;Constants!$B$7,$AG506,IF(AK506&amp;AO506&lt;&gt;"",Constants!$B$14,AM506+AQ506+AR506))</f>
        <v/>
      </c>
      <c r="AT506" s="66" t="str">
        <f aca="false">IF(ISBLANK($C506),"",IF($AG506=Constants!$B$7,IF(ISNUMBER(AS506),RANK(AS506,$AS$8:$AS$507),Constants!$B$14),$AG506))</f>
        <v/>
      </c>
      <c r="AU506" s="66" t="str">
        <f aca="false">IF(ISBLANK($C506), "",AM506)</f>
        <v/>
      </c>
      <c r="AV506" s="66" t="str">
        <f aca="false">IF(ISBLANK($C506),"",IF($AG506=Constants!$B$7,RANK(AU506,AU$8:AU$507),$AG506))</f>
        <v/>
      </c>
      <c r="AW506" s="66" t="str">
        <f aca="false">IF(ISBLANK($C506), "",AR506)</f>
        <v/>
      </c>
      <c r="AX506" s="66" t="str">
        <f aca="false">IF(ISBLANK($C506),"",IF($AG506=Constants!$B$7,RANK(AW506,AW$8:AW$507),$AG506))</f>
        <v/>
      </c>
      <c r="AY506" s="66" t="str">
        <f aca="false">IF(ISBLANK($C506), "",AE506)</f>
        <v/>
      </c>
      <c r="AZ506" s="66" t="str">
        <f aca="false">IF(ISBLANK($C506),"",
IF($AG506=Constants!$B$7,
  IF(ISNUMBER(AT506),
    COUNTIFS($AT$8:$AT$507,"&lt;"&amp;$AT506)
    + COUNTIFS($AT$8:$AT$507,$AT506,$AV$8:$AV$507,"&lt;"&amp;$AV506)
    + COUNTIFS($AT$8:$AT$507,$AT506,$AV$8:$AV$507,$AV506,$AX$8:$AX$507,"&lt;"&amp;$AX506)
    + COUNTIFS($AT$8:$AT$507,$AT506,$AV$8:$AV$507,$AV506,$AX$8:$AX$507,$AX506,$AY$8:$AY$507,"&lt;"&amp;$AY506)
    + 1,
  Constants!$B$14),
$AG506))</f>
        <v/>
      </c>
      <c r="BA506" s="66" t="str">
        <f aca="false">IF(ISBLANK(C506),"",IF($AG506=Constants!$B$7, IF(ISNUMBER(AT506),AT506-AZ506,Constants!$B$14),$AG506))</f>
        <v/>
      </c>
      <c r="BB506" s="70"/>
      <c r="BC506" s="84" t="str">
        <f aca="false">IF(ISBLANK($C506),"",TRIM(AK506&amp;" "&amp;AO506))</f>
        <v/>
      </c>
      <c r="BD506" s="72" t="str">
        <f aca="false">IF(ISBLANK($C506),"",IF($AG506&lt;&gt;Constants!$B$7,$AG506,AR506))</f>
        <v/>
      </c>
      <c r="BE506" s="72" t="str">
        <f aca="false">IF(ISBLANK($C506),"",IF($AG506&lt;&gt;Constants!$B$7,$AG506,AM506))</f>
        <v/>
      </c>
      <c r="BF506" s="72" t="str">
        <f aca="false">IF(ISBLANK($C506),"",IF($AG506&lt;&gt;Constants!$B$7,$AG506,AQ506))</f>
        <v/>
      </c>
      <c r="BG506" s="73" t="str">
        <f aca="false">IF(ISBLANK($C506),"",IF($AG506&lt;&gt;Constants!$B$7, $AG506 ,AS506))</f>
        <v/>
      </c>
      <c r="BH506" s="74" t="str">
        <f aca="false">IF(ISBLANK($C506),"",IF($AG506&lt;&gt;Constants!$B$7, $AG506 ,AH506))</f>
        <v/>
      </c>
      <c r="BI506" s="72" t="str">
        <f aca="false">IF(ISBLANK(C506),"",BA506)</f>
        <v/>
      </c>
      <c r="BJ506" s="72" t="str">
        <f aca="false">IF(ISBLANK(C506),"",AZ506)</f>
        <v/>
      </c>
      <c r="BK506" s="75" t="str">
        <f aca="false">IF(ISBLANK(C506),"",IFERROR(_xlfn.SWITCH(BJ506, Constants!$B$4, COUNTA($C$8:$C1005)+2, Constants!$B$5, COUNTA($C$8:$C1005)+1, Constants!$B$6, COUNTA($C$8:$C1005)),BJ506))</f>
        <v/>
      </c>
      <c r="BL506" s="5"/>
      <c r="BM506" s="76" t="n">
        <f aca="false">IF(OR(ISNUMBER(BJ506),BJ506="DQ",BJ506="P",BJ506="NS"),
    1,
    0
)</f>
        <v>0</v>
      </c>
      <c r="BN506" s="76" t="n">
        <v>499</v>
      </c>
      <c r="BO506" s="76" t="str">
        <f aca="false">IF(ISBLANK($C506),"",IF(ISNUMBER(BK506),BK506+ROW($B506)/1000,""))</f>
        <v/>
      </c>
      <c r="BP506" s="76" t="str">
        <f aca="false">IF(ISNUMBER(BO506), RANK(BO506,BO$8:BO$507,1), "")</f>
        <v/>
      </c>
      <c r="BQ506" s="76" t="str">
        <f aca="false">IF(ISBLANK($C506),
    "",
    $B506
)</f>
        <v/>
      </c>
      <c r="BR506" s="76" t="str">
        <f aca="false">IF(ISBLANK($C506),
    "",
    $C506
)</f>
        <v/>
      </c>
      <c r="BS506" s="76" t="str">
        <f aca="false">IF(ISBLANK($C506),
    "",
    $D506
)</f>
        <v/>
      </c>
      <c r="BT506" s="77" t="str">
        <f aca="false">BH506</f>
        <v/>
      </c>
      <c r="BU506" s="78" t="str">
        <f aca="false">BG506</f>
        <v/>
      </c>
      <c r="BV506" s="76" t="str">
        <f aca="false">IF(ISBLANK($C506),
    "",
    BJ506
)</f>
        <v/>
      </c>
      <c r="BW506" s="79" t="str">
        <f aca="false">IF(BN506&gt;BM$7,
    "",
    VLOOKUP(BN506,BP$8:BV1005,7,FALSE())
)</f>
        <v/>
      </c>
      <c r="BX506" s="80" t="str">
        <f aca="false">IF(BN506&gt;BM$7,
    "",
    VLOOKUP(BN506,BP$8:BV1005,2,FALSE())
)</f>
        <v/>
      </c>
      <c r="BY506" s="80" t="str">
        <f aca="false">IF(BN506&gt;BM$7,
    "",
    VLOOKUP(BN506,BP$8:BV1005,3,FALSE())
)</f>
        <v/>
      </c>
      <c r="BZ506" s="80" t="str">
        <f aca="false">IF(BN506&gt;BM$7,
    "",
    VLOOKUP(BN506,BP$8:BV1005,4,FALSE())
)</f>
        <v/>
      </c>
      <c r="CA506" s="80" t="str">
        <f aca="false">IF(BN506&gt;BM$7,
    "",
    VLOOKUP(BN506,BP$8:BV1005,5,FALSE())
)</f>
        <v/>
      </c>
      <c r="CB506" s="81" t="str">
        <f aca="false">IF(BN506&gt;BM$7,
    "",
    VLOOKUP(BN506,BP$8:BV1005,6,FALSE())
)</f>
        <v/>
      </c>
      <c r="CC506" s="53"/>
    </row>
    <row r="507" customFormat="false" ht="15.75" hidden="false" customHeight="false" outlineLevel="0" collapsed="false">
      <c r="A507" s="5"/>
      <c r="B507" s="129"/>
      <c r="C507" s="55"/>
      <c r="D507" s="56"/>
      <c r="E507" s="123"/>
      <c r="F507" s="123"/>
      <c r="G507" s="58"/>
      <c r="H507" s="59"/>
      <c r="I507" s="59"/>
      <c r="J507" s="83"/>
      <c r="K507" s="83"/>
      <c r="L507" s="83"/>
      <c r="M507" s="61"/>
      <c r="N507" s="61"/>
      <c r="O507" s="61"/>
      <c r="P507" s="62"/>
      <c r="Q507" s="63"/>
      <c r="R507" s="83"/>
      <c r="S507" s="65"/>
      <c r="T507" s="66"/>
      <c r="U507" s="66" t="str">
        <f aca="false">IF(ISBLANK($C507),"",IF(G507=Constants!$B$2, TRUE(), IF(G507=Constants!$B$3, FALSE(), TRUE())))</f>
        <v/>
      </c>
      <c r="V507" s="66" t="str">
        <f aca="false">IF(ISBLANK($C507),"",IF(H507=Constants!$B$2, TRUE(), IF(H507=Constants!$B$3, FALSE(), TRUE())))</f>
        <v/>
      </c>
      <c r="W507" s="66" t="str">
        <f aca="false">IF(ISBLANK($C507),"",IF(I507=Constants!$B$2, TRUE(), IF(I507=Constants!$B$3, FALSE(), TRUE())))</f>
        <v/>
      </c>
      <c r="X507" s="66" t="str">
        <f aca="false">IF(ISBLANK($C507),"",IF(AND(ISNUMBER(J507),J507&gt;0),INT(J507),0))</f>
        <v/>
      </c>
      <c r="Y507" s="66" t="str">
        <f aca="false">IF(ISBLANK($C507),"",IF(K507=Constants!$B$2, TRUE(), IF(K507=Constants!$B$3, FALSE(), TRUE())))</f>
        <v/>
      </c>
      <c r="Z507" s="66" t="str">
        <f aca="false">IF(ISBLANK($C507),"",IF(AND(ISNUMBER(L507),L507&gt;0),INT(L507),0))</f>
        <v/>
      </c>
      <c r="AA507" s="68" t="str">
        <f aca="false">IF(ISBLANK($C507),"",IF(ISNUMBER(M507), M507, ""))</f>
        <v/>
      </c>
      <c r="AB507" s="68" t="str">
        <f aca="false">IF(ISBLANK($C507),"",IF(ISNUMBER(N507), N507, ""))</f>
        <v/>
      </c>
      <c r="AC507" s="68" t="str">
        <f aca="false">IF(ISBLANK($C507),"",IF(ISNUMBER(O507), O507, ""))</f>
        <v/>
      </c>
      <c r="AD507" s="69" t="str">
        <f aca="false">IF(ISBLANK($C507),"",IF(ISNUMBER(P507), P507, ""))</f>
        <v/>
      </c>
      <c r="AE507" s="69" t="str">
        <f aca="false">IF(ISBLANK($C507),"",IF(ISNUMBER(Q507), Q507, Constants!$B$13))</f>
        <v/>
      </c>
      <c r="AF507" s="66" t="str">
        <f aca="false">IF(ISBLANK($C507),"",IF(R507=Constants!$B$2, TRUE(), IF(R507=Constants!$B$3, FALSE(), FALSE())))</f>
        <v/>
      </c>
      <c r="AG507" s="66" t="str">
        <f aca="false">IF(ISBLANK(C507), "", IF(AF507, Constants!$B$4,IF(COUNTA(G507:P507)=0, Constants!$B$5, Constants!$B$7)))</f>
        <v/>
      </c>
      <c r="AH507" s="66" t="str">
        <f aca="false">IF(ISBLANK($C507), "",IF($AG507=Constants!$B$7,1,$AG507))</f>
        <v/>
      </c>
      <c r="AI507" s="66" t="str">
        <f aca="false">IF($AG507=Constants!$B$7,POWER(Constants!$B$11,X507)*POWER(Constants!$B$12,Z507),"")</f>
        <v/>
      </c>
      <c r="AJ507" s="66" t="str">
        <f aca="false">IF(AND($AG507=Constants!$B$7, U507, V507) ,IF(OR($AA507="",$AC507=""),"",MAX(0, $AC507-$AA507)),"")</f>
        <v/>
      </c>
      <c r="AK507" s="66" t="str">
        <f aca="false">IF(AND($AG507=Constants!$B$7, U507, V507),IF(OR($AA507="",$AC507=""),$AK$6,""),"")</f>
        <v/>
      </c>
      <c r="AL507" s="66" t="str">
        <f aca="false">IF($AG507=Constants!$B$7,IF(AND(U507,V507,W507,Y507),IF($AJ507="",0,IF($AJ$6=0,Constants!$B$9,Constants!$B$9*AJ507/$AJ$6)), 0),"")</f>
        <v/>
      </c>
      <c r="AM507" s="66" t="str">
        <f aca="false">IF(AL507&lt;&gt;"", AL507*AI507,"")</f>
        <v/>
      </c>
      <c r="AN507" s="66" t="str">
        <f aca="false">IF(AND($AG507=Constants!$B$7, U507, V507) ,IF($AB507="", "", IF(OR($AC507="",$AC507=0),"",MAX(0,1-ABS($AC507-$AB507)/$AC507))),"")</f>
        <v/>
      </c>
      <c r="AO507" s="66" t="str">
        <f aca="false">IF(AND($AG507=Constants!$B$7, U507, V507),IF(AND($AA507&lt;&gt;"",$AB507&lt;&gt;"",$AC507=0),$AO$6,""),"")</f>
        <v/>
      </c>
      <c r="AP507" s="66" t="str">
        <f aca="false">IF($AG507=Constants!$B$7 ,IF(AND(U507,V507,W507,Y507,ISNUMBER(AB507)),IF($AN507="",0,IF($AN$6=0,Constants!$B$10,Constants!$B$10*AN507/$AN$6)), 0),"")</f>
        <v/>
      </c>
      <c r="AQ507" s="66" t="str">
        <f aca="false">IF(AP507&lt;&gt;"", AP507*AI507,"")</f>
        <v/>
      </c>
      <c r="AR507" s="66" t="str">
        <f aca="false">IF($AG507=Constants!$B$7,IF($AD507="",0,IF($AR$6=0,Constants!$B$8,Constants!$B$8*AD507/$AR$6)),"")</f>
        <v/>
      </c>
      <c r="AS507" s="66" t="str">
        <f aca="false">IF($AG507&lt;&gt;Constants!$B$7,$AG507,IF(AK507&amp;AO507&lt;&gt;"",Constants!$B$14,AM507+AQ507+AR507))</f>
        <v/>
      </c>
      <c r="AT507" s="66" t="str">
        <f aca="false">IF(ISBLANK($C507),"",IF($AG507=Constants!$B$7,IF(ISNUMBER(AS507),RANK(AS507,$AS$8:$AS$507),Constants!$B$14),$AG507))</f>
        <v/>
      </c>
      <c r="AU507" s="66" t="str">
        <f aca="false">IF(ISBLANK($C507), "",AM507)</f>
        <v/>
      </c>
      <c r="AV507" s="66" t="str">
        <f aca="false">IF(ISBLANK($C507),"",IF($AG507=Constants!$B$7,RANK(AU507,AU$8:AU$507),$AG507))</f>
        <v/>
      </c>
      <c r="AW507" s="66" t="str">
        <f aca="false">IF(ISBLANK($C507), "",AR507)</f>
        <v/>
      </c>
      <c r="AX507" s="66" t="str">
        <f aca="false">IF(ISBLANK($C507),"",IF($AG507=Constants!$B$7,RANK(AW507,AW$8:AW$507),$AG507))</f>
        <v/>
      </c>
      <c r="AY507" s="66" t="str">
        <f aca="false">IF(ISBLANK($C507), "",AE507)</f>
        <v/>
      </c>
      <c r="AZ507" s="66" t="str">
        <f aca="false">IF(ISBLANK($C507),"",
IF($AG507=Constants!$B$7,
  IF(ISNUMBER(AT507),
    COUNTIFS($AT$8:$AT$507,"&lt;"&amp;$AT507)
    + COUNTIFS($AT$8:$AT$507,$AT507,$AV$8:$AV$507,"&lt;"&amp;$AV507)
    + COUNTIFS($AT$8:$AT$507,$AT507,$AV$8:$AV$507,$AV507,$AX$8:$AX$507,"&lt;"&amp;$AX507)
    + COUNTIFS($AT$8:$AT$507,$AT507,$AV$8:$AV$507,$AV507,$AX$8:$AX$507,$AX507,$AY$8:$AY$507,"&lt;"&amp;$AY507)
    + 1,
  Constants!$B$14),
$AG507))</f>
        <v/>
      </c>
      <c r="BA507" s="66" t="str">
        <f aca="false">IF(ISBLANK(C507),"",IF($AG507=Constants!$B$7, IF(ISNUMBER(AT507),AT507-AZ507,Constants!$B$14),$AG507))</f>
        <v/>
      </c>
      <c r="BB507" s="70"/>
      <c r="BC507" s="84" t="str">
        <f aca="false">IF(ISBLANK($C507),"",TRIM(AK507&amp;" "&amp;AO507))</f>
        <v/>
      </c>
      <c r="BD507" s="72" t="str">
        <f aca="false">IF(ISBLANK($C507),"",IF($AG507&lt;&gt;Constants!$B$7,$AG507,AR507))</f>
        <v/>
      </c>
      <c r="BE507" s="72" t="str">
        <f aca="false">IF(ISBLANK($C507),"",IF($AG507&lt;&gt;Constants!$B$7,$AG507,AM507))</f>
        <v/>
      </c>
      <c r="BF507" s="72" t="str">
        <f aca="false">IF(ISBLANK($C507),"",IF($AG507&lt;&gt;Constants!$B$7,$AG507,AQ507))</f>
        <v/>
      </c>
      <c r="BG507" s="73" t="str">
        <f aca="false">IF(ISBLANK($C507),"",IF($AG507&lt;&gt;Constants!$B$7, $AG507 ,AS507))</f>
        <v/>
      </c>
      <c r="BH507" s="74" t="str">
        <f aca="false">IF(ISBLANK($C507),"",IF($AG507&lt;&gt;Constants!$B$7, $AG507 ,AH507))</f>
        <v/>
      </c>
      <c r="BI507" s="72" t="str">
        <f aca="false">IF(ISBLANK(C507),"",BA507)</f>
        <v/>
      </c>
      <c r="BJ507" s="72" t="str">
        <f aca="false">IF(ISBLANK(C507),"",AZ507)</f>
        <v/>
      </c>
      <c r="BK507" s="75" t="str">
        <f aca="false">IF(ISBLANK(C507),"",IFERROR(_xlfn.SWITCH(BJ507, Constants!$B$4, COUNTA($C$8:$C1006)+2, Constants!$B$5, COUNTA($C$8:$C1006)+1, Constants!$B$6, COUNTA($C$8:$C1006)),BJ507))</f>
        <v/>
      </c>
      <c r="BL507" s="5"/>
      <c r="BM507" s="76" t="n">
        <f aca="false">IF(OR(ISNUMBER(BJ507),BJ507="DQ",BJ507="P",BJ507="NS"),
    1,
    0
)</f>
        <v>0</v>
      </c>
      <c r="BN507" s="76" t="n">
        <v>500</v>
      </c>
      <c r="BO507" s="76" t="str">
        <f aca="false">IF(ISBLANK($C507),"",IF(ISNUMBER(BK507),BK507+ROW($B507)/1000,""))</f>
        <v/>
      </c>
      <c r="BP507" s="76" t="str">
        <f aca="false">IF(ISNUMBER(BO507), RANK(BO507,BO$8:BO$507,1), "")</f>
        <v/>
      </c>
      <c r="BQ507" s="76" t="str">
        <f aca="false">IF(ISBLANK($C507),
    "",
    $B507
)</f>
        <v/>
      </c>
      <c r="BR507" s="76" t="str">
        <f aca="false">IF(ISBLANK($C507),
    "",
    $C507
)</f>
        <v/>
      </c>
      <c r="BS507" s="76" t="str">
        <f aca="false">IF(ISBLANK($C507),
    "",
    $D507
)</f>
        <v/>
      </c>
      <c r="BT507" s="77" t="str">
        <f aca="false">BH507</f>
        <v/>
      </c>
      <c r="BU507" s="78" t="str">
        <f aca="false">BG507</f>
        <v/>
      </c>
      <c r="BV507" s="76" t="str">
        <f aca="false">IF(ISBLANK($C507),
    "",
    BJ507
)</f>
        <v/>
      </c>
      <c r="BW507" s="79" t="str">
        <f aca="false">IF(BN507&gt;BM$7,
    "",
    VLOOKUP(BN507,BP$8:BV1006,7,FALSE())
)</f>
        <v/>
      </c>
      <c r="BX507" s="80" t="str">
        <f aca="false">IF(BN507&gt;BM$7,
    "",
    VLOOKUP(BN507,BP$8:BV1006,2,FALSE())
)</f>
        <v/>
      </c>
      <c r="BY507" s="80" t="str">
        <f aca="false">IF(BN507&gt;BM$7,
    "",
    VLOOKUP(BN507,BP$8:BV1006,3,FALSE())
)</f>
        <v/>
      </c>
      <c r="BZ507" s="80" t="str">
        <f aca="false">IF(BN507&gt;BM$7,
    "",
    VLOOKUP(BN507,BP$8:BV1006,4,FALSE())
)</f>
        <v/>
      </c>
      <c r="CA507" s="80" t="str">
        <f aca="false">IF(BN507&gt;BM$7,
    "",
    VLOOKUP(BN507,BP$8:BV1006,5,FALSE())
)</f>
        <v/>
      </c>
      <c r="CB507" s="81" t="str">
        <f aca="false">IF(BN507&gt;BM$7,
    "",
    VLOOKUP(BN507,BP$8:BV1006,6,FALSE())
)</f>
        <v/>
      </c>
      <c r="CC507" s="53"/>
    </row>
  </sheetData>
  <mergeCells count="62">
    <mergeCell ref="B2:D3"/>
    <mergeCell ref="H2:I2"/>
    <mergeCell ref="J2:O2"/>
    <mergeCell ref="P2:Q2"/>
    <mergeCell ref="S2:S6"/>
    <mergeCell ref="BB2:BB6"/>
    <mergeCell ref="BD2:BF2"/>
    <mergeCell ref="BG2:BK2"/>
    <mergeCell ref="BO2:BO7"/>
    <mergeCell ref="BP2:BP7"/>
    <mergeCell ref="BQ2:BQ7"/>
    <mergeCell ref="BR2:BR7"/>
    <mergeCell ref="BS2:BS7"/>
    <mergeCell ref="BT2:BT7"/>
    <mergeCell ref="BU2:BU7"/>
    <mergeCell ref="BV2:BV7"/>
    <mergeCell ref="BW2:CB2"/>
    <mergeCell ref="E3:E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R3:R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AE3:AE7"/>
    <mergeCell ref="AF3:AF7"/>
    <mergeCell ref="BC3:BC7"/>
    <mergeCell ref="BD3:BD7"/>
    <mergeCell ref="BE3:BE7"/>
    <mergeCell ref="BF3:BF7"/>
    <mergeCell ref="BG3:BG7"/>
    <mergeCell ref="BH3:BH7"/>
    <mergeCell ref="BI3:BI7"/>
    <mergeCell ref="BJ3:BJ7"/>
    <mergeCell ref="BK3:BK7"/>
    <mergeCell ref="BL3:BL7"/>
    <mergeCell ref="BW3:BW7"/>
    <mergeCell ref="BX3:BX7"/>
    <mergeCell ref="BY3:BY7"/>
    <mergeCell ref="BZ3:BZ7"/>
    <mergeCell ref="CA3:CA7"/>
    <mergeCell ref="CB3:CB7"/>
    <mergeCell ref="B4:D4"/>
    <mergeCell ref="B5:D5"/>
    <mergeCell ref="B6:D6"/>
  </mergeCells>
  <conditionalFormatting sqref="BJ8:BJ507">
    <cfRule type="expression" priority="2" aboveAverage="0" equalAverage="0" bottom="0" percent="0" rank="0" text="" dxfId="0">
      <formula>AND(ISNUMBER($BJ8),COUNTIF($BJ$8:$BJ$507,$BJ8)&gt;1)</formula>
    </cfRule>
  </conditionalFormatting>
  <conditionalFormatting sqref="G8:I507 K8:K507">
    <cfRule type="cellIs" priority="3" operator="equal" aboveAverage="0" equalAverage="0" bottom="0" percent="0" rank="0" text="" dxfId="1">
      <formula>Constants!$B$3</formula>
    </cfRule>
  </conditionalFormatting>
  <conditionalFormatting sqref="B4:D4">
    <cfRule type="containsText" priority="4" operator="containsText" aboveAverage="0" equalAverage="0" bottom="0" percent="0" rank="0" text="download" dxfId="2">
      <formula>NOT(ISERROR(SEARCH("download",B4)))</formula>
    </cfRule>
  </conditionalFormatting>
  <conditionalFormatting sqref="R1 R3:R507 AF3:AF7">
    <cfRule type="cellIs" priority="5" operator="equal" aboveAverage="0" equalAverage="0" bottom="0" percent="0" rank="0" text="" dxfId="1">
      <formula>Constants!$B$2</formula>
    </cfRule>
  </conditionalFormatting>
  <conditionalFormatting sqref="BC8:BC507">
    <cfRule type="expression" priority="6" aboveAverage="0" equalAverage="0" bottom="0" percent="0" rank="0" text="" dxfId="1">
      <formula>LEN(BC8)&gt;0</formula>
    </cfRule>
  </conditionalFormatting>
  <conditionalFormatting sqref="M8:M507">
    <cfRule type="expression" priority="7" aboveAverage="0" equalAverage="0" bottom="0" percent="0" rank="0" text="" dxfId="3">
      <formula>AND(ISBLANK(M8),LEN($BC8)&gt;0)</formula>
    </cfRule>
  </conditionalFormatting>
  <conditionalFormatting sqref="O8:O507">
    <cfRule type="expression" priority="8" aboveAverage="0" equalAverage="0" bottom="0" percent="0" rank="0" text="" dxfId="3">
      <formula>AND(OR(ISBLANK(O8),O8=0),LEN($BC8)&gt;0)</formula>
    </cfRule>
  </conditionalFormatting>
  <conditionalFormatting sqref="J8:J507">
    <cfRule type="expression" priority="9" aboveAverage="0" equalAverage="0" bottom="0" percent="0" rank="0" text="" dxfId="1">
      <formula>AND(ISNUMBER(J8),J8&gt;0)</formula>
    </cfRule>
  </conditionalFormatting>
  <conditionalFormatting sqref="L8:L507">
    <cfRule type="expression" priority="10" aboveAverage="0" equalAverage="0" bottom="0" percent="0" rank="0" text="" dxfId="1">
      <formula>AND(ISNUMBER(L8),L8&gt;0)</formula>
    </cfRule>
  </conditionalFormatting>
  <dataValidations count="4">
    <dataValidation allowBlank="true" errorStyle="stop" operator="greaterThanOrEqual" showDropDown="true" showErrorMessage="false" showInputMessage="false" sqref="E8:F507 M8:Q507" type="decimal">
      <formula1>0</formula1>
      <formula2>0</formula2>
    </dataValidation>
    <dataValidation allowBlank="true" errorStyle="stop" operator="between" prompt="True (T)/False (F)" showDropDown="false" showErrorMessage="true" showInputMessage="true" sqref="K8:K507 R8:R507" type="list">
      <formula1>"T,F"</formula1>
      <formula2>0</formula2>
    </dataValidation>
    <dataValidation allowBlank="true" errorStyle="stop" operator="greaterThanOrEqual" prompt="True (T)/False (F)" showDropDown="false" showErrorMessage="false" showInputMessage="true" sqref="G8:I507" type="list">
      <formula1>"T,F"</formula1>
      <formula2>0</formula2>
    </dataValidation>
    <dataValidation allowBlank="true" errorStyle="stop" operator="greaterThanOrEqual" prompt="Number of violations" showDropDown="false" showErrorMessage="true" showInputMessage="true" sqref="J8:J507 L8:L507" type="whole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91"/>
  </cols>
  <sheetData>
    <row r="1" customFormat="false" ht="15.75" hidden="false" customHeight="false" outlineLevel="0" collapsed="false">
      <c r="A1" s="130" t="s">
        <v>62</v>
      </c>
      <c r="B1" s="130" t="s">
        <v>63</v>
      </c>
    </row>
    <row r="2" customFormat="false" ht="15.75" hidden="false" customHeight="false" outlineLevel="0" collapsed="false">
      <c r="A2" s="130" t="b">
        <f aca="false">TRUE()</f>
        <v>1</v>
      </c>
      <c r="B2" s="130" t="s">
        <v>64</v>
      </c>
    </row>
    <row r="3" customFormat="false" ht="15.75" hidden="false" customHeight="false" outlineLevel="0" collapsed="false">
      <c r="A3" s="130" t="b">
        <f aca="false">FALSE()</f>
        <v>0</v>
      </c>
      <c r="B3" s="130" t="s">
        <v>65</v>
      </c>
    </row>
    <row r="4" customFormat="false" ht="15.75" hidden="false" customHeight="false" outlineLevel="0" collapsed="false">
      <c r="A4" s="130" t="s">
        <v>66</v>
      </c>
      <c r="B4" s="130" t="s">
        <v>67</v>
      </c>
    </row>
    <row r="5" customFormat="false" ht="15.75" hidden="false" customHeight="false" outlineLevel="0" collapsed="false">
      <c r="A5" s="130" t="s">
        <v>68</v>
      </c>
      <c r="B5" s="130" t="s">
        <v>69</v>
      </c>
    </row>
    <row r="6" customFormat="false" ht="15.75" hidden="false" customHeight="false" outlineLevel="0" collapsed="false">
      <c r="A6" s="130" t="s">
        <v>70</v>
      </c>
      <c r="B6" s="130" t="s">
        <v>71</v>
      </c>
    </row>
    <row r="7" customFormat="false" ht="15.75" hidden="false" customHeight="false" outlineLevel="0" collapsed="false">
      <c r="A7" s="130" t="s">
        <v>72</v>
      </c>
      <c r="B7" s="130" t="s">
        <v>73</v>
      </c>
    </row>
    <row r="8" customFormat="false" ht="15.75" hidden="false" customHeight="false" outlineLevel="0" collapsed="false">
      <c r="A8" s="131" t="s">
        <v>74</v>
      </c>
      <c r="B8" s="130" t="n">
        <v>50</v>
      </c>
    </row>
    <row r="9" customFormat="false" ht="15.75" hidden="false" customHeight="true" outlineLevel="0" collapsed="false">
      <c r="A9" s="131" t="s">
        <v>75</v>
      </c>
      <c r="B9" s="131" t="n">
        <v>30</v>
      </c>
    </row>
    <row r="10" customFormat="false" ht="15.75" hidden="false" customHeight="true" outlineLevel="0" collapsed="false">
      <c r="A10" s="131" t="s">
        <v>76</v>
      </c>
      <c r="B10" s="131" t="n">
        <v>20</v>
      </c>
    </row>
    <row r="11" customFormat="false" ht="15.75" hidden="false" customHeight="true" outlineLevel="0" collapsed="false">
      <c r="A11" s="131" t="s">
        <v>77</v>
      </c>
      <c r="B11" s="131" t="n">
        <v>0.7</v>
      </c>
    </row>
    <row r="12" customFormat="false" ht="15.75" hidden="false" customHeight="true" outlineLevel="0" collapsed="false">
      <c r="A12" s="131" t="s">
        <v>78</v>
      </c>
      <c r="B12" s="131" t="n">
        <v>0.9</v>
      </c>
    </row>
    <row r="13" customFormat="false" ht="15.75" hidden="false" customHeight="true" outlineLevel="0" collapsed="false">
      <c r="A13" s="1" t="s">
        <v>79</v>
      </c>
      <c r="B13" s="1" t="n">
        <v>1</v>
      </c>
    </row>
    <row r="14" customFormat="false" ht="15.75" hidden="false" customHeight="false" outlineLevel="0" collapsed="false">
      <c r="A14" s="1" t="s">
        <v>80</v>
      </c>
      <c r="B14" s="1" t="s">
        <v>81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32" t="s">
        <v>39</v>
      </c>
      <c r="B1" s="132" t="s">
        <v>40</v>
      </c>
      <c r="C1" s="132" t="s">
        <v>41</v>
      </c>
      <c r="D1" s="132" t="s">
        <v>47</v>
      </c>
      <c r="E1" s="132" t="s">
        <v>34</v>
      </c>
      <c r="F1" s="132" t="s">
        <v>36</v>
      </c>
      <c r="G1" s="132" t="s">
        <v>35</v>
      </c>
      <c r="H1" s="132" t="s">
        <v>38</v>
      </c>
      <c r="I1" s="132" t="s">
        <v>37</v>
      </c>
    </row>
    <row r="2" customFormat="false" ht="15.75" hidden="false" customHeight="false" outlineLevel="0" collapsed="false">
      <c r="A2" s="133" t="n">
        <f aca="false">ExportRaw!$F2</f>
        <v>0</v>
      </c>
      <c r="B2" s="133" t="n">
        <f aca="false">ExportRaw!$C2</f>
        <v>0</v>
      </c>
      <c r="C2" s="133" t="n">
        <f aca="false">ExportRaw!$G2</f>
        <v>0</v>
      </c>
      <c r="D2" s="133" t="str">
        <f aca="false">ExportRaw!$E2</f>
        <v/>
      </c>
      <c r="E2" s="134" t="str">
        <f aca="false">ExportRaw!$D2</f>
        <v/>
      </c>
      <c r="F2" s="133" t="str">
        <f aca="false">ExportRaw!$H2</f>
        <v/>
      </c>
      <c r="G2" s="135" t="str">
        <f aca="false">ExportRaw!$I2</f>
        <v/>
      </c>
      <c r="H2" s="133" t="str">
        <f aca="false">ExportRaw!$A2</f>
        <v/>
      </c>
      <c r="I2" s="133" t="str">
        <f aca="false">ExportRaw!$B2</f>
        <v/>
      </c>
    </row>
    <row r="3" customFormat="false" ht="15.75" hidden="false" customHeight="false" outlineLevel="0" collapsed="false">
      <c r="A3" s="133" t="n">
        <f aca="false">ExportRaw!$F3</f>
        <v>0</v>
      </c>
      <c r="B3" s="133" t="n">
        <f aca="false">ExportRaw!$C3</f>
        <v>0</v>
      </c>
      <c r="C3" s="133" t="n">
        <f aca="false">ExportRaw!$G3</f>
        <v>0</v>
      </c>
      <c r="D3" s="133" t="str">
        <f aca="false">ExportRaw!$E3</f>
        <v/>
      </c>
      <c r="E3" s="134" t="str">
        <f aca="false">ExportRaw!$D3</f>
        <v/>
      </c>
      <c r="F3" s="133" t="str">
        <f aca="false">ExportRaw!$H3</f>
        <v/>
      </c>
      <c r="G3" s="135" t="str">
        <f aca="false">ExportRaw!$I3</f>
        <v/>
      </c>
      <c r="H3" s="133" t="str">
        <f aca="false">ExportRaw!$A3</f>
        <v/>
      </c>
      <c r="I3" s="133" t="str">
        <f aca="false">ExportRaw!$B3</f>
        <v/>
      </c>
    </row>
    <row r="4" customFormat="false" ht="15.75" hidden="false" customHeight="false" outlineLevel="0" collapsed="false">
      <c r="A4" s="133" t="n">
        <f aca="false">ExportRaw!$F4</f>
        <v>0</v>
      </c>
      <c r="B4" s="133" t="n">
        <f aca="false">ExportRaw!$C4</f>
        <v>0</v>
      </c>
      <c r="C4" s="133" t="n">
        <f aca="false">ExportRaw!$G4</f>
        <v>0</v>
      </c>
      <c r="D4" s="133" t="str">
        <f aca="false">ExportRaw!$E4</f>
        <v/>
      </c>
      <c r="E4" s="134" t="str">
        <f aca="false">ExportRaw!$D4</f>
        <v/>
      </c>
      <c r="F4" s="133" t="str">
        <f aca="false">ExportRaw!$H4</f>
        <v/>
      </c>
      <c r="G4" s="135" t="str">
        <f aca="false">ExportRaw!$I4</f>
        <v/>
      </c>
      <c r="H4" s="133" t="str">
        <f aca="false">ExportRaw!$A4</f>
        <v/>
      </c>
      <c r="I4" s="133" t="str">
        <f aca="false">ExportRaw!$B4</f>
        <v/>
      </c>
    </row>
    <row r="5" customFormat="false" ht="15.75" hidden="false" customHeight="false" outlineLevel="0" collapsed="false">
      <c r="A5" s="133" t="n">
        <f aca="false">ExportRaw!$F5</f>
        <v>0</v>
      </c>
      <c r="B5" s="133" t="n">
        <f aca="false">ExportRaw!$C5</f>
        <v>0</v>
      </c>
      <c r="C5" s="133" t="n">
        <f aca="false">ExportRaw!$G5</f>
        <v>0</v>
      </c>
      <c r="D5" s="133" t="str">
        <f aca="false">ExportRaw!$E5</f>
        <v/>
      </c>
      <c r="E5" s="134" t="str">
        <f aca="false">ExportRaw!$D5</f>
        <v/>
      </c>
      <c r="F5" s="133" t="str">
        <f aca="false">ExportRaw!$H5</f>
        <v/>
      </c>
      <c r="G5" s="135" t="str">
        <f aca="false">ExportRaw!$I5</f>
        <v/>
      </c>
      <c r="H5" s="133" t="str">
        <f aca="false">ExportRaw!$A5</f>
        <v/>
      </c>
      <c r="I5" s="133" t="str">
        <f aca="false">ExportRaw!$B5</f>
        <v/>
      </c>
    </row>
    <row r="6" customFormat="false" ht="15.75" hidden="false" customHeight="false" outlineLevel="0" collapsed="false">
      <c r="A6" s="133" t="n">
        <f aca="false">ExportRaw!$F6</f>
        <v>0</v>
      </c>
      <c r="B6" s="133" t="n">
        <f aca="false">ExportRaw!$C6</f>
        <v>0</v>
      </c>
      <c r="C6" s="133" t="n">
        <f aca="false">ExportRaw!$G6</f>
        <v>0</v>
      </c>
      <c r="D6" s="133" t="str">
        <f aca="false">ExportRaw!$E6</f>
        <v/>
      </c>
      <c r="E6" s="134" t="str">
        <f aca="false">ExportRaw!$D6</f>
        <v/>
      </c>
      <c r="F6" s="133" t="str">
        <f aca="false">ExportRaw!$H6</f>
        <v/>
      </c>
      <c r="G6" s="135" t="str">
        <f aca="false">ExportRaw!$I6</f>
        <v/>
      </c>
      <c r="H6" s="133" t="str">
        <f aca="false">ExportRaw!$A6</f>
        <v/>
      </c>
      <c r="I6" s="133" t="str">
        <f aca="false">ExportRaw!$B6</f>
        <v/>
      </c>
    </row>
    <row r="7" customFormat="false" ht="15.75" hidden="false" customHeight="false" outlineLevel="0" collapsed="false">
      <c r="A7" s="133" t="n">
        <f aca="false">ExportRaw!$F7</f>
        <v>0</v>
      </c>
      <c r="B7" s="133" t="n">
        <f aca="false">ExportRaw!$C7</f>
        <v>0</v>
      </c>
      <c r="C7" s="133" t="n">
        <f aca="false">ExportRaw!$G7</f>
        <v>0</v>
      </c>
      <c r="D7" s="133" t="str">
        <f aca="false">ExportRaw!$E7</f>
        <v/>
      </c>
      <c r="E7" s="134" t="str">
        <f aca="false">ExportRaw!$D7</f>
        <v/>
      </c>
      <c r="F7" s="133" t="str">
        <f aca="false">ExportRaw!$H7</f>
        <v/>
      </c>
      <c r="G7" s="135" t="str">
        <f aca="false">ExportRaw!$I7</f>
        <v/>
      </c>
      <c r="H7" s="133" t="str">
        <f aca="false">ExportRaw!$A7</f>
        <v/>
      </c>
      <c r="I7" s="133" t="str">
        <f aca="false">ExportRaw!$B7</f>
        <v/>
      </c>
    </row>
    <row r="8" customFormat="false" ht="15.75" hidden="false" customHeight="false" outlineLevel="0" collapsed="false">
      <c r="A8" s="133" t="n">
        <f aca="false">ExportRaw!$F8</f>
        <v>0</v>
      </c>
      <c r="B8" s="133" t="n">
        <f aca="false">ExportRaw!$C8</f>
        <v>0</v>
      </c>
      <c r="C8" s="133" t="n">
        <f aca="false">ExportRaw!$G8</f>
        <v>0</v>
      </c>
      <c r="D8" s="133" t="str">
        <f aca="false">ExportRaw!$E8</f>
        <v/>
      </c>
      <c r="E8" s="134" t="str">
        <f aca="false">ExportRaw!$D8</f>
        <v/>
      </c>
      <c r="F8" s="133" t="str">
        <f aca="false">ExportRaw!$H8</f>
        <v/>
      </c>
      <c r="G8" s="135" t="str">
        <f aca="false">ExportRaw!$I8</f>
        <v/>
      </c>
      <c r="H8" s="133" t="str">
        <f aca="false">ExportRaw!$A8</f>
        <v/>
      </c>
      <c r="I8" s="133" t="str">
        <f aca="false">ExportRaw!$B8</f>
        <v/>
      </c>
    </row>
    <row r="9" customFormat="false" ht="15.75" hidden="false" customHeight="false" outlineLevel="0" collapsed="false">
      <c r="A9" s="133" t="n">
        <f aca="false">ExportRaw!$F9</f>
        <v>0</v>
      </c>
      <c r="B9" s="133" t="n">
        <f aca="false">ExportRaw!$C9</f>
        <v>0</v>
      </c>
      <c r="C9" s="133" t="n">
        <f aca="false">ExportRaw!$G9</f>
        <v>0</v>
      </c>
      <c r="D9" s="133" t="str">
        <f aca="false">ExportRaw!$E9</f>
        <v/>
      </c>
      <c r="E9" s="134" t="str">
        <f aca="false">ExportRaw!$D9</f>
        <v/>
      </c>
      <c r="F9" s="133" t="str">
        <f aca="false">ExportRaw!$H9</f>
        <v/>
      </c>
      <c r="G9" s="135" t="str">
        <f aca="false">ExportRaw!$I9</f>
        <v/>
      </c>
      <c r="H9" s="133" t="str">
        <f aca="false">ExportRaw!$A9</f>
        <v/>
      </c>
      <c r="I9" s="133" t="str">
        <f aca="false">ExportRaw!$B9</f>
        <v/>
      </c>
    </row>
    <row r="10" customFormat="false" ht="15.75" hidden="false" customHeight="false" outlineLevel="0" collapsed="false">
      <c r="A10" s="133" t="n">
        <f aca="false">ExportRaw!$F10</f>
        <v>0</v>
      </c>
      <c r="B10" s="133" t="n">
        <f aca="false">ExportRaw!$C10</f>
        <v>0</v>
      </c>
      <c r="C10" s="133" t="n">
        <f aca="false">ExportRaw!$G10</f>
        <v>0</v>
      </c>
      <c r="D10" s="133" t="str">
        <f aca="false">ExportRaw!$E10</f>
        <v/>
      </c>
      <c r="E10" s="134" t="str">
        <f aca="false">ExportRaw!$D10</f>
        <v/>
      </c>
      <c r="F10" s="133" t="str">
        <f aca="false">ExportRaw!$H10</f>
        <v/>
      </c>
      <c r="G10" s="135" t="str">
        <f aca="false">ExportRaw!$I10</f>
        <v/>
      </c>
      <c r="H10" s="133" t="str">
        <f aca="false">ExportRaw!$A10</f>
        <v/>
      </c>
      <c r="I10" s="133" t="str">
        <f aca="false">ExportRaw!$B10</f>
        <v/>
      </c>
    </row>
    <row r="11" customFormat="false" ht="15.75" hidden="false" customHeight="false" outlineLevel="0" collapsed="false">
      <c r="A11" s="133" t="n">
        <f aca="false">ExportRaw!$F11</f>
        <v>0</v>
      </c>
      <c r="B11" s="133" t="n">
        <f aca="false">ExportRaw!$C11</f>
        <v>0</v>
      </c>
      <c r="C11" s="133" t="n">
        <f aca="false">ExportRaw!$G11</f>
        <v>0</v>
      </c>
      <c r="D11" s="133" t="str">
        <f aca="false">ExportRaw!$E11</f>
        <v/>
      </c>
      <c r="E11" s="134" t="str">
        <f aca="false">ExportRaw!$D11</f>
        <v/>
      </c>
      <c r="F11" s="133" t="str">
        <f aca="false">ExportRaw!$H11</f>
        <v/>
      </c>
      <c r="G11" s="135" t="str">
        <f aca="false">ExportRaw!$I11</f>
        <v/>
      </c>
      <c r="H11" s="133" t="str">
        <f aca="false">ExportRaw!$A11</f>
        <v/>
      </c>
      <c r="I11" s="133" t="str">
        <f aca="false">ExportRaw!$B11</f>
        <v/>
      </c>
    </row>
    <row r="12" customFormat="false" ht="15.75" hidden="false" customHeight="false" outlineLevel="0" collapsed="false">
      <c r="A12" s="133" t="n">
        <f aca="false">ExportRaw!$F12</f>
        <v>0</v>
      </c>
      <c r="B12" s="133" t="n">
        <f aca="false">ExportRaw!$C12</f>
        <v>0</v>
      </c>
      <c r="C12" s="133" t="n">
        <f aca="false">ExportRaw!$G12</f>
        <v>0</v>
      </c>
      <c r="D12" s="133" t="str">
        <f aca="false">ExportRaw!$E12</f>
        <v/>
      </c>
      <c r="E12" s="134" t="str">
        <f aca="false">ExportRaw!$D12</f>
        <v/>
      </c>
      <c r="F12" s="133" t="str">
        <f aca="false">ExportRaw!$H12</f>
        <v/>
      </c>
      <c r="G12" s="135" t="str">
        <f aca="false">ExportRaw!$I12</f>
        <v/>
      </c>
      <c r="H12" s="133" t="str">
        <f aca="false">ExportRaw!$A12</f>
        <v/>
      </c>
      <c r="I12" s="133" t="str">
        <f aca="false">ExportRaw!$B12</f>
        <v/>
      </c>
    </row>
    <row r="13" customFormat="false" ht="15.75" hidden="false" customHeight="false" outlineLevel="0" collapsed="false">
      <c r="A13" s="133" t="n">
        <f aca="false">ExportRaw!$F13</f>
        <v>0</v>
      </c>
      <c r="B13" s="133" t="n">
        <f aca="false">ExportRaw!$C13</f>
        <v>0</v>
      </c>
      <c r="C13" s="133" t="n">
        <f aca="false">ExportRaw!$G13</f>
        <v>0</v>
      </c>
      <c r="D13" s="133" t="str">
        <f aca="false">ExportRaw!$E13</f>
        <v/>
      </c>
      <c r="E13" s="134" t="str">
        <f aca="false">ExportRaw!$D13</f>
        <v/>
      </c>
      <c r="F13" s="133" t="str">
        <f aca="false">ExportRaw!$H13</f>
        <v/>
      </c>
      <c r="G13" s="135" t="str">
        <f aca="false">ExportRaw!$I13</f>
        <v/>
      </c>
      <c r="H13" s="133" t="str">
        <f aca="false">ExportRaw!$A13</f>
        <v/>
      </c>
      <c r="I13" s="133" t="str">
        <f aca="false">ExportRaw!$B13</f>
        <v/>
      </c>
    </row>
    <row r="14" customFormat="false" ht="15.75" hidden="false" customHeight="false" outlineLevel="0" collapsed="false">
      <c r="A14" s="133" t="n">
        <f aca="false">ExportRaw!$F14</f>
        <v>0</v>
      </c>
      <c r="B14" s="133" t="n">
        <f aca="false">ExportRaw!$C14</f>
        <v>0</v>
      </c>
      <c r="C14" s="133" t="n">
        <f aca="false">ExportRaw!$G14</f>
        <v>0</v>
      </c>
      <c r="D14" s="133" t="str">
        <f aca="false">ExportRaw!$E14</f>
        <v/>
      </c>
      <c r="E14" s="134" t="str">
        <f aca="false">ExportRaw!$D14</f>
        <v/>
      </c>
      <c r="F14" s="133" t="str">
        <f aca="false">ExportRaw!$H14</f>
        <v/>
      </c>
      <c r="G14" s="135" t="str">
        <f aca="false">ExportRaw!$I14</f>
        <v/>
      </c>
      <c r="H14" s="133" t="str">
        <f aca="false">ExportRaw!$A14</f>
        <v/>
      </c>
      <c r="I14" s="133" t="str">
        <f aca="false">ExportRaw!$B14</f>
        <v/>
      </c>
    </row>
    <row r="15" customFormat="false" ht="15.75" hidden="false" customHeight="false" outlineLevel="0" collapsed="false">
      <c r="A15" s="133" t="n">
        <f aca="false">ExportRaw!$F15</f>
        <v>0</v>
      </c>
      <c r="B15" s="133" t="n">
        <f aca="false">ExportRaw!$C15</f>
        <v>0</v>
      </c>
      <c r="C15" s="133" t="n">
        <f aca="false">ExportRaw!$G15</f>
        <v>0</v>
      </c>
      <c r="D15" s="133" t="str">
        <f aca="false">ExportRaw!$E15</f>
        <v/>
      </c>
      <c r="E15" s="134" t="str">
        <f aca="false">ExportRaw!$D15</f>
        <v/>
      </c>
      <c r="F15" s="133" t="str">
        <f aca="false">ExportRaw!$H15</f>
        <v/>
      </c>
      <c r="G15" s="135" t="str">
        <f aca="false">ExportRaw!$I15</f>
        <v/>
      </c>
      <c r="H15" s="133" t="str">
        <f aca="false">ExportRaw!$A15</f>
        <v/>
      </c>
      <c r="I15" s="133" t="str">
        <f aca="false">ExportRaw!$B15</f>
        <v/>
      </c>
    </row>
    <row r="16" customFormat="false" ht="15.75" hidden="false" customHeight="false" outlineLevel="0" collapsed="false">
      <c r="A16" s="133" t="n">
        <f aca="false">ExportRaw!$F16</f>
        <v>0</v>
      </c>
      <c r="B16" s="133" t="n">
        <f aca="false">ExportRaw!$C16</f>
        <v>0</v>
      </c>
      <c r="C16" s="133" t="n">
        <f aca="false">ExportRaw!$G16</f>
        <v>0</v>
      </c>
      <c r="D16" s="133" t="str">
        <f aca="false">ExportRaw!$E16</f>
        <v/>
      </c>
      <c r="E16" s="134" t="str">
        <f aca="false">ExportRaw!$D16</f>
        <v/>
      </c>
      <c r="F16" s="133" t="str">
        <f aca="false">ExportRaw!$H16</f>
        <v/>
      </c>
      <c r="G16" s="135" t="str">
        <f aca="false">ExportRaw!$I16</f>
        <v/>
      </c>
      <c r="H16" s="133" t="str">
        <f aca="false">ExportRaw!$A16</f>
        <v/>
      </c>
      <c r="I16" s="133" t="str">
        <f aca="false">ExportRaw!$B16</f>
        <v/>
      </c>
    </row>
    <row r="17" customFormat="false" ht="15.75" hidden="false" customHeight="false" outlineLevel="0" collapsed="false">
      <c r="A17" s="133" t="n">
        <f aca="false">ExportRaw!$F17</f>
        <v>0</v>
      </c>
      <c r="B17" s="133" t="n">
        <f aca="false">ExportRaw!$C17</f>
        <v>0</v>
      </c>
      <c r="C17" s="133" t="n">
        <f aca="false">ExportRaw!$G17</f>
        <v>0</v>
      </c>
      <c r="D17" s="133" t="str">
        <f aca="false">ExportRaw!$E17</f>
        <v/>
      </c>
      <c r="E17" s="134" t="str">
        <f aca="false">ExportRaw!$D17</f>
        <v/>
      </c>
      <c r="F17" s="133" t="str">
        <f aca="false">ExportRaw!$H17</f>
        <v/>
      </c>
      <c r="G17" s="135" t="str">
        <f aca="false">ExportRaw!$I17</f>
        <v/>
      </c>
      <c r="H17" s="133" t="str">
        <f aca="false">ExportRaw!$A17</f>
        <v/>
      </c>
      <c r="I17" s="133" t="str">
        <f aca="false">ExportRaw!$B17</f>
        <v/>
      </c>
    </row>
    <row r="18" customFormat="false" ht="15.75" hidden="false" customHeight="false" outlineLevel="0" collapsed="false">
      <c r="A18" s="133" t="n">
        <f aca="false">ExportRaw!$F18</f>
        <v>0</v>
      </c>
      <c r="B18" s="133" t="n">
        <f aca="false">ExportRaw!$C18</f>
        <v>0</v>
      </c>
      <c r="C18" s="133" t="n">
        <f aca="false">ExportRaw!$G18</f>
        <v>0</v>
      </c>
      <c r="D18" s="133" t="str">
        <f aca="false">ExportRaw!$E18</f>
        <v/>
      </c>
      <c r="E18" s="134" t="str">
        <f aca="false">ExportRaw!$D18</f>
        <v/>
      </c>
      <c r="F18" s="133" t="str">
        <f aca="false">ExportRaw!$H18</f>
        <v/>
      </c>
      <c r="G18" s="135" t="str">
        <f aca="false">ExportRaw!$I18</f>
        <v/>
      </c>
      <c r="H18" s="133" t="str">
        <f aca="false">ExportRaw!$A18</f>
        <v/>
      </c>
      <c r="I18" s="133" t="str">
        <f aca="false">ExportRaw!$B18</f>
        <v/>
      </c>
    </row>
    <row r="19" customFormat="false" ht="15.75" hidden="false" customHeight="false" outlineLevel="0" collapsed="false">
      <c r="A19" s="133" t="n">
        <f aca="false">ExportRaw!$F19</f>
        <v>0</v>
      </c>
      <c r="B19" s="133" t="n">
        <f aca="false">ExportRaw!$C19</f>
        <v>0</v>
      </c>
      <c r="C19" s="133" t="n">
        <f aca="false">ExportRaw!$G19</f>
        <v>0</v>
      </c>
      <c r="D19" s="133" t="str">
        <f aca="false">ExportRaw!$E19</f>
        <v/>
      </c>
      <c r="E19" s="134" t="str">
        <f aca="false">ExportRaw!$D19</f>
        <v/>
      </c>
      <c r="F19" s="133" t="str">
        <f aca="false">ExportRaw!$H19</f>
        <v/>
      </c>
      <c r="G19" s="135" t="str">
        <f aca="false">ExportRaw!$I19</f>
        <v/>
      </c>
      <c r="H19" s="133" t="str">
        <f aca="false">ExportRaw!$A19</f>
        <v/>
      </c>
      <c r="I19" s="133" t="str">
        <f aca="false">ExportRaw!$B19</f>
        <v/>
      </c>
    </row>
    <row r="20" customFormat="false" ht="15.75" hidden="false" customHeight="false" outlineLevel="0" collapsed="false">
      <c r="A20" s="133" t="n">
        <f aca="false">ExportRaw!$F20</f>
        <v>0</v>
      </c>
      <c r="B20" s="133" t="n">
        <f aca="false">ExportRaw!$C20</f>
        <v>0</v>
      </c>
      <c r="C20" s="133" t="n">
        <f aca="false">ExportRaw!$G20</f>
        <v>0</v>
      </c>
      <c r="D20" s="133" t="str">
        <f aca="false">ExportRaw!$E20</f>
        <v/>
      </c>
      <c r="E20" s="134" t="str">
        <f aca="false">ExportRaw!$D20</f>
        <v/>
      </c>
      <c r="F20" s="133" t="str">
        <f aca="false">ExportRaw!$H20</f>
        <v/>
      </c>
      <c r="G20" s="135" t="str">
        <f aca="false">ExportRaw!$I20</f>
        <v/>
      </c>
      <c r="H20" s="133" t="str">
        <f aca="false">ExportRaw!$A20</f>
        <v/>
      </c>
      <c r="I20" s="133" t="str">
        <f aca="false">ExportRaw!$B20</f>
        <v/>
      </c>
    </row>
    <row r="21" customFormat="false" ht="15.75" hidden="false" customHeight="false" outlineLevel="0" collapsed="false">
      <c r="A21" s="133" t="n">
        <f aca="false">ExportRaw!$F21</f>
        <v>0</v>
      </c>
      <c r="B21" s="133" t="n">
        <f aca="false">ExportRaw!$C21</f>
        <v>0</v>
      </c>
      <c r="C21" s="133" t="n">
        <f aca="false">ExportRaw!$G21</f>
        <v>0</v>
      </c>
      <c r="D21" s="133" t="str">
        <f aca="false">ExportRaw!$E21</f>
        <v/>
      </c>
      <c r="E21" s="134" t="str">
        <f aca="false">ExportRaw!$D21</f>
        <v/>
      </c>
      <c r="F21" s="133" t="str">
        <f aca="false">ExportRaw!$H21</f>
        <v/>
      </c>
      <c r="G21" s="135" t="str">
        <f aca="false">ExportRaw!$I21</f>
        <v/>
      </c>
      <c r="H21" s="133" t="str">
        <f aca="false">ExportRaw!$A21</f>
        <v/>
      </c>
      <c r="I21" s="133" t="str">
        <f aca="false">ExportRaw!$B21</f>
        <v/>
      </c>
    </row>
    <row r="22" customFormat="false" ht="15.75" hidden="false" customHeight="false" outlineLevel="0" collapsed="false">
      <c r="A22" s="133" t="n">
        <f aca="false">ExportRaw!$F22</f>
        <v>0</v>
      </c>
      <c r="B22" s="133" t="n">
        <f aca="false">ExportRaw!$C22</f>
        <v>0</v>
      </c>
      <c r="C22" s="133" t="n">
        <f aca="false">ExportRaw!$G22</f>
        <v>0</v>
      </c>
      <c r="D22" s="133" t="str">
        <f aca="false">ExportRaw!$E22</f>
        <v/>
      </c>
      <c r="E22" s="134" t="str">
        <f aca="false">ExportRaw!$D22</f>
        <v/>
      </c>
      <c r="F22" s="133" t="str">
        <f aca="false">ExportRaw!$H22</f>
        <v/>
      </c>
      <c r="G22" s="135" t="str">
        <f aca="false">ExportRaw!$I22</f>
        <v/>
      </c>
      <c r="H22" s="133" t="str">
        <f aca="false">ExportRaw!$A22</f>
        <v/>
      </c>
      <c r="I22" s="133" t="str">
        <f aca="false">ExportRaw!$B22</f>
        <v/>
      </c>
    </row>
    <row r="23" customFormat="false" ht="15.75" hidden="false" customHeight="false" outlineLevel="0" collapsed="false">
      <c r="A23" s="133" t="n">
        <f aca="false">ExportRaw!$F23</f>
        <v>0</v>
      </c>
      <c r="B23" s="133" t="n">
        <f aca="false">ExportRaw!$C23</f>
        <v>0</v>
      </c>
      <c r="C23" s="133" t="n">
        <f aca="false">ExportRaw!$G23</f>
        <v>0</v>
      </c>
      <c r="D23" s="133" t="str">
        <f aca="false">ExportRaw!$E23</f>
        <v/>
      </c>
      <c r="E23" s="134" t="str">
        <f aca="false">ExportRaw!$D23</f>
        <v/>
      </c>
      <c r="F23" s="133" t="str">
        <f aca="false">ExportRaw!$H23</f>
        <v/>
      </c>
      <c r="G23" s="135" t="str">
        <f aca="false">ExportRaw!$I23</f>
        <v/>
      </c>
      <c r="H23" s="133" t="str">
        <f aca="false">ExportRaw!$A23</f>
        <v/>
      </c>
      <c r="I23" s="133" t="str">
        <f aca="false">ExportRaw!$B23</f>
        <v/>
      </c>
    </row>
    <row r="24" customFormat="false" ht="15.75" hidden="false" customHeight="false" outlineLevel="0" collapsed="false">
      <c r="A24" s="133" t="n">
        <f aca="false">ExportRaw!$F24</f>
        <v>0</v>
      </c>
      <c r="B24" s="133" t="n">
        <f aca="false">ExportRaw!$C24</f>
        <v>0</v>
      </c>
      <c r="C24" s="133" t="n">
        <f aca="false">ExportRaw!$G24</f>
        <v>0</v>
      </c>
      <c r="D24" s="133" t="str">
        <f aca="false">ExportRaw!$E24</f>
        <v/>
      </c>
      <c r="E24" s="134" t="str">
        <f aca="false">ExportRaw!$D24</f>
        <v/>
      </c>
      <c r="F24" s="133" t="str">
        <f aca="false">ExportRaw!$H24</f>
        <v/>
      </c>
      <c r="G24" s="135" t="str">
        <f aca="false">ExportRaw!$I24</f>
        <v/>
      </c>
      <c r="H24" s="133" t="str">
        <f aca="false">ExportRaw!$A24</f>
        <v/>
      </c>
      <c r="I24" s="133" t="str">
        <f aca="false">ExportRaw!$B24</f>
        <v/>
      </c>
    </row>
    <row r="25" customFormat="false" ht="15.75" hidden="false" customHeight="false" outlineLevel="0" collapsed="false">
      <c r="A25" s="133" t="n">
        <f aca="false">ExportRaw!$F25</f>
        <v>0</v>
      </c>
      <c r="B25" s="133" t="n">
        <f aca="false">ExportRaw!$C25</f>
        <v>0</v>
      </c>
      <c r="C25" s="133" t="n">
        <f aca="false">ExportRaw!$G25</f>
        <v>0</v>
      </c>
      <c r="D25" s="133" t="str">
        <f aca="false">ExportRaw!$E25</f>
        <v/>
      </c>
      <c r="E25" s="134" t="str">
        <f aca="false">ExportRaw!$D25</f>
        <v/>
      </c>
      <c r="F25" s="133" t="str">
        <f aca="false">ExportRaw!$H25</f>
        <v/>
      </c>
      <c r="G25" s="135" t="str">
        <f aca="false">ExportRaw!$I25</f>
        <v/>
      </c>
      <c r="H25" s="133" t="str">
        <f aca="false">ExportRaw!$A25</f>
        <v/>
      </c>
      <c r="I25" s="133" t="str">
        <f aca="false">ExportRaw!$B25</f>
        <v/>
      </c>
    </row>
    <row r="26" customFormat="false" ht="15.75" hidden="false" customHeight="false" outlineLevel="0" collapsed="false">
      <c r="A26" s="133" t="n">
        <f aca="false">ExportRaw!$F26</f>
        <v>0</v>
      </c>
      <c r="B26" s="133" t="n">
        <f aca="false">ExportRaw!$C26</f>
        <v>0</v>
      </c>
      <c r="C26" s="133" t="n">
        <f aca="false">ExportRaw!$G26</f>
        <v>0</v>
      </c>
      <c r="D26" s="133" t="str">
        <f aca="false">ExportRaw!$E26</f>
        <v/>
      </c>
      <c r="E26" s="134" t="str">
        <f aca="false">ExportRaw!$D26</f>
        <v/>
      </c>
      <c r="F26" s="133" t="str">
        <f aca="false">ExportRaw!$H26</f>
        <v/>
      </c>
      <c r="G26" s="135" t="str">
        <f aca="false">ExportRaw!$I26</f>
        <v/>
      </c>
      <c r="H26" s="133" t="str">
        <f aca="false">ExportRaw!$A26</f>
        <v/>
      </c>
      <c r="I26" s="133" t="str">
        <f aca="false">ExportRaw!$B26</f>
        <v/>
      </c>
    </row>
    <row r="27" customFormat="false" ht="15.75" hidden="false" customHeight="false" outlineLevel="0" collapsed="false">
      <c r="A27" s="133" t="n">
        <f aca="false">ExportRaw!$F27</f>
        <v>0</v>
      </c>
      <c r="B27" s="133" t="n">
        <f aca="false">ExportRaw!$C27</f>
        <v>0</v>
      </c>
      <c r="C27" s="133" t="n">
        <f aca="false">ExportRaw!$G27</f>
        <v>0</v>
      </c>
      <c r="D27" s="133" t="str">
        <f aca="false">ExportRaw!$E27</f>
        <v/>
      </c>
      <c r="E27" s="134" t="str">
        <f aca="false">ExportRaw!$D27</f>
        <v/>
      </c>
      <c r="F27" s="133" t="str">
        <f aca="false">ExportRaw!$H27</f>
        <v/>
      </c>
      <c r="G27" s="135" t="str">
        <f aca="false">ExportRaw!$I27</f>
        <v/>
      </c>
      <c r="H27" s="133" t="str">
        <f aca="false">ExportRaw!$A27</f>
        <v/>
      </c>
      <c r="I27" s="133" t="str">
        <f aca="false">ExportRaw!$B27</f>
        <v/>
      </c>
    </row>
    <row r="28" customFormat="false" ht="15.75" hidden="false" customHeight="false" outlineLevel="0" collapsed="false">
      <c r="A28" s="133" t="n">
        <f aca="false">ExportRaw!$F28</f>
        <v>0</v>
      </c>
      <c r="B28" s="133" t="n">
        <f aca="false">ExportRaw!$C28</f>
        <v>0</v>
      </c>
      <c r="C28" s="133" t="n">
        <f aca="false">ExportRaw!$G28</f>
        <v>0</v>
      </c>
      <c r="D28" s="133" t="str">
        <f aca="false">ExportRaw!$E28</f>
        <v/>
      </c>
      <c r="E28" s="134" t="str">
        <f aca="false">ExportRaw!$D28</f>
        <v/>
      </c>
      <c r="F28" s="133" t="str">
        <f aca="false">ExportRaw!$H28</f>
        <v/>
      </c>
      <c r="G28" s="135" t="str">
        <f aca="false">ExportRaw!$I28</f>
        <v/>
      </c>
      <c r="H28" s="133" t="str">
        <f aca="false">ExportRaw!$A28</f>
        <v/>
      </c>
      <c r="I28" s="133" t="str">
        <f aca="false">ExportRaw!$B28</f>
        <v/>
      </c>
    </row>
    <row r="29" customFormat="false" ht="15.75" hidden="false" customHeight="false" outlineLevel="0" collapsed="false">
      <c r="A29" s="133" t="n">
        <f aca="false">ExportRaw!$F29</f>
        <v>0</v>
      </c>
      <c r="B29" s="133" t="n">
        <f aca="false">ExportRaw!$C29</f>
        <v>0</v>
      </c>
      <c r="C29" s="133" t="n">
        <f aca="false">ExportRaw!$G29</f>
        <v>0</v>
      </c>
      <c r="D29" s="133" t="str">
        <f aca="false">ExportRaw!$E29</f>
        <v/>
      </c>
      <c r="E29" s="134" t="str">
        <f aca="false">ExportRaw!$D29</f>
        <v/>
      </c>
      <c r="F29" s="133" t="str">
        <f aca="false">ExportRaw!$H29</f>
        <v/>
      </c>
      <c r="G29" s="135" t="str">
        <f aca="false">ExportRaw!$I29</f>
        <v/>
      </c>
      <c r="H29" s="133" t="str">
        <f aca="false">ExportRaw!$A29</f>
        <v/>
      </c>
      <c r="I29" s="133" t="str">
        <f aca="false">ExportRaw!$B29</f>
        <v/>
      </c>
    </row>
    <row r="30" customFormat="false" ht="15.75" hidden="false" customHeight="false" outlineLevel="0" collapsed="false">
      <c r="A30" s="133" t="n">
        <f aca="false">ExportRaw!$F30</f>
        <v>0</v>
      </c>
      <c r="B30" s="133" t="n">
        <f aca="false">ExportRaw!$C30</f>
        <v>0</v>
      </c>
      <c r="C30" s="133" t="n">
        <f aca="false">ExportRaw!$G30</f>
        <v>0</v>
      </c>
      <c r="D30" s="133" t="str">
        <f aca="false">ExportRaw!$E30</f>
        <v/>
      </c>
      <c r="E30" s="134" t="str">
        <f aca="false">ExportRaw!$D30</f>
        <v/>
      </c>
      <c r="F30" s="133" t="str">
        <f aca="false">ExportRaw!$H30</f>
        <v/>
      </c>
      <c r="G30" s="135" t="str">
        <f aca="false">ExportRaw!$I30</f>
        <v/>
      </c>
      <c r="H30" s="133" t="str">
        <f aca="false">ExportRaw!$A30</f>
        <v/>
      </c>
      <c r="I30" s="133" t="str">
        <f aca="false">ExportRaw!$B30</f>
        <v/>
      </c>
    </row>
    <row r="31" customFormat="false" ht="15.75" hidden="false" customHeight="false" outlineLevel="0" collapsed="false">
      <c r="A31" s="133" t="n">
        <f aca="false">ExportRaw!$F31</f>
        <v>0</v>
      </c>
      <c r="B31" s="133" t="n">
        <f aca="false">ExportRaw!$C31</f>
        <v>0</v>
      </c>
      <c r="C31" s="133" t="n">
        <f aca="false">ExportRaw!$G31</f>
        <v>0</v>
      </c>
      <c r="D31" s="133" t="str">
        <f aca="false">ExportRaw!$E31</f>
        <v/>
      </c>
      <c r="E31" s="134" t="str">
        <f aca="false">ExportRaw!$D31</f>
        <v/>
      </c>
      <c r="F31" s="133" t="str">
        <f aca="false">ExportRaw!$H31</f>
        <v/>
      </c>
      <c r="G31" s="135" t="str">
        <f aca="false">ExportRaw!$I31</f>
        <v/>
      </c>
      <c r="H31" s="133" t="str">
        <f aca="false">ExportRaw!$A31</f>
        <v/>
      </c>
      <c r="I31" s="133" t="str">
        <f aca="false">ExportRaw!$B31</f>
        <v/>
      </c>
    </row>
    <row r="32" customFormat="false" ht="15.75" hidden="false" customHeight="false" outlineLevel="0" collapsed="false">
      <c r="A32" s="133" t="n">
        <f aca="false">ExportRaw!$F32</f>
        <v>0</v>
      </c>
      <c r="B32" s="133" t="n">
        <f aca="false">ExportRaw!$C32</f>
        <v>0</v>
      </c>
      <c r="C32" s="133" t="n">
        <f aca="false">ExportRaw!$G32</f>
        <v>0</v>
      </c>
      <c r="D32" s="133" t="str">
        <f aca="false">ExportRaw!$E32</f>
        <v/>
      </c>
      <c r="E32" s="134" t="str">
        <f aca="false">ExportRaw!$D32</f>
        <v/>
      </c>
      <c r="F32" s="133" t="str">
        <f aca="false">ExportRaw!$H32</f>
        <v/>
      </c>
      <c r="G32" s="135" t="str">
        <f aca="false">ExportRaw!$I32</f>
        <v/>
      </c>
      <c r="H32" s="133" t="str">
        <f aca="false">ExportRaw!$A32</f>
        <v/>
      </c>
      <c r="I32" s="133" t="str">
        <f aca="false">ExportRaw!$B32</f>
        <v/>
      </c>
    </row>
    <row r="33" customFormat="false" ht="15.75" hidden="false" customHeight="false" outlineLevel="0" collapsed="false">
      <c r="A33" s="133" t="n">
        <f aca="false">ExportRaw!$F33</f>
        <v>0</v>
      </c>
      <c r="B33" s="133" t="n">
        <f aca="false">ExportRaw!$C33</f>
        <v>0</v>
      </c>
      <c r="C33" s="133" t="n">
        <f aca="false">ExportRaw!$G33</f>
        <v>0</v>
      </c>
      <c r="D33" s="133" t="str">
        <f aca="false">ExportRaw!$E33</f>
        <v/>
      </c>
      <c r="E33" s="134" t="str">
        <f aca="false">ExportRaw!$D33</f>
        <v/>
      </c>
      <c r="F33" s="133" t="str">
        <f aca="false">ExportRaw!$H33</f>
        <v/>
      </c>
      <c r="G33" s="135" t="str">
        <f aca="false">ExportRaw!$I33</f>
        <v/>
      </c>
      <c r="H33" s="133" t="str">
        <f aca="false">ExportRaw!$A33</f>
        <v/>
      </c>
      <c r="I33" s="133" t="str">
        <f aca="false">ExportRaw!$B33</f>
        <v/>
      </c>
    </row>
    <row r="34" customFormat="false" ht="15.75" hidden="false" customHeight="false" outlineLevel="0" collapsed="false">
      <c r="A34" s="133" t="n">
        <f aca="false">ExportRaw!$F34</f>
        <v>0</v>
      </c>
      <c r="B34" s="133" t="n">
        <f aca="false">ExportRaw!$C34</f>
        <v>0</v>
      </c>
      <c r="C34" s="133" t="n">
        <f aca="false">ExportRaw!$G34</f>
        <v>0</v>
      </c>
      <c r="D34" s="133" t="str">
        <f aca="false">ExportRaw!$E34</f>
        <v/>
      </c>
      <c r="E34" s="134" t="str">
        <f aca="false">ExportRaw!$D34</f>
        <v/>
      </c>
      <c r="F34" s="133" t="str">
        <f aca="false">ExportRaw!$H34</f>
        <v/>
      </c>
      <c r="G34" s="135" t="str">
        <f aca="false">ExportRaw!$I34</f>
        <v/>
      </c>
      <c r="H34" s="133" t="str">
        <f aca="false">ExportRaw!$A34</f>
        <v/>
      </c>
      <c r="I34" s="133" t="str">
        <f aca="false">ExportRaw!$B34</f>
        <v/>
      </c>
    </row>
    <row r="35" customFormat="false" ht="15.75" hidden="false" customHeight="false" outlineLevel="0" collapsed="false">
      <c r="A35" s="133" t="n">
        <f aca="false">ExportRaw!$F35</f>
        <v>0</v>
      </c>
      <c r="B35" s="133" t="n">
        <f aca="false">ExportRaw!$C35</f>
        <v>0</v>
      </c>
      <c r="C35" s="133" t="n">
        <f aca="false">ExportRaw!$G35</f>
        <v>0</v>
      </c>
      <c r="D35" s="133" t="str">
        <f aca="false">ExportRaw!$E35</f>
        <v/>
      </c>
      <c r="E35" s="134" t="str">
        <f aca="false">ExportRaw!$D35</f>
        <v/>
      </c>
      <c r="F35" s="133" t="str">
        <f aca="false">ExportRaw!$H35</f>
        <v/>
      </c>
      <c r="G35" s="135" t="str">
        <f aca="false">ExportRaw!$I35</f>
        <v/>
      </c>
      <c r="H35" s="133" t="str">
        <f aca="false">ExportRaw!$A35</f>
        <v/>
      </c>
      <c r="I35" s="133" t="str">
        <f aca="false">ExportRaw!$B35</f>
        <v/>
      </c>
    </row>
    <row r="36" customFormat="false" ht="15.75" hidden="false" customHeight="false" outlineLevel="0" collapsed="false">
      <c r="A36" s="133" t="n">
        <f aca="false">ExportRaw!$F36</f>
        <v>0</v>
      </c>
      <c r="B36" s="133" t="n">
        <f aca="false">ExportRaw!$C36</f>
        <v>0</v>
      </c>
      <c r="C36" s="133" t="n">
        <f aca="false">ExportRaw!$G36</f>
        <v>0</v>
      </c>
      <c r="D36" s="133" t="str">
        <f aca="false">ExportRaw!$E36</f>
        <v/>
      </c>
      <c r="E36" s="134" t="str">
        <f aca="false">ExportRaw!$D36</f>
        <v/>
      </c>
      <c r="F36" s="133" t="str">
        <f aca="false">ExportRaw!$H36</f>
        <v/>
      </c>
      <c r="G36" s="135" t="str">
        <f aca="false">ExportRaw!$I36</f>
        <v/>
      </c>
      <c r="H36" s="133" t="str">
        <f aca="false">ExportRaw!$A36</f>
        <v/>
      </c>
      <c r="I36" s="133" t="str">
        <f aca="false">ExportRaw!$B36</f>
        <v/>
      </c>
    </row>
    <row r="37" customFormat="false" ht="15.75" hidden="false" customHeight="false" outlineLevel="0" collapsed="false">
      <c r="A37" s="133" t="n">
        <f aca="false">ExportRaw!$F37</f>
        <v>0</v>
      </c>
      <c r="B37" s="133" t="n">
        <f aca="false">ExportRaw!$C37</f>
        <v>0</v>
      </c>
      <c r="C37" s="133" t="n">
        <f aca="false">ExportRaw!$G37</f>
        <v>0</v>
      </c>
      <c r="D37" s="133" t="str">
        <f aca="false">ExportRaw!$E37</f>
        <v/>
      </c>
      <c r="E37" s="134" t="str">
        <f aca="false">ExportRaw!$D37</f>
        <v/>
      </c>
      <c r="F37" s="133" t="str">
        <f aca="false">ExportRaw!$H37</f>
        <v/>
      </c>
      <c r="G37" s="135" t="str">
        <f aca="false">ExportRaw!$I37</f>
        <v/>
      </c>
      <c r="H37" s="133" t="str">
        <f aca="false">ExportRaw!$A37</f>
        <v/>
      </c>
      <c r="I37" s="133" t="str">
        <f aca="false">ExportRaw!$B37</f>
        <v/>
      </c>
    </row>
    <row r="38" customFormat="false" ht="15.75" hidden="false" customHeight="false" outlineLevel="0" collapsed="false">
      <c r="A38" s="133" t="n">
        <f aca="false">ExportRaw!$F38</f>
        <v>0</v>
      </c>
      <c r="B38" s="133" t="n">
        <f aca="false">ExportRaw!$C38</f>
        <v>0</v>
      </c>
      <c r="C38" s="133" t="n">
        <f aca="false">ExportRaw!$G38</f>
        <v>0</v>
      </c>
      <c r="D38" s="133" t="str">
        <f aca="false">ExportRaw!$E38</f>
        <v/>
      </c>
      <c r="E38" s="134" t="str">
        <f aca="false">ExportRaw!$D38</f>
        <v/>
      </c>
      <c r="F38" s="133" t="str">
        <f aca="false">ExportRaw!$H38</f>
        <v/>
      </c>
      <c r="G38" s="135" t="str">
        <f aca="false">ExportRaw!$I38</f>
        <v/>
      </c>
      <c r="H38" s="133" t="str">
        <f aca="false">ExportRaw!$A38</f>
        <v/>
      </c>
      <c r="I38" s="133" t="str">
        <f aca="false">ExportRaw!$B38</f>
        <v/>
      </c>
    </row>
    <row r="39" customFormat="false" ht="15.75" hidden="false" customHeight="false" outlineLevel="0" collapsed="false">
      <c r="A39" s="133" t="n">
        <f aca="false">ExportRaw!$F39</f>
        <v>0</v>
      </c>
      <c r="B39" s="133" t="n">
        <f aca="false">ExportRaw!$C39</f>
        <v>0</v>
      </c>
      <c r="C39" s="133" t="n">
        <f aca="false">ExportRaw!$G39</f>
        <v>0</v>
      </c>
      <c r="D39" s="133" t="str">
        <f aca="false">ExportRaw!$E39</f>
        <v/>
      </c>
      <c r="E39" s="134" t="str">
        <f aca="false">ExportRaw!$D39</f>
        <v/>
      </c>
      <c r="F39" s="133" t="str">
        <f aca="false">ExportRaw!$H39</f>
        <v/>
      </c>
      <c r="G39" s="135" t="str">
        <f aca="false">ExportRaw!$I39</f>
        <v/>
      </c>
      <c r="H39" s="133" t="str">
        <f aca="false">ExportRaw!$A39</f>
        <v/>
      </c>
      <c r="I39" s="133" t="str">
        <f aca="false">ExportRaw!$B39</f>
        <v/>
      </c>
    </row>
    <row r="40" customFormat="false" ht="15.75" hidden="false" customHeight="false" outlineLevel="0" collapsed="false">
      <c r="A40" s="133" t="n">
        <f aca="false">ExportRaw!$F40</f>
        <v>0</v>
      </c>
      <c r="B40" s="133" t="n">
        <f aca="false">ExportRaw!$C40</f>
        <v>0</v>
      </c>
      <c r="C40" s="133" t="n">
        <f aca="false">ExportRaw!$G40</f>
        <v>0</v>
      </c>
      <c r="D40" s="133" t="str">
        <f aca="false">ExportRaw!$E40</f>
        <v/>
      </c>
      <c r="E40" s="134" t="str">
        <f aca="false">ExportRaw!$D40</f>
        <v/>
      </c>
      <c r="F40" s="133" t="str">
        <f aca="false">ExportRaw!$H40</f>
        <v/>
      </c>
      <c r="G40" s="135" t="str">
        <f aca="false">ExportRaw!$I40</f>
        <v/>
      </c>
      <c r="H40" s="133" t="str">
        <f aca="false">ExportRaw!$A40</f>
        <v/>
      </c>
      <c r="I40" s="133" t="str">
        <f aca="false">ExportRaw!$B40</f>
        <v/>
      </c>
    </row>
    <row r="41" customFormat="false" ht="15.75" hidden="false" customHeight="false" outlineLevel="0" collapsed="false">
      <c r="A41" s="133" t="n">
        <f aca="false">ExportRaw!$F41</f>
        <v>0</v>
      </c>
      <c r="B41" s="133" t="n">
        <f aca="false">ExportRaw!$C41</f>
        <v>0</v>
      </c>
      <c r="C41" s="133" t="n">
        <f aca="false">ExportRaw!$G41</f>
        <v>0</v>
      </c>
      <c r="D41" s="133" t="str">
        <f aca="false">ExportRaw!$E41</f>
        <v/>
      </c>
      <c r="E41" s="134" t="str">
        <f aca="false">ExportRaw!$D41</f>
        <v/>
      </c>
      <c r="F41" s="133" t="str">
        <f aca="false">ExportRaw!$H41</f>
        <v/>
      </c>
      <c r="G41" s="135" t="str">
        <f aca="false">ExportRaw!$I41</f>
        <v/>
      </c>
      <c r="H41" s="133" t="str">
        <f aca="false">ExportRaw!$A41</f>
        <v/>
      </c>
      <c r="I41" s="133" t="str">
        <f aca="false">ExportRaw!$B41</f>
        <v/>
      </c>
    </row>
    <row r="42" customFormat="false" ht="15.75" hidden="false" customHeight="false" outlineLevel="0" collapsed="false">
      <c r="A42" s="133" t="n">
        <f aca="false">ExportRaw!$F42</f>
        <v>0</v>
      </c>
      <c r="B42" s="133" t="n">
        <f aca="false">ExportRaw!$C42</f>
        <v>0</v>
      </c>
      <c r="C42" s="133" t="n">
        <f aca="false">ExportRaw!$G42</f>
        <v>0</v>
      </c>
      <c r="D42" s="133" t="str">
        <f aca="false">ExportRaw!$E42</f>
        <v/>
      </c>
      <c r="E42" s="134" t="str">
        <f aca="false">ExportRaw!$D42</f>
        <v/>
      </c>
      <c r="F42" s="133" t="str">
        <f aca="false">ExportRaw!$H42</f>
        <v/>
      </c>
      <c r="G42" s="135" t="str">
        <f aca="false">ExportRaw!$I42</f>
        <v/>
      </c>
      <c r="H42" s="133" t="str">
        <f aca="false">ExportRaw!$A42</f>
        <v/>
      </c>
      <c r="I42" s="133" t="str">
        <f aca="false">ExportRaw!$B42</f>
        <v/>
      </c>
    </row>
    <row r="43" customFormat="false" ht="15.75" hidden="false" customHeight="false" outlineLevel="0" collapsed="false">
      <c r="A43" s="133" t="n">
        <f aca="false">ExportRaw!$F43</f>
        <v>0</v>
      </c>
      <c r="B43" s="133" t="n">
        <f aca="false">ExportRaw!$C43</f>
        <v>0</v>
      </c>
      <c r="C43" s="133" t="n">
        <f aca="false">ExportRaw!$G43</f>
        <v>0</v>
      </c>
      <c r="D43" s="133" t="str">
        <f aca="false">ExportRaw!$E43</f>
        <v/>
      </c>
      <c r="E43" s="134" t="str">
        <f aca="false">ExportRaw!$D43</f>
        <v/>
      </c>
      <c r="F43" s="133" t="str">
        <f aca="false">ExportRaw!$H43</f>
        <v/>
      </c>
      <c r="G43" s="135" t="str">
        <f aca="false">ExportRaw!$I43</f>
        <v/>
      </c>
      <c r="H43" s="133" t="str">
        <f aca="false">ExportRaw!$A43</f>
        <v/>
      </c>
      <c r="I43" s="133" t="str">
        <f aca="false">ExportRaw!$B43</f>
        <v/>
      </c>
    </row>
    <row r="44" customFormat="false" ht="15.75" hidden="false" customHeight="false" outlineLevel="0" collapsed="false">
      <c r="A44" s="133" t="n">
        <f aca="false">ExportRaw!$F44</f>
        <v>0</v>
      </c>
      <c r="B44" s="133" t="n">
        <f aca="false">ExportRaw!$C44</f>
        <v>0</v>
      </c>
      <c r="C44" s="133" t="n">
        <f aca="false">ExportRaw!$G44</f>
        <v>0</v>
      </c>
      <c r="D44" s="133" t="str">
        <f aca="false">ExportRaw!$E44</f>
        <v/>
      </c>
      <c r="E44" s="134" t="str">
        <f aca="false">ExportRaw!$D44</f>
        <v/>
      </c>
      <c r="F44" s="133" t="str">
        <f aca="false">ExportRaw!$H44</f>
        <v/>
      </c>
      <c r="G44" s="135" t="str">
        <f aca="false">ExportRaw!$I44</f>
        <v/>
      </c>
      <c r="H44" s="133" t="str">
        <f aca="false">ExportRaw!$A44</f>
        <v/>
      </c>
      <c r="I44" s="133" t="str">
        <f aca="false">ExportRaw!$B44</f>
        <v/>
      </c>
    </row>
    <row r="45" customFormat="false" ht="15.75" hidden="false" customHeight="false" outlineLevel="0" collapsed="false">
      <c r="A45" s="133" t="n">
        <f aca="false">ExportRaw!$F45</f>
        <v>0</v>
      </c>
      <c r="B45" s="133" t="n">
        <f aca="false">ExportRaw!$C45</f>
        <v>0</v>
      </c>
      <c r="C45" s="133" t="n">
        <f aca="false">ExportRaw!$G45</f>
        <v>0</v>
      </c>
      <c r="D45" s="133" t="str">
        <f aca="false">ExportRaw!$E45</f>
        <v/>
      </c>
      <c r="E45" s="134" t="str">
        <f aca="false">ExportRaw!$D45</f>
        <v/>
      </c>
      <c r="F45" s="133" t="str">
        <f aca="false">ExportRaw!$H45</f>
        <v/>
      </c>
      <c r="G45" s="135" t="str">
        <f aca="false">ExportRaw!$I45</f>
        <v/>
      </c>
      <c r="H45" s="133" t="str">
        <f aca="false">ExportRaw!$A45</f>
        <v/>
      </c>
      <c r="I45" s="133" t="str">
        <f aca="false">ExportRaw!$B45</f>
        <v/>
      </c>
    </row>
    <row r="46" customFormat="false" ht="15.75" hidden="false" customHeight="false" outlineLevel="0" collapsed="false">
      <c r="A46" s="133" t="n">
        <f aca="false">ExportRaw!$F46</f>
        <v>0</v>
      </c>
      <c r="B46" s="133" t="n">
        <f aca="false">ExportRaw!$C46</f>
        <v>0</v>
      </c>
      <c r="C46" s="133" t="n">
        <f aca="false">ExportRaw!$G46</f>
        <v>0</v>
      </c>
      <c r="D46" s="133" t="str">
        <f aca="false">ExportRaw!$E46</f>
        <v/>
      </c>
      <c r="E46" s="134" t="str">
        <f aca="false">ExportRaw!$D46</f>
        <v/>
      </c>
      <c r="F46" s="133" t="str">
        <f aca="false">ExportRaw!$H46</f>
        <v/>
      </c>
      <c r="G46" s="135" t="str">
        <f aca="false">ExportRaw!$I46</f>
        <v/>
      </c>
      <c r="H46" s="133" t="str">
        <f aca="false">ExportRaw!$A46</f>
        <v/>
      </c>
      <c r="I46" s="133" t="str">
        <f aca="false">ExportRaw!$B46</f>
        <v/>
      </c>
    </row>
    <row r="47" customFormat="false" ht="15.75" hidden="false" customHeight="false" outlineLevel="0" collapsed="false">
      <c r="A47" s="133" t="n">
        <f aca="false">ExportRaw!$F47</f>
        <v>0</v>
      </c>
      <c r="B47" s="133" t="n">
        <f aca="false">ExportRaw!$C47</f>
        <v>0</v>
      </c>
      <c r="C47" s="133" t="n">
        <f aca="false">ExportRaw!$G47</f>
        <v>0</v>
      </c>
      <c r="D47" s="133" t="str">
        <f aca="false">ExportRaw!$E47</f>
        <v/>
      </c>
      <c r="E47" s="134" t="str">
        <f aca="false">ExportRaw!$D47</f>
        <v/>
      </c>
      <c r="F47" s="133" t="str">
        <f aca="false">ExportRaw!$H47</f>
        <v/>
      </c>
      <c r="G47" s="135" t="str">
        <f aca="false">ExportRaw!$I47</f>
        <v/>
      </c>
      <c r="H47" s="133" t="str">
        <f aca="false">ExportRaw!$A47</f>
        <v/>
      </c>
      <c r="I47" s="133" t="str">
        <f aca="false">ExportRaw!$B47</f>
        <v/>
      </c>
    </row>
    <row r="48" customFormat="false" ht="15.75" hidden="false" customHeight="false" outlineLevel="0" collapsed="false">
      <c r="A48" s="133" t="n">
        <f aca="false">ExportRaw!$F48</f>
        <v>0</v>
      </c>
      <c r="B48" s="133" t="n">
        <f aca="false">ExportRaw!$C48</f>
        <v>0</v>
      </c>
      <c r="C48" s="133" t="n">
        <f aca="false">ExportRaw!$G48</f>
        <v>0</v>
      </c>
      <c r="D48" s="133" t="str">
        <f aca="false">ExportRaw!$E48</f>
        <v/>
      </c>
      <c r="E48" s="134" t="str">
        <f aca="false">ExportRaw!$D48</f>
        <v/>
      </c>
      <c r="F48" s="133" t="str">
        <f aca="false">ExportRaw!$H48</f>
        <v/>
      </c>
      <c r="G48" s="135" t="str">
        <f aca="false">ExportRaw!$I48</f>
        <v/>
      </c>
      <c r="H48" s="133" t="str">
        <f aca="false">ExportRaw!$A48</f>
        <v/>
      </c>
      <c r="I48" s="133" t="str">
        <f aca="false">ExportRaw!$B48</f>
        <v/>
      </c>
    </row>
    <row r="49" customFormat="false" ht="15.75" hidden="false" customHeight="false" outlineLevel="0" collapsed="false">
      <c r="A49" s="133" t="n">
        <f aca="false">ExportRaw!$F49</f>
        <v>0</v>
      </c>
      <c r="B49" s="133" t="n">
        <f aca="false">ExportRaw!$C49</f>
        <v>0</v>
      </c>
      <c r="C49" s="133" t="n">
        <f aca="false">ExportRaw!$G49</f>
        <v>0</v>
      </c>
      <c r="D49" s="133" t="str">
        <f aca="false">ExportRaw!$E49</f>
        <v/>
      </c>
      <c r="E49" s="134" t="str">
        <f aca="false">ExportRaw!$D49</f>
        <v/>
      </c>
      <c r="F49" s="133" t="str">
        <f aca="false">ExportRaw!$H49</f>
        <v/>
      </c>
      <c r="G49" s="135" t="str">
        <f aca="false">ExportRaw!$I49</f>
        <v/>
      </c>
      <c r="H49" s="133" t="str">
        <f aca="false">ExportRaw!$A49</f>
        <v/>
      </c>
      <c r="I49" s="133" t="str">
        <f aca="false">ExportRaw!$B49</f>
        <v/>
      </c>
    </row>
    <row r="50" customFormat="false" ht="15.75" hidden="false" customHeight="false" outlineLevel="0" collapsed="false">
      <c r="A50" s="133" t="n">
        <f aca="false">ExportRaw!$F50</f>
        <v>0</v>
      </c>
      <c r="B50" s="133" t="n">
        <f aca="false">ExportRaw!$C50</f>
        <v>0</v>
      </c>
      <c r="C50" s="133" t="n">
        <f aca="false">ExportRaw!$G50</f>
        <v>0</v>
      </c>
      <c r="D50" s="133" t="str">
        <f aca="false">ExportRaw!$E50</f>
        <v/>
      </c>
      <c r="E50" s="134" t="str">
        <f aca="false">ExportRaw!$D50</f>
        <v/>
      </c>
      <c r="F50" s="133" t="str">
        <f aca="false">ExportRaw!$H50</f>
        <v/>
      </c>
      <c r="G50" s="135" t="str">
        <f aca="false">ExportRaw!$I50</f>
        <v/>
      </c>
      <c r="H50" s="133" t="str">
        <f aca="false">ExportRaw!$A50</f>
        <v/>
      </c>
      <c r="I50" s="133" t="str">
        <f aca="false">ExportRaw!$B50</f>
        <v/>
      </c>
    </row>
    <row r="51" customFormat="false" ht="15.75" hidden="false" customHeight="false" outlineLevel="0" collapsed="false">
      <c r="A51" s="133" t="n">
        <f aca="false">ExportRaw!$F51</f>
        <v>0</v>
      </c>
      <c r="B51" s="133" t="n">
        <f aca="false">ExportRaw!$C51</f>
        <v>0</v>
      </c>
      <c r="C51" s="133" t="n">
        <f aca="false">ExportRaw!$G51</f>
        <v>0</v>
      </c>
      <c r="D51" s="133" t="str">
        <f aca="false">ExportRaw!$E51</f>
        <v/>
      </c>
      <c r="E51" s="134" t="str">
        <f aca="false">ExportRaw!$D51</f>
        <v/>
      </c>
      <c r="F51" s="133" t="str">
        <f aca="false">ExportRaw!$H51</f>
        <v/>
      </c>
      <c r="G51" s="135" t="str">
        <f aca="false">ExportRaw!$I51</f>
        <v/>
      </c>
      <c r="H51" s="133" t="str">
        <f aca="false">ExportRaw!$A51</f>
        <v/>
      </c>
      <c r="I51" s="133" t="str">
        <f aca="false">ExportRaw!$B51</f>
        <v/>
      </c>
    </row>
    <row r="52" customFormat="false" ht="15.75" hidden="false" customHeight="false" outlineLevel="0" collapsed="false">
      <c r="A52" s="133" t="n">
        <f aca="false">ExportRaw!$F52</f>
        <v>0</v>
      </c>
      <c r="B52" s="133" t="n">
        <f aca="false">ExportRaw!$C52</f>
        <v>0</v>
      </c>
      <c r="C52" s="133" t="n">
        <f aca="false">ExportRaw!$G52</f>
        <v>0</v>
      </c>
      <c r="D52" s="133" t="str">
        <f aca="false">ExportRaw!$E52</f>
        <v/>
      </c>
      <c r="E52" s="134" t="str">
        <f aca="false">ExportRaw!$D52</f>
        <v/>
      </c>
      <c r="F52" s="133" t="str">
        <f aca="false">ExportRaw!$H52</f>
        <v/>
      </c>
      <c r="G52" s="135" t="str">
        <f aca="false">ExportRaw!$I52</f>
        <v/>
      </c>
      <c r="H52" s="133" t="str">
        <f aca="false">ExportRaw!$A52</f>
        <v/>
      </c>
      <c r="I52" s="133" t="str">
        <f aca="false">ExportRaw!$B52</f>
        <v/>
      </c>
    </row>
    <row r="53" customFormat="false" ht="15.75" hidden="false" customHeight="false" outlineLevel="0" collapsed="false">
      <c r="A53" s="133" t="n">
        <f aca="false">ExportRaw!$F53</f>
        <v>0</v>
      </c>
      <c r="B53" s="133" t="n">
        <f aca="false">ExportRaw!$C53</f>
        <v>0</v>
      </c>
      <c r="C53" s="133" t="n">
        <f aca="false">ExportRaw!$G53</f>
        <v>0</v>
      </c>
      <c r="D53" s="133" t="str">
        <f aca="false">ExportRaw!$E53</f>
        <v/>
      </c>
      <c r="E53" s="134" t="str">
        <f aca="false">ExportRaw!$D53</f>
        <v/>
      </c>
      <c r="F53" s="133" t="str">
        <f aca="false">ExportRaw!$H53</f>
        <v/>
      </c>
      <c r="G53" s="135" t="str">
        <f aca="false">ExportRaw!$I53</f>
        <v/>
      </c>
      <c r="H53" s="133" t="str">
        <f aca="false">ExportRaw!$A53</f>
        <v/>
      </c>
      <c r="I53" s="133" t="str">
        <f aca="false">ExportRaw!$B53</f>
        <v/>
      </c>
    </row>
    <row r="54" customFormat="false" ht="15.75" hidden="false" customHeight="false" outlineLevel="0" collapsed="false">
      <c r="A54" s="133" t="n">
        <f aca="false">ExportRaw!$F54</f>
        <v>0</v>
      </c>
      <c r="B54" s="133" t="n">
        <f aca="false">ExportRaw!$C54</f>
        <v>0</v>
      </c>
      <c r="C54" s="133" t="n">
        <f aca="false">ExportRaw!$G54</f>
        <v>0</v>
      </c>
      <c r="D54" s="133" t="str">
        <f aca="false">ExportRaw!$E54</f>
        <v/>
      </c>
      <c r="E54" s="134" t="str">
        <f aca="false">ExportRaw!$D54</f>
        <v/>
      </c>
      <c r="F54" s="133" t="str">
        <f aca="false">ExportRaw!$H54</f>
        <v/>
      </c>
      <c r="G54" s="135" t="str">
        <f aca="false">ExportRaw!$I54</f>
        <v/>
      </c>
      <c r="H54" s="133" t="str">
        <f aca="false">ExportRaw!$A54</f>
        <v/>
      </c>
      <c r="I54" s="133" t="str">
        <f aca="false">ExportRaw!$B54</f>
        <v/>
      </c>
    </row>
    <row r="55" customFormat="false" ht="15.75" hidden="false" customHeight="false" outlineLevel="0" collapsed="false">
      <c r="A55" s="133" t="n">
        <f aca="false">ExportRaw!$F55</f>
        <v>0</v>
      </c>
      <c r="B55" s="133" t="n">
        <f aca="false">ExportRaw!$C55</f>
        <v>0</v>
      </c>
      <c r="C55" s="133" t="n">
        <f aca="false">ExportRaw!$G55</f>
        <v>0</v>
      </c>
      <c r="D55" s="133" t="str">
        <f aca="false">ExportRaw!$E55</f>
        <v/>
      </c>
      <c r="E55" s="134" t="str">
        <f aca="false">ExportRaw!$D55</f>
        <v/>
      </c>
      <c r="F55" s="133" t="str">
        <f aca="false">ExportRaw!$H55</f>
        <v/>
      </c>
      <c r="G55" s="135" t="str">
        <f aca="false">ExportRaw!$I55</f>
        <v/>
      </c>
      <c r="H55" s="133" t="str">
        <f aca="false">ExportRaw!$A55</f>
        <v/>
      </c>
      <c r="I55" s="133" t="str">
        <f aca="false">ExportRaw!$B55</f>
        <v/>
      </c>
    </row>
    <row r="56" customFormat="false" ht="15.75" hidden="false" customHeight="false" outlineLevel="0" collapsed="false">
      <c r="A56" s="133" t="n">
        <f aca="false">ExportRaw!$F56</f>
        <v>0</v>
      </c>
      <c r="B56" s="133" t="n">
        <f aca="false">ExportRaw!$C56</f>
        <v>0</v>
      </c>
      <c r="C56" s="133" t="n">
        <f aca="false">ExportRaw!$G56</f>
        <v>0</v>
      </c>
      <c r="D56" s="133" t="str">
        <f aca="false">ExportRaw!$E56</f>
        <v/>
      </c>
      <c r="E56" s="134" t="str">
        <f aca="false">ExportRaw!$D56</f>
        <v/>
      </c>
      <c r="F56" s="133" t="str">
        <f aca="false">ExportRaw!$H56</f>
        <v/>
      </c>
      <c r="G56" s="135" t="str">
        <f aca="false">ExportRaw!$I56</f>
        <v/>
      </c>
      <c r="H56" s="133" t="str">
        <f aca="false">ExportRaw!$A56</f>
        <v/>
      </c>
      <c r="I56" s="133" t="str">
        <f aca="false">ExportRaw!$B56</f>
        <v/>
      </c>
    </row>
    <row r="57" customFormat="false" ht="15.75" hidden="false" customHeight="false" outlineLevel="0" collapsed="false">
      <c r="A57" s="133" t="n">
        <f aca="false">ExportRaw!$F57</f>
        <v>0</v>
      </c>
      <c r="B57" s="133" t="n">
        <f aca="false">ExportRaw!$C57</f>
        <v>0</v>
      </c>
      <c r="C57" s="133" t="n">
        <f aca="false">ExportRaw!$G57</f>
        <v>0</v>
      </c>
      <c r="D57" s="133" t="str">
        <f aca="false">ExportRaw!$E57</f>
        <v/>
      </c>
      <c r="E57" s="134" t="str">
        <f aca="false">ExportRaw!$D57</f>
        <v/>
      </c>
      <c r="F57" s="133" t="str">
        <f aca="false">ExportRaw!$H57</f>
        <v/>
      </c>
      <c r="G57" s="135" t="str">
        <f aca="false">ExportRaw!$I57</f>
        <v/>
      </c>
      <c r="H57" s="133" t="str">
        <f aca="false">ExportRaw!$A57</f>
        <v/>
      </c>
      <c r="I57" s="133" t="str">
        <f aca="false">ExportRaw!$B57</f>
        <v/>
      </c>
    </row>
    <row r="58" customFormat="false" ht="15.75" hidden="false" customHeight="false" outlineLevel="0" collapsed="false">
      <c r="A58" s="133" t="n">
        <f aca="false">ExportRaw!$F58</f>
        <v>0</v>
      </c>
      <c r="B58" s="133" t="n">
        <f aca="false">ExportRaw!$C58</f>
        <v>0</v>
      </c>
      <c r="C58" s="133" t="n">
        <f aca="false">ExportRaw!$G58</f>
        <v>0</v>
      </c>
      <c r="D58" s="133" t="str">
        <f aca="false">ExportRaw!$E58</f>
        <v/>
      </c>
      <c r="E58" s="134" t="str">
        <f aca="false">ExportRaw!$D58</f>
        <v/>
      </c>
      <c r="F58" s="133" t="str">
        <f aca="false">ExportRaw!$H58</f>
        <v/>
      </c>
      <c r="G58" s="135" t="str">
        <f aca="false">ExportRaw!$I58</f>
        <v/>
      </c>
      <c r="H58" s="133" t="str">
        <f aca="false">ExportRaw!$A58</f>
        <v/>
      </c>
      <c r="I58" s="133" t="str">
        <f aca="false">ExportRaw!$B58</f>
        <v/>
      </c>
    </row>
    <row r="59" customFormat="false" ht="15.75" hidden="false" customHeight="false" outlineLevel="0" collapsed="false">
      <c r="A59" s="133" t="n">
        <f aca="false">ExportRaw!$F59</f>
        <v>0</v>
      </c>
      <c r="B59" s="133" t="n">
        <f aca="false">ExportRaw!$C59</f>
        <v>0</v>
      </c>
      <c r="C59" s="133" t="n">
        <f aca="false">ExportRaw!$G59</f>
        <v>0</v>
      </c>
      <c r="D59" s="133" t="str">
        <f aca="false">ExportRaw!$E59</f>
        <v/>
      </c>
      <c r="E59" s="134" t="str">
        <f aca="false">ExportRaw!$D59</f>
        <v/>
      </c>
      <c r="F59" s="133" t="str">
        <f aca="false">ExportRaw!$H59</f>
        <v/>
      </c>
      <c r="G59" s="135" t="str">
        <f aca="false">ExportRaw!$I59</f>
        <v/>
      </c>
      <c r="H59" s="133" t="str">
        <f aca="false">ExportRaw!$A59</f>
        <v/>
      </c>
      <c r="I59" s="133" t="str">
        <f aca="false">ExportRaw!$B59</f>
        <v/>
      </c>
    </row>
    <row r="60" customFormat="false" ht="15.75" hidden="false" customHeight="false" outlineLevel="0" collapsed="false">
      <c r="A60" s="133" t="n">
        <f aca="false">ExportRaw!$F60</f>
        <v>0</v>
      </c>
      <c r="B60" s="133" t="n">
        <f aca="false">ExportRaw!$C60</f>
        <v>0</v>
      </c>
      <c r="C60" s="133" t="n">
        <f aca="false">ExportRaw!$G60</f>
        <v>0</v>
      </c>
      <c r="D60" s="133" t="str">
        <f aca="false">ExportRaw!$E60</f>
        <v/>
      </c>
      <c r="E60" s="134" t="str">
        <f aca="false">ExportRaw!$D60</f>
        <v/>
      </c>
      <c r="F60" s="133" t="str">
        <f aca="false">ExportRaw!$H60</f>
        <v/>
      </c>
      <c r="G60" s="135" t="str">
        <f aca="false">ExportRaw!$I60</f>
        <v/>
      </c>
      <c r="H60" s="133" t="str">
        <f aca="false">ExportRaw!$A60</f>
        <v/>
      </c>
      <c r="I60" s="133" t="str">
        <f aca="false">ExportRaw!$B60</f>
        <v/>
      </c>
    </row>
    <row r="61" customFormat="false" ht="15.75" hidden="false" customHeight="false" outlineLevel="0" collapsed="false">
      <c r="A61" s="133" t="n">
        <f aca="false">ExportRaw!$F61</f>
        <v>0</v>
      </c>
      <c r="B61" s="133" t="n">
        <f aca="false">ExportRaw!$C61</f>
        <v>0</v>
      </c>
      <c r="C61" s="133" t="n">
        <f aca="false">ExportRaw!$G61</f>
        <v>0</v>
      </c>
      <c r="D61" s="133" t="str">
        <f aca="false">ExportRaw!$E61</f>
        <v/>
      </c>
      <c r="E61" s="134" t="str">
        <f aca="false">ExportRaw!$D61</f>
        <v/>
      </c>
      <c r="F61" s="133" t="str">
        <f aca="false">ExportRaw!$H61</f>
        <v/>
      </c>
      <c r="G61" s="135" t="str">
        <f aca="false">ExportRaw!$I61</f>
        <v/>
      </c>
      <c r="H61" s="133" t="str">
        <f aca="false">ExportRaw!$A61</f>
        <v/>
      </c>
      <c r="I61" s="133" t="str">
        <f aca="false">ExportRaw!$B61</f>
        <v/>
      </c>
    </row>
    <row r="62" customFormat="false" ht="15.75" hidden="false" customHeight="false" outlineLevel="0" collapsed="false">
      <c r="A62" s="133" t="n">
        <f aca="false">ExportRaw!$F62</f>
        <v>0</v>
      </c>
      <c r="B62" s="133" t="n">
        <f aca="false">ExportRaw!$C62</f>
        <v>0</v>
      </c>
      <c r="C62" s="133" t="n">
        <f aca="false">ExportRaw!$G62</f>
        <v>0</v>
      </c>
      <c r="D62" s="133" t="str">
        <f aca="false">ExportRaw!$E62</f>
        <v/>
      </c>
      <c r="E62" s="134" t="str">
        <f aca="false">ExportRaw!$D62</f>
        <v/>
      </c>
      <c r="F62" s="133" t="str">
        <f aca="false">ExportRaw!$H62</f>
        <v/>
      </c>
      <c r="G62" s="135" t="str">
        <f aca="false">ExportRaw!$I62</f>
        <v/>
      </c>
      <c r="H62" s="133" t="str">
        <f aca="false">ExportRaw!$A62</f>
        <v/>
      </c>
      <c r="I62" s="133" t="str">
        <f aca="false">ExportRaw!$B62</f>
        <v/>
      </c>
    </row>
    <row r="63" customFormat="false" ht="15.75" hidden="false" customHeight="false" outlineLevel="0" collapsed="false">
      <c r="A63" s="133" t="n">
        <f aca="false">ExportRaw!$F63</f>
        <v>0</v>
      </c>
      <c r="B63" s="133" t="n">
        <f aca="false">ExportRaw!$C63</f>
        <v>0</v>
      </c>
      <c r="C63" s="133" t="n">
        <f aca="false">ExportRaw!$G63</f>
        <v>0</v>
      </c>
      <c r="D63" s="133" t="str">
        <f aca="false">ExportRaw!$E63</f>
        <v/>
      </c>
      <c r="E63" s="134" t="str">
        <f aca="false">ExportRaw!$D63</f>
        <v/>
      </c>
      <c r="F63" s="133" t="str">
        <f aca="false">ExportRaw!$H63</f>
        <v/>
      </c>
      <c r="G63" s="135" t="str">
        <f aca="false">ExportRaw!$I63</f>
        <v/>
      </c>
      <c r="H63" s="133" t="str">
        <f aca="false">ExportRaw!$A63</f>
        <v/>
      </c>
      <c r="I63" s="133" t="str">
        <f aca="false">ExportRaw!$B63</f>
        <v/>
      </c>
    </row>
    <row r="64" customFormat="false" ht="15.75" hidden="false" customHeight="false" outlineLevel="0" collapsed="false">
      <c r="A64" s="133" t="n">
        <f aca="false">ExportRaw!$F64</f>
        <v>0</v>
      </c>
      <c r="B64" s="133" t="n">
        <f aca="false">ExportRaw!$C64</f>
        <v>0</v>
      </c>
      <c r="C64" s="133" t="n">
        <f aca="false">ExportRaw!$G64</f>
        <v>0</v>
      </c>
      <c r="D64" s="133" t="str">
        <f aca="false">ExportRaw!$E64</f>
        <v/>
      </c>
      <c r="E64" s="134" t="str">
        <f aca="false">ExportRaw!$D64</f>
        <v/>
      </c>
      <c r="F64" s="133" t="str">
        <f aca="false">ExportRaw!$H64</f>
        <v/>
      </c>
      <c r="G64" s="135" t="str">
        <f aca="false">ExportRaw!$I64</f>
        <v/>
      </c>
      <c r="H64" s="133" t="str">
        <f aca="false">ExportRaw!$A64</f>
        <v/>
      </c>
      <c r="I64" s="133" t="str">
        <f aca="false">ExportRaw!$B64</f>
        <v/>
      </c>
    </row>
    <row r="65" customFormat="false" ht="15.75" hidden="false" customHeight="false" outlineLevel="0" collapsed="false">
      <c r="A65" s="133" t="n">
        <f aca="false">ExportRaw!$F65</f>
        <v>0</v>
      </c>
      <c r="B65" s="133" t="n">
        <f aca="false">ExportRaw!$C65</f>
        <v>0</v>
      </c>
      <c r="C65" s="133" t="n">
        <f aca="false">ExportRaw!$G65</f>
        <v>0</v>
      </c>
      <c r="D65" s="133" t="str">
        <f aca="false">ExportRaw!$E65</f>
        <v/>
      </c>
      <c r="E65" s="134" t="str">
        <f aca="false">ExportRaw!$D65</f>
        <v/>
      </c>
      <c r="F65" s="133" t="str">
        <f aca="false">ExportRaw!$H65</f>
        <v/>
      </c>
      <c r="G65" s="135" t="str">
        <f aca="false">ExportRaw!$I65</f>
        <v/>
      </c>
      <c r="H65" s="133" t="str">
        <f aca="false">ExportRaw!$A65</f>
        <v/>
      </c>
      <c r="I65" s="133" t="str">
        <f aca="false">ExportRaw!$B65</f>
        <v/>
      </c>
    </row>
    <row r="66" customFormat="false" ht="15.75" hidden="false" customHeight="false" outlineLevel="0" collapsed="false">
      <c r="A66" s="133" t="n">
        <f aca="false">ExportRaw!$F66</f>
        <v>0</v>
      </c>
      <c r="B66" s="133" t="n">
        <f aca="false">ExportRaw!$C66</f>
        <v>0</v>
      </c>
      <c r="C66" s="133" t="n">
        <f aca="false">ExportRaw!$G66</f>
        <v>0</v>
      </c>
      <c r="D66" s="133" t="str">
        <f aca="false">ExportRaw!$E66</f>
        <v/>
      </c>
      <c r="E66" s="134" t="str">
        <f aca="false">ExportRaw!$D66</f>
        <v/>
      </c>
      <c r="F66" s="133" t="str">
        <f aca="false">ExportRaw!$H66</f>
        <v/>
      </c>
      <c r="G66" s="135" t="str">
        <f aca="false">ExportRaw!$I66</f>
        <v/>
      </c>
      <c r="H66" s="133" t="str">
        <f aca="false">ExportRaw!$A66</f>
        <v/>
      </c>
      <c r="I66" s="133" t="str">
        <f aca="false">ExportRaw!$B66</f>
        <v/>
      </c>
    </row>
    <row r="67" customFormat="false" ht="15.75" hidden="false" customHeight="false" outlineLevel="0" collapsed="false">
      <c r="A67" s="133" t="n">
        <f aca="false">ExportRaw!$F67</f>
        <v>0</v>
      </c>
      <c r="B67" s="133" t="n">
        <f aca="false">ExportRaw!$C67</f>
        <v>0</v>
      </c>
      <c r="C67" s="133" t="n">
        <f aca="false">ExportRaw!$G67</f>
        <v>0</v>
      </c>
      <c r="D67" s="133" t="str">
        <f aca="false">ExportRaw!$E67</f>
        <v/>
      </c>
      <c r="E67" s="134" t="str">
        <f aca="false">ExportRaw!$D67</f>
        <v/>
      </c>
      <c r="F67" s="133" t="str">
        <f aca="false">ExportRaw!$H67</f>
        <v/>
      </c>
      <c r="G67" s="135" t="str">
        <f aca="false">ExportRaw!$I67</f>
        <v/>
      </c>
      <c r="H67" s="133" t="str">
        <f aca="false">ExportRaw!$A67</f>
        <v/>
      </c>
      <c r="I67" s="133" t="str">
        <f aca="false">ExportRaw!$B67</f>
        <v/>
      </c>
    </row>
    <row r="68" customFormat="false" ht="15.75" hidden="false" customHeight="false" outlineLevel="0" collapsed="false">
      <c r="A68" s="133" t="n">
        <f aca="false">ExportRaw!$F68</f>
        <v>0</v>
      </c>
      <c r="B68" s="133" t="n">
        <f aca="false">ExportRaw!$C68</f>
        <v>0</v>
      </c>
      <c r="C68" s="133" t="n">
        <f aca="false">ExportRaw!$G68</f>
        <v>0</v>
      </c>
      <c r="D68" s="133" t="str">
        <f aca="false">ExportRaw!$E68</f>
        <v/>
      </c>
      <c r="E68" s="134" t="str">
        <f aca="false">ExportRaw!$D68</f>
        <v/>
      </c>
      <c r="F68" s="133" t="str">
        <f aca="false">ExportRaw!$H68</f>
        <v/>
      </c>
      <c r="G68" s="135" t="str">
        <f aca="false">ExportRaw!$I68</f>
        <v/>
      </c>
      <c r="H68" s="133" t="str">
        <f aca="false">ExportRaw!$A68</f>
        <v/>
      </c>
      <c r="I68" s="133" t="str">
        <f aca="false">ExportRaw!$B68</f>
        <v/>
      </c>
    </row>
    <row r="69" customFormat="false" ht="15.75" hidden="false" customHeight="false" outlineLevel="0" collapsed="false">
      <c r="A69" s="133" t="n">
        <f aca="false">ExportRaw!$F69</f>
        <v>0</v>
      </c>
      <c r="B69" s="133" t="n">
        <f aca="false">ExportRaw!$C69</f>
        <v>0</v>
      </c>
      <c r="C69" s="133" t="n">
        <f aca="false">ExportRaw!$G69</f>
        <v>0</v>
      </c>
      <c r="D69" s="133" t="str">
        <f aca="false">ExportRaw!$E69</f>
        <v/>
      </c>
      <c r="E69" s="134" t="str">
        <f aca="false">ExportRaw!$D69</f>
        <v/>
      </c>
      <c r="F69" s="133" t="str">
        <f aca="false">ExportRaw!$H69</f>
        <v/>
      </c>
      <c r="G69" s="135" t="str">
        <f aca="false">ExportRaw!$I69</f>
        <v/>
      </c>
      <c r="H69" s="133" t="str">
        <f aca="false">ExportRaw!$A69</f>
        <v/>
      </c>
      <c r="I69" s="133" t="str">
        <f aca="false">ExportRaw!$B69</f>
        <v/>
      </c>
    </row>
    <row r="70" customFormat="false" ht="15.75" hidden="false" customHeight="false" outlineLevel="0" collapsed="false">
      <c r="A70" s="133" t="n">
        <f aca="false">ExportRaw!$F70</f>
        <v>0</v>
      </c>
      <c r="B70" s="133" t="n">
        <f aca="false">ExportRaw!$C70</f>
        <v>0</v>
      </c>
      <c r="C70" s="133" t="n">
        <f aca="false">ExportRaw!$G70</f>
        <v>0</v>
      </c>
      <c r="D70" s="133" t="str">
        <f aca="false">ExportRaw!$E70</f>
        <v/>
      </c>
      <c r="E70" s="134" t="str">
        <f aca="false">ExportRaw!$D70</f>
        <v/>
      </c>
      <c r="F70" s="133" t="str">
        <f aca="false">ExportRaw!$H70</f>
        <v/>
      </c>
      <c r="G70" s="135" t="str">
        <f aca="false">ExportRaw!$I70</f>
        <v/>
      </c>
      <c r="H70" s="133" t="str">
        <f aca="false">ExportRaw!$A70</f>
        <v/>
      </c>
      <c r="I70" s="133" t="str">
        <f aca="false">ExportRaw!$B70</f>
        <v/>
      </c>
    </row>
    <row r="71" customFormat="false" ht="15.75" hidden="false" customHeight="false" outlineLevel="0" collapsed="false">
      <c r="A71" s="133" t="n">
        <f aca="false">ExportRaw!$F71</f>
        <v>0</v>
      </c>
      <c r="B71" s="133" t="n">
        <f aca="false">ExportRaw!$C71</f>
        <v>0</v>
      </c>
      <c r="C71" s="133" t="n">
        <f aca="false">ExportRaw!$G71</f>
        <v>0</v>
      </c>
      <c r="D71" s="133" t="str">
        <f aca="false">ExportRaw!$E71</f>
        <v/>
      </c>
      <c r="E71" s="134" t="str">
        <f aca="false">ExportRaw!$D71</f>
        <v/>
      </c>
      <c r="F71" s="133" t="str">
        <f aca="false">ExportRaw!$H71</f>
        <v/>
      </c>
      <c r="G71" s="135" t="str">
        <f aca="false">ExportRaw!$I71</f>
        <v/>
      </c>
      <c r="H71" s="133" t="str">
        <f aca="false">ExportRaw!$A71</f>
        <v/>
      </c>
      <c r="I71" s="133" t="str">
        <f aca="false">ExportRaw!$B71</f>
        <v/>
      </c>
    </row>
    <row r="72" customFormat="false" ht="15.75" hidden="false" customHeight="false" outlineLevel="0" collapsed="false">
      <c r="A72" s="133" t="n">
        <f aca="false">ExportRaw!$F72</f>
        <v>0</v>
      </c>
      <c r="B72" s="133" t="n">
        <f aca="false">ExportRaw!$C72</f>
        <v>0</v>
      </c>
      <c r="C72" s="133" t="n">
        <f aca="false">ExportRaw!$G72</f>
        <v>0</v>
      </c>
      <c r="D72" s="133" t="str">
        <f aca="false">ExportRaw!$E72</f>
        <v/>
      </c>
      <c r="E72" s="134" t="str">
        <f aca="false">ExportRaw!$D72</f>
        <v/>
      </c>
      <c r="F72" s="133" t="str">
        <f aca="false">ExportRaw!$H72</f>
        <v/>
      </c>
      <c r="G72" s="135" t="str">
        <f aca="false">ExportRaw!$I72</f>
        <v/>
      </c>
      <c r="H72" s="133" t="str">
        <f aca="false">ExportRaw!$A72</f>
        <v/>
      </c>
      <c r="I72" s="133" t="str">
        <f aca="false">ExportRaw!$B72</f>
        <v/>
      </c>
    </row>
    <row r="73" customFormat="false" ht="15.75" hidden="false" customHeight="false" outlineLevel="0" collapsed="false">
      <c r="A73" s="133" t="n">
        <f aca="false">ExportRaw!$F73</f>
        <v>0</v>
      </c>
      <c r="B73" s="133" t="n">
        <f aca="false">ExportRaw!$C73</f>
        <v>0</v>
      </c>
      <c r="C73" s="133" t="n">
        <f aca="false">ExportRaw!$G73</f>
        <v>0</v>
      </c>
      <c r="D73" s="133" t="str">
        <f aca="false">ExportRaw!$E73</f>
        <v/>
      </c>
      <c r="E73" s="134" t="str">
        <f aca="false">ExportRaw!$D73</f>
        <v/>
      </c>
      <c r="F73" s="133" t="str">
        <f aca="false">ExportRaw!$H73</f>
        <v/>
      </c>
      <c r="G73" s="135" t="str">
        <f aca="false">ExportRaw!$I73</f>
        <v/>
      </c>
      <c r="H73" s="133" t="str">
        <f aca="false">ExportRaw!$A73</f>
        <v/>
      </c>
      <c r="I73" s="133" t="str">
        <f aca="false">ExportRaw!$B73</f>
        <v/>
      </c>
    </row>
    <row r="74" customFormat="false" ht="15.75" hidden="false" customHeight="false" outlineLevel="0" collapsed="false">
      <c r="A74" s="133" t="n">
        <f aca="false">ExportRaw!$F74</f>
        <v>0</v>
      </c>
      <c r="B74" s="133" t="n">
        <f aca="false">ExportRaw!$C74</f>
        <v>0</v>
      </c>
      <c r="C74" s="133" t="n">
        <f aca="false">ExportRaw!$G74</f>
        <v>0</v>
      </c>
      <c r="D74" s="133" t="str">
        <f aca="false">ExportRaw!$E74</f>
        <v/>
      </c>
      <c r="E74" s="134" t="str">
        <f aca="false">ExportRaw!$D74</f>
        <v/>
      </c>
      <c r="F74" s="133" t="str">
        <f aca="false">ExportRaw!$H74</f>
        <v/>
      </c>
      <c r="G74" s="135" t="str">
        <f aca="false">ExportRaw!$I74</f>
        <v/>
      </c>
      <c r="H74" s="133" t="str">
        <f aca="false">ExportRaw!$A74</f>
        <v/>
      </c>
      <c r="I74" s="133" t="str">
        <f aca="false">ExportRaw!$B74</f>
        <v/>
      </c>
    </row>
    <row r="75" customFormat="false" ht="15.75" hidden="false" customHeight="false" outlineLevel="0" collapsed="false">
      <c r="A75" s="133" t="n">
        <f aca="false">ExportRaw!$F75</f>
        <v>0</v>
      </c>
      <c r="B75" s="133" t="n">
        <f aca="false">ExportRaw!$C75</f>
        <v>0</v>
      </c>
      <c r="C75" s="133" t="n">
        <f aca="false">ExportRaw!$G75</f>
        <v>0</v>
      </c>
      <c r="D75" s="133" t="str">
        <f aca="false">ExportRaw!$E75</f>
        <v/>
      </c>
      <c r="E75" s="134" t="str">
        <f aca="false">ExportRaw!$D75</f>
        <v/>
      </c>
      <c r="F75" s="133" t="str">
        <f aca="false">ExportRaw!$H75</f>
        <v/>
      </c>
      <c r="G75" s="135" t="str">
        <f aca="false">ExportRaw!$I75</f>
        <v/>
      </c>
      <c r="H75" s="133" t="str">
        <f aca="false">ExportRaw!$A75</f>
        <v/>
      </c>
      <c r="I75" s="133" t="str">
        <f aca="false">ExportRaw!$B75</f>
        <v/>
      </c>
    </row>
    <row r="76" customFormat="false" ht="15.75" hidden="false" customHeight="false" outlineLevel="0" collapsed="false">
      <c r="A76" s="133" t="n">
        <f aca="false">ExportRaw!$F76</f>
        <v>0</v>
      </c>
      <c r="B76" s="133" t="n">
        <f aca="false">ExportRaw!$C76</f>
        <v>0</v>
      </c>
      <c r="C76" s="133" t="n">
        <f aca="false">ExportRaw!$G76</f>
        <v>0</v>
      </c>
      <c r="D76" s="133" t="str">
        <f aca="false">ExportRaw!$E76</f>
        <v/>
      </c>
      <c r="E76" s="134" t="str">
        <f aca="false">ExportRaw!$D76</f>
        <v/>
      </c>
      <c r="F76" s="133" t="str">
        <f aca="false">ExportRaw!$H76</f>
        <v/>
      </c>
      <c r="G76" s="135" t="str">
        <f aca="false">ExportRaw!$I76</f>
        <v/>
      </c>
      <c r="H76" s="133" t="str">
        <f aca="false">ExportRaw!$A76</f>
        <v/>
      </c>
      <c r="I76" s="133" t="str">
        <f aca="false">ExportRaw!$B76</f>
        <v/>
      </c>
    </row>
    <row r="77" customFormat="false" ht="15.75" hidden="false" customHeight="false" outlineLevel="0" collapsed="false">
      <c r="A77" s="133" t="n">
        <f aca="false">ExportRaw!$F77</f>
        <v>0</v>
      </c>
      <c r="B77" s="133" t="n">
        <f aca="false">ExportRaw!$C77</f>
        <v>0</v>
      </c>
      <c r="C77" s="133" t="n">
        <f aca="false">ExportRaw!$G77</f>
        <v>0</v>
      </c>
      <c r="D77" s="133" t="str">
        <f aca="false">ExportRaw!$E77</f>
        <v/>
      </c>
      <c r="E77" s="134" t="str">
        <f aca="false">ExportRaw!$D77</f>
        <v/>
      </c>
      <c r="F77" s="133" t="str">
        <f aca="false">ExportRaw!$H77</f>
        <v/>
      </c>
      <c r="G77" s="135" t="str">
        <f aca="false">ExportRaw!$I77</f>
        <v/>
      </c>
      <c r="H77" s="133" t="str">
        <f aca="false">ExportRaw!$A77</f>
        <v/>
      </c>
      <c r="I77" s="133" t="str">
        <f aca="false">ExportRaw!$B77</f>
        <v/>
      </c>
    </row>
    <row r="78" customFormat="false" ht="15.75" hidden="false" customHeight="false" outlineLevel="0" collapsed="false">
      <c r="A78" s="133" t="n">
        <f aca="false">ExportRaw!$F78</f>
        <v>0</v>
      </c>
      <c r="B78" s="133" t="n">
        <f aca="false">ExportRaw!$C78</f>
        <v>0</v>
      </c>
      <c r="C78" s="133" t="n">
        <f aca="false">ExportRaw!$G78</f>
        <v>0</v>
      </c>
      <c r="D78" s="133" t="str">
        <f aca="false">ExportRaw!$E78</f>
        <v/>
      </c>
      <c r="E78" s="134" t="str">
        <f aca="false">ExportRaw!$D78</f>
        <v/>
      </c>
      <c r="F78" s="133" t="str">
        <f aca="false">ExportRaw!$H78</f>
        <v/>
      </c>
      <c r="G78" s="135" t="str">
        <f aca="false">ExportRaw!$I78</f>
        <v/>
      </c>
      <c r="H78" s="133" t="str">
        <f aca="false">ExportRaw!$A78</f>
        <v/>
      </c>
      <c r="I78" s="133" t="str">
        <f aca="false">ExportRaw!$B78</f>
        <v/>
      </c>
    </row>
    <row r="79" customFormat="false" ht="15.75" hidden="false" customHeight="false" outlineLevel="0" collapsed="false">
      <c r="A79" s="133" t="n">
        <f aca="false">ExportRaw!$F79</f>
        <v>0</v>
      </c>
      <c r="B79" s="133" t="n">
        <f aca="false">ExportRaw!$C79</f>
        <v>0</v>
      </c>
      <c r="C79" s="133" t="n">
        <f aca="false">ExportRaw!$G79</f>
        <v>0</v>
      </c>
      <c r="D79" s="133" t="str">
        <f aca="false">ExportRaw!$E79</f>
        <v/>
      </c>
      <c r="E79" s="134" t="str">
        <f aca="false">ExportRaw!$D79</f>
        <v/>
      </c>
      <c r="F79" s="133" t="str">
        <f aca="false">ExportRaw!$H79</f>
        <v/>
      </c>
      <c r="G79" s="135" t="str">
        <f aca="false">ExportRaw!$I79</f>
        <v/>
      </c>
      <c r="H79" s="133" t="str">
        <f aca="false">ExportRaw!$A79</f>
        <v/>
      </c>
      <c r="I79" s="133" t="str">
        <f aca="false">ExportRaw!$B79</f>
        <v/>
      </c>
    </row>
    <row r="80" customFormat="false" ht="15.75" hidden="false" customHeight="false" outlineLevel="0" collapsed="false">
      <c r="A80" s="133" t="n">
        <f aca="false">ExportRaw!$F80</f>
        <v>0</v>
      </c>
      <c r="B80" s="133" t="n">
        <f aca="false">ExportRaw!$C80</f>
        <v>0</v>
      </c>
      <c r="C80" s="133" t="n">
        <f aca="false">ExportRaw!$G80</f>
        <v>0</v>
      </c>
      <c r="D80" s="133" t="str">
        <f aca="false">ExportRaw!$E80</f>
        <v/>
      </c>
      <c r="E80" s="134" t="str">
        <f aca="false">ExportRaw!$D80</f>
        <v/>
      </c>
      <c r="F80" s="133" t="str">
        <f aca="false">ExportRaw!$H80</f>
        <v/>
      </c>
      <c r="G80" s="135" t="str">
        <f aca="false">ExportRaw!$I80</f>
        <v/>
      </c>
      <c r="H80" s="133" t="str">
        <f aca="false">ExportRaw!$A80</f>
        <v/>
      </c>
      <c r="I80" s="133" t="str">
        <f aca="false">ExportRaw!$B80</f>
        <v/>
      </c>
    </row>
    <row r="81" customFormat="false" ht="15.75" hidden="false" customHeight="false" outlineLevel="0" collapsed="false">
      <c r="A81" s="133" t="n">
        <f aca="false">ExportRaw!$F81</f>
        <v>0</v>
      </c>
      <c r="B81" s="133" t="n">
        <f aca="false">ExportRaw!$C81</f>
        <v>0</v>
      </c>
      <c r="C81" s="133" t="n">
        <f aca="false">ExportRaw!$G81</f>
        <v>0</v>
      </c>
      <c r="D81" s="133" t="str">
        <f aca="false">ExportRaw!$E81</f>
        <v/>
      </c>
      <c r="E81" s="134" t="str">
        <f aca="false">ExportRaw!$D81</f>
        <v/>
      </c>
      <c r="F81" s="133" t="str">
        <f aca="false">ExportRaw!$H81</f>
        <v/>
      </c>
      <c r="G81" s="135" t="str">
        <f aca="false">ExportRaw!$I81</f>
        <v/>
      </c>
      <c r="H81" s="133" t="str">
        <f aca="false">ExportRaw!$A81</f>
        <v/>
      </c>
      <c r="I81" s="133" t="str">
        <f aca="false">ExportRaw!$B81</f>
        <v/>
      </c>
    </row>
    <row r="82" customFormat="false" ht="15.75" hidden="false" customHeight="false" outlineLevel="0" collapsed="false">
      <c r="A82" s="133" t="n">
        <f aca="false">ExportRaw!$F82</f>
        <v>0</v>
      </c>
      <c r="B82" s="133" t="n">
        <f aca="false">ExportRaw!$C82</f>
        <v>0</v>
      </c>
      <c r="C82" s="133" t="n">
        <f aca="false">ExportRaw!$G82</f>
        <v>0</v>
      </c>
      <c r="D82" s="133" t="str">
        <f aca="false">ExportRaw!$E82</f>
        <v/>
      </c>
      <c r="E82" s="134" t="str">
        <f aca="false">ExportRaw!$D82</f>
        <v/>
      </c>
      <c r="F82" s="133" t="str">
        <f aca="false">ExportRaw!$H82</f>
        <v/>
      </c>
      <c r="G82" s="135" t="str">
        <f aca="false">ExportRaw!$I82</f>
        <v/>
      </c>
      <c r="H82" s="133" t="str">
        <f aca="false">ExportRaw!$A82</f>
        <v/>
      </c>
      <c r="I82" s="133" t="str">
        <f aca="false">ExportRaw!$B82</f>
        <v/>
      </c>
    </row>
    <row r="83" customFormat="false" ht="15.75" hidden="false" customHeight="false" outlineLevel="0" collapsed="false">
      <c r="A83" s="133" t="n">
        <f aca="false">ExportRaw!$F83</f>
        <v>0</v>
      </c>
      <c r="B83" s="133" t="n">
        <f aca="false">ExportRaw!$C83</f>
        <v>0</v>
      </c>
      <c r="C83" s="133" t="n">
        <f aca="false">ExportRaw!$G83</f>
        <v>0</v>
      </c>
      <c r="D83" s="133" t="str">
        <f aca="false">ExportRaw!$E83</f>
        <v/>
      </c>
      <c r="E83" s="134" t="str">
        <f aca="false">ExportRaw!$D83</f>
        <v/>
      </c>
      <c r="F83" s="133" t="str">
        <f aca="false">ExportRaw!$H83</f>
        <v/>
      </c>
      <c r="G83" s="135" t="str">
        <f aca="false">ExportRaw!$I83</f>
        <v/>
      </c>
      <c r="H83" s="133" t="str">
        <f aca="false">ExportRaw!$A83</f>
        <v/>
      </c>
      <c r="I83" s="133" t="str">
        <f aca="false">ExportRaw!$B83</f>
        <v/>
      </c>
    </row>
    <row r="84" customFormat="false" ht="15.75" hidden="false" customHeight="false" outlineLevel="0" collapsed="false">
      <c r="A84" s="133" t="n">
        <f aca="false">ExportRaw!$F84</f>
        <v>0</v>
      </c>
      <c r="B84" s="133" t="n">
        <f aca="false">ExportRaw!$C84</f>
        <v>0</v>
      </c>
      <c r="C84" s="133" t="n">
        <f aca="false">ExportRaw!$G84</f>
        <v>0</v>
      </c>
      <c r="D84" s="133" t="str">
        <f aca="false">ExportRaw!$E84</f>
        <v/>
      </c>
      <c r="E84" s="134" t="str">
        <f aca="false">ExportRaw!$D84</f>
        <v/>
      </c>
      <c r="F84" s="133" t="str">
        <f aca="false">ExportRaw!$H84</f>
        <v/>
      </c>
      <c r="G84" s="135" t="str">
        <f aca="false">ExportRaw!$I84</f>
        <v/>
      </c>
      <c r="H84" s="133" t="str">
        <f aca="false">ExportRaw!$A84</f>
        <v/>
      </c>
      <c r="I84" s="133" t="str">
        <f aca="false">ExportRaw!$B84</f>
        <v/>
      </c>
    </row>
    <row r="85" customFormat="false" ht="15.75" hidden="false" customHeight="false" outlineLevel="0" collapsed="false">
      <c r="A85" s="133" t="n">
        <f aca="false">ExportRaw!$F85</f>
        <v>0</v>
      </c>
      <c r="B85" s="133" t="n">
        <f aca="false">ExportRaw!$C85</f>
        <v>0</v>
      </c>
      <c r="C85" s="133" t="n">
        <f aca="false">ExportRaw!$G85</f>
        <v>0</v>
      </c>
      <c r="D85" s="133" t="str">
        <f aca="false">ExportRaw!$E85</f>
        <v/>
      </c>
      <c r="E85" s="134" t="str">
        <f aca="false">ExportRaw!$D85</f>
        <v/>
      </c>
      <c r="F85" s="133" t="str">
        <f aca="false">ExportRaw!$H85</f>
        <v/>
      </c>
      <c r="G85" s="135" t="str">
        <f aca="false">ExportRaw!$I85</f>
        <v/>
      </c>
      <c r="H85" s="133" t="str">
        <f aca="false">ExportRaw!$A85</f>
        <v/>
      </c>
      <c r="I85" s="133" t="str">
        <f aca="false">ExportRaw!$B85</f>
        <v/>
      </c>
    </row>
    <row r="86" customFormat="false" ht="15.75" hidden="false" customHeight="false" outlineLevel="0" collapsed="false">
      <c r="A86" s="133" t="n">
        <f aca="false">ExportRaw!$F86</f>
        <v>0</v>
      </c>
      <c r="B86" s="133" t="n">
        <f aca="false">ExportRaw!$C86</f>
        <v>0</v>
      </c>
      <c r="C86" s="133" t="n">
        <f aca="false">ExportRaw!$G86</f>
        <v>0</v>
      </c>
      <c r="D86" s="133" t="str">
        <f aca="false">ExportRaw!$E86</f>
        <v/>
      </c>
      <c r="E86" s="134" t="str">
        <f aca="false">ExportRaw!$D86</f>
        <v/>
      </c>
      <c r="F86" s="133" t="str">
        <f aca="false">ExportRaw!$H86</f>
        <v/>
      </c>
      <c r="G86" s="135" t="str">
        <f aca="false">ExportRaw!$I86</f>
        <v/>
      </c>
      <c r="H86" s="133" t="str">
        <f aca="false">ExportRaw!$A86</f>
        <v/>
      </c>
      <c r="I86" s="133" t="str">
        <f aca="false">ExportRaw!$B86</f>
        <v/>
      </c>
    </row>
    <row r="87" customFormat="false" ht="15.75" hidden="false" customHeight="false" outlineLevel="0" collapsed="false">
      <c r="A87" s="133" t="n">
        <f aca="false">ExportRaw!$F87</f>
        <v>0</v>
      </c>
      <c r="B87" s="133" t="n">
        <f aca="false">ExportRaw!$C87</f>
        <v>0</v>
      </c>
      <c r="C87" s="133" t="n">
        <f aca="false">ExportRaw!$G87</f>
        <v>0</v>
      </c>
      <c r="D87" s="133" t="str">
        <f aca="false">ExportRaw!$E87</f>
        <v/>
      </c>
      <c r="E87" s="134" t="str">
        <f aca="false">ExportRaw!$D87</f>
        <v/>
      </c>
      <c r="F87" s="133" t="str">
        <f aca="false">ExportRaw!$H87</f>
        <v/>
      </c>
      <c r="G87" s="135" t="str">
        <f aca="false">ExportRaw!$I87</f>
        <v/>
      </c>
      <c r="H87" s="133" t="str">
        <f aca="false">ExportRaw!$A87</f>
        <v/>
      </c>
      <c r="I87" s="133" t="str">
        <f aca="false">ExportRaw!$B87</f>
        <v/>
      </c>
    </row>
    <row r="88" customFormat="false" ht="15.75" hidden="false" customHeight="false" outlineLevel="0" collapsed="false">
      <c r="A88" s="133" t="n">
        <f aca="false">ExportRaw!$F88</f>
        <v>0</v>
      </c>
      <c r="B88" s="133" t="n">
        <f aca="false">ExportRaw!$C88</f>
        <v>0</v>
      </c>
      <c r="C88" s="133" t="n">
        <f aca="false">ExportRaw!$G88</f>
        <v>0</v>
      </c>
      <c r="D88" s="133" t="str">
        <f aca="false">ExportRaw!$E88</f>
        <v/>
      </c>
      <c r="E88" s="134" t="str">
        <f aca="false">ExportRaw!$D88</f>
        <v/>
      </c>
      <c r="F88" s="133" t="str">
        <f aca="false">ExportRaw!$H88</f>
        <v/>
      </c>
      <c r="G88" s="135" t="str">
        <f aca="false">ExportRaw!$I88</f>
        <v/>
      </c>
      <c r="H88" s="133" t="str">
        <f aca="false">ExportRaw!$A88</f>
        <v/>
      </c>
      <c r="I88" s="133" t="str">
        <f aca="false">ExportRaw!$B88</f>
        <v/>
      </c>
    </row>
    <row r="89" customFormat="false" ht="15.75" hidden="false" customHeight="false" outlineLevel="0" collapsed="false">
      <c r="A89" s="133" t="n">
        <f aca="false">ExportRaw!$F89</f>
        <v>0</v>
      </c>
      <c r="B89" s="133" t="n">
        <f aca="false">ExportRaw!$C89</f>
        <v>0</v>
      </c>
      <c r="C89" s="133" t="n">
        <f aca="false">ExportRaw!$G89</f>
        <v>0</v>
      </c>
      <c r="D89" s="133" t="str">
        <f aca="false">ExportRaw!$E89</f>
        <v/>
      </c>
      <c r="E89" s="134" t="str">
        <f aca="false">ExportRaw!$D89</f>
        <v/>
      </c>
      <c r="F89" s="133" t="str">
        <f aca="false">ExportRaw!$H89</f>
        <v/>
      </c>
      <c r="G89" s="135" t="str">
        <f aca="false">ExportRaw!$I89</f>
        <v/>
      </c>
      <c r="H89" s="133" t="str">
        <f aca="false">ExportRaw!$A89</f>
        <v/>
      </c>
      <c r="I89" s="133" t="str">
        <f aca="false">ExportRaw!$B89</f>
        <v/>
      </c>
    </row>
    <row r="90" customFormat="false" ht="15.75" hidden="false" customHeight="false" outlineLevel="0" collapsed="false">
      <c r="A90" s="133" t="n">
        <f aca="false">ExportRaw!$F90</f>
        <v>0</v>
      </c>
      <c r="B90" s="133" t="n">
        <f aca="false">ExportRaw!$C90</f>
        <v>0</v>
      </c>
      <c r="C90" s="133" t="n">
        <f aca="false">ExportRaw!$G90</f>
        <v>0</v>
      </c>
      <c r="D90" s="133" t="str">
        <f aca="false">ExportRaw!$E90</f>
        <v/>
      </c>
      <c r="E90" s="134" t="str">
        <f aca="false">ExportRaw!$D90</f>
        <v/>
      </c>
      <c r="F90" s="133" t="str">
        <f aca="false">ExportRaw!$H90</f>
        <v/>
      </c>
      <c r="G90" s="135" t="str">
        <f aca="false">ExportRaw!$I90</f>
        <v/>
      </c>
      <c r="H90" s="133" t="str">
        <f aca="false">ExportRaw!$A90</f>
        <v/>
      </c>
      <c r="I90" s="133" t="str">
        <f aca="false">ExportRaw!$B90</f>
        <v/>
      </c>
    </row>
    <row r="91" customFormat="false" ht="15.75" hidden="false" customHeight="false" outlineLevel="0" collapsed="false">
      <c r="A91" s="133" t="n">
        <f aca="false">ExportRaw!$F91</f>
        <v>0</v>
      </c>
      <c r="B91" s="133" t="n">
        <f aca="false">ExportRaw!$C91</f>
        <v>0</v>
      </c>
      <c r="C91" s="133" t="n">
        <f aca="false">ExportRaw!$G91</f>
        <v>0</v>
      </c>
      <c r="D91" s="133" t="str">
        <f aca="false">ExportRaw!$E91</f>
        <v/>
      </c>
      <c r="E91" s="134" t="str">
        <f aca="false">ExportRaw!$D91</f>
        <v/>
      </c>
      <c r="F91" s="133" t="str">
        <f aca="false">ExportRaw!$H91</f>
        <v/>
      </c>
      <c r="G91" s="135" t="str">
        <f aca="false">ExportRaw!$I91</f>
        <v/>
      </c>
      <c r="H91" s="133" t="str">
        <f aca="false">ExportRaw!$A91</f>
        <v/>
      </c>
      <c r="I91" s="133" t="str">
        <f aca="false">ExportRaw!$B91</f>
        <v/>
      </c>
    </row>
    <row r="92" customFormat="false" ht="15.75" hidden="false" customHeight="false" outlineLevel="0" collapsed="false">
      <c r="A92" s="133" t="n">
        <f aca="false">ExportRaw!$F92</f>
        <v>0</v>
      </c>
      <c r="B92" s="133" t="n">
        <f aca="false">ExportRaw!$C92</f>
        <v>0</v>
      </c>
      <c r="C92" s="133" t="n">
        <f aca="false">ExportRaw!$G92</f>
        <v>0</v>
      </c>
      <c r="D92" s="133" t="str">
        <f aca="false">ExportRaw!$E92</f>
        <v/>
      </c>
      <c r="E92" s="134" t="str">
        <f aca="false">ExportRaw!$D92</f>
        <v/>
      </c>
      <c r="F92" s="133" t="str">
        <f aca="false">ExportRaw!$H92</f>
        <v/>
      </c>
      <c r="G92" s="135" t="str">
        <f aca="false">ExportRaw!$I92</f>
        <v/>
      </c>
      <c r="H92" s="133" t="str">
        <f aca="false">ExportRaw!$A92</f>
        <v/>
      </c>
      <c r="I92" s="133" t="str">
        <f aca="false">ExportRaw!$B92</f>
        <v/>
      </c>
    </row>
    <row r="93" customFormat="false" ht="15.75" hidden="false" customHeight="false" outlineLevel="0" collapsed="false">
      <c r="A93" s="133" t="n">
        <f aca="false">ExportRaw!$F93</f>
        <v>0</v>
      </c>
      <c r="B93" s="133" t="n">
        <f aca="false">ExportRaw!$C93</f>
        <v>0</v>
      </c>
      <c r="C93" s="133" t="n">
        <f aca="false">ExportRaw!$G93</f>
        <v>0</v>
      </c>
      <c r="D93" s="133" t="str">
        <f aca="false">ExportRaw!$E93</f>
        <v/>
      </c>
      <c r="E93" s="134" t="str">
        <f aca="false">ExportRaw!$D93</f>
        <v/>
      </c>
      <c r="F93" s="133" t="str">
        <f aca="false">ExportRaw!$H93</f>
        <v/>
      </c>
      <c r="G93" s="135" t="str">
        <f aca="false">ExportRaw!$I93</f>
        <v/>
      </c>
      <c r="H93" s="133" t="str">
        <f aca="false">ExportRaw!$A93</f>
        <v/>
      </c>
      <c r="I93" s="133" t="str">
        <f aca="false">ExportRaw!$B93</f>
        <v/>
      </c>
    </row>
    <row r="94" customFormat="false" ht="15.75" hidden="false" customHeight="false" outlineLevel="0" collapsed="false">
      <c r="A94" s="133" t="n">
        <f aca="false">ExportRaw!$F94</f>
        <v>0</v>
      </c>
      <c r="B94" s="133" t="n">
        <f aca="false">ExportRaw!$C94</f>
        <v>0</v>
      </c>
      <c r="C94" s="133" t="n">
        <f aca="false">ExportRaw!$G94</f>
        <v>0</v>
      </c>
      <c r="D94" s="133" t="str">
        <f aca="false">ExportRaw!$E94</f>
        <v/>
      </c>
      <c r="E94" s="134" t="str">
        <f aca="false">ExportRaw!$D94</f>
        <v/>
      </c>
      <c r="F94" s="133" t="str">
        <f aca="false">ExportRaw!$H94</f>
        <v/>
      </c>
      <c r="G94" s="135" t="str">
        <f aca="false">ExportRaw!$I94</f>
        <v/>
      </c>
      <c r="H94" s="133" t="str">
        <f aca="false">ExportRaw!$A94</f>
        <v/>
      </c>
      <c r="I94" s="133" t="str">
        <f aca="false">ExportRaw!$B94</f>
        <v/>
      </c>
    </row>
    <row r="95" customFormat="false" ht="15.75" hidden="false" customHeight="false" outlineLevel="0" collapsed="false">
      <c r="A95" s="133" t="n">
        <f aca="false">ExportRaw!$F95</f>
        <v>0</v>
      </c>
      <c r="B95" s="133" t="n">
        <f aca="false">ExportRaw!$C95</f>
        <v>0</v>
      </c>
      <c r="C95" s="133" t="n">
        <f aca="false">ExportRaw!$G95</f>
        <v>0</v>
      </c>
      <c r="D95" s="133" t="str">
        <f aca="false">ExportRaw!$E95</f>
        <v/>
      </c>
      <c r="E95" s="134" t="str">
        <f aca="false">ExportRaw!$D95</f>
        <v/>
      </c>
      <c r="F95" s="133" t="str">
        <f aca="false">ExportRaw!$H95</f>
        <v/>
      </c>
      <c r="G95" s="135" t="str">
        <f aca="false">ExportRaw!$I95</f>
        <v/>
      </c>
      <c r="H95" s="133" t="str">
        <f aca="false">ExportRaw!$A95</f>
        <v/>
      </c>
      <c r="I95" s="133" t="str">
        <f aca="false">ExportRaw!$B95</f>
        <v/>
      </c>
    </row>
    <row r="96" customFormat="false" ht="15.75" hidden="false" customHeight="false" outlineLevel="0" collapsed="false">
      <c r="A96" s="133" t="n">
        <f aca="false">ExportRaw!$F96</f>
        <v>0</v>
      </c>
      <c r="B96" s="133" t="n">
        <f aca="false">ExportRaw!$C96</f>
        <v>0</v>
      </c>
      <c r="C96" s="133" t="n">
        <f aca="false">ExportRaw!$G96</f>
        <v>0</v>
      </c>
      <c r="D96" s="133" t="str">
        <f aca="false">ExportRaw!$E96</f>
        <v/>
      </c>
      <c r="E96" s="134" t="str">
        <f aca="false">ExportRaw!$D96</f>
        <v/>
      </c>
      <c r="F96" s="133" t="str">
        <f aca="false">ExportRaw!$H96</f>
        <v/>
      </c>
      <c r="G96" s="135" t="str">
        <f aca="false">ExportRaw!$I96</f>
        <v/>
      </c>
      <c r="H96" s="133" t="str">
        <f aca="false">ExportRaw!$A96</f>
        <v/>
      </c>
      <c r="I96" s="133" t="str">
        <f aca="false">ExportRaw!$B96</f>
        <v/>
      </c>
    </row>
    <row r="97" customFormat="false" ht="15.75" hidden="false" customHeight="false" outlineLevel="0" collapsed="false">
      <c r="A97" s="133" t="n">
        <f aca="false">ExportRaw!$F97</f>
        <v>0</v>
      </c>
      <c r="B97" s="133" t="n">
        <f aca="false">ExportRaw!$C97</f>
        <v>0</v>
      </c>
      <c r="C97" s="133" t="n">
        <f aca="false">ExportRaw!$G97</f>
        <v>0</v>
      </c>
      <c r="D97" s="133" t="str">
        <f aca="false">ExportRaw!$E97</f>
        <v/>
      </c>
      <c r="E97" s="134" t="str">
        <f aca="false">ExportRaw!$D97</f>
        <v/>
      </c>
      <c r="F97" s="133" t="str">
        <f aca="false">ExportRaw!$H97</f>
        <v/>
      </c>
      <c r="G97" s="135" t="str">
        <f aca="false">ExportRaw!$I97</f>
        <v/>
      </c>
      <c r="H97" s="133" t="str">
        <f aca="false">ExportRaw!$A97</f>
        <v/>
      </c>
      <c r="I97" s="133" t="str">
        <f aca="false">ExportRaw!$B97</f>
        <v/>
      </c>
    </row>
    <row r="98" customFormat="false" ht="15.75" hidden="false" customHeight="false" outlineLevel="0" collapsed="false">
      <c r="A98" s="133" t="n">
        <f aca="false">ExportRaw!$F98</f>
        <v>0</v>
      </c>
      <c r="B98" s="133" t="n">
        <f aca="false">ExportRaw!$C98</f>
        <v>0</v>
      </c>
      <c r="C98" s="133" t="n">
        <f aca="false">ExportRaw!$G98</f>
        <v>0</v>
      </c>
      <c r="D98" s="133" t="str">
        <f aca="false">ExportRaw!$E98</f>
        <v/>
      </c>
      <c r="E98" s="134" t="str">
        <f aca="false">ExportRaw!$D98</f>
        <v/>
      </c>
      <c r="F98" s="133" t="str">
        <f aca="false">ExportRaw!$H98</f>
        <v/>
      </c>
      <c r="G98" s="135" t="str">
        <f aca="false">ExportRaw!$I98</f>
        <v/>
      </c>
      <c r="H98" s="133" t="str">
        <f aca="false">ExportRaw!$A98</f>
        <v/>
      </c>
      <c r="I98" s="133" t="str">
        <f aca="false">ExportRaw!$B98</f>
        <v/>
      </c>
    </row>
    <row r="99" customFormat="false" ht="15.75" hidden="false" customHeight="false" outlineLevel="0" collapsed="false">
      <c r="A99" s="133" t="n">
        <f aca="false">ExportRaw!$F99</f>
        <v>0</v>
      </c>
      <c r="B99" s="133" t="n">
        <f aca="false">ExportRaw!$C99</f>
        <v>0</v>
      </c>
      <c r="C99" s="133" t="n">
        <f aca="false">ExportRaw!$G99</f>
        <v>0</v>
      </c>
      <c r="D99" s="133" t="str">
        <f aca="false">ExportRaw!$E99</f>
        <v/>
      </c>
      <c r="E99" s="134" t="str">
        <f aca="false">ExportRaw!$D99</f>
        <v/>
      </c>
      <c r="F99" s="133" t="str">
        <f aca="false">ExportRaw!$H99</f>
        <v/>
      </c>
      <c r="G99" s="135" t="str">
        <f aca="false">ExportRaw!$I99</f>
        <v/>
      </c>
      <c r="H99" s="133" t="str">
        <f aca="false">ExportRaw!$A99</f>
        <v/>
      </c>
      <c r="I99" s="133" t="str">
        <f aca="false">ExportRaw!$B99</f>
        <v/>
      </c>
    </row>
    <row r="100" customFormat="false" ht="15.75" hidden="false" customHeight="false" outlineLevel="0" collapsed="false">
      <c r="A100" s="133" t="n">
        <f aca="false">ExportRaw!$F100</f>
        <v>0</v>
      </c>
      <c r="B100" s="133" t="n">
        <f aca="false">ExportRaw!$C100</f>
        <v>0</v>
      </c>
      <c r="C100" s="133" t="n">
        <f aca="false">ExportRaw!$G100</f>
        <v>0</v>
      </c>
      <c r="D100" s="133" t="str">
        <f aca="false">ExportRaw!$E100</f>
        <v/>
      </c>
      <c r="E100" s="134" t="str">
        <f aca="false">ExportRaw!$D100</f>
        <v/>
      </c>
      <c r="F100" s="133" t="str">
        <f aca="false">ExportRaw!$H100</f>
        <v/>
      </c>
      <c r="G100" s="135" t="str">
        <f aca="false">ExportRaw!$I100</f>
        <v/>
      </c>
      <c r="H100" s="133" t="str">
        <f aca="false">ExportRaw!$A100</f>
        <v/>
      </c>
      <c r="I100" s="133" t="str">
        <f aca="false">ExportRaw!$B100</f>
        <v/>
      </c>
    </row>
    <row r="101" customFormat="false" ht="15.75" hidden="false" customHeight="false" outlineLevel="0" collapsed="false">
      <c r="A101" s="133" t="n">
        <f aca="false">ExportRaw!$F101</f>
        <v>0</v>
      </c>
      <c r="B101" s="133" t="n">
        <f aca="false">ExportRaw!$C101</f>
        <v>0</v>
      </c>
      <c r="C101" s="133" t="n">
        <f aca="false">ExportRaw!$G101</f>
        <v>0</v>
      </c>
      <c r="D101" s="133" t="str">
        <f aca="false">ExportRaw!$E101</f>
        <v/>
      </c>
      <c r="E101" s="134" t="str">
        <f aca="false">ExportRaw!$D101</f>
        <v/>
      </c>
      <c r="F101" s="133" t="str">
        <f aca="false">ExportRaw!$H101</f>
        <v/>
      </c>
      <c r="G101" s="135" t="str">
        <f aca="false">ExportRaw!$I101</f>
        <v/>
      </c>
      <c r="H101" s="133" t="str">
        <f aca="false">ExportRaw!$A101</f>
        <v/>
      </c>
      <c r="I101" s="133" t="str">
        <f aca="false">ExportRaw!$B101</f>
        <v/>
      </c>
    </row>
    <row r="102" customFormat="false" ht="15.75" hidden="false" customHeight="false" outlineLevel="0" collapsed="false">
      <c r="A102" s="133" t="n">
        <f aca="false">ExportRaw!$F102</f>
        <v>0</v>
      </c>
      <c r="B102" s="133" t="n">
        <f aca="false">ExportRaw!$C102</f>
        <v>0</v>
      </c>
      <c r="C102" s="133" t="n">
        <f aca="false">ExportRaw!$G102</f>
        <v>0</v>
      </c>
      <c r="D102" s="133" t="str">
        <f aca="false">ExportRaw!$E102</f>
        <v/>
      </c>
      <c r="E102" s="134" t="str">
        <f aca="false">ExportRaw!$D102</f>
        <v/>
      </c>
      <c r="F102" s="133" t="str">
        <f aca="false">ExportRaw!$H102</f>
        <v/>
      </c>
      <c r="G102" s="135" t="str">
        <f aca="false">ExportRaw!$I102</f>
        <v/>
      </c>
      <c r="H102" s="133" t="str">
        <f aca="false">ExportRaw!$A102</f>
        <v/>
      </c>
      <c r="I102" s="133" t="str">
        <f aca="false">ExportRaw!$B102</f>
        <v/>
      </c>
    </row>
    <row r="103" customFormat="false" ht="15.75" hidden="false" customHeight="false" outlineLevel="0" collapsed="false">
      <c r="A103" s="133" t="n">
        <f aca="false">ExportRaw!$F103</f>
        <v>0</v>
      </c>
      <c r="B103" s="133" t="n">
        <f aca="false">ExportRaw!$C103</f>
        <v>0</v>
      </c>
      <c r="C103" s="133" t="n">
        <f aca="false">ExportRaw!$G103</f>
        <v>0</v>
      </c>
      <c r="D103" s="133" t="str">
        <f aca="false">ExportRaw!$E103</f>
        <v/>
      </c>
      <c r="E103" s="134" t="str">
        <f aca="false">ExportRaw!$D103</f>
        <v/>
      </c>
      <c r="F103" s="133" t="str">
        <f aca="false">ExportRaw!$H103</f>
        <v/>
      </c>
      <c r="G103" s="135" t="str">
        <f aca="false">ExportRaw!$I103</f>
        <v/>
      </c>
      <c r="H103" s="133" t="str">
        <f aca="false">ExportRaw!$A103</f>
        <v/>
      </c>
      <c r="I103" s="133" t="str">
        <f aca="false">ExportRaw!$B103</f>
        <v/>
      </c>
    </row>
    <row r="104" customFormat="false" ht="15.75" hidden="false" customHeight="false" outlineLevel="0" collapsed="false">
      <c r="A104" s="133" t="n">
        <f aca="false">ExportRaw!$F104</f>
        <v>0</v>
      </c>
      <c r="B104" s="133" t="n">
        <f aca="false">ExportRaw!$C104</f>
        <v>0</v>
      </c>
      <c r="C104" s="133" t="n">
        <f aca="false">ExportRaw!$G104</f>
        <v>0</v>
      </c>
      <c r="D104" s="133" t="str">
        <f aca="false">ExportRaw!$E104</f>
        <v/>
      </c>
      <c r="E104" s="134" t="str">
        <f aca="false">ExportRaw!$D104</f>
        <v/>
      </c>
      <c r="F104" s="133" t="str">
        <f aca="false">ExportRaw!$H104</f>
        <v/>
      </c>
      <c r="G104" s="135" t="str">
        <f aca="false">ExportRaw!$I104</f>
        <v/>
      </c>
      <c r="H104" s="133" t="str">
        <f aca="false">ExportRaw!$A104</f>
        <v/>
      </c>
      <c r="I104" s="133" t="str">
        <f aca="false">ExportRaw!$B104</f>
        <v/>
      </c>
    </row>
    <row r="105" customFormat="false" ht="15.75" hidden="false" customHeight="false" outlineLevel="0" collapsed="false">
      <c r="A105" s="133" t="n">
        <f aca="false">ExportRaw!$F105</f>
        <v>0</v>
      </c>
      <c r="B105" s="133" t="n">
        <f aca="false">ExportRaw!$C105</f>
        <v>0</v>
      </c>
      <c r="C105" s="133" t="n">
        <f aca="false">ExportRaw!$G105</f>
        <v>0</v>
      </c>
      <c r="D105" s="133" t="str">
        <f aca="false">ExportRaw!$E105</f>
        <v/>
      </c>
      <c r="E105" s="134" t="str">
        <f aca="false">ExportRaw!$D105</f>
        <v/>
      </c>
      <c r="F105" s="133" t="str">
        <f aca="false">ExportRaw!$H105</f>
        <v/>
      </c>
      <c r="G105" s="135" t="str">
        <f aca="false">ExportRaw!$I105</f>
        <v/>
      </c>
      <c r="H105" s="133" t="str">
        <f aca="false">ExportRaw!$A105</f>
        <v/>
      </c>
      <c r="I105" s="133" t="str">
        <f aca="false">ExportRaw!$B105</f>
        <v/>
      </c>
    </row>
    <row r="106" customFormat="false" ht="15.75" hidden="false" customHeight="false" outlineLevel="0" collapsed="false">
      <c r="A106" s="133" t="n">
        <f aca="false">ExportRaw!$F106</f>
        <v>0</v>
      </c>
      <c r="B106" s="133" t="n">
        <f aca="false">ExportRaw!$C106</f>
        <v>0</v>
      </c>
      <c r="C106" s="133" t="n">
        <f aca="false">ExportRaw!$G106</f>
        <v>0</v>
      </c>
      <c r="D106" s="133" t="str">
        <f aca="false">ExportRaw!$E106</f>
        <v/>
      </c>
      <c r="E106" s="134" t="str">
        <f aca="false">ExportRaw!$D106</f>
        <v/>
      </c>
      <c r="F106" s="133" t="str">
        <f aca="false">ExportRaw!$H106</f>
        <v/>
      </c>
      <c r="G106" s="135" t="str">
        <f aca="false">ExportRaw!$I106</f>
        <v/>
      </c>
      <c r="H106" s="133" t="str">
        <f aca="false">ExportRaw!$A106</f>
        <v/>
      </c>
      <c r="I106" s="133" t="str">
        <f aca="false">ExportRaw!$B106</f>
        <v/>
      </c>
    </row>
    <row r="107" customFormat="false" ht="15.75" hidden="false" customHeight="false" outlineLevel="0" collapsed="false">
      <c r="A107" s="133" t="n">
        <f aca="false">ExportRaw!$F107</f>
        <v>0</v>
      </c>
      <c r="B107" s="133" t="n">
        <f aca="false">ExportRaw!$C107</f>
        <v>0</v>
      </c>
      <c r="C107" s="133" t="n">
        <f aca="false">ExportRaw!$G107</f>
        <v>0</v>
      </c>
      <c r="D107" s="133" t="str">
        <f aca="false">ExportRaw!$E107</f>
        <v/>
      </c>
      <c r="E107" s="134" t="str">
        <f aca="false">ExportRaw!$D107</f>
        <v/>
      </c>
      <c r="F107" s="133" t="str">
        <f aca="false">ExportRaw!$H107</f>
        <v/>
      </c>
      <c r="G107" s="135" t="str">
        <f aca="false">ExportRaw!$I107</f>
        <v/>
      </c>
      <c r="H107" s="133" t="str">
        <f aca="false">ExportRaw!$A107</f>
        <v/>
      </c>
      <c r="I107" s="133" t="str">
        <f aca="false">ExportRaw!$B107</f>
        <v/>
      </c>
    </row>
    <row r="108" customFormat="false" ht="15.75" hidden="false" customHeight="false" outlineLevel="0" collapsed="false">
      <c r="A108" s="133" t="n">
        <f aca="false">ExportRaw!$F108</f>
        <v>0</v>
      </c>
      <c r="B108" s="133" t="n">
        <f aca="false">ExportRaw!$C108</f>
        <v>0</v>
      </c>
      <c r="C108" s="133" t="n">
        <f aca="false">ExportRaw!$G108</f>
        <v>0</v>
      </c>
      <c r="D108" s="133" t="str">
        <f aca="false">ExportRaw!$E108</f>
        <v/>
      </c>
      <c r="E108" s="134" t="str">
        <f aca="false">ExportRaw!$D108</f>
        <v/>
      </c>
      <c r="F108" s="133" t="str">
        <f aca="false">ExportRaw!$H108</f>
        <v/>
      </c>
      <c r="G108" s="135" t="str">
        <f aca="false">ExportRaw!$I108</f>
        <v/>
      </c>
      <c r="H108" s="133" t="str">
        <f aca="false">ExportRaw!$A108</f>
        <v/>
      </c>
      <c r="I108" s="133" t="str">
        <f aca="false">ExportRaw!$B108</f>
        <v/>
      </c>
    </row>
    <row r="109" customFormat="false" ht="15.75" hidden="false" customHeight="false" outlineLevel="0" collapsed="false">
      <c r="A109" s="133" t="n">
        <f aca="false">ExportRaw!$F109</f>
        <v>0</v>
      </c>
      <c r="B109" s="133" t="n">
        <f aca="false">ExportRaw!$C109</f>
        <v>0</v>
      </c>
      <c r="C109" s="133" t="n">
        <f aca="false">ExportRaw!$G109</f>
        <v>0</v>
      </c>
      <c r="D109" s="133" t="str">
        <f aca="false">ExportRaw!$E109</f>
        <v/>
      </c>
      <c r="E109" s="134" t="str">
        <f aca="false">ExportRaw!$D109</f>
        <v/>
      </c>
      <c r="F109" s="133" t="str">
        <f aca="false">ExportRaw!$H109</f>
        <v/>
      </c>
      <c r="G109" s="135" t="str">
        <f aca="false">ExportRaw!$I109</f>
        <v/>
      </c>
      <c r="H109" s="133" t="str">
        <f aca="false">ExportRaw!$A109</f>
        <v/>
      </c>
      <c r="I109" s="133" t="str">
        <f aca="false">ExportRaw!$B109</f>
        <v/>
      </c>
    </row>
    <row r="110" customFormat="false" ht="15.75" hidden="false" customHeight="false" outlineLevel="0" collapsed="false">
      <c r="A110" s="133" t="n">
        <f aca="false">ExportRaw!$F110</f>
        <v>0</v>
      </c>
      <c r="B110" s="133" t="n">
        <f aca="false">ExportRaw!$C110</f>
        <v>0</v>
      </c>
      <c r="C110" s="133" t="n">
        <f aca="false">ExportRaw!$G110</f>
        <v>0</v>
      </c>
      <c r="D110" s="133" t="str">
        <f aca="false">ExportRaw!$E110</f>
        <v/>
      </c>
      <c r="E110" s="134" t="str">
        <f aca="false">ExportRaw!$D110</f>
        <v/>
      </c>
      <c r="F110" s="133" t="str">
        <f aca="false">ExportRaw!$H110</f>
        <v/>
      </c>
      <c r="G110" s="135" t="str">
        <f aca="false">ExportRaw!$I110</f>
        <v/>
      </c>
      <c r="H110" s="133" t="str">
        <f aca="false">ExportRaw!$A110</f>
        <v/>
      </c>
      <c r="I110" s="133" t="str">
        <f aca="false">ExportRaw!$B110</f>
        <v/>
      </c>
    </row>
    <row r="111" customFormat="false" ht="15.75" hidden="false" customHeight="false" outlineLevel="0" collapsed="false">
      <c r="A111" s="133" t="n">
        <f aca="false">ExportRaw!$F111</f>
        <v>0</v>
      </c>
      <c r="B111" s="133" t="n">
        <f aca="false">ExportRaw!$C111</f>
        <v>0</v>
      </c>
      <c r="C111" s="133" t="n">
        <f aca="false">ExportRaw!$G111</f>
        <v>0</v>
      </c>
      <c r="D111" s="133" t="str">
        <f aca="false">ExportRaw!$E111</f>
        <v/>
      </c>
      <c r="E111" s="134" t="str">
        <f aca="false">ExportRaw!$D111</f>
        <v/>
      </c>
      <c r="F111" s="133" t="str">
        <f aca="false">ExportRaw!$H111</f>
        <v/>
      </c>
      <c r="G111" s="135" t="str">
        <f aca="false">ExportRaw!$I111</f>
        <v/>
      </c>
      <c r="H111" s="133" t="str">
        <f aca="false">ExportRaw!$A111</f>
        <v/>
      </c>
      <c r="I111" s="133" t="str">
        <f aca="false">ExportRaw!$B111</f>
        <v/>
      </c>
    </row>
    <row r="112" customFormat="false" ht="15.75" hidden="false" customHeight="false" outlineLevel="0" collapsed="false">
      <c r="A112" s="133" t="n">
        <f aca="false">ExportRaw!$F112</f>
        <v>0</v>
      </c>
      <c r="B112" s="133" t="n">
        <f aca="false">ExportRaw!$C112</f>
        <v>0</v>
      </c>
      <c r="C112" s="133" t="n">
        <f aca="false">ExportRaw!$G112</f>
        <v>0</v>
      </c>
      <c r="D112" s="133" t="str">
        <f aca="false">ExportRaw!$E112</f>
        <v/>
      </c>
      <c r="E112" s="134" t="str">
        <f aca="false">ExportRaw!$D112</f>
        <v/>
      </c>
      <c r="F112" s="133" t="str">
        <f aca="false">ExportRaw!$H112</f>
        <v/>
      </c>
      <c r="G112" s="135" t="str">
        <f aca="false">ExportRaw!$I112</f>
        <v/>
      </c>
      <c r="H112" s="133" t="str">
        <f aca="false">ExportRaw!$A112</f>
        <v/>
      </c>
      <c r="I112" s="133" t="str">
        <f aca="false">ExportRaw!$B112</f>
        <v/>
      </c>
    </row>
    <row r="113" customFormat="false" ht="15.75" hidden="false" customHeight="false" outlineLevel="0" collapsed="false">
      <c r="A113" s="133" t="n">
        <f aca="false">ExportRaw!$F113</f>
        <v>0</v>
      </c>
      <c r="B113" s="133" t="n">
        <f aca="false">ExportRaw!$C113</f>
        <v>0</v>
      </c>
      <c r="C113" s="133" t="n">
        <f aca="false">ExportRaw!$G113</f>
        <v>0</v>
      </c>
      <c r="D113" s="133" t="str">
        <f aca="false">ExportRaw!$E113</f>
        <v/>
      </c>
      <c r="E113" s="134" t="str">
        <f aca="false">ExportRaw!$D113</f>
        <v/>
      </c>
      <c r="F113" s="133" t="str">
        <f aca="false">ExportRaw!$H113</f>
        <v/>
      </c>
      <c r="G113" s="135" t="str">
        <f aca="false">ExportRaw!$I113</f>
        <v/>
      </c>
      <c r="H113" s="133" t="str">
        <f aca="false">ExportRaw!$A113</f>
        <v/>
      </c>
      <c r="I113" s="133" t="str">
        <f aca="false">ExportRaw!$B113</f>
        <v/>
      </c>
    </row>
    <row r="114" customFormat="false" ht="15.75" hidden="false" customHeight="false" outlineLevel="0" collapsed="false">
      <c r="A114" s="133" t="n">
        <f aca="false">ExportRaw!$F114</f>
        <v>0</v>
      </c>
      <c r="B114" s="133" t="n">
        <f aca="false">ExportRaw!$C114</f>
        <v>0</v>
      </c>
      <c r="C114" s="133" t="n">
        <f aca="false">ExportRaw!$G114</f>
        <v>0</v>
      </c>
      <c r="D114" s="133" t="str">
        <f aca="false">ExportRaw!$E114</f>
        <v/>
      </c>
      <c r="E114" s="134" t="str">
        <f aca="false">ExportRaw!$D114</f>
        <v/>
      </c>
      <c r="F114" s="133" t="str">
        <f aca="false">ExportRaw!$H114</f>
        <v/>
      </c>
      <c r="G114" s="135" t="str">
        <f aca="false">ExportRaw!$I114</f>
        <v/>
      </c>
      <c r="H114" s="133" t="str">
        <f aca="false">ExportRaw!$A114</f>
        <v/>
      </c>
      <c r="I114" s="133" t="str">
        <f aca="false">ExportRaw!$B114</f>
        <v/>
      </c>
    </row>
    <row r="115" customFormat="false" ht="15.75" hidden="false" customHeight="false" outlineLevel="0" collapsed="false">
      <c r="A115" s="133" t="n">
        <f aca="false">ExportRaw!$F115</f>
        <v>0</v>
      </c>
      <c r="B115" s="133" t="n">
        <f aca="false">ExportRaw!$C115</f>
        <v>0</v>
      </c>
      <c r="C115" s="133" t="n">
        <f aca="false">ExportRaw!$G115</f>
        <v>0</v>
      </c>
      <c r="D115" s="133" t="str">
        <f aca="false">ExportRaw!$E115</f>
        <v/>
      </c>
      <c r="E115" s="134" t="str">
        <f aca="false">ExportRaw!$D115</f>
        <v/>
      </c>
      <c r="F115" s="133" t="str">
        <f aca="false">ExportRaw!$H115</f>
        <v/>
      </c>
      <c r="G115" s="135" t="str">
        <f aca="false">ExportRaw!$I115</f>
        <v/>
      </c>
      <c r="H115" s="133" t="str">
        <f aca="false">ExportRaw!$A115</f>
        <v/>
      </c>
      <c r="I115" s="133" t="str">
        <f aca="false">ExportRaw!$B115</f>
        <v/>
      </c>
    </row>
    <row r="116" customFormat="false" ht="15.75" hidden="false" customHeight="false" outlineLevel="0" collapsed="false">
      <c r="A116" s="133" t="n">
        <f aca="false">ExportRaw!$F116</f>
        <v>0</v>
      </c>
      <c r="B116" s="133" t="n">
        <f aca="false">ExportRaw!$C116</f>
        <v>0</v>
      </c>
      <c r="C116" s="133" t="n">
        <f aca="false">ExportRaw!$G116</f>
        <v>0</v>
      </c>
      <c r="D116" s="133" t="str">
        <f aca="false">ExportRaw!$E116</f>
        <v/>
      </c>
      <c r="E116" s="134" t="str">
        <f aca="false">ExportRaw!$D116</f>
        <v/>
      </c>
      <c r="F116" s="133" t="str">
        <f aca="false">ExportRaw!$H116</f>
        <v/>
      </c>
      <c r="G116" s="135" t="str">
        <f aca="false">ExportRaw!$I116</f>
        <v/>
      </c>
      <c r="H116" s="133" t="str">
        <f aca="false">ExportRaw!$A116</f>
        <v/>
      </c>
      <c r="I116" s="133" t="str">
        <f aca="false">ExportRaw!$B116</f>
        <v/>
      </c>
    </row>
    <row r="117" customFormat="false" ht="15.75" hidden="false" customHeight="false" outlineLevel="0" collapsed="false">
      <c r="A117" s="133" t="n">
        <f aca="false">ExportRaw!$F117</f>
        <v>0</v>
      </c>
      <c r="B117" s="133" t="n">
        <f aca="false">ExportRaw!$C117</f>
        <v>0</v>
      </c>
      <c r="C117" s="133" t="n">
        <f aca="false">ExportRaw!$G117</f>
        <v>0</v>
      </c>
      <c r="D117" s="133" t="str">
        <f aca="false">ExportRaw!$E117</f>
        <v/>
      </c>
      <c r="E117" s="134" t="str">
        <f aca="false">ExportRaw!$D117</f>
        <v/>
      </c>
      <c r="F117" s="133" t="str">
        <f aca="false">ExportRaw!$H117</f>
        <v/>
      </c>
      <c r="G117" s="135" t="str">
        <f aca="false">ExportRaw!$I117</f>
        <v/>
      </c>
      <c r="H117" s="133" t="str">
        <f aca="false">ExportRaw!$A117</f>
        <v/>
      </c>
      <c r="I117" s="133" t="str">
        <f aca="false">ExportRaw!$B117</f>
        <v/>
      </c>
    </row>
    <row r="118" customFormat="false" ht="15.75" hidden="false" customHeight="false" outlineLevel="0" collapsed="false">
      <c r="A118" s="133" t="n">
        <f aca="false">ExportRaw!$F118</f>
        <v>0</v>
      </c>
      <c r="B118" s="133" t="n">
        <f aca="false">ExportRaw!$C118</f>
        <v>0</v>
      </c>
      <c r="C118" s="133" t="n">
        <f aca="false">ExportRaw!$G118</f>
        <v>0</v>
      </c>
      <c r="D118" s="133" t="str">
        <f aca="false">ExportRaw!$E118</f>
        <v/>
      </c>
      <c r="E118" s="134" t="str">
        <f aca="false">ExportRaw!$D118</f>
        <v/>
      </c>
      <c r="F118" s="133" t="str">
        <f aca="false">ExportRaw!$H118</f>
        <v/>
      </c>
      <c r="G118" s="135" t="str">
        <f aca="false">ExportRaw!$I118</f>
        <v/>
      </c>
      <c r="H118" s="133" t="str">
        <f aca="false">ExportRaw!$A118</f>
        <v/>
      </c>
      <c r="I118" s="133" t="str">
        <f aca="false">ExportRaw!$B118</f>
        <v/>
      </c>
    </row>
    <row r="119" customFormat="false" ht="15.75" hidden="false" customHeight="false" outlineLevel="0" collapsed="false">
      <c r="A119" s="133" t="n">
        <f aca="false">ExportRaw!$F119</f>
        <v>0</v>
      </c>
      <c r="B119" s="133" t="n">
        <f aca="false">ExportRaw!$C119</f>
        <v>0</v>
      </c>
      <c r="C119" s="133" t="n">
        <f aca="false">ExportRaw!$G119</f>
        <v>0</v>
      </c>
      <c r="D119" s="133" t="str">
        <f aca="false">ExportRaw!$E119</f>
        <v/>
      </c>
      <c r="E119" s="134" t="str">
        <f aca="false">ExportRaw!$D119</f>
        <v/>
      </c>
      <c r="F119" s="133" t="str">
        <f aca="false">ExportRaw!$H119</f>
        <v/>
      </c>
      <c r="G119" s="135" t="str">
        <f aca="false">ExportRaw!$I119</f>
        <v/>
      </c>
      <c r="H119" s="133" t="str">
        <f aca="false">ExportRaw!$A119</f>
        <v/>
      </c>
      <c r="I119" s="133" t="str">
        <f aca="false">ExportRaw!$B119</f>
        <v/>
      </c>
    </row>
    <row r="120" customFormat="false" ht="15.75" hidden="false" customHeight="false" outlineLevel="0" collapsed="false">
      <c r="A120" s="133" t="n">
        <f aca="false">ExportRaw!$F120</f>
        <v>0</v>
      </c>
      <c r="B120" s="133" t="n">
        <f aca="false">ExportRaw!$C120</f>
        <v>0</v>
      </c>
      <c r="C120" s="133" t="n">
        <f aca="false">ExportRaw!$G120</f>
        <v>0</v>
      </c>
      <c r="D120" s="133" t="str">
        <f aca="false">ExportRaw!$E120</f>
        <v/>
      </c>
      <c r="E120" s="134" t="str">
        <f aca="false">ExportRaw!$D120</f>
        <v/>
      </c>
      <c r="F120" s="133" t="str">
        <f aca="false">ExportRaw!$H120</f>
        <v/>
      </c>
      <c r="G120" s="135" t="str">
        <f aca="false">ExportRaw!$I120</f>
        <v/>
      </c>
      <c r="H120" s="133" t="str">
        <f aca="false">ExportRaw!$A120</f>
        <v/>
      </c>
      <c r="I120" s="133" t="str">
        <f aca="false">ExportRaw!$B120</f>
        <v/>
      </c>
    </row>
    <row r="121" customFormat="false" ht="15.75" hidden="false" customHeight="false" outlineLevel="0" collapsed="false">
      <c r="A121" s="133" t="n">
        <f aca="false">ExportRaw!$F121</f>
        <v>0</v>
      </c>
      <c r="B121" s="133" t="n">
        <f aca="false">ExportRaw!$C121</f>
        <v>0</v>
      </c>
      <c r="C121" s="133" t="n">
        <f aca="false">ExportRaw!$G121</f>
        <v>0</v>
      </c>
      <c r="D121" s="133" t="str">
        <f aca="false">ExportRaw!$E121</f>
        <v/>
      </c>
      <c r="E121" s="134" t="str">
        <f aca="false">ExportRaw!$D121</f>
        <v/>
      </c>
      <c r="F121" s="133" t="str">
        <f aca="false">ExportRaw!$H121</f>
        <v/>
      </c>
      <c r="G121" s="135" t="str">
        <f aca="false">ExportRaw!$I121</f>
        <v/>
      </c>
      <c r="H121" s="133" t="str">
        <f aca="false">ExportRaw!$A121</f>
        <v/>
      </c>
      <c r="I121" s="133" t="str">
        <f aca="false">ExportRaw!$B121</f>
        <v/>
      </c>
    </row>
    <row r="122" customFormat="false" ht="15.75" hidden="false" customHeight="false" outlineLevel="0" collapsed="false">
      <c r="A122" s="133" t="n">
        <f aca="false">ExportRaw!$F122</f>
        <v>0</v>
      </c>
      <c r="B122" s="133" t="n">
        <f aca="false">ExportRaw!$C122</f>
        <v>0</v>
      </c>
      <c r="C122" s="133" t="n">
        <f aca="false">ExportRaw!$G122</f>
        <v>0</v>
      </c>
      <c r="D122" s="133" t="str">
        <f aca="false">ExportRaw!$E122</f>
        <v/>
      </c>
      <c r="E122" s="134" t="str">
        <f aca="false">ExportRaw!$D122</f>
        <v/>
      </c>
      <c r="F122" s="133" t="str">
        <f aca="false">ExportRaw!$H122</f>
        <v/>
      </c>
      <c r="G122" s="135" t="str">
        <f aca="false">ExportRaw!$I122</f>
        <v/>
      </c>
      <c r="H122" s="133" t="str">
        <f aca="false">ExportRaw!$A122</f>
        <v/>
      </c>
      <c r="I122" s="133" t="str">
        <f aca="false">ExportRaw!$B122</f>
        <v/>
      </c>
    </row>
    <row r="123" customFormat="false" ht="15.75" hidden="false" customHeight="false" outlineLevel="0" collapsed="false">
      <c r="A123" s="133" t="n">
        <f aca="false">ExportRaw!$F123</f>
        <v>0</v>
      </c>
      <c r="B123" s="133" t="n">
        <f aca="false">ExportRaw!$C123</f>
        <v>0</v>
      </c>
      <c r="C123" s="133" t="n">
        <f aca="false">ExportRaw!$G123</f>
        <v>0</v>
      </c>
      <c r="D123" s="133" t="str">
        <f aca="false">ExportRaw!$E123</f>
        <v/>
      </c>
      <c r="E123" s="134" t="str">
        <f aca="false">ExportRaw!$D123</f>
        <v/>
      </c>
      <c r="F123" s="133" t="str">
        <f aca="false">ExportRaw!$H123</f>
        <v/>
      </c>
      <c r="G123" s="135" t="str">
        <f aca="false">ExportRaw!$I123</f>
        <v/>
      </c>
      <c r="H123" s="133" t="str">
        <f aca="false">ExportRaw!$A123</f>
        <v/>
      </c>
      <c r="I123" s="133" t="str">
        <f aca="false">ExportRaw!$B123</f>
        <v/>
      </c>
    </row>
    <row r="124" customFormat="false" ht="15.75" hidden="false" customHeight="false" outlineLevel="0" collapsed="false">
      <c r="A124" s="133" t="n">
        <f aca="false">ExportRaw!$F124</f>
        <v>0</v>
      </c>
      <c r="B124" s="133" t="n">
        <f aca="false">ExportRaw!$C124</f>
        <v>0</v>
      </c>
      <c r="C124" s="133" t="n">
        <f aca="false">ExportRaw!$G124</f>
        <v>0</v>
      </c>
      <c r="D124" s="133" t="str">
        <f aca="false">ExportRaw!$E124</f>
        <v/>
      </c>
      <c r="E124" s="134" t="str">
        <f aca="false">ExportRaw!$D124</f>
        <v/>
      </c>
      <c r="F124" s="133" t="str">
        <f aca="false">ExportRaw!$H124</f>
        <v/>
      </c>
      <c r="G124" s="135" t="str">
        <f aca="false">ExportRaw!$I124</f>
        <v/>
      </c>
      <c r="H124" s="133" t="str">
        <f aca="false">ExportRaw!$A124</f>
        <v/>
      </c>
      <c r="I124" s="133" t="str">
        <f aca="false">ExportRaw!$B124</f>
        <v/>
      </c>
    </row>
    <row r="125" customFormat="false" ht="15.75" hidden="false" customHeight="false" outlineLevel="0" collapsed="false">
      <c r="A125" s="133" t="n">
        <f aca="false">ExportRaw!$F125</f>
        <v>0</v>
      </c>
      <c r="B125" s="133" t="n">
        <f aca="false">ExportRaw!$C125</f>
        <v>0</v>
      </c>
      <c r="C125" s="133" t="n">
        <f aca="false">ExportRaw!$G125</f>
        <v>0</v>
      </c>
      <c r="D125" s="133" t="str">
        <f aca="false">ExportRaw!$E125</f>
        <v/>
      </c>
      <c r="E125" s="134" t="str">
        <f aca="false">ExportRaw!$D125</f>
        <v/>
      </c>
      <c r="F125" s="133" t="str">
        <f aca="false">ExportRaw!$H125</f>
        <v/>
      </c>
      <c r="G125" s="135" t="str">
        <f aca="false">ExportRaw!$I125</f>
        <v/>
      </c>
      <c r="H125" s="133" t="str">
        <f aca="false">ExportRaw!$A125</f>
        <v/>
      </c>
      <c r="I125" s="133" t="str">
        <f aca="false">ExportRaw!$B125</f>
        <v/>
      </c>
    </row>
    <row r="126" customFormat="false" ht="15.75" hidden="false" customHeight="false" outlineLevel="0" collapsed="false">
      <c r="A126" s="133" t="n">
        <f aca="false">ExportRaw!$F126</f>
        <v>0</v>
      </c>
      <c r="B126" s="133" t="n">
        <f aca="false">ExportRaw!$C126</f>
        <v>0</v>
      </c>
      <c r="C126" s="133" t="n">
        <f aca="false">ExportRaw!$G126</f>
        <v>0</v>
      </c>
      <c r="D126" s="133" t="str">
        <f aca="false">ExportRaw!$E126</f>
        <v/>
      </c>
      <c r="E126" s="134" t="str">
        <f aca="false">ExportRaw!$D126</f>
        <v/>
      </c>
      <c r="F126" s="133" t="str">
        <f aca="false">ExportRaw!$H126</f>
        <v/>
      </c>
      <c r="G126" s="135" t="str">
        <f aca="false">ExportRaw!$I126</f>
        <v/>
      </c>
      <c r="H126" s="133" t="str">
        <f aca="false">ExportRaw!$A126</f>
        <v/>
      </c>
      <c r="I126" s="133" t="str">
        <f aca="false">ExportRaw!$B126</f>
        <v/>
      </c>
    </row>
    <row r="127" customFormat="false" ht="15.75" hidden="false" customHeight="false" outlineLevel="0" collapsed="false">
      <c r="A127" s="133" t="n">
        <f aca="false">ExportRaw!$F127</f>
        <v>0</v>
      </c>
      <c r="B127" s="133" t="n">
        <f aca="false">ExportRaw!$C127</f>
        <v>0</v>
      </c>
      <c r="C127" s="133" t="n">
        <f aca="false">ExportRaw!$G127</f>
        <v>0</v>
      </c>
      <c r="D127" s="133" t="str">
        <f aca="false">ExportRaw!$E127</f>
        <v/>
      </c>
      <c r="E127" s="134" t="str">
        <f aca="false">ExportRaw!$D127</f>
        <v/>
      </c>
      <c r="F127" s="133" t="str">
        <f aca="false">ExportRaw!$H127</f>
        <v/>
      </c>
      <c r="G127" s="135" t="str">
        <f aca="false">ExportRaw!$I127</f>
        <v/>
      </c>
      <c r="H127" s="133" t="str">
        <f aca="false">ExportRaw!$A127</f>
        <v/>
      </c>
      <c r="I127" s="133" t="str">
        <f aca="false">ExportRaw!$B127</f>
        <v/>
      </c>
    </row>
    <row r="128" customFormat="false" ht="15.75" hidden="false" customHeight="false" outlineLevel="0" collapsed="false">
      <c r="A128" s="133" t="n">
        <f aca="false">ExportRaw!$F128</f>
        <v>0</v>
      </c>
      <c r="B128" s="133" t="n">
        <f aca="false">ExportRaw!$C128</f>
        <v>0</v>
      </c>
      <c r="C128" s="133" t="n">
        <f aca="false">ExportRaw!$G128</f>
        <v>0</v>
      </c>
      <c r="D128" s="133" t="str">
        <f aca="false">ExportRaw!$E128</f>
        <v/>
      </c>
      <c r="E128" s="134" t="str">
        <f aca="false">ExportRaw!$D128</f>
        <v/>
      </c>
      <c r="F128" s="133" t="str">
        <f aca="false">ExportRaw!$H128</f>
        <v/>
      </c>
      <c r="G128" s="135" t="str">
        <f aca="false">ExportRaw!$I128</f>
        <v/>
      </c>
      <c r="H128" s="133" t="str">
        <f aca="false">ExportRaw!$A128</f>
        <v/>
      </c>
      <c r="I128" s="133" t="str">
        <f aca="false">ExportRaw!$B128</f>
        <v/>
      </c>
    </row>
    <row r="129" customFormat="false" ht="15.75" hidden="false" customHeight="false" outlineLevel="0" collapsed="false">
      <c r="A129" s="133" t="n">
        <f aca="false">ExportRaw!$F129</f>
        <v>0</v>
      </c>
      <c r="B129" s="133" t="n">
        <f aca="false">ExportRaw!$C129</f>
        <v>0</v>
      </c>
      <c r="C129" s="133" t="n">
        <f aca="false">ExportRaw!$G129</f>
        <v>0</v>
      </c>
      <c r="D129" s="133" t="str">
        <f aca="false">ExportRaw!$E129</f>
        <v/>
      </c>
      <c r="E129" s="134" t="str">
        <f aca="false">ExportRaw!$D129</f>
        <v/>
      </c>
      <c r="F129" s="133" t="str">
        <f aca="false">ExportRaw!$H129</f>
        <v/>
      </c>
      <c r="G129" s="135" t="str">
        <f aca="false">ExportRaw!$I129</f>
        <v/>
      </c>
      <c r="H129" s="133" t="str">
        <f aca="false">ExportRaw!$A129</f>
        <v/>
      </c>
      <c r="I129" s="133" t="str">
        <f aca="false">ExportRaw!$B129</f>
        <v/>
      </c>
    </row>
    <row r="130" customFormat="false" ht="15.75" hidden="false" customHeight="false" outlineLevel="0" collapsed="false">
      <c r="A130" s="133" t="n">
        <f aca="false">ExportRaw!$F130</f>
        <v>0</v>
      </c>
      <c r="B130" s="133" t="n">
        <f aca="false">ExportRaw!$C130</f>
        <v>0</v>
      </c>
      <c r="C130" s="133" t="n">
        <f aca="false">ExportRaw!$G130</f>
        <v>0</v>
      </c>
      <c r="D130" s="133" t="str">
        <f aca="false">ExportRaw!$E130</f>
        <v/>
      </c>
      <c r="E130" s="134" t="str">
        <f aca="false">ExportRaw!$D130</f>
        <v/>
      </c>
      <c r="F130" s="133" t="str">
        <f aca="false">ExportRaw!$H130</f>
        <v/>
      </c>
      <c r="G130" s="135" t="str">
        <f aca="false">ExportRaw!$I130</f>
        <v/>
      </c>
      <c r="H130" s="133" t="str">
        <f aca="false">ExportRaw!$A130</f>
        <v/>
      </c>
      <c r="I130" s="133" t="str">
        <f aca="false">ExportRaw!$B130</f>
        <v/>
      </c>
    </row>
    <row r="131" customFormat="false" ht="15.75" hidden="false" customHeight="false" outlineLevel="0" collapsed="false">
      <c r="A131" s="133" t="n">
        <f aca="false">ExportRaw!$F131</f>
        <v>0</v>
      </c>
      <c r="B131" s="133" t="n">
        <f aca="false">ExportRaw!$C131</f>
        <v>0</v>
      </c>
      <c r="C131" s="133" t="n">
        <f aca="false">ExportRaw!$G131</f>
        <v>0</v>
      </c>
      <c r="D131" s="133" t="str">
        <f aca="false">ExportRaw!$E131</f>
        <v/>
      </c>
      <c r="E131" s="134" t="str">
        <f aca="false">ExportRaw!$D131</f>
        <v/>
      </c>
      <c r="F131" s="133" t="str">
        <f aca="false">ExportRaw!$H131</f>
        <v/>
      </c>
      <c r="G131" s="135" t="str">
        <f aca="false">ExportRaw!$I131</f>
        <v/>
      </c>
      <c r="H131" s="133" t="str">
        <f aca="false">ExportRaw!$A131</f>
        <v/>
      </c>
      <c r="I131" s="133" t="str">
        <f aca="false">ExportRaw!$B131</f>
        <v/>
      </c>
    </row>
    <row r="132" customFormat="false" ht="15.75" hidden="false" customHeight="false" outlineLevel="0" collapsed="false">
      <c r="A132" s="133" t="n">
        <f aca="false">ExportRaw!$F132</f>
        <v>0</v>
      </c>
      <c r="B132" s="133" t="n">
        <f aca="false">ExportRaw!$C132</f>
        <v>0</v>
      </c>
      <c r="C132" s="133" t="n">
        <f aca="false">ExportRaw!$G132</f>
        <v>0</v>
      </c>
      <c r="D132" s="133" t="str">
        <f aca="false">ExportRaw!$E132</f>
        <v/>
      </c>
      <c r="E132" s="134" t="str">
        <f aca="false">ExportRaw!$D132</f>
        <v/>
      </c>
      <c r="F132" s="133" t="str">
        <f aca="false">ExportRaw!$H132</f>
        <v/>
      </c>
      <c r="G132" s="135" t="str">
        <f aca="false">ExportRaw!$I132</f>
        <v/>
      </c>
      <c r="H132" s="133" t="str">
        <f aca="false">ExportRaw!$A132</f>
        <v/>
      </c>
      <c r="I132" s="133" t="str">
        <f aca="false">ExportRaw!$B132</f>
        <v/>
      </c>
    </row>
    <row r="133" customFormat="false" ht="15.75" hidden="false" customHeight="false" outlineLevel="0" collapsed="false">
      <c r="A133" s="133" t="n">
        <f aca="false">ExportRaw!$F133</f>
        <v>0</v>
      </c>
      <c r="B133" s="133" t="n">
        <f aca="false">ExportRaw!$C133</f>
        <v>0</v>
      </c>
      <c r="C133" s="133" t="n">
        <f aca="false">ExportRaw!$G133</f>
        <v>0</v>
      </c>
      <c r="D133" s="133" t="str">
        <f aca="false">ExportRaw!$E133</f>
        <v/>
      </c>
      <c r="E133" s="134" t="str">
        <f aca="false">ExportRaw!$D133</f>
        <v/>
      </c>
      <c r="F133" s="133" t="str">
        <f aca="false">ExportRaw!$H133</f>
        <v/>
      </c>
      <c r="G133" s="135" t="str">
        <f aca="false">ExportRaw!$I133</f>
        <v/>
      </c>
      <c r="H133" s="133" t="str">
        <f aca="false">ExportRaw!$A133</f>
        <v/>
      </c>
      <c r="I133" s="133" t="str">
        <f aca="false">ExportRaw!$B133</f>
        <v/>
      </c>
    </row>
    <row r="134" customFormat="false" ht="15.75" hidden="false" customHeight="false" outlineLevel="0" collapsed="false">
      <c r="A134" s="133" t="n">
        <f aca="false">ExportRaw!$F134</f>
        <v>0</v>
      </c>
      <c r="B134" s="133" t="n">
        <f aca="false">ExportRaw!$C134</f>
        <v>0</v>
      </c>
      <c r="C134" s="133" t="n">
        <f aca="false">ExportRaw!$G134</f>
        <v>0</v>
      </c>
      <c r="D134" s="133" t="str">
        <f aca="false">ExportRaw!$E134</f>
        <v/>
      </c>
      <c r="E134" s="134" t="str">
        <f aca="false">ExportRaw!$D134</f>
        <v/>
      </c>
      <c r="F134" s="133" t="str">
        <f aca="false">ExportRaw!$H134</f>
        <v/>
      </c>
      <c r="G134" s="135" t="str">
        <f aca="false">ExportRaw!$I134</f>
        <v/>
      </c>
      <c r="H134" s="133" t="str">
        <f aca="false">ExportRaw!$A134</f>
        <v/>
      </c>
      <c r="I134" s="133" t="str">
        <f aca="false">ExportRaw!$B134</f>
        <v/>
      </c>
    </row>
    <row r="135" customFormat="false" ht="15.75" hidden="false" customHeight="false" outlineLevel="0" collapsed="false">
      <c r="A135" s="133" t="n">
        <f aca="false">ExportRaw!$F135</f>
        <v>0</v>
      </c>
      <c r="B135" s="133" t="n">
        <f aca="false">ExportRaw!$C135</f>
        <v>0</v>
      </c>
      <c r="C135" s="133" t="n">
        <f aca="false">ExportRaw!$G135</f>
        <v>0</v>
      </c>
      <c r="D135" s="133" t="str">
        <f aca="false">ExportRaw!$E135</f>
        <v/>
      </c>
      <c r="E135" s="134" t="str">
        <f aca="false">ExportRaw!$D135</f>
        <v/>
      </c>
      <c r="F135" s="133" t="str">
        <f aca="false">ExportRaw!$H135</f>
        <v/>
      </c>
      <c r="G135" s="135" t="str">
        <f aca="false">ExportRaw!$I135</f>
        <v/>
      </c>
      <c r="H135" s="133" t="str">
        <f aca="false">ExportRaw!$A135</f>
        <v/>
      </c>
      <c r="I135" s="133" t="str">
        <f aca="false">ExportRaw!$B135</f>
        <v/>
      </c>
    </row>
    <row r="136" customFormat="false" ht="15.75" hidden="false" customHeight="false" outlineLevel="0" collapsed="false">
      <c r="A136" s="133" t="n">
        <f aca="false">ExportRaw!$F136</f>
        <v>0</v>
      </c>
      <c r="B136" s="133" t="n">
        <f aca="false">ExportRaw!$C136</f>
        <v>0</v>
      </c>
      <c r="C136" s="133" t="n">
        <f aca="false">ExportRaw!$G136</f>
        <v>0</v>
      </c>
      <c r="D136" s="133" t="str">
        <f aca="false">ExportRaw!$E136</f>
        <v/>
      </c>
      <c r="E136" s="134" t="str">
        <f aca="false">ExportRaw!$D136</f>
        <v/>
      </c>
      <c r="F136" s="133" t="str">
        <f aca="false">ExportRaw!$H136</f>
        <v/>
      </c>
      <c r="G136" s="135" t="str">
        <f aca="false">ExportRaw!$I136</f>
        <v/>
      </c>
      <c r="H136" s="133" t="str">
        <f aca="false">ExportRaw!$A136</f>
        <v/>
      </c>
      <c r="I136" s="133" t="str">
        <f aca="false">ExportRaw!$B136</f>
        <v/>
      </c>
    </row>
    <row r="137" customFormat="false" ht="15.75" hidden="false" customHeight="false" outlineLevel="0" collapsed="false">
      <c r="A137" s="133" t="n">
        <f aca="false">ExportRaw!$F137</f>
        <v>0</v>
      </c>
      <c r="B137" s="133" t="n">
        <f aca="false">ExportRaw!$C137</f>
        <v>0</v>
      </c>
      <c r="C137" s="133" t="n">
        <f aca="false">ExportRaw!$G137</f>
        <v>0</v>
      </c>
      <c r="D137" s="133" t="str">
        <f aca="false">ExportRaw!$E137</f>
        <v/>
      </c>
      <c r="E137" s="134" t="str">
        <f aca="false">ExportRaw!$D137</f>
        <v/>
      </c>
      <c r="F137" s="133" t="str">
        <f aca="false">ExportRaw!$H137</f>
        <v/>
      </c>
      <c r="G137" s="135" t="str">
        <f aca="false">ExportRaw!$I137</f>
        <v/>
      </c>
      <c r="H137" s="133" t="str">
        <f aca="false">ExportRaw!$A137</f>
        <v/>
      </c>
      <c r="I137" s="133" t="str">
        <f aca="false">ExportRaw!$B137</f>
        <v/>
      </c>
    </row>
    <row r="138" customFormat="false" ht="15.75" hidden="false" customHeight="false" outlineLevel="0" collapsed="false">
      <c r="A138" s="133" t="n">
        <f aca="false">ExportRaw!$F138</f>
        <v>0</v>
      </c>
      <c r="B138" s="133" t="n">
        <f aca="false">ExportRaw!$C138</f>
        <v>0</v>
      </c>
      <c r="C138" s="133" t="n">
        <f aca="false">ExportRaw!$G138</f>
        <v>0</v>
      </c>
      <c r="D138" s="133" t="str">
        <f aca="false">ExportRaw!$E138</f>
        <v/>
      </c>
      <c r="E138" s="134" t="str">
        <f aca="false">ExportRaw!$D138</f>
        <v/>
      </c>
      <c r="F138" s="133" t="str">
        <f aca="false">ExportRaw!$H138</f>
        <v/>
      </c>
      <c r="G138" s="135" t="str">
        <f aca="false">ExportRaw!$I138</f>
        <v/>
      </c>
      <c r="H138" s="133" t="str">
        <f aca="false">ExportRaw!$A138</f>
        <v/>
      </c>
      <c r="I138" s="133" t="str">
        <f aca="false">ExportRaw!$B138</f>
        <v/>
      </c>
    </row>
    <row r="139" customFormat="false" ht="15.75" hidden="false" customHeight="false" outlineLevel="0" collapsed="false">
      <c r="A139" s="133" t="n">
        <f aca="false">ExportRaw!$F139</f>
        <v>0</v>
      </c>
      <c r="B139" s="133" t="n">
        <f aca="false">ExportRaw!$C139</f>
        <v>0</v>
      </c>
      <c r="C139" s="133" t="n">
        <f aca="false">ExportRaw!$G139</f>
        <v>0</v>
      </c>
      <c r="D139" s="133" t="str">
        <f aca="false">ExportRaw!$E139</f>
        <v/>
      </c>
      <c r="E139" s="134" t="str">
        <f aca="false">ExportRaw!$D139</f>
        <v/>
      </c>
      <c r="F139" s="133" t="str">
        <f aca="false">ExportRaw!$H139</f>
        <v/>
      </c>
      <c r="G139" s="135" t="str">
        <f aca="false">ExportRaw!$I139</f>
        <v/>
      </c>
      <c r="H139" s="133" t="str">
        <f aca="false">ExportRaw!$A139</f>
        <v/>
      </c>
      <c r="I139" s="133" t="str">
        <f aca="false">ExportRaw!$B139</f>
        <v/>
      </c>
    </row>
    <row r="140" customFormat="false" ht="15.75" hidden="false" customHeight="false" outlineLevel="0" collapsed="false">
      <c r="A140" s="133" t="n">
        <f aca="false">ExportRaw!$F140</f>
        <v>0</v>
      </c>
      <c r="B140" s="133" t="n">
        <f aca="false">ExportRaw!$C140</f>
        <v>0</v>
      </c>
      <c r="C140" s="133" t="n">
        <f aca="false">ExportRaw!$G140</f>
        <v>0</v>
      </c>
      <c r="D140" s="133" t="str">
        <f aca="false">ExportRaw!$E140</f>
        <v/>
      </c>
      <c r="E140" s="134" t="str">
        <f aca="false">ExportRaw!$D140</f>
        <v/>
      </c>
      <c r="F140" s="133" t="str">
        <f aca="false">ExportRaw!$H140</f>
        <v/>
      </c>
      <c r="G140" s="135" t="str">
        <f aca="false">ExportRaw!$I140</f>
        <v/>
      </c>
      <c r="H140" s="133" t="str">
        <f aca="false">ExportRaw!$A140</f>
        <v/>
      </c>
      <c r="I140" s="133" t="str">
        <f aca="false">ExportRaw!$B140</f>
        <v/>
      </c>
    </row>
    <row r="141" customFormat="false" ht="15.75" hidden="false" customHeight="false" outlineLevel="0" collapsed="false">
      <c r="A141" s="133" t="n">
        <f aca="false">ExportRaw!$F141</f>
        <v>0</v>
      </c>
      <c r="B141" s="133" t="n">
        <f aca="false">ExportRaw!$C141</f>
        <v>0</v>
      </c>
      <c r="C141" s="133" t="n">
        <f aca="false">ExportRaw!$G141</f>
        <v>0</v>
      </c>
      <c r="D141" s="133" t="str">
        <f aca="false">ExportRaw!$E141</f>
        <v/>
      </c>
      <c r="E141" s="134" t="str">
        <f aca="false">ExportRaw!$D141</f>
        <v/>
      </c>
      <c r="F141" s="133" t="str">
        <f aca="false">ExportRaw!$H141</f>
        <v/>
      </c>
      <c r="G141" s="135" t="str">
        <f aca="false">ExportRaw!$I141</f>
        <v/>
      </c>
      <c r="H141" s="133" t="str">
        <f aca="false">ExportRaw!$A141</f>
        <v/>
      </c>
      <c r="I141" s="133" t="str">
        <f aca="false">ExportRaw!$B141</f>
        <v/>
      </c>
    </row>
    <row r="142" customFormat="false" ht="15.75" hidden="false" customHeight="false" outlineLevel="0" collapsed="false">
      <c r="A142" s="133" t="n">
        <f aca="false">ExportRaw!$F142</f>
        <v>0</v>
      </c>
      <c r="B142" s="133" t="n">
        <f aca="false">ExportRaw!$C142</f>
        <v>0</v>
      </c>
      <c r="C142" s="133" t="n">
        <f aca="false">ExportRaw!$G142</f>
        <v>0</v>
      </c>
      <c r="D142" s="133" t="str">
        <f aca="false">ExportRaw!$E142</f>
        <v/>
      </c>
      <c r="E142" s="134" t="str">
        <f aca="false">ExportRaw!$D142</f>
        <v/>
      </c>
      <c r="F142" s="133" t="str">
        <f aca="false">ExportRaw!$H142</f>
        <v/>
      </c>
      <c r="G142" s="135" t="str">
        <f aca="false">ExportRaw!$I142</f>
        <v/>
      </c>
      <c r="H142" s="133" t="str">
        <f aca="false">ExportRaw!$A142</f>
        <v/>
      </c>
      <c r="I142" s="133" t="str">
        <f aca="false">ExportRaw!$B142</f>
        <v/>
      </c>
    </row>
    <row r="143" customFormat="false" ht="15.75" hidden="false" customHeight="false" outlineLevel="0" collapsed="false">
      <c r="A143" s="133" t="n">
        <f aca="false">ExportRaw!$F143</f>
        <v>0</v>
      </c>
      <c r="B143" s="133" t="n">
        <f aca="false">ExportRaw!$C143</f>
        <v>0</v>
      </c>
      <c r="C143" s="133" t="n">
        <f aca="false">ExportRaw!$G143</f>
        <v>0</v>
      </c>
      <c r="D143" s="133" t="str">
        <f aca="false">ExportRaw!$E143</f>
        <v/>
      </c>
      <c r="E143" s="134" t="str">
        <f aca="false">ExportRaw!$D143</f>
        <v/>
      </c>
      <c r="F143" s="133" t="str">
        <f aca="false">ExportRaw!$H143</f>
        <v/>
      </c>
      <c r="G143" s="135" t="str">
        <f aca="false">ExportRaw!$I143</f>
        <v/>
      </c>
      <c r="H143" s="133" t="str">
        <f aca="false">ExportRaw!$A143</f>
        <v/>
      </c>
      <c r="I143" s="133" t="str">
        <f aca="false">ExportRaw!$B143</f>
        <v/>
      </c>
    </row>
    <row r="144" customFormat="false" ht="15.75" hidden="false" customHeight="false" outlineLevel="0" collapsed="false">
      <c r="A144" s="133" t="n">
        <f aca="false">ExportRaw!$F144</f>
        <v>0</v>
      </c>
      <c r="B144" s="133" t="n">
        <f aca="false">ExportRaw!$C144</f>
        <v>0</v>
      </c>
      <c r="C144" s="133" t="n">
        <f aca="false">ExportRaw!$G144</f>
        <v>0</v>
      </c>
      <c r="D144" s="133" t="str">
        <f aca="false">ExportRaw!$E144</f>
        <v/>
      </c>
      <c r="E144" s="134" t="str">
        <f aca="false">ExportRaw!$D144</f>
        <v/>
      </c>
      <c r="F144" s="133" t="str">
        <f aca="false">ExportRaw!$H144</f>
        <v/>
      </c>
      <c r="G144" s="135" t="str">
        <f aca="false">ExportRaw!$I144</f>
        <v/>
      </c>
      <c r="H144" s="133" t="str">
        <f aca="false">ExportRaw!$A144</f>
        <v/>
      </c>
      <c r="I144" s="133" t="str">
        <f aca="false">ExportRaw!$B144</f>
        <v/>
      </c>
    </row>
    <row r="145" customFormat="false" ht="15.75" hidden="false" customHeight="false" outlineLevel="0" collapsed="false">
      <c r="A145" s="133" t="n">
        <f aca="false">ExportRaw!$F145</f>
        <v>0</v>
      </c>
      <c r="B145" s="133" t="n">
        <f aca="false">ExportRaw!$C145</f>
        <v>0</v>
      </c>
      <c r="C145" s="133" t="n">
        <f aca="false">ExportRaw!$G145</f>
        <v>0</v>
      </c>
      <c r="D145" s="133" t="str">
        <f aca="false">ExportRaw!$E145</f>
        <v/>
      </c>
      <c r="E145" s="134" t="str">
        <f aca="false">ExportRaw!$D145</f>
        <v/>
      </c>
      <c r="F145" s="133" t="str">
        <f aca="false">ExportRaw!$H145</f>
        <v/>
      </c>
      <c r="G145" s="135" t="str">
        <f aca="false">ExportRaw!$I145</f>
        <v/>
      </c>
      <c r="H145" s="133" t="str">
        <f aca="false">ExportRaw!$A145</f>
        <v/>
      </c>
      <c r="I145" s="133" t="str">
        <f aca="false">ExportRaw!$B145</f>
        <v/>
      </c>
    </row>
    <row r="146" customFormat="false" ht="15.75" hidden="false" customHeight="false" outlineLevel="0" collapsed="false">
      <c r="A146" s="133" t="n">
        <f aca="false">ExportRaw!$F146</f>
        <v>0</v>
      </c>
      <c r="B146" s="133" t="n">
        <f aca="false">ExportRaw!$C146</f>
        <v>0</v>
      </c>
      <c r="C146" s="133" t="n">
        <f aca="false">ExportRaw!$G146</f>
        <v>0</v>
      </c>
      <c r="D146" s="133" t="str">
        <f aca="false">ExportRaw!$E146</f>
        <v/>
      </c>
      <c r="E146" s="134" t="str">
        <f aca="false">ExportRaw!$D146</f>
        <v/>
      </c>
      <c r="F146" s="133" t="str">
        <f aca="false">ExportRaw!$H146</f>
        <v/>
      </c>
      <c r="G146" s="135" t="str">
        <f aca="false">ExportRaw!$I146</f>
        <v/>
      </c>
      <c r="H146" s="133" t="str">
        <f aca="false">ExportRaw!$A146</f>
        <v/>
      </c>
      <c r="I146" s="133" t="str">
        <f aca="false">ExportRaw!$B146</f>
        <v/>
      </c>
    </row>
    <row r="147" customFormat="false" ht="15.75" hidden="false" customHeight="false" outlineLevel="0" collapsed="false">
      <c r="A147" s="133" t="n">
        <f aca="false">ExportRaw!$F147</f>
        <v>0</v>
      </c>
      <c r="B147" s="133" t="n">
        <f aca="false">ExportRaw!$C147</f>
        <v>0</v>
      </c>
      <c r="C147" s="133" t="n">
        <f aca="false">ExportRaw!$G147</f>
        <v>0</v>
      </c>
      <c r="D147" s="133" t="str">
        <f aca="false">ExportRaw!$E147</f>
        <v/>
      </c>
      <c r="E147" s="134" t="str">
        <f aca="false">ExportRaw!$D147</f>
        <v/>
      </c>
      <c r="F147" s="133" t="str">
        <f aca="false">ExportRaw!$H147</f>
        <v/>
      </c>
      <c r="G147" s="135" t="str">
        <f aca="false">ExportRaw!$I147</f>
        <v/>
      </c>
      <c r="H147" s="133" t="str">
        <f aca="false">ExportRaw!$A147</f>
        <v/>
      </c>
      <c r="I147" s="133" t="str">
        <f aca="false">ExportRaw!$B147</f>
        <v/>
      </c>
    </row>
    <row r="148" customFormat="false" ht="15.75" hidden="false" customHeight="false" outlineLevel="0" collapsed="false">
      <c r="A148" s="133" t="n">
        <f aca="false">ExportRaw!$F148</f>
        <v>0</v>
      </c>
      <c r="B148" s="133" t="n">
        <f aca="false">ExportRaw!$C148</f>
        <v>0</v>
      </c>
      <c r="C148" s="133" t="n">
        <f aca="false">ExportRaw!$G148</f>
        <v>0</v>
      </c>
      <c r="D148" s="133" t="str">
        <f aca="false">ExportRaw!$E148</f>
        <v/>
      </c>
      <c r="E148" s="134" t="str">
        <f aca="false">ExportRaw!$D148</f>
        <v/>
      </c>
      <c r="F148" s="133" t="str">
        <f aca="false">ExportRaw!$H148</f>
        <v/>
      </c>
      <c r="G148" s="135" t="str">
        <f aca="false">ExportRaw!$I148</f>
        <v/>
      </c>
      <c r="H148" s="133" t="str">
        <f aca="false">ExportRaw!$A148</f>
        <v/>
      </c>
      <c r="I148" s="133" t="str">
        <f aca="false">ExportRaw!$B148</f>
        <v/>
      </c>
    </row>
    <row r="149" customFormat="false" ht="15.75" hidden="false" customHeight="false" outlineLevel="0" collapsed="false">
      <c r="A149" s="133" t="n">
        <f aca="false">ExportRaw!$F149</f>
        <v>0</v>
      </c>
      <c r="B149" s="133" t="n">
        <f aca="false">ExportRaw!$C149</f>
        <v>0</v>
      </c>
      <c r="C149" s="133" t="n">
        <f aca="false">ExportRaw!$G149</f>
        <v>0</v>
      </c>
      <c r="D149" s="133" t="str">
        <f aca="false">ExportRaw!$E149</f>
        <v/>
      </c>
      <c r="E149" s="134" t="str">
        <f aca="false">ExportRaw!$D149</f>
        <v/>
      </c>
      <c r="F149" s="133" t="str">
        <f aca="false">ExportRaw!$H149</f>
        <v/>
      </c>
      <c r="G149" s="135" t="str">
        <f aca="false">ExportRaw!$I149</f>
        <v/>
      </c>
      <c r="H149" s="133" t="str">
        <f aca="false">ExportRaw!$A149</f>
        <v/>
      </c>
      <c r="I149" s="133" t="str">
        <f aca="false">ExportRaw!$B149</f>
        <v/>
      </c>
    </row>
    <row r="150" customFormat="false" ht="15.75" hidden="false" customHeight="false" outlineLevel="0" collapsed="false">
      <c r="A150" s="133" t="n">
        <f aca="false">ExportRaw!$F150</f>
        <v>0</v>
      </c>
      <c r="B150" s="133" t="n">
        <f aca="false">ExportRaw!$C150</f>
        <v>0</v>
      </c>
      <c r="C150" s="133" t="n">
        <f aca="false">ExportRaw!$G150</f>
        <v>0</v>
      </c>
      <c r="D150" s="133" t="str">
        <f aca="false">ExportRaw!$E150</f>
        <v/>
      </c>
      <c r="E150" s="134" t="str">
        <f aca="false">ExportRaw!$D150</f>
        <v/>
      </c>
      <c r="F150" s="133" t="str">
        <f aca="false">ExportRaw!$H150</f>
        <v/>
      </c>
      <c r="G150" s="135" t="str">
        <f aca="false">ExportRaw!$I150</f>
        <v/>
      </c>
      <c r="H150" s="133" t="str">
        <f aca="false">ExportRaw!$A150</f>
        <v/>
      </c>
      <c r="I150" s="133" t="str">
        <f aca="false">ExportRaw!$B150</f>
        <v/>
      </c>
    </row>
    <row r="151" customFormat="false" ht="15.75" hidden="false" customHeight="false" outlineLevel="0" collapsed="false">
      <c r="A151" s="133" t="n">
        <f aca="false">ExportRaw!$F151</f>
        <v>0</v>
      </c>
      <c r="B151" s="133" t="n">
        <f aca="false">ExportRaw!$C151</f>
        <v>0</v>
      </c>
      <c r="C151" s="133" t="n">
        <f aca="false">ExportRaw!$G151</f>
        <v>0</v>
      </c>
      <c r="D151" s="133" t="str">
        <f aca="false">ExportRaw!$E151</f>
        <v/>
      </c>
      <c r="E151" s="134" t="str">
        <f aca="false">ExportRaw!$D151</f>
        <v/>
      </c>
      <c r="F151" s="133" t="str">
        <f aca="false">ExportRaw!$H151</f>
        <v/>
      </c>
      <c r="G151" s="135" t="str">
        <f aca="false">ExportRaw!$I151</f>
        <v/>
      </c>
      <c r="H151" s="133" t="str">
        <f aca="false">ExportRaw!$A151</f>
        <v/>
      </c>
      <c r="I151" s="133" t="str">
        <f aca="false">ExportRaw!$B151</f>
        <v/>
      </c>
    </row>
    <row r="152" customFormat="false" ht="15.75" hidden="false" customHeight="false" outlineLevel="0" collapsed="false">
      <c r="A152" s="133" t="n">
        <f aca="false">ExportRaw!$F152</f>
        <v>0</v>
      </c>
      <c r="B152" s="133" t="n">
        <f aca="false">ExportRaw!$C152</f>
        <v>0</v>
      </c>
      <c r="C152" s="133" t="n">
        <f aca="false">ExportRaw!$G152</f>
        <v>0</v>
      </c>
      <c r="D152" s="133" t="str">
        <f aca="false">ExportRaw!$E152</f>
        <v/>
      </c>
      <c r="E152" s="134" t="str">
        <f aca="false">ExportRaw!$D152</f>
        <v/>
      </c>
      <c r="F152" s="133" t="str">
        <f aca="false">ExportRaw!$H152</f>
        <v/>
      </c>
      <c r="G152" s="135" t="str">
        <f aca="false">ExportRaw!$I152</f>
        <v/>
      </c>
      <c r="H152" s="133" t="str">
        <f aca="false">ExportRaw!$A152</f>
        <v/>
      </c>
      <c r="I152" s="133" t="str">
        <f aca="false">ExportRaw!$B152</f>
        <v/>
      </c>
    </row>
    <row r="153" customFormat="false" ht="15.75" hidden="false" customHeight="false" outlineLevel="0" collapsed="false">
      <c r="A153" s="133" t="n">
        <f aca="false">ExportRaw!$F153</f>
        <v>0</v>
      </c>
      <c r="B153" s="133" t="n">
        <f aca="false">ExportRaw!$C153</f>
        <v>0</v>
      </c>
      <c r="C153" s="133" t="n">
        <f aca="false">ExportRaw!$G153</f>
        <v>0</v>
      </c>
      <c r="D153" s="133" t="str">
        <f aca="false">ExportRaw!$E153</f>
        <v/>
      </c>
      <c r="E153" s="134" t="str">
        <f aca="false">ExportRaw!$D153</f>
        <v/>
      </c>
      <c r="F153" s="133" t="str">
        <f aca="false">ExportRaw!$H153</f>
        <v/>
      </c>
      <c r="G153" s="135" t="str">
        <f aca="false">ExportRaw!$I153</f>
        <v/>
      </c>
      <c r="H153" s="133" t="str">
        <f aca="false">ExportRaw!$A153</f>
        <v/>
      </c>
      <c r="I153" s="133" t="str">
        <f aca="false">ExportRaw!$B153</f>
        <v/>
      </c>
    </row>
    <row r="154" customFormat="false" ht="15.75" hidden="false" customHeight="false" outlineLevel="0" collapsed="false">
      <c r="A154" s="133" t="n">
        <f aca="false">ExportRaw!$F154</f>
        <v>0</v>
      </c>
      <c r="B154" s="133" t="n">
        <f aca="false">ExportRaw!$C154</f>
        <v>0</v>
      </c>
      <c r="C154" s="133" t="n">
        <f aca="false">ExportRaw!$G154</f>
        <v>0</v>
      </c>
      <c r="D154" s="133" t="str">
        <f aca="false">ExportRaw!$E154</f>
        <v/>
      </c>
      <c r="E154" s="134" t="str">
        <f aca="false">ExportRaw!$D154</f>
        <v/>
      </c>
      <c r="F154" s="133" t="str">
        <f aca="false">ExportRaw!$H154</f>
        <v/>
      </c>
      <c r="G154" s="135" t="str">
        <f aca="false">ExportRaw!$I154</f>
        <v/>
      </c>
      <c r="H154" s="133" t="str">
        <f aca="false">ExportRaw!$A154</f>
        <v/>
      </c>
      <c r="I154" s="133" t="str">
        <f aca="false">ExportRaw!$B154</f>
        <v/>
      </c>
    </row>
    <row r="155" customFormat="false" ht="15.75" hidden="false" customHeight="false" outlineLevel="0" collapsed="false">
      <c r="A155" s="133" t="n">
        <f aca="false">ExportRaw!$F155</f>
        <v>0</v>
      </c>
      <c r="B155" s="133" t="n">
        <f aca="false">ExportRaw!$C155</f>
        <v>0</v>
      </c>
      <c r="C155" s="133" t="n">
        <f aca="false">ExportRaw!$G155</f>
        <v>0</v>
      </c>
      <c r="D155" s="133" t="str">
        <f aca="false">ExportRaw!$E155</f>
        <v/>
      </c>
      <c r="E155" s="134" t="str">
        <f aca="false">ExportRaw!$D155</f>
        <v/>
      </c>
      <c r="F155" s="133" t="str">
        <f aca="false">ExportRaw!$H155</f>
        <v/>
      </c>
      <c r="G155" s="135" t="str">
        <f aca="false">ExportRaw!$I155</f>
        <v/>
      </c>
      <c r="H155" s="133" t="str">
        <f aca="false">ExportRaw!$A155</f>
        <v/>
      </c>
      <c r="I155" s="133" t="str">
        <f aca="false">ExportRaw!$B155</f>
        <v/>
      </c>
    </row>
    <row r="156" customFormat="false" ht="15.75" hidden="false" customHeight="false" outlineLevel="0" collapsed="false">
      <c r="A156" s="133" t="n">
        <f aca="false">ExportRaw!$F156</f>
        <v>0</v>
      </c>
      <c r="B156" s="133" t="n">
        <f aca="false">ExportRaw!$C156</f>
        <v>0</v>
      </c>
      <c r="C156" s="133" t="n">
        <f aca="false">ExportRaw!$G156</f>
        <v>0</v>
      </c>
      <c r="D156" s="133" t="str">
        <f aca="false">ExportRaw!$E156</f>
        <v/>
      </c>
      <c r="E156" s="134" t="str">
        <f aca="false">ExportRaw!$D156</f>
        <v/>
      </c>
      <c r="F156" s="133" t="str">
        <f aca="false">ExportRaw!$H156</f>
        <v/>
      </c>
      <c r="G156" s="135" t="str">
        <f aca="false">ExportRaw!$I156</f>
        <v/>
      </c>
      <c r="H156" s="133" t="str">
        <f aca="false">ExportRaw!$A156</f>
        <v/>
      </c>
      <c r="I156" s="133" t="str">
        <f aca="false">ExportRaw!$B156</f>
        <v/>
      </c>
    </row>
    <row r="157" customFormat="false" ht="15.75" hidden="false" customHeight="false" outlineLevel="0" collapsed="false">
      <c r="A157" s="133" t="n">
        <f aca="false">ExportRaw!$F157</f>
        <v>0</v>
      </c>
      <c r="B157" s="133" t="n">
        <f aca="false">ExportRaw!$C157</f>
        <v>0</v>
      </c>
      <c r="C157" s="133" t="n">
        <f aca="false">ExportRaw!$G157</f>
        <v>0</v>
      </c>
      <c r="D157" s="133" t="str">
        <f aca="false">ExportRaw!$E157</f>
        <v/>
      </c>
      <c r="E157" s="134" t="str">
        <f aca="false">ExportRaw!$D157</f>
        <v/>
      </c>
      <c r="F157" s="133" t="str">
        <f aca="false">ExportRaw!$H157</f>
        <v/>
      </c>
      <c r="G157" s="135" t="str">
        <f aca="false">ExportRaw!$I157</f>
        <v/>
      </c>
      <c r="H157" s="133" t="str">
        <f aca="false">ExportRaw!$A157</f>
        <v/>
      </c>
      <c r="I157" s="133" t="str">
        <f aca="false">ExportRaw!$B157</f>
        <v/>
      </c>
    </row>
    <row r="158" customFormat="false" ht="15.75" hidden="false" customHeight="false" outlineLevel="0" collapsed="false">
      <c r="A158" s="133" t="n">
        <f aca="false">ExportRaw!$F158</f>
        <v>0</v>
      </c>
      <c r="B158" s="133" t="n">
        <f aca="false">ExportRaw!$C158</f>
        <v>0</v>
      </c>
      <c r="C158" s="133" t="n">
        <f aca="false">ExportRaw!$G158</f>
        <v>0</v>
      </c>
      <c r="D158" s="133" t="str">
        <f aca="false">ExportRaw!$E158</f>
        <v/>
      </c>
      <c r="E158" s="134" t="str">
        <f aca="false">ExportRaw!$D158</f>
        <v/>
      </c>
      <c r="F158" s="133" t="str">
        <f aca="false">ExportRaw!$H158</f>
        <v/>
      </c>
      <c r="G158" s="135" t="str">
        <f aca="false">ExportRaw!$I158</f>
        <v/>
      </c>
      <c r="H158" s="133" t="str">
        <f aca="false">ExportRaw!$A158</f>
        <v/>
      </c>
      <c r="I158" s="133" t="str">
        <f aca="false">ExportRaw!$B158</f>
        <v/>
      </c>
    </row>
    <row r="159" customFormat="false" ht="15.75" hidden="false" customHeight="false" outlineLevel="0" collapsed="false">
      <c r="A159" s="133" t="n">
        <f aca="false">ExportRaw!$F159</f>
        <v>0</v>
      </c>
      <c r="B159" s="133" t="n">
        <f aca="false">ExportRaw!$C159</f>
        <v>0</v>
      </c>
      <c r="C159" s="133" t="n">
        <f aca="false">ExportRaw!$G159</f>
        <v>0</v>
      </c>
      <c r="D159" s="133" t="str">
        <f aca="false">ExportRaw!$E159</f>
        <v/>
      </c>
      <c r="E159" s="134" t="str">
        <f aca="false">ExportRaw!$D159</f>
        <v/>
      </c>
      <c r="F159" s="133" t="str">
        <f aca="false">ExportRaw!$H159</f>
        <v/>
      </c>
      <c r="G159" s="135" t="str">
        <f aca="false">ExportRaw!$I159</f>
        <v/>
      </c>
      <c r="H159" s="133" t="str">
        <f aca="false">ExportRaw!$A159</f>
        <v/>
      </c>
      <c r="I159" s="133" t="str">
        <f aca="false">ExportRaw!$B159</f>
        <v/>
      </c>
    </row>
    <row r="160" customFormat="false" ht="15.75" hidden="false" customHeight="false" outlineLevel="0" collapsed="false">
      <c r="A160" s="133" t="n">
        <f aca="false">ExportRaw!$F160</f>
        <v>0</v>
      </c>
      <c r="B160" s="133" t="n">
        <f aca="false">ExportRaw!$C160</f>
        <v>0</v>
      </c>
      <c r="C160" s="133" t="n">
        <f aca="false">ExportRaw!$G160</f>
        <v>0</v>
      </c>
      <c r="D160" s="133" t="str">
        <f aca="false">ExportRaw!$E160</f>
        <v/>
      </c>
      <c r="E160" s="134" t="str">
        <f aca="false">ExportRaw!$D160</f>
        <v/>
      </c>
      <c r="F160" s="133" t="str">
        <f aca="false">ExportRaw!$H160</f>
        <v/>
      </c>
      <c r="G160" s="135" t="str">
        <f aca="false">ExportRaw!$I160</f>
        <v/>
      </c>
      <c r="H160" s="133" t="str">
        <f aca="false">ExportRaw!$A160</f>
        <v/>
      </c>
      <c r="I160" s="133" t="str">
        <f aca="false">ExportRaw!$B160</f>
        <v/>
      </c>
    </row>
    <row r="161" customFormat="false" ht="15.75" hidden="false" customHeight="false" outlineLevel="0" collapsed="false">
      <c r="A161" s="133" t="n">
        <f aca="false">ExportRaw!$F161</f>
        <v>0</v>
      </c>
      <c r="B161" s="133" t="n">
        <f aca="false">ExportRaw!$C161</f>
        <v>0</v>
      </c>
      <c r="C161" s="133" t="n">
        <f aca="false">ExportRaw!$G161</f>
        <v>0</v>
      </c>
      <c r="D161" s="133" t="str">
        <f aca="false">ExportRaw!$E161</f>
        <v/>
      </c>
      <c r="E161" s="134" t="str">
        <f aca="false">ExportRaw!$D161</f>
        <v/>
      </c>
      <c r="F161" s="133" t="str">
        <f aca="false">ExportRaw!$H161</f>
        <v/>
      </c>
      <c r="G161" s="135" t="str">
        <f aca="false">ExportRaw!$I161</f>
        <v/>
      </c>
      <c r="H161" s="133" t="str">
        <f aca="false">ExportRaw!$A161</f>
        <v/>
      </c>
      <c r="I161" s="133" t="str">
        <f aca="false">ExportRaw!$B161</f>
        <v/>
      </c>
    </row>
    <row r="162" customFormat="false" ht="15.75" hidden="false" customHeight="false" outlineLevel="0" collapsed="false">
      <c r="A162" s="133" t="n">
        <f aca="false">ExportRaw!$F162</f>
        <v>0</v>
      </c>
      <c r="B162" s="133" t="n">
        <f aca="false">ExportRaw!$C162</f>
        <v>0</v>
      </c>
      <c r="C162" s="133" t="n">
        <f aca="false">ExportRaw!$G162</f>
        <v>0</v>
      </c>
      <c r="D162" s="133" t="str">
        <f aca="false">ExportRaw!$E162</f>
        <v/>
      </c>
      <c r="E162" s="134" t="str">
        <f aca="false">ExportRaw!$D162</f>
        <v/>
      </c>
      <c r="F162" s="133" t="str">
        <f aca="false">ExportRaw!$H162</f>
        <v/>
      </c>
      <c r="G162" s="135" t="str">
        <f aca="false">ExportRaw!$I162</f>
        <v/>
      </c>
      <c r="H162" s="133" t="str">
        <f aca="false">ExportRaw!$A162</f>
        <v/>
      </c>
      <c r="I162" s="133" t="str">
        <f aca="false">ExportRaw!$B162</f>
        <v/>
      </c>
    </row>
    <row r="163" customFormat="false" ht="15.75" hidden="false" customHeight="false" outlineLevel="0" collapsed="false">
      <c r="A163" s="133" t="n">
        <f aca="false">ExportRaw!$F163</f>
        <v>0</v>
      </c>
      <c r="B163" s="133" t="n">
        <f aca="false">ExportRaw!$C163</f>
        <v>0</v>
      </c>
      <c r="C163" s="133" t="n">
        <f aca="false">ExportRaw!$G163</f>
        <v>0</v>
      </c>
      <c r="D163" s="133" t="str">
        <f aca="false">ExportRaw!$E163</f>
        <v/>
      </c>
      <c r="E163" s="134" t="str">
        <f aca="false">ExportRaw!$D163</f>
        <v/>
      </c>
      <c r="F163" s="133" t="str">
        <f aca="false">ExportRaw!$H163</f>
        <v/>
      </c>
      <c r="G163" s="135" t="str">
        <f aca="false">ExportRaw!$I163</f>
        <v/>
      </c>
      <c r="H163" s="133" t="str">
        <f aca="false">ExportRaw!$A163</f>
        <v/>
      </c>
      <c r="I163" s="133" t="str">
        <f aca="false">ExportRaw!$B163</f>
        <v/>
      </c>
    </row>
    <row r="164" customFormat="false" ht="15.75" hidden="false" customHeight="false" outlineLevel="0" collapsed="false">
      <c r="A164" s="133" t="n">
        <f aca="false">ExportRaw!$F164</f>
        <v>0</v>
      </c>
      <c r="B164" s="133" t="n">
        <f aca="false">ExportRaw!$C164</f>
        <v>0</v>
      </c>
      <c r="C164" s="133" t="n">
        <f aca="false">ExportRaw!$G164</f>
        <v>0</v>
      </c>
      <c r="D164" s="133" t="str">
        <f aca="false">ExportRaw!$E164</f>
        <v/>
      </c>
      <c r="E164" s="134" t="str">
        <f aca="false">ExportRaw!$D164</f>
        <v/>
      </c>
      <c r="F164" s="133" t="str">
        <f aca="false">ExportRaw!$H164</f>
        <v/>
      </c>
      <c r="G164" s="135" t="str">
        <f aca="false">ExportRaw!$I164</f>
        <v/>
      </c>
      <c r="H164" s="133" t="str">
        <f aca="false">ExportRaw!$A164</f>
        <v/>
      </c>
      <c r="I164" s="133" t="str">
        <f aca="false">ExportRaw!$B164</f>
        <v/>
      </c>
    </row>
    <row r="165" customFormat="false" ht="15.75" hidden="false" customHeight="false" outlineLevel="0" collapsed="false">
      <c r="A165" s="133" t="n">
        <f aca="false">ExportRaw!$F165</f>
        <v>0</v>
      </c>
      <c r="B165" s="133" t="n">
        <f aca="false">ExportRaw!$C165</f>
        <v>0</v>
      </c>
      <c r="C165" s="133" t="n">
        <f aca="false">ExportRaw!$G165</f>
        <v>0</v>
      </c>
      <c r="D165" s="133" t="str">
        <f aca="false">ExportRaw!$E165</f>
        <v/>
      </c>
      <c r="E165" s="134" t="str">
        <f aca="false">ExportRaw!$D165</f>
        <v/>
      </c>
      <c r="F165" s="133" t="str">
        <f aca="false">ExportRaw!$H165</f>
        <v/>
      </c>
      <c r="G165" s="135" t="str">
        <f aca="false">ExportRaw!$I165</f>
        <v/>
      </c>
      <c r="H165" s="133" t="str">
        <f aca="false">ExportRaw!$A165</f>
        <v/>
      </c>
      <c r="I165" s="133" t="str">
        <f aca="false">ExportRaw!$B165</f>
        <v/>
      </c>
    </row>
    <row r="166" customFormat="false" ht="15.75" hidden="false" customHeight="false" outlineLevel="0" collapsed="false">
      <c r="A166" s="133" t="n">
        <f aca="false">ExportRaw!$F166</f>
        <v>0</v>
      </c>
      <c r="B166" s="133" t="n">
        <f aca="false">ExportRaw!$C166</f>
        <v>0</v>
      </c>
      <c r="C166" s="133" t="n">
        <f aca="false">ExportRaw!$G166</f>
        <v>0</v>
      </c>
      <c r="D166" s="133" t="str">
        <f aca="false">ExportRaw!$E166</f>
        <v/>
      </c>
      <c r="E166" s="134" t="str">
        <f aca="false">ExportRaw!$D166</f>
        <v/>
      </c>
      <c r="F166" s="133" t="str">
        <f aca="false">ExportRaw!$H166</f>
        <v/>
      </c>
      <c r="G166" s="135" t="str">
        <f aca="false">ExportRaw!$I166</f>
        <v/>
      </c>
      <c r="H166" s="133" t="str">
        <f aca="false">ExportRaw!$A166</f>
        <v/>
      </c>
      <c r="I166" s="133" t="str">
        <f aca="false">ExportRaw!$B166</f>
        <v/>
      </c>
    </row>
    <row r="167" customFormat="false" ht="15.75" hidden="false" customHeight="false" outlineLevel="0" collapsed="false">
      <c r="A167" s="133" t="n">
        <f aca="false">ExportRaw!$F167</f>
        <v>0</v>
      </c>
      <c r="B167" s="133" t="n">
        <f aca="false">ExportRaw!$C167</f>
        <v>0</v>
      </c>
      <c r="C167" s="133" t="n">
        <f aca="false">ExportRaw!$G167</f>
        <v>0</v>
      </c>
      <c r="D167" s="133" t="str">
        <f aca="false">ExportRaw!$E167</f>
        <v/>
      </c>
      <c r="E167" s="134" t="str">
        <f aca="false">ExportRaw!$D167</f>
        <v/>
      </c>
      <c r="F167" s="133" t="str">
        <f aca="false">ExportRaw!$H167</f>
        <v/>
      </c>
      <c r="G167" s="135" t="str">
        <f aca="false">ExportRaw!$I167</f>
        <v/>
      </c>
      <c r="H167" s="133" t="str">
        <f aca="false">ExportRaw!$A167</f>
        <v/>
      </c>
      <c r="I167" s="133" t="str">
        <f aca="false">ExportRaw!$B167</f>
        <v/>
      </c>
    </row>
    <row r="168" customFormat="false" ht="15.75" hidden="false" customHeight="false" outlineLevel="0" collapsed="false">
      <c r="A168" s="133" t="n">
        <f aca="false">ExportRaw!$F168</f>
        <v>0</v>
      </c>
      <c r="B168" s="133" t="n">
        <f aca="false">ExportRaw!$C168</f>
        <v>0</v>
      </c>
      <c r="C168" s="133" t="n">
        <f aca="false">ExportRaw!$G168</f>
        <v>0</v>
      </c>
      <c r="D168" s="133" t="str">
        <f aca="false">ExportRaw!$E168</f>
        <v/>
      </c>
      <c r="E168" s="134" t="str">
        <f aca="false">ExportRaw!$D168</f>
        <v/>
      </c>
      <c r="F168" s="133" t="str">
        <f aca="false">ExportRaw!$H168</f>
        <v/>
      </c>
      <c r="G168" s="135" t="str">
        <f aca="false">ExportRaw!$I168</f>
        <v/>
      </c>
      <c r="H168" s="133" t="str">
        <f aca="false">ExportRaw!$A168</f>
        <v/>
      </c>
      <c r="I168" s="133" t="str">
        <f aca="false">ExportRaw!$B168</f>
        <v/>
      </c>
    </row>
    <row r="169" customFormat="false" ht="15.75" hidden="false" customHeight="false" outlineLevel="0" collapsed="false">
      <c r="A169" s="133" t="n">
        <f aca="false">ExportRaw!$F169</f>
        <v>0</v>
      </c>
      <c r="B169" s="133" t="n">
        <f aca="false">ExportRaw!$C169</f>
        <v>0</v>
      </c>
      <c r="C169" s="133" t="n">
        <f aca="false">ExportRaw!$G169</f>
        <v>0</v>
      </c>
      <c r="D169" s="133" t="str">
        <f aca="false">ExportRaw!$E169</f>
        <v/>
      </c>
      <c r="E169" s="134" t="str">
        <f aca="false">ExportRaw!$D169</f>
        <v/>
      </c>
      <c r="F169" s="133" t="str">
        <f aca="false">ExportRaw!$H169</f>
        <v/>
      </c>
      <c r="G169" s="135" t="str">
        <f aca="false">ExportRaw!$I169</f>
        <v/>
      </c>
      <c r="H169" s="133" t="str">
        <f aca="false">ExportRaw!$A169</f>
        <v/>
      </c>
      <c r="I169" s="133" t="str">
        <f aca="false">ExportRaw!$B169</f>
        <v/>
      </c>
    </row>
    <row r="170" customFormat="false" ht="15.75" hidden="false" customHeight="false" outlineLevel="0" collapsed="false">
      <c r="A170" s="133" t="n">
        <f aca="false">ExportRaw!$F170</f>
        <v>0</v>
      </c>
      <c r="B170" s="133" t="n">
        <f aca="false">ExportRaw!$C170</f>
        <v>0</v>
      </c>
      <c r="C170" s="133" t="n">
        <f aca="false">ExportRaw!$G170</f>
        <v>0</v>
      </c>
      <c r="D170" s="133" t="str">
        <f aca="false">ExportRaw!$E170</f>
        <v/>
      </c>
      <c r="E170" s="134" t="str">
        <f aca="false">ExportRaw!$D170</f>
        <v/>
      </c>
      <c r="F170" s="133" t="str">
        <f aca="false">ExportRaw!$H170</f>
        <v/>
      </c>
      <c r="G170" s="135" t="str">
        <f aca="false">ExportRaw!$I170</f>
        <v/>
      </c>
      <c r="H170" s="133" t="str">
        <f aca="false">ExportRaw!$A170</f>
        <v/>
      </c>
      <c r="I170" s="133" t="str">
        <f aca="false">ExportRaw!$B170</f>
        <v/>
      </c>
    </row>
    <row r="171" customFormat="false" ht="15.75" hidden="false" customHeight="false" outlineLevel="0" collapsed="false">
      <c r="A171" s="133" t="n">
        <f aca="false">ExportRaw!$F171</f>
        <v>0</v>
      </c>
      <c r="B171" s="133" t="n">
        <f aca="false">ExportRaw!$C171</f>
        <v>0</v>
      </c>
      <c r="C171" s="133" t="n">
        <f aca="false">ExportRaw!$G171</f>
        <v>0</v>
      </c>
      <c r="D171" s="133" t="str">
        <f aca="false">ExportRaw!$E171</f>
        <v/>
      </c>
      <c r="E171" s="134" t="str">
        <f aca="false">ExportRaw!$D171</f>
        <v/>
      </c>
      <c r="F171" s="133" t="str">
        <f aca="false">ExportRaw!$H171</f>
        <v/>
      </c>
      <c r="G171" s="135" t="str">
        <f aca="false">ExportRaw!$I171</f>
        <v/>
      </c>
      <c r="H171" s="133" t="str">
        <f aca="false">ExportRaw!$A171</f>
        <v/>
      </c>
      <c r="I171" s="133" t="str">
        <f aca="false">ExportRaw!$B171</f>
        <v/>
      </c>
    </row>
    <row r="172" customFormat="false" ht="15.75" hidden="false" customHeight="false" outlineLevel="0" collapsed="false">
      <c r="A172" s="133" t="n">
        <f aca="false">ExportRaw!$F172</f>
        <v>0</v>
      </c>
      <c r="B172" s="133" t="n">
        <f aca="false">ExportRaw!$C172</f>
        <v>0</v>
      </c>
      <c r="C172" s="133" t="n">
        <f aca="false">ExportRaw!$G172</f>
        <v>0</v>
      </c>
      <c r="D172" s="133" t="str">
        <f aca="false">ExportRaw!$E172</f>
        <v/>
      </c>
      <c r="E172" s="134" t="str">
        <f aca="false">ExportRaw!$D172</f>
        <v/>
      </c>
      <c r="F172" s="133" t="str">
        <f aca="false">ExportRaw!$H172</f>
        <v/>
      </c>
      <c r="G172" s="135" t="str">
        <f aca="false">ExportRaw!$I172</f>
        <v/>
      </c>
      <c r="H172" s="133" t="str">
        <f aca="false">ExportRaw!$A172</f>
        <v/>
      </c>
      <c r="I172" s="133" t="str">
        <f aca="false">ExportRaw!$B172</f>
        <v/>
      </c>
    </row>
    <row r="173" customFormat="false" ht="15.75" hidden="false" customHeight="false" outlineLevel="0" collapsed="false">
      <c r="A173" s="133" t="n">
        <f aca="false">ExportRaw!$F173</f>
        <v>0</v>
      </c>
      <c r="B173" s="133" t="n">
        <f aca="false">ExportRaw!$C173</f>
        <v>0</v>
      </c>
      <c r="C173" s="133" t="n">
        <f aca="false">ExportRaw!$G173</f>
        <v>0</v>
      </c>
      <c r="D173" s="133" t="str">
        <f aca="false">ExportRaw!$E173</f>
        <v/>
      </c>
      <c r="E173" s="134" t="str">
        <f aca="false">ExportRaw!$D173</f>
        <v/>
      </c>
      <c r="F173" s="133" t="str">
        <f aca="false">ExportRaw!$H173</f>
        <v/>
      </c>
      <c r="G173" s="135" t="str">
        <f aca="false">ExportRaw!$I173</f>
        <v/>
      </c>
      <c r="H173" s="133" t="str">
        <f aca="false">ExportRaw!$A173</f>
        <v/>
      </c>
      <c r="I173" s="133" t="str">
        <f aca="false">ExportRaw!$B173</f>
        <v/>
      </c>
    </row>
    <row r="174" customFormat="false" ht="15.75" hidden="false" customHeight="false" outlineLevel="0" collapsed="false">
      <c r="A174" s="133" t="n">
        <f aca="false">ExportRaw!$F174</f>
        <v>0</v>
      </c>
      <c r="B174" s="133" t="n">
        <f aca="false">ExportRaw!$C174</f>
        <v>0</v>
      </c>
      <c r="C174" s="133" t="n">
        <f aca="false">ExportRaw!$G174</f>
        <v>0</v>
      </c>
      <c r="D174" s="133" t="str">
        <f aca="false">ExportRaw!$E174</f>
        <v/>
      </c>
      <c r="E174" s="134" t="str">
        <f aca="false">ExportRaw!$D174</f>
        <v/>
      </c>
      <c r="F174" s="133" t="str">
        <f aca="false">ExportRaw!$H174</f>
        <v/>
      </c>
      <c r="G174" s="135" t="str">
        <f aca="false">ExportRaw!$I174</f>
        <v/>
      </c>
      <c r="H174" s="133" t="str">
        <f aca="false">ExportRaw!$A174</f>
        <v/>
      </c>
      <c r="I174" s="133" t="str">
        <f aca="false">ExportRaw!$B174</f>
        <v/>
      </c>
    </row>
    <row r="175" customFormat="false" ht="15.75" hidden="false" customHeight="false" outlineLevel="0" collapsed="false">
      <c r="A175" s="133" t="n">
        <f aca="false">ExportRaw!$F175</f>
        <v>0</v>
      </c>
      <c r="B175" s="133" t="n">
        <f aca="false">ExportRaw!$C175</f>
        <v>0</v>
      </c>
      <c r="C175" s="133" t="n">
        <f aca="false">ExportRaw!$G175</f>
        <v>0</v>
      </c>
      <c r="D175" s="133" t="str">
        <f aca="false">ExportRaw!$E175</f>
        <v/>
      </c>
      <c r="E175" s="134" t="str">
        <f aca="false">ExportRaw!$D175</f>
        <v/>
      </c>
      <c r="F175" s="133" t="str">
        <f aca="false">ExportRaw!$H175</f>
        <v/>
      </c>
      <c r="G175" s="135" t="str">
        <f aca="false">ExportRaw!$I175</f>
        <v/>
      </c>
      <c r="H175" s="133" t="str">
        <f aca="false">ExportRaw!$A175</f>
        <v/>
      </c>
      <c r="I175" s="133" t="str">
        <f aca="false">ExportRaw!$B175</f>
        <v/>
      </c>
    </row>
    <row r="176" customFormat="false" ht="15.75" hidden="false" customHeight="false" outlineLevel="0" collapsed="false">
      <c r="A176" s="133" t="n">
        <f aca="false">ExportRaw!$F176</f>
        <v>0</v>
      </c>
      <c r="B176" s="133" t="n">
        <f aca="false">ExportRaw!$C176</f>
        <v>0</v>
      </c>
      <c r="C176" s="133" t="n">
        <f aca="false">ExportRaw!$G176</f>
        <v>0</v>
      </c>
      <c r="D176" s="133" t="str">
        <f aca="false">ExportRaw!$E176</f>
        <v/>
      </c>
      <c r="E176" s="134" t="str">
        <f aca="false">ExportRaw!$D176</f>
        <v/>
      </c>
      <c r="F176" s="133" t="str">
        <f aca="false">ExportRaw!$H176</f>
        <v/>
      </c>
      <c r="G176" s="135" t="str">
        <f aca="false">ExportRaw!$I176</f>
        <v/>
      </c>
      <c r="H176" s="133" t="str">
        <f aca="false">ExportRaw!$A176</f>
        <v/>
      </c>
      <c r="I176" s="133" t="str">
        <f aca="false">ExportRaw!$B176</f>
        <v/>
      </c>
    </row>
    <row r="177" customFormat="false" ht="15.75" hidden="false" customHeight="false" outlineLevel="0" collapsed="false">
      <c r="A177" s="133" t="n">
        <f aca="false">ExportRaw!$F177</f>
        <v>0</v>
      </c>
      <c r="B177" s="133" t="n">
        <f aca="false">ExportRaw!$C177</f>
        <v>0</v>
      </c>
      <c r="C177" s="133" t="n">
        <f aca="false">ExportRaw!$G177</f>
        <v>0</v>
      </c>
      <c r="D177" s="133" t="str">
        <f aca="false">ExportRaw!$E177</f>
        <v/>
      </c>
      <c r="E177" s="134" t="str">
        <f aca="false">ExportRaw!$D177</f>
        <v/>
      </c>
      <c r="F177" s="133" t="str">
        <f aca="false">ExportRaw!$H177</f>
        <v/>
      </c>
      <c r="G177" s="135" t="str">
        <f aca="false">ExportRaw!$I177</f>
        <v/>
      </c>
      <c r="H177" s="133" t="str">
        <f aca="false">ExportRaw!$A177</f>
        <v/>
      </c>
      <c r="I177" s="133" t="str">
        <f aca="false">ExportRaw!$B177</f>
        <v/>
      </c>
    </row>
    <row r="178" customFormat="false" ht="15.75" hidden="false" customHeight="false" outlineLevel="0" collapsed="false">
      <c r="A178" s="133" t="n">
        <f aca="false">ExportRaw!$F178</f>
        <v>0</v>
      </c>
      <c r="B178" s="133" t="n">
        <f aca="false">ExportRaw!$C178</f>
        <v>0</v>
      </c>
      <c r="C178" s="133" t="n">
        <f aca="false">ExportRaw!$G178</f>
        <v>0</v>
      </c>
      <c r="D178" s="133" t="str">
        <f aca="false">ExportRaw!$E178</f>
        <v/>
      </c>
      <c r="E178" s="134" t="str">
        <f aca="false">ExportRaw!$D178</f>
        <v/>
      </c>
      <c r="F178" s="133" t="str">
        <f aca="false">ExportRaw!$H178</f>
        <v/>
      </c>
      <c r="G178" s="135" t="str">
        <f aca="false">ExportRaw!$I178</f>
        <v/>
      </c>
      <c r="H178" s="133" t="str">
        <f aca="false">ExportRaw!$A178</f>
        <v/>
      </c>
      <c r="I178" s="133" t="str">
        <f aca="false">ExportRaw!$B178</f>
        <v/>
      </c>
    </row>
    <row r="179" customFormat="false" ht="15.75" hidden="false" customHeight="false" outlineLevel="0" collapsed="false">
      <c r="A179" s="133" t="n">
        <f aca="false">ExportRaw!$F179</f>
        <v>0</v>
      </c>
      <c r="B179" s="133" t="n">
        <f aca="false">ExportRaw!$C179</f>
        <v>0</v>
      </c>
      <c r="C179" s="133" t="n">
        <f aca="false">ExportRaw!$G179</f>
        <v>0</v>
      </c>
      <c r="D179" s="133" t="str">
        <f aca="false">ExportRaw!$E179</f>
        <v/>
      </c>
      <c r="E179" s="134" t="str">
        <f aca="false">ExportRaw!$D179</f>
        <v/>
      </c>
      <c r="F179" s="133" t="str">
        <f aca="false">ExportRaw!$H179</f>
        <v/>
      </c>
      <c r="G179" s="135" t="str">
        <f aca="false">ExportRaw!$I179</f>
        <v/>
      </c>
      <c r="H179" s="133" t="str">
        <f aca="false">ExportRaw!$A179</f>
        <v/>
      </c>
      <c r="I179" s="133" t="str">
        <f aca="false">ExportRaw!$B179</f>
        <v/>
      </c>
    </row>
    <row r="180" customFormat="false" ht="15.75" hidden="false" customHeight="false" outlineLevel="0" collapsed="false">
      <c r="A180" s="133" t="n">
        <f aca="false">ExportRaw!$F180</f>
        <v>0</v>
      </c>
      <c r="B180" s="133" t="n">
        <f aca="false">ExportRaw!$C180</f>
        <v>0</v>
      </c>
      <c r="C180" s="133" t="n">
        <f aca="false">ExportRaw!$G180</f>
        <v>0</v>
      </c>
      <c r="D180" s="133" t="str">
        <f aca="false">ExportRaw!$E180</f>
        <v/>
      </c>
      <c r="E180" s="134" t="str">
        <f aca="false">ExportRaw!$D180</f>
        <v/>
      </c>
      <c r="F180" s="133" t="str">
        <f aca="false">ExportRaw!$H180</f>
        <v/>
      </c>
      <c r="G180" s="135" t="str">
        <f aca="false">ExportRaw!$I180</f>
        <v/>
      </c>
      <c r="H180" s="133" t="str">
        <f aca="false">ExportRaw!$A180</f>
        <v/>
      </c>
      <c r="I180" s="133" t="str">
        <f aca="false">ExportRaw!$B180</f>
        <v/>
      </c>
    </row>
    <row r="181" customFormat="false" ht="15.75" hidden="false" customHeight="false" outlineLevel="0" collapsed="false">
      <c r="A181" s="133" t="n">
        <f aca="false">ExportRaw!$F181</f>
        <v>0</v>
      </c>
      <c r="B181" s="133" t="n">
        <f aca="false">ExportRaw!$C181</f>
        <v>0</v>
      </c>
      <c r="C181" s="133" t="n">
        <f aca="false">ExportRaw!$G181</f>
        <v>0</v>
      </c>
      <c r="D181" s="133" t="str">
        <f aca="false">ExportRaw!$E181</f>
        <v/>
      </c>
      <c r="E181" s="134" t="str">
        <f aca="false">ExportRaw!$D181</f>
        <v/>
      </c>
      <c r="F181" s="133" t="str">
        <f aca="false">ExportRaw!$H181</f>
        <v/>
      </c>
      <c r="G181" s="135" t="str">
        <f aca="false">ExportRaw!$I181</f>
        <v/>
      </c>
      <c r="H181" s="133" t="str">
        <f aca="false">ExportRaw!$A181</f>
        <v/>
      </c>
      <c r="I181" s="133" t="str">
        <f aca="false">ExportRaw!$B181</f>
        <v/>
      </c>
    </row>
    <row r="182" customFormat="false" ht="15.75" hidden="false" customHeight="false" outlineLevel="0" collapsed="false">
      <c r="A182" s="133" t="n">
        <f aca="false">ExportRaw!$F182</f>
        <v>0</v>
      </c>
      <c r="B182" s="133" t="n">
        <f aca="false">ExportRaw!$C182</f>
        <v>0</v>
      </c>
      <c r="C182" s="133" t="n">
        <f aca="false">ExportRaw!$G182</f>
        <v>0</v>
      </c>
      <c r="D182" s="133" t="str">
        <f aca="false">ExportRaw!$E182</f>
        <v/>
      </c>
      <c r="E182" s="134" t="str">
        <f aca="false">ExportRaw!$D182</f>
        <v/>
      </c>
      <c r="F182" s="133" t="str">
        <f aca="false">ExportRaw!$H182</f>
        <v/>
      </c>
      <c r="G182" s="135" t="str">
        <f aca="false">ExportRaw!$I182</f>
        <v/>
      </c>
      <c r="H182" s="133" t="str">
        <f aca="false">ExportRaw!$A182</f>
        <v/>
      </c>
      <c r="I182" s="133" t="str">
        <f aca="false">ExportRaw!$B182</f>
        <v/>
      </c>
    </row>
    <row r="183" customFormat="false" ht="15.75" hidden="false" customHeight="false" outlineLevel="0" collapsed="false">
      <c r="A183" s="133" t="n">
        <f aca="false">ExportRaw!$F183</f>
        <v>0</v>
      </c>
      <c r="B183" s="133" t="n">
        <f aca="false">ExportRaw!$C183</f>
        <v>0</v>
      </c>
      <c r="C183" s="133" t="n">
        <f aca="false">ExportRaw!$G183</f>
        <v>0</v>
      </c>
      <c r="D183" s="133" t="str">
        <f aca="false">ExportRaw!$E183</f>
        <v/>
      </c>
      <c r="E183" s="134" t="str">
        <f aca="false">ExportRaw!$D183</f>
        <v/>
      </c>
      <c r="F183" s="133" t="str">
        <f aca="false">ExportRaw!$H183</f>
        <v/>
      </c>
      <c r="G183" s="135" t="str">
        <f aca="false">ExportRaw!$I183</f>
        <v/>
      </c>
      <c r="H183" s="133" t="str">
        <f aca="false">ExportRaw!$A183</f>
        <v/>
      </c>
      <c r="I183" s="133" t="str">
        <f aca="false">ExportRaw!$B183</f>
        <v/>
      </c>
    </row>
    <row r="184" customFormat="false" ht="15.75" hidden="false" customHeight="false" outlineLevel="0" collapsed="false">
      <c r="A184" s="133" t="n">
        <f aca="false">ExportRaw!$F184</f>
        <v>0</v>
      </c>
      <c r="B184" s="133" t="n">
        <f aca="false">ExportRaw!$C184</f>
        <v>0</v>
      </c>
      <c r="C184" s="133" t="n">
        <f aca="false">ExportRaw!$G184</f>
        <v>0</v>
      </c>
      <c r="D184" s="133" t="str">
        <f aca="false">ExportRaw!$E184</f>
        <v/>
      </c>
      <c r="E184" s="134" t="str">
        <f aca="false">ExportRaw!$D184</f>
        <v/>
      </c>
      <c r="F184" s="133" t="str">
        <f aca="false">ExportRaw!$H184</f>
        <v/>
      </c>
      <c r="G184" s="135" t="str">
        <f aca="false">ExportRaw!$I184</f>
        <v/>
      </c>
      <c r="H184" s="133" t="str">
        <f aca="false">ExportRaw!$A184</f>
        <v/>
      </c>
      <c r="I184" s="133" t="str">
        <f aca="false">ExportRaw!$B184</f>
        <v/>
      </c>
    </row>
    <row r="185" customFormat="false" ht="15.75" hidden="false" customHeight="false" outlineLevel="0" collapsed="false">
      <c r="A185" s="133" t="n">
        <f aca="false">ExportRaw!$F185</f>
        <v>0</v>
      </c>
      <c r="B185" s="133" t="n">
        <f aca="false">ExportRaw!$C185</f>
        <v>0</v>
      </c>
      <c r="C185" s="133" t="n">
        <f aca="false">ExportRaw!$G185</f>
        <v>0</v>
      </c>
      <c r="D185" s="133" t="str">
        <f aca="false">ExportRaw!$E185</f>
        <v/>
      </c>
      <c r="E185" s="134" t="str">
        <f aca="false">ExportRaw!$D185</f>
        <v/>
      </c>
      <c r="F185" s="133" t="str">
        <f aca="false">ExportRaw!$H185</f>
        <v/>
      </c>
      <c r="G185" s="135" t="str">
        <f aca="false">ExportRaw!$I185</f>
        <v/>
      </c>
      <c r="H185" s="133" t="str">
        <f aca="false">ExportRaw!$A185</f>
        <v/>
      </c>
      <c r="I185" s="133" t="str">
        <f aca="false">ExportRaw!$B185</f>
        <v/>
      </c>
    </row>
    <row r="186" customFormat="false" ht="15.75" hidden="false" customHeight="false" outlineLevel="0" collapsed="false">
      <c r="A186" s="133" t="n">
        <f aca="false">ExportRaw!$F186</f>
        <v>0</v>
      </c>
      <c r="B186" s="133" t="n">
        <f aca="false">ExportRaw!$C186</f>
        <v>0</v>
      </c>
      <c r="C186" s="133" t="n">
        <f aca="false">ExportRaw!$G186</f>
        <v>0</v>
      </c>
      <c r="D186" s="133" t="str">
        <f aca="false">ExportRaw!$E186</f>
        <v/>
      </c>
      <c r="E186" s="134" t="str">
        <f aca="false">ExportRaw!$D186</f>
        <v/>
      </c>
      <c r="F186" s="133" t="str">
        <f aca="false">ExportRaw!$H186</f>
        <v/>
      </c>
      <c r="G186" s="135" t="str">
        <f aca="false">ExportRaw!$I186</f>
        <v/>
      </c>
      <c r="H186" s="133" t="str">
        <f aca="false">ExportRaw!$A186</f>
        <v/>
      </c>
      <c r="I186" s="133" t="str">
        <f aca="false">ExportRaw!$B186</f>
        <v/>
      </c>
    </row>
    <row r="187" customFormat="false" ht="15.75" hidden="false" customHeight="false" outlineLevel="0" collapsed="false">
      <c r="A187" s="133" t="n">
        <f aca="false">ExportRaw!$F187</f>
        <v>0</v>
      </c>
      <c r="B187" s="133" t="n">
        <f aca="false">ExportRaw!$C187</f>
        <v>0</v>
      </c>
      <c r="C187" s="133" t="n">
        <f aca="false">ExportRaw!$G187</f>
        <v>0</v>
      </c>
      <c r="D187" s="133" t="str">
        <f aca="false">ExportRaw!$E187</f>
        <v/>
      </c>
      <c r="E187" s="134" t="str">
        <f aca="false">ExportRaw!$D187</f>
        <v/>
      </c>
      <c r="F187" s="133" t="str">
        <f aca="false">ExportRaw!$H187</f>
        <v/>
      </c>
      <c r="G187" s="135" t="str">
        <f aca="false">ExportRaw!$I187</f>
        <v/>
      </c>
      <c r="H187" s="133" t="str">
        <f aca="false">ExportRaw!$A187</f>
        <v/>
      </c>
      <c r="I187" s="133" t="str">
        <f aca="false">ExportRaw!$B187</f>
        <v/>
      </c>
    </row>
    <row r="188" customFormat="false" ht="15.75" hidden="false" customHeight="false" outlineLevel="0" collapsed="false">
      <c r="A188" s="133" t="n">
        <f aca="false">ExportRaw!$F188</f>
        <v>0</v>
      </c>
      <c r="B188" s="133" t="n">
        <f aca="false">ExportRaw!$C188</f>
        <v>0</v>
      </c>
      <c r="C188" s="133" t="n">
        <f aca="false">ExportRaw!$G188</f>
        <v>0</v>
      </c>
      <c r="D188" s="133" t="str">
        <f aca="false">ExportRaw!$E188</f>
        <v/>
      </c>
      <c r="E188" s="134" t="str">
        <f aca="false">ExportRaw!$D188</f>
        <v/>
      </c>
      <c r="F188" s="133" t="str">
        <f aca="false">ExportRaw!$H188</f>
        <v/>
      </c>
      <c r="G188" s="135" t="str">
        <f aca="false">ExportRaw!$I188</f>
        <v/>
      </c>
      <c r="H188" s="133" t="str">
        <f aca="false">ExportRaw!$A188</f>
        <v/>
      </c>
      <c r="I188" s="133" t="str">
        <f aca="false">ExportRaw!$B188</f>
        <v/>
      </c>
    </row>
    <row r="189" customFormat="false" ht="15.75" hidden="false" customHeight="false" outlineLevel="0" collapsed="false">
      <c r="A189" s="133" t="n">
        <f aca="false">ExportRaw!$F189</f>
        <v>0</v>
      </c>
      <c r="B189" s="133" t="n">
        <f aca="false">ExportRaw!$C189</f>
        <v>0</v>
      </c>
      <c r="C189" s="133" t="n">
        <f aca="false">ExportRaw!$G189</f>
        <v>0</v>
      </c>
      <c r="D189" s="133" t="str">
        <f aca="false">ExportRaw!$E189</f>
        <v/>
      </c>
      <c r="E189" s="134" t="str">
        <f aca="false">ExportRaw!$D189</f>
        <v/>
      </c>
      <c r="F189" s="133" t="str">
        <f aca="false">ExportRaw!$H189</f>
        <v/>
      </c>
      <c r="G189" s="135" t="str">
        <f aca="false">ExportRaw!$I189</f>
        <v/>
      </c>
      <c r="H189" s="133" t="str">
        <f aca="false">ExportRaw!$A189</f>
        <v/>
      </c>
      <c r="I189" s="133" t="str">
        <f aca="false">ExportRaw!$B189</f>
        <v/>
      </c>
    </row>
    <row r="190" customFormat="false" ht="15.75" hidden="false" customHeight="false" outlineLevel="0" collapsed="false">
      <c r="A190" s="133" t="n">
        <f aca="false">ExportRaw!$F190</f>
        <v>0</v>
      </c>
      <c r="B190" s="133" t="n">
        <f aca="false">ExportRaw!$C190</f>
        <v>0</v>
      </c>
      <c r="C190" s="133" t="n">
        <f aca="false">ExportRaw!$G190</f>
        <v>0</v>
      </c>
      <c r="D190" s="133" t="str">
        <f aca="false">ExportRaw!$E190</f>
        <v/>
      </c>
      <c r="E190" s="134" t="str">
        <f aca="false">ExportRaw!$D190</f>
        <v/>
      </c>
      <c r="F190" s="133" t="str">
        <f aca="false">ExportRaw!$H190</f>
        <v/>
      </c>
      <c r="G190" s="135" t="str">
        <f aca="false">ExportRaw!$I190</f>
        <v/>
      </c>
      <c r="H190" s="133" t="str">
        <f aca="false">ExportRaw!$A190</f>
        <v/>
      </c>
      <c r="I190" s="133" t="str">
        <f aca="false">ExportRaw!$B190</f>
        <v/>
      </c>
    </row>
    <row r="191" customFormat="false" ht="15.75" hidden="false" customHeight="false" outlineLevel="0" collapsed="false">
      <c r="A191" s="133" t="n">
        <f aca="false">ExportRaw!$F191</f>
        <v>0</v>
      </c>
      <c r="B191" s="133" t="n">
        <f aca="false">ExportRaw!$C191</f>
        <v>0</v>
      </c>
      <c r="C191" s="133" t="n">
        <f aca="false">ExportRaw!$G191</f>
        <v>0</v>
      </c>
      <c r="D191" s="133" t="str">
        <f aca="false">ExportRaw!$E191</f>
        <v/>
      </c>
      <c r="E191" s="134" t="str">
        <f aca="false">ExportRaw!$D191</f>
        <v/>
      </c>
      <c r="F191" s="133" t="str">
        <f aca="false">ExportRaw!$H191</f>
        <v/>
      </c>
      <c r="G191" s="135" t="str">
        <f aca="false">ExportRaw!$I191</f>
        <v/>
      </c>
      <c r="H191" s="133" t="str">
        <f aca="false">ExportRaw!$A191</f>
        <v/>
      </c>
      <c r="I191" s="133" t="str">
        <f aca="false">ExportRaw!$B191</f>
        <v/>
      </c>
    </row>
    <row r="192" customFormat="false" ht="15.75" hidden="false" customHeight="false" outlineLevel="0" collapsed="false">
      <c r="A192" s="133" t="n">
        <f aca="false">ExportRaw!$F192</f>
        <v>0</v>
      </c>
      <c r="B192" s="133" t="n">
        <f aca="false">ExportRaw!$C192</f>
        <v>0</v>
      </c>
      <c r="C192" s="133" t="n">
        <f aca="false">ExportRaw!$G192</f>
        <v>0</v>
      </c>
      <c r="D192" s="133" t="str">
        <f aca="false">ExportRaw!$E192</f>
        <v/>
      </c>
      <c r="E192" s="134" t="str">
        <f aca="false">ExportRaw!$D192</f>
        <v/>
      </c>
      <c r="F192" s="133" t="str">
        <f aca="false">ExportRaw!$H192</f>
        <v/>
      </c>
      <c r="G192" s="135" t="str">
        <f aca="false">ExportRaw!$I192</f>
        <v/>
      </c>
      <c r="H192" s="133" t="str">
        <f aca="false">ExportRaw!$A192</f>
        <v/>
      </c>
      <c r="I192" s="133" t="str">
        <f aca="false">ExportRaw!$B192</f>
        <v/>
      </c>
    </row>
    <row r="193" customFormat="false" ht="15.75" hidden="false" customHeight="false" outlineLevel="0" collapsed="false">
      <c r="A193" s="133" t="n">
        <f aca="false">ExportRaw!$F193</f>
        <v>0</v>
      </c>
      <c r="B193" s="133" t="n">
        <f aca="false">ExportRaw!$C193</f>
        <v>0</v>
      </c>
      <c r="C193" s="133" t="n">
        <f aca="false">ExportRaw!$G193</f>
        <v>0</v>
      </c>
      <c r="D193" s="133" t="str">
        <f aca="false">ExportRaw!$E193</f>
        <v/>
      </c>
      <c r="E193" s="134" t="str">
        <f aca="false">ExportRaw!$D193</f>
        <v/>
      </c>
      <c r="F193" s="133" t="str">
        <f aca="false">ExportRaw!$H193</f>
        <v/>
      </c>
      <c r="G193" s="135" t="str">
        <f aca="false">ExportRaw!$I193</f>
        <v/>
      </c>
      <c r="H193" s="133" t="str">
        <f aca="false">ExportRaw!$A193</f>
        <v/>
      </c>
      <c r="I193" s="133" t="str">
        <f aca="false">ExportRaw!$B193</f>
        <v/>
      </c>
    </row>
    <row r="194" customFormat="false" ht="15.75" hidden="false" customHeight="false" outlineLevel="0" collapsed="false">
      <c r="A194" s="133" t="n">
        <f aca="false">ExportRaw!$F194</f>
        <v>0</v>
      </c>
      <c r="B194" s="133" t="n">
        <f aca="false">ExportRaw!$C194</f>
        <v>0</v>
      </c>
      <c r="C194" s="133" t="n">
        <f aca="false">ExportRaw!$G194</f>
        <v>0</v>
      </c>
      <c r="D194" s="133" t="str">
        <f aca="false">ExportRaw!$E194</f>
        <v/>
      </c>
      <c r="E194" s="134" t="str">
        <f aca="false">ExportRaw!$D194</f>
        <v/>
      </c>
      <c r="F194" s="133" t="str">
        <f aca="false">ExportRaw!$H194</f>
        <v/>
      </c>
      <c r="G194" s="135" t="str">
        <f aca="false">ExportRaw!$I194</f>
        <v/>
      </c>
      <c r="H194" s="133" t="str">
        <f aca="false">ExportRaw!$A194</f>
        <v/>
      </c>
      <c r="I194" s="133" t="str">
        <f aca="false">ExportRaw!$B194</f>
        <v/>
      </c>
    </row>
    <row r="195" customFormat="false" ht="15.75" hidden="false" customHeight="false" outlineLevel="0" collapsed="false">
      <c r="A195" s="133" t="n">
        <f aca="false">ExportRaw!$F195</f>
        <v>0</v>
      </c>
      <c r="B195" s="133" t="n">
        <f aca="false">ExportRaw!$C195</f>
        <v>0</v>
      </c>
      <c r="C195" s="133" t="n">
        <f aca="false">ExportRaw!$G195</f>
        <v>0</v>
      </c>
      <c r="D195" s="133" t="str">
        <f aca="false">ExportRaw!$E195</f>
        <v/>
      </c>
      <c r="E195" s="134" t="str">
        <f aca="false">ExportRaw!$D195</f>
        <v/>
      </c>
      <c r="F195" s="133" t="str">
        <f aca="false">ExportRaw!$H195</f>
        <v/>
      </c>
      <c r="G195" s="135" t="str">
        <f aca="false">ExportRaw!$I195</f>
        <v/>
      </c>
      <c r="H195" s="133" t="str">
        <f aca="false">ExportRaw!$A195</f>
        <v/>
      </c>
      <c r="I195" s="133" t="str">
        <f aca="false">ExportRaw!$B195</f>
        <v/>
      </c>
    </row>
    <row r="196" customFormat="false" ht="15.75" hidden="false" customHeight="false" outlineLevel="0" collapsed="false">
      <c r="A196" s="133" t="n">
        <f aca="false">ExportRaw!$F196</f>
        <v>0</v>
      </c>
      <c r="B196" s="133" t="n">
        <f aca="false">ExportRaw!$C196</f>
        <v>0</v>
      </c>
      <c r="C196" s="133" t="n">
        <f aca="false">ExportRaw!$G196</f>
        <v>0</v>
      </c>
      <c r="D196" s="133" t="str">
        <f aca="false">ExportRaw!$E196</f>
        <v/>
      </c>
      <c r="E196" s="134" t="str">
        <f aca="false">ExportRaw!$D196</f>
        <v/>
      </c>
      <c r="F196" s="133" t="str">
        <f aca="false">ExportRaw!$H196</f>
        <v/>
      </c>
      <c r="G196" s="135" t="str">
        <f aca="false">ExportRaw!$I196</f>
        <v/>
      </c>
      <c r="H196" s="133" t="str">
        <f aca="false">ExportRaw!$A196</f>
        <v/>
      </c>
      <c r="I196" s="133" t="str">
        <f aca="false">ExportRaw!$B196</f>
        <v/>
      </c>
    </row>
    <row r="197" customFormat="false" ht="15.75" hidden="false" customHeight="false" outlineLevel="0" collapsed="false">
      <c r="A197" s="133" t="n">
        <f aca="false">ExportRaw!$F197</f>
        <v>0</v>
      </c>
      <c r="B197" s="133" t="n">
        <f aca="false">ExportRaw!$C197</f>
        <v>0</v>
      </c>
      <c r="C197" s="133" t="n">
        <f aca="false">ExportRaw!$G197</f>
        <v>0</v>
      </c>
      <c r="D197" s="133" t="str">
        <f aca="false">ExportRaw!$E197</f>
        <v/>
      </c>
      <c r="E197" s="134" t="str">
        <f aca="false">ExportRaw!$D197</f>
        <v/>
      </c>
      <c r="F197" s="133" t="str">
        <f aca="false">ExportRaw!$H197</f>
        <v/>
      </c>
      <c r="G197" s="135" t="str">
        <f aca="false">ExportRaw!$I197</f>
        <v/>
      </c>
      <c r="H197" s="133" t="str">
        <f aca="false">ExportRaw!$A197</f>
        <v/>
      </c>
      <c r="I197" s="133" t="str">
        <f aca="false">ExportRaw!$B197</f>
        <v/>
      </c>
    </row>
    <row r="198" customFormat="false" ht="15.75" hidden="false" customHeight="false" outlineLevel="0" collapsed="false">
      <c r="A198" s="133" t="n">
        <f aca="false">ExportRaw!$F198</f>
        <v>0</v>
      </c>
      <c r="B198" s="133" t="n">
        <f aca="false">ExportRaw!$C198</f>
        <v>0</v>
      </c>
      <c r="C198" s="133" t="n">
        <f aca="false">ExportRaw!$G198</f>
        <v>0</v>
      </c>
      <c r="D198" s="133" t="str">
        <f aca="false">ExportRaw!$E198</f>
        <v/>
      </c>
      <c r="E198" s="134" t="str">
        <f aca="false">ExportRaw!$D198</f>
        <v/>
      </c>
      <c r="F198" s="133" t="str">
        <f aca="false">ExportRaw!$H198</f>
        <v/>
      </c>
      <c r="G198" s="135" t="str">
        <f aca="false">ExportRaw!$I198</f>
        <v/>
      </c>
      <c r="H198" s="133" t="str">
        <f aca="false">ExportRaw!$A198</f>
        <v/>
      </c>
      <c r="I198" s="133" t="str">
        <f aca="false">ExportRaw!$B198</f>
        <v/>
      </c>
    </row>
    <row r="199" customFormat="false" ht="15.75" hidden="false" customHeight="false" outlineLevel="0" collapsed="false">
      <c r="A199" s="133" t="n">
        <f aca="false">ExportRaw!$F199</f>
        <v>0</v>
      </c>
      <c r="B199" s="133" t="n">
        <f aca="false">ExportRaw!$C199</f>
        <v>0</v>
      </c>
      <c r="C199" s="133" t="n">
        <f aca="false">ExportRaw!$G199</f>
        <v>0</v>
      </c>
      <c r="D199" s="133" t="str">
        <f aca="false">ExportRaw!$E199</f>
        <v/>
      </c>
      <c r="E199" s="134" t="str">
        <f aca="false">ExportRaw!$D199</f>
        <v/>
      </c>
      <c r="F199" s="133" t="str">
        <f aca="false">ExportRaw!$H199</f>
        <v/>
      </c>
      <c r="G199" s="135" t="str">
        <f aca="false">ExportRaw!$I199</f>
        <v/>
      </c>
      <c r="H199" s="133" t="str">
        <f aca="false">ExportRaw!$A199</f>
        <v/>
      </c>
      <c r="I199" s="133" t="str">
        <f aca="false">ExportRaw!$B199</f>
        <v/>
      </c>
    </row>
    <row r="200" customFormat="false" ht="15.75" hidden="false" customHeight="false" outlineLevel="0" collapsed="false">
      <c r="A200" s="133" t="n">
        <f aca="false">ExportRaw!$F200</f>
        <v>0</v>
      </c>
      <c r="B200" s="133" t="n">
        <f aca="false">ExportRaw!$C200</f>
        <v>0</v>
      </c>
      <c r="C200" s="133" t="n">
        <f aca="false">ExportRaw!$G200</f>
        <v>0</v>
      </c>
      <c r="D200" s="133" t="str">
        <f aca="false">ExportRaw!$E200</f>
        <v/>
      </c>
      <c r="E200" s="134" t="str">
        <f aca="false">ExportRaw!$D200</f>
        <v/>
      </c>
      <c r="F200" s="133" t="str">
        <f aca="false">ExportRaw!$H200</f>
        <v/>
      </c>
      <c r="G200" s="135" t="str">
        <f aca="false">ExportRaw!$I200</f>
        <v/>
      </c>
      <c r="H200" s="133" t="str">
        <f aca="false">ExportRaw!$A200</f>
        <v/>
      </c>
      <c r="I200" s="133" t="str">
        <f aca="false">ExportRaw!$B200</f>
        <v/>
      </c>
    </row>
    <row r="201" customFormat="false" ht="15.75" hidden="false" customHeight="false" outlineLevel="0" collapsed="false">
      <c r="A201" s="133" t="n">
        <f aca="false">ExportRaw!$F201</f>
        <v>0</v>
      </c>
      <c r="B201" s="133" t="n">
        <f aca="false">ExportRaw!$C201</f>
        <v>0</v>
      </c>
      <c r="C201" s="133" t="n">
        <f aca="false">ExportRaw!$G201</f>
        <v>0</v>
      </c>
      <c r="D201" s="133" t="str">
        <f aca="false">ExportRaw!$E201</f>
        <v/>
      </c>
      <c r="E201" s="134" t="str">
        <f aca="false">ExportRaw!$D201</f>
        <v/>
      </c>
      <c r="F201" s="133" t="str">
        <f aca="false">ExportRaw!$H201</f>
        <v/>
      </c>
      <c r="G201" s="135" t="str">
        <f aca="false">ExportRaw!$I201</f>
        <v/>
      </c>
      <c r="H201" s="133" t="str">
        <f aca="false">ExportRaw!$A201</f>
        <v/>
      </c>
      <c r="I201" s="133" t="str">
        <f aca="false">ExportRaw!$B201</f>
        <v/>
      </c>
    </row>
    <row r="202" customFormat="false" ht="15.75" hidden="false" customHeight="false" outlineLevel="0" collapsed="false">
      <c r="A202" s="133" t="n">
        <f aca="false">ExportRaw!$F202</f>
        <v>0</v>
      </c>
      <c r="B202" s="133" t="n">
        <f aca="false">ExportRaw!$C202</f>
        <v>0</v>
      </c>
      <c r="C202" s="133" t="n">
        <f aca="false">ExportRaw!$G202</f>
        <v>0</v>
      </c>
      <c r="D202" s="133" t="str">
        <f aca="false">ExportRaw!$E202</f>
        <v/>
      </c>
      <c r="E202" s="134" t="str">
        <f aca="false">ExportRaw!$D202</f>
        <v/>
      </c>
      <c r="F202" s="133" t="str">
        <f aca="false">ExportRaw!$H202</f>
        <v/>
      </c>
      <c r="G202" s="135" t="str">
        <f aca="false">ExportRaw!$I202</f>
        <v/>
      </c>
      <c r="H202" s="133" t="str">
        <f aca="false">ExportRaw!$A202</f>
        <v/>
      </c>
      <c r="I202" s="133" t="str">
        <f aca="false">ExportRaw!$B202</f>
        <v/>
      </c>
    </row>
    <row r="203" customFormat="false" ht="15.75" hidden="false" customHeight="false" outlineLevel="0" collapsed="false">
      <c r="A203" s="133" t="n">
        <f aca="false">ExportRaw!$F203</f>
        <v>0</v>
      </c>
      <c r="B203" s="133" t="n">
        <f aca="false">ExportRaw!$C203</f>
        <v>0</v>
      </c>
      <c r="C203" s="133" t="n">
        <f aca="false">ExportRaw!$G203</f>
        <v>0</v>
      </c>
      <c r="D203" s="133" t="str">
        <f aca="false">ExportRaw!$E203</f>
        <v/>
      </c>
      <c r="E203" s="134" t="str">
        <f aca="false">ExportRaw!$D203</f>
        <v/>
      </c>
      <c r="F203" s="133" t="str">
        <f aca="false">ExportRaw!$H203</f>
        <v/>
      </c>
      <c r="G203" s="135" t="str">
        <f aca="false">ExportRaw!$I203</f>
        <v/>
      </c>
      <c r="H203" s="133" t="str">
        <f aca="false">ExportRaw!$A203</f>
        <v/>
      </c>
      <c r="I203" s="133" t="str">
        <f aca="false">ExportRaw!$B203</f>
        <v/>
      </c>
    </row>
    <row r="204" customFormat="false" ht="15.75" hidden="false" customHeight="false" outlineLevel="0" collapsed="false">
      <c r="A204" s="133" t="n">
        <f aca="false">ExportRaw!$F204</f>
        <v>0</v>
      </c>
      <c r="B204" s="133" t="n">
        <f aca="false">ExportRaw!$C204</f>
        <v>0</v>
      </c>
      <c r="C204" s="133" t="n">
        <f aca="false">ExportRaw!$G204</f>
        <v>0</v>
      </c>
      <c r="D204" s="133" t="str">
        <f aca="false">ExportRaw!$E204</f>
        <v/>
      </c>
      <c r="E204" s="134" t="str">
        <f aca="false">ExportRaw!$D204</f>
        <v/>
      </c>
      <c r="F204" s="133" t="str">
        <f aca="false">ExportRaw!$H204</f>
        <v/>
      </c>
      <c r="G204" s="135" t="str">
        <f aca="false">ExportRaw!$I204</f>
        <v/>
      </c>
      <c r="H204" s="133" t="str">
        <f aca="false">ExportRaw!$A204</f>
        <v/>
      </c>
      <c r="I204" s="133" t="str">
        <f aca="false">ExportRaw!$B204</f>
        <v/>
      </c>
    </row>
    <row r="205" customFormat="false" ht="15.75" hidden="false" customHeight="false" outlineLevel="0" collapsed="false">
      <c r="A205" s="133" t="n">
        <f aca="false">ExportRaw!$F205</f>
        <v>0</v>
      </c>
      <c r="B205" s="133" t="n">
        <f aca="false">ExportRaw!$C205</f>
        <v>0</v>
      </c>
      <c r="C205" s="133" t="n">
        <f aca="false">ExportRaw!$G205</f>
        <v>0</v>
      </c>
      <c r="D205" s="133" t="str">
        <f aca="false">ExportRaw!$E205</f>
        <v/>
      </c>
      <c r="E205" s="134" t="str">
        <f aca="false">ExportRaw!$D205</f>
        <v/>
      </c>
      <c r="F205" s="133" t="str">
        <f aca="false">ExportRaw!$H205</f>
        <v/>
      </c>
      <c r="G205" s="135" t="str">
        <f aca="false">ExportRaw!$I205</f>
        <v/>
      </c>
      <c r="H205" s="133" t="str">
        <f aca="false">ExportRaw!$A205</f>
        <v/>
      </c>
      <c r="I205" s="133" t="str">
        <f aca="false">ExportRaw!$B205</f>
        <v/>
      </c>
    </row>
    <row r="206" customFormat="false" ht="15.75" hidden="false" customHeight="false" outlineLevel="0" collapsed="false">
      <c r="A206" s="133" t="n">
        <f aca="false">ExportRaw!$F206</f>
        <v>0</v>
      </c>
      <c r="B206" s="133" t="n">
        <f aca="false">ExportRaw!$C206</f>
        <v>0</v>
      </c>
      <c r="C206" s="133" t="n">
        <f aca="false">ExportRaw!$G206</f>
        <v>0</v>
      </c>
      <c r="D206" s="133" t="str">
        <f aca="false">ExportRaw!$E206</f>
        <v/>
      </c>
      <c r="E206" s="134" t="str">
        <f aca="false">ExportRaw!$D206</f>
        <v/>
      </c>
      <c r="F206" s="133" t="str">
        <f aca="false">ExportRaw!$H206</f>
        <v/>
      </c>
      <c r="G206" s="135" t="str">
        <f aca="false">ExportRaw!$I206</f>
        <v/>
      </c>
      <c r="H206" s="133" t="str">
        <f aca="false">ExportRaw!$A206</f>
        <v/>
      </c>
      <c r="I206" s="133" t="str">
        <f aca="false">ExportRaw!$B206</f>
        <v/>
      </c>
    </row>
    <row r="207" customFormat="false" ht="15.75" hidden="false" customHeight="false" outlineLevel="0" collapsed="false">
      <c r="A207" s="133" t="n">
        <f aca="false">ExportRaw!$F207</f>
        <v>0</v>
      </c>
      <c r="B207" s="133" t="n">
        <f aca="false">ExportRaw!$C207</f>
        <v>0</v>
      </c>
      <c r="C207" s="133" t="n">
        <f aca="false">ExportRaw!$G207</f>
        <v>0</v>
      </c>
      <c r="D207" s="133" t="str">
        <f aca="false">ExportRaw!$E207</f>
        <v/>
      </c>
      <c r="E207" s="134" t="str">
        <f aca="false">ExportRaw!$D207</f>
        <v/>
      </c>
      <c r="F207" s="133" t="str">
        <f aca="false">ExportRaw!$H207</f>
        <v/>
      </c>
      <c r="G207" s="135" t="str">
        <f aca="false">ExportRaw!$I207</f>
        <v/>
      </c>
      <c r="H207" s="133" t="str">
        <f aca="false">ExportRaw!$A207</f>
        <v/>
      </c>
      <c r="I207" s="133" t="str">
        <f aca="false">ExportRaw!$B207</f>
        <v/>
      </c>
    </row>
    <row r="208" customFormat="false" ht="15.75" hidden="false" customHeight="false" outlineLevel="0" collapsed="false">
      <c r="A208" s="133" t="n">
        <f aca="false">ExportRaw!$F208</f>
        <v>0</v>
      </c>
      <c r="B208" s="133" t="n">
        <f aca="false">ExportRaw!$C208</f>
        <v>0</v>
      </c>
      <c r="C208" s="133" t="n">
        <f aca="false">ExportRaw!$G208</f>
        <v>0</v>
      </c>
      <c r="D208" s="133" t="str">
        <f aca="false">ExportRaw!$E208</f>
        <v/>
      </c>
      <c r="E208" s="134" t="str">
        <f aca="false">ExportRaw!$D208</f>
        <v/>
      </c>
      <c r="F208" s="133" t="str">
        <f aca="false">ExportRaw!$H208</f>
        <v/>
      </c>
      <c r="G208" s="135" t="str">
        <f aca="false">ExportRaw!$I208</f>
        <v/>
      </c>
      <c r="H208" s="133" t="str">
        <f aca="false">ExportRaw!$A208</f>
        <v/>
      </c>
      <c r="I208" s="133" t="str">
        <f aca="false">ExportRaw!$B208</f>
        <v/>
      </c>
    </row>
    <row r="209" customFormat="false" ht="15.75" hidden="false" customHeight="false" outlineLevel="0" collapsed="false">
      <c r="A209" s="133" t="n">
        <f aca="false">ExportRaw!$F209</f>
        <v>0</v>
      </c>
      <c r="B209" s="133" t="n">
        <f aca="false">ExportRaw!$C209</f>
        <v>0</v>
      </c>
      <c r="C209" s="133" t="n">
        <f aca="false">ExportRaw!$G209</f>
        <v>0</v>
      </c>
      <c r="D209" s="133" t="str">
        <f aca="false">ExportRaw!$E209</f>
        <v/>
      </c>
      <c r="E209" s="134" t="str">
        <f aca="false">ExportRaw!$D209</f>
        <v/>
      </c>
      <c r="F209" s="133" t="str">
        <f aca="false">ExportRaw!$H209</f>
        <v/>
      </c>
      <c r="G209" s="135" t="str">
        <f aca="false">ExportRaw!$I209</f>
        <v/>
      </c>
      <c r="H209" s="133" t="str">
        <f aca="false">ExportRaw!$A209</f>
        <v/>
      </c>
      <c r="I209" s="133" t="str">
        <f aca="false">ExportRaw!$B209</f>
        <v/>
      </c>
    </row>
    <row r="210" customFormat="false" ht="15.75" hidden="false" customHeight="false" outlineLevel="0" collapsed="false">
      <c r="A210" s="133" t="n">
        <f aca="false">ExportRaw!$F210</f>
        <v>0</v>
      </c>
      <c r="B210" s="133" t="n">
        <f aca="false">ExportRaw!$C210</f>
        <v>0</v>
      </c>
      <c r="C210" s="133" t="n">
        <f aca="false">ExportRaw!$G210</f>
        <v>0</v>
      </c>
      <c r="D210" s="133" t="str">
        <f aca="false">ExportRaw!$E210</f>
        <v/>
      </c>
      <c r="E210" s="134" t="str">
        <f aca="false">ExportRaw!$D210</f>
        <v/>
      </c>
      <c r="F210" s="133" t="str">
        <f aca="false">ExportRaw!$H210</f>
        <v/>
      </c>
      <c r="G210" s="135" t="str">
        <f aca="false">ExportRaw!$I210</f>
        <v/>
      </c>
      <c r="H210" s="133" t="str">
        <f aca="false">ExportRaw!$A210</f>
        <v/>
      </c>
      <c r="I210" s="133" t="str">
        <f aca="false">ExportRaw!$B210</f>
        <v/>
      </c>
    </row>
    <row r="211" customFormat="false" ht="15.75" hidden="false" customHeight="false" outlineLevel="0" collapsed="false">
      <c r="A211" s="133" t="n">
        <f aca="false">ExportRaw!$F211</f>
        <v>0</v>
      </c>
      <c r="B211" s="133" t="n">
        <f aca="false">ExportRaw!$C211</f>
        <v>0</v>
      </c>
      <c r="C211" s="133" t="n">
        <f aca="false">ExportRaw!$G211</f>
        <v>0</v>
      </c>
      <c r="D211" s="133" t="str">
        <f aca="false">ExportRaw!$E211</f>
        <v/>
      </c>
      <c r="E211" s="134" t="str">
        <f aca="false">ExportRaw!$D211</f>
        <v/>
      </c>
      <c r="F211" s="133" t="str">
        <f aca="false">ExportRaw!$H211</f>
        <v/>
      </c>
      <c r="G211" s="135" t="str">
        <f aca="false">ExportRaw!$I211</f>
        <v/>
      </c>
      <c r="H211" s="133" t="str">
        <f aca="false">ExportRaw!$A211</f>
        <v/>
      </c>
      <c r="I211" s="133" t="str">
        <f aca="false">ExportRaw!$B211</f>
        <v/>
      </c>
    </row>
    <row r="212" customFormat="false" ht="15.75" hidden="false" customHeight="false" outlineLevel="0" collapsed="false">
      <c r="A212" s="133" t="n">
        <f aca="false">ExportRaw!$F212</f>
        <v>0</v>
      </c>
      <c r="B212" s="133" t="n">
        <f aca="false">ExportRaw!$C212</f>
        <v>0</v>
      </c>
      <c r="C212" s="133" t="n">
        <f aca="false">ExportRaw!$G212</f>
        <v>0</v>
      </c>
      <c r="D212" s="133" t="str">
        <f aca="false">ExportRaw!$E212</f>
        <v/>
      </c>
      <c r="E212" s="134" t="str">
        <f aca="false">ExportRaw!$D212</f>
        <v/>
      </c>
      <c r="F212" s="133" t="str">
        <f aca="false">ExportRaw!$H212</f>
        <v/>
      </c>
      <c r="G212" s="135" t="str">
        <f aca="false">ExportRaw!$I212</f>
        <v/>
      </c>
      <c r="H212" s="133" t="str">
        <f aca="false">ExportRaw!$A212</f>
        <v/>
      </c>
      <c r="I212" s="133" t="str">
        <f aca="false">ExportRaw!$B212</f>
        <v/>
      </c>
    </row>
    <row r="213" customFormat="false" ht="15.75" hidden="false" customHeight="false" outlineLevel="0" collapsed="false">
      <c r="A213" s="133" t="n">
        <f aca="false">ExportRaw!$F213</f>
        <v>0</v>
      </c>
      <c r="B213" s="133" t="n">
        <f aca="false">ExportRaw!$C213</f>
        <v>0</v>
      </c>
      <c r="C213" s="133" t="n">
        <f aca="false">ExportRaw!$G213</f>
        <v>0</v>
      </c>
      <c r="D213" s="133" t="str">
        <f aca="false">ExportRaw!$E213</f>
        <v/>
      </c>
      <c r="E213" s="134" t="str">
        <f aca="false">ExportRaw!$D213</f>
        <v/>
      </c>
      <c r="F213" s="133" t="str">
        <f aca="false">ExportRaw!$H213</f>
        <v/>
      </c>
      <c r="G213" s="135" t="str">
        <f aca="false">ExportRaw!$I213</f>
        <v/>
      </c>
      <c r="H213" s="133" t="str">
        <f aca="false">ExportRaw!$A213</f>
        <v/>
      </c>
      <c r="I213" s="133" t="str">
        <f aca="false">ExportRaw!$B213</f>
        <v/>
      </c>
    </row>
    <row r="214" customFormat="false" ht="15.75" hidden="false" customHeight="false" outlineLevel="0" collapsed="false">
      <c r="A214" s="133" t="n">
        <f aca="false">ExportRaw!$F214</f>
        <v>0</v>
      </c>
      <c r="B214" s="133" t="n">
        <f aca="false">ExportRaw!$C214</f>
        <v>0</v>
      </c>
      <c r="C214" s="133" t="n">
        <f aca="false">ExportRaw!$G214</f>
        <v>0</v>
      </c>
      <c r="D214" s="133" t="str">
        <f aca="false">ExportRaw!$E214</f>
        <v/>
      </c>
      <c r="E214" s="134" t="str">
        <f aca="false">ExportRaw!$D214</f>
        <v/>
      </c>
      <c r="F214" s="133" t="str">
        <f aca="false">ExportRaw!$H214</f>
        <v/>
      </c>
      <c r="G214" s="135" t="str">
        <f aca="false">ExportRaw!$I214</f>
        <v/>
      </c>
      <c r="H214" s="133" t="str">
        <f aca="false">ExportRaw!$A214</f>
        <v/>
      </c>
      <c r="I214" s="133" t="str">
        <f aca="false">ExportRaw!$B214</f>
        <v/>
      </c>
    </row>
    <row r="215" customFormat="false" ht="15.75" hidden="false" customHeight="false" outlineLevel="0" collapsed="false">
      <c r="A215" s="133" t="n">
        <f aca="false">ExportRaw!$F215</f>
        <v>0</v>
      </c>
      <c r="B215" s="133" t="n">
        <f aca="false">ExportRaw!$C215</f>
        <v>0</v>
      </c>
      <c r="C215" s="133" t="n">
        <f aca="false">ExportRaw!$G215</f>
        <v>0</v>
      </c>
      <c r="D215" s="133" t="str">
        <f aca="false">ExportRaw!$E215</f>
        <v/>
      </c>
      <c r="E215" s="134" t="str">
        <f aca="false">ExportRaw!$D215</f>
        <v/>
      </c>
      <c r="F215" s="133" t="str">
        <f aca="false">ExportRaw!$H215</f>
        <v/>
      </c>
      <c r="G215" s="135" t="str">
        <f aca="false">ExportRaw!$I215</f>
        <v/>
      </c>
      <c r="H215" s="133" t="str">
        <f aca="false">ExportRaw!$A215</f>
        <v/>
      </c>
      <c r="I215" s="133" t="str">
        <f aca="false">ExportRaw!$B215</f>
        <v/>
      </c>
    </row>
    <row r="216" customFormat="false" ht="15.75" hidden="false" customHeight="false" outlineLevel="0" collapsed="false">
      <c r="A216" s="133" t="n">
        <f aca="false">ExportRaw!$F216</f>
        <v>0</v>
      </c>
      <c r="B216" s="133" t="n">
        <f aca="false">ExportRaw!$C216</f>
        <v>0</v>
      </c>
      <c r="C216" s="133" t="n">
        <f aca="false">ExportRaw!$G216</f>
        <v>0</v>
      </c>
      <c r="D216" s="133" t="str">
        <f aca="false">ExportRaw!$E216</f>
        <v/>
      </c>
      <c r="E216" s="134" t="str">
        <f aca="false">ExportRaw!$D216</f>
        <v/>
      </c>
      <c r="F216" s="133" t="str">
        <f aca="false">ExportRaw!$H216</f>
        <v/>
      </c>
      <c r="G216" s="135" t="str">
        <f aca="false">ExportRaw!$I216</f>
        <v/>
      </c>
      <c r="H216" s="133" t="str">
        <f aca="false">ExportRaw!$A216</f>
        <v/>
      </c>
      <c r="I216" s="133" t="str">
        <f aca="false">ExportRaw!$B216</f>
        <v/>
      </c>
    </row>
    <row r="217" customFormat="false" ht="15.75" hidden="false" customHeight="false" outlineLevel="0" collapsed="false">
      <c r="A217" s="133" t="n">
        <f aca="false">ExportRaw!$F217</f>
        <v>0</v>
      </c>
      <c r="B217" s="133" t="n">
        <f aca="false">ExportRaw!$C217</f>
        <v>0</v>
      </c>
      <c r="C217" s="133" t="n">
        <f aca="false">ExportRaw!$G217</f>
        <v>0</v>
      </c>
      <c r="D217" s="133" t="str">
        <f aca="false">ExportRaw!$E217</f>
        <v/>
      </c>
      <c r="E217" s="134" t="str">
        <f aca="false">ExportRaw!$D217</f>
        <v/>
      </c>
      <c r="F217" s="133" t="str">
        <f aca="false">ExportRaw!$H217</f>
        <v/>
      </c>
      <c r="G217" s="135" t="str">
        <f aca="false">ExportRaw!$I217</f>
        <v/>
      </c>
      <c r="H217" s="133" t="str">
        <f aca="false">ExportRaw!$A217</f>
        <v/>
      </c>
      <c r="I217" s="133" t="str">
        <f aca="false">ExportRaw!$B217</f>
        <v/>
      </c>
    </row>
    <row r="218" customFormat="false" ht="15.75" hidden="false" customHeight="false" outlineLevel="0" collapsed="false">
      <c r="A218" s="133" t="n">
        <f aca="false">ExportRaw!$F218</f>
        <v>0</v>
      </c>
      <c r="B218" s="133" t="n">
        <f aca="false">ExportRaw!$C218</f>
        <v>0</v>
      </c>
      <c r="C218" s="133" t="n">
        <f aca="false">ExportRaw!$G218</f>
        <v>0</v>
      </c>
      <c r="D218" s="133" t="str">
        <f aca="false">ExportRaw!$E218</f>
        <v/>
      </c>
      <c r="E218" s="134" t="str">
        <f aca="false">ExportRaw!$D218</f>
        <v/>
      </c>
      <c r="F218" s="133" t="str">
        <f aca="false">ExportRaw!$H218</f>
        <v/>
      </c>
      <c r="G218" s="135" t="str">
        <f aca="false">ExportRaw!$I218</f>
        <v/>
      </c>
      <c r="H218" s="133" t="str">
        <f aca="false">ExportRaw!$A218</f>
        <v/>
      </c>
      <c r="I218" s="133" t="str">
        <f aca="false">ExportRaw!$B218</f>
        <v/>
      </c>
    </row>
    <row r="219" customFormat="false" ht="15.75" hidden="false" customHeight="false" outlineLevel="0" collapsed="false">
      <c r="A219" s="133" t="n">
        <f aca="false">ExportRaw!$F219</f>
        <v>0</v>
      </c>
      <c r="B219" s="133" t="n">
        <f aca="false">ExportRaw!$C219</f>
        <v>0</v>
      </c>
      <c r="C219" s="133" t="n">
        <f aca="false">ExportRaw!$G219</f>
        <v>0</v>
      </c>
      <c r="D219" s="133" t="str">
        <f aca="false">ExportRaw!$E219</f>
        <v/>
      </c>
      <c r="E219" s="134" t="str">
        <f aca="false">ExportRaw!$D219</f>
        <v/>
      </c>
      <c r="F219" s="133" t="str">
        <f aca="false">ExportRaw!$H219</f>
        <v/>
      </c>
      <c r="G219" s="135" t="str">
        <f aca="false">ExportRaw!$I219</f>
        <v/>
      </c>
      <c r="H219" s="133" t="str">
        <f aca="false">ExportRaw!$A219</f>
        <v/>
      </c>
      <c r="I219" s="133" t="str">
        <f aca="false">ExportRaw!$B219</f>
        <v/>
      </c>
    </row>
    <row r="220" customFormat="false" ht="15.75" hidden="false" customHeight="false" outlineLevel="0" collapsed="false">
      <c r="A220" s="133" t="n">
        <f aca="false">ExportRaw!$F220</f>
        <v>0</v>
      </c>
      <c r="B220" s="133" t="n">
        <f aca="false">ExportRaw!$C220</f>
        <v>0</v>
      </c>
      <c r="C220" s="133" t="n">
        <f aca="false">ExportRaw!$G220</f>
        <v>0</v>
      </c>
      <c r="D220" s="133" t="str">
        <f aca="false">ExportRaw!$E220</f>
        <v/>
      </c>
      <c r="E220" s="134" t="str">
        <f aca="false">ExportRaw!$D220</f>
        <v/>
      </c>
      <c r="F220" s="133" t="str">
        <f aca="false">ExportRaw!$H220</f>
        <v/>
      </c>
      <c r="G220" s="135" t="str">
        <f aca="false">ExportRaw!$I220</f>
        <v/>
      </c>
      <c r="H220" s="133" t="str">
        <f aca="false">ExportRaw!$A220</f>
        <v/>
      </c>
      <c r="I220" s="133" t="str">
        <f aca="false">ExportRaw!$B220</f>
        <v/>
      </c>
    </row>
    <row r="221" customFormat="false" ht="15.75" hidden="false" customHeight="false" outlineLevel="0" collapsed="false">
      <c r="A221" s="133" t="n">
        <f aca="false">ExportRaw!$F221</f>
        <v>0</v>
      </c>
      <c r="B221" s="133" t="n">
        <f aca="false">ExportRaw!$C221</f>
        <v>0</v>
      </c>
      <c r="C221" s="133" t="n">
        <f aca="false">ExportRaw!$G221</f>
        <v>0</v>
      </c>
      <c r="D221" s="133" t="str">
        <f aca="false">ExportRaw!$E221</f>
        <v/>
      </c>
      <c r="E221" s="134" t="str">
        <f aca="false">ExportRaw!$D221</f>
        <v/>
      </c>
      <c r="F221" s="133" t="str">
        <f aca="false">ExportRaw!$H221</f>
        <v/>
      </c>
      <c r="G221" s="135" t="str">
        <f aca="false">ExportRaw!$I221</f>
        <v/>
      </c>
      <c r="H221" s="133" t="str">
        <f aca="false">ExportRaw!$A221</f>
        <v/>
      </c>
      <c r="I221" s="133" t="str">
        <f aca="false">ExportRaw!$B221</f>
        <v/>
      </c>
    </row>
    <row r="222" customFormat="false" ht="15.75" hidden="false" customHeight="false" outlineLevel="0" collapsed="false">
      <c r="A222" s="133" t="n">
        <f aca="false">ExportRaw!$F222</f>
        <v>0</v>
      </c>
      <c r="B222" s="133" t="n">
        <f aca="false">ExportRaw!$C222</f>
        <v>0</v>
      </c>
      <c r="C222" s="133" t="n">
        <f aca="false">ExportRaw!$G222</f>
        <v>0</v>
      </c>
      <c r="D222" s="133" t="str">
        <f aca="false">ExportRaw!$E222</f>
        <v/>
      </c>
      <c r="E222" s="134" t="str">
        <f aca="false">ExportRaw!$D222</f>
        <v/>
      </c>
      <c r="F222" s="133" t="str">
        <f aca="false">ExportRaw!$H222</f>
        <v/>
      </c>
      <c r="G222" s="135" t="str">
        <f aca="false">ExportRaw!$I222</f>
        <v/>
      </c>
      <c r="H222" s="133" t="str">
        <f aca="false">ExportRaw!$A222</f>
        <v/>
      </c>
      <c r="I222" s="133" t="str">
        <f aca="false">ExportRaw!$B222</f>
        <v/>
      </c>
    </row>
    <row r="223" customFormat="false" ht="15.75" hidden="false" customHeight="false" outlineLevel="0" collapsed="false">
      <c r="A223" s="133" t="n">
        <f aca="false">ExportRaw!$F223</f>
        <v>0</v>
      </c>
      <c r="B223" s="133" t="n">
        <f aca="false">ExportRaw!$C223</f>
        <v>0</v>
      </c>
      <c r="C223" s="133" t="n">
        <f aca="false">ExportRaw!$G223</f>
        <v>0</v>
      </c>
      <c r="D223" s="133" t="str">
        <f aca="false">ExportRaw!$E223</f>
        <v/>
      </c>
      <c r="E223" s="134" t="str">
        <f aca="false">ExportRaw!$D223</f>
        <v/>
      </c>
      <c r="F223" s="133" t="str">
        <f aca="false">ExportRaw!$H223</f>
        <v/>
      </c>
      <c r="G223" s="135" t="str">
        <f aca="false">ExportRaw!$I223</f>
        <v/>
      </c>
      <c r="H223" s="133" t="str">
        <f aca="false">ExportRaw!$A223</f>
        <v/>
      </c>
      <c r="I223" s="133" t="str">
        <f aca="false">ExportRaw!$B223</f>
        <v/>
      </c>
    </row>
    <row r="224" customFormat="false" ht="15.75" hidden="false" customHeight="false" outlineLevel="0" collapsed="false">
      <c r="A224" s="133" t="n">
        <f aca="false">ExportRaw!$F224</f>
        <v>0</v>
      </c>
      <c r="B224" s="133" t="n">
        <f aca="false">ExportRaw!$C224</f>
        <v>0</v>
      </c>
      <c r="C224" s="133" t="n">
        <f aca="false">ExportRaw!$G224</f>
        <v>0</v>
      </c>
      <c r="D224" s="133" t="str">
        <f aca="false">ExportRaw!$E224</f>
        <v/>
      </c>
      <c r="E224" s="134" t="str">
        <f aca="false">ExportRaw!$D224</f>
        <v/>
      </c>
      <c r="F224" s="133" t="str">
        <f aca="false">ExportRaw!$H224</f>
        <v/>
      </c>
      <c r="G224" s="135" t="str">
        <f aca="false">ExportRaw!$I224</f>
        <v/>
      </c>
      <c r="H224" s="133" t="str">
        <f aca="false">ExportRaw!$A224</f>
        <v/>
      </c>
      <c r="I224" s="133" t="str">
        <f aca="false">ExportRaw!$B224</f>
        <v/>
      </c>
    </row>
    <row r="225" customFormat="false" ht="15.75" hidden="false" customHeight="false" outlineLevel="0" collapsed="false">
      <c r="A225" s="133" t="n">
        <f aca="false">ExportRaw!$F225</f>
        <v>0</v>
      </c>
      <c r="B225" s="133" t="n">
        <f aca="false">ExportRaw!$C225</f>
        <v>0</v>
      </c>
      <c r="C225" s="133" t="n">
        <f aca="false">ExportRaw!$G225</f>
        <v>0</v>
      </c>
      <c r="D225" s="133" t="str">
        <f aca="false">ExportRaw!$E225</f>
        <v/>
      </c>
      <c r="E225" s="134" t="str">
        <f aca="false">ExportRaw!$D225</f>
        <v/>
      </c>
      <c r="F225" s="133" t="str">
        <f aca="false">ExportRaw!$H225</f>
        <v/>
      </c>
      <c r="G225" s="135" t="str">
        <f aca="false">ExportRaw!$I225</f>
        <v/>
      </c>
      <c r="H225" s="133" t="str">
        <f aca="false">ExportRaw!$A225</f>
        <v/>
      </c>
      <c r="I225" s="133" t="str">
        <f aca="false">ExportRaw!$B225</f>
        <v/>
      </c>
    </row>
    <row r="226" customFormat="false" ht="15.75" hidden="false" customHeight="false" outlineLevel="0" collapsed="false">
      <c r="A226" s="133" t="n">
        <f aca="false">ExportRaw!$F226</f>
        <v>0</v>
      </c>
      <c r="B226" s="133" t="n">
        <f aca="false">ExportRaw!$C226</f>
        <v>0</v>
      </c>
      <c r="C226" s="133" t="n">
        <f aca="false">ExportRaw!$G226</f>
        <v>0</v>
      </c>
      <c r="D226" s="133" t="str">
        <f aca="false">ExportRaw!$E226</f>
        <v/>
      </c>
      <c r="E226" s="134" t="str">
        <f aca="false">ExportRaw!$D226</f>
        <v/>
      </c>
      <c r="F226" s="133" t="str">
        <f aca="false">ExportRaw!$H226</f>
        <v/>
      </c>
      <c r="G226" s="135" t="str">
        <f aca="false">ExportRaw!$I226</f>
        <v/>
      </c>
      <c r="H226" s="133" t="str">
        <f aca="false">ExportRaw!$A226</f>
        <v/>
      </c>
      <c r="I226" s="133" t="str">
        <f aca="false">ExportRaw!$B226</f>
        <v/>
      </c>
    </row>
    <row r="227" customFormat="false" ht="15.75" hidden="false" customHeight="false" outlineLevel="0" collapsed="false">
      <c r="A227" s="133" t="n">
        <f aca="false">ExportRaw!$F227</f>
        <v>0</v>
      </c>
      <c r="B227" s="133" t="n">
        <f aca="false">ExportRaw!$C227</f>
        <v>0</v>
      </c>
      <c r="C227" s="133" t="n">
        <f aca="false">ExportRaw!$G227</f>
        <v>0</v>
      </c>
      <c r="D227" s="133" t="str">
        <f aca="false">ExportRaw!$E227</f>
        <v/>
      </c>
      <c r="E227" s="134" t="str">
        <f aca="false">ExportRaw!$D227</f>
        <v/>
      </c>
      <c r="F227" s="133" t="str">
        <f aca="false">ExportRaw!$H227</f>
        <v/>
      </c>
      <c r="G227" s="135" t="str">
        <f aca="false">ExportRaw!$I227</f>
        <v/>
      </c>
      <c r="H227" s="133" t="str">
        <f aca="false">ExportRaw!$A227</f>
        <v/>
      </c>
      <c r="I227" s="133" t="str">
        <f aca="false">ExportRaw!$B227</f>
        <v/>
      </c>
    </row>
    <row r="228" customFormat="false" ht="15.75" hidden="false" customHeight="false" outlineLevel="0" collapsed="false">
      <c r="A228" s="133" t="n">
        <f aca="false">ExportRaw!$F228</f>
        <v>0</v>
      </c>
      <c r="B228" s="133" t="n">
        <f aca="false">ExportRaw!$C228</f>
        <v>0</v>
      </c>
      <c r="C228" s="133" t="n">
        <f aca="false">ExportRaw!$G228</f>
        <v>0</v>
      </c>
      <c r="D228" s="133" t="str">
        <f aca="false">ExportRaw!$E228</f>
        <v/>
      </c>
      <c r="E228" s="134" t="str">
        <f aca="false">ExportRaw!$D228</f>
        <v/>
      </c>
      <c r="F228" s="133" t="str">
        <f aca="false">ExportRaw!$H228</f>
        <v/>
      </c>
      <c r="G228" s="135" t="str">
        <f aca="false">ExportRaw!$I228</f>
        <v/>
      </c>
      <c r="H228" s="133" t="str">
        <f aca="false">ExportRaw!$A228</f>
        <v/>
      </c>
      <c r="I228" s="133" t="str">
        <f aca="false">ExportRaw!$B228</f>
        <v/>
      </c>
    </row>
    <row r="229" customFormat="false" ht="15.75" hidden="false" customHeight="false" outlineLevel="0" collapsed="false">
      <c r="A229" s="133" t="n">
        <f aca="false">ExportRaw!$F229</f>
        <v>0</v>
      </c>
      <c r="B229" s="133" t="n">
        <f aca="false">ExportRaw!$C229</f>
        <v>0</v>
      </c>
      <c r="C229" s="133" t="n">
        <f aca="false">ExportRaw!$G229</f>
        <v>0</v>
      </c>
      <c r="D229" s="133" t="str">
        <f aca="false">ExportRaw!$E229</f>
        <v/>
      </c>
      <c r="E229" s="134" t="str">
        <f aca="false">ExportRaw!$D229</f>
        <v/>
      </c>
      <c r="F229" s="133" t="str">
        <f aca="false">ExportRaw!$H229</f>
        <v/>
      </c>
      <c r="G229" s="135" t="str">
        <f aca="false">ExportRaw!$I229</f>
        <v/>
      </c>
      <c r="H229" s="133" t="str">
        <f aca="false">ExportRaw!$A229</f>
        <v/>
      </c>
      <c r="I229" s="133" t="str">
        <f aca="false">ExportRaw!$B229</f>
        <v/>
      </c>
    </row>
    <row r="230" customFormat="false" ht="15.75" hidden="false" customHeight="false" outlineLevel="0" collapsed="false">
      <c r="A230" s="133" t="n">
        <f aca="false">ExportRaw!$F230</f>
        <v>0</v>
      </c>
      <c r="B230" s="133" t="n">
        <f aca="false">ExportRaw!$C230</f>
        <v>0</v>
      </c>
      <c r="C230" s="133" t="n">
        <f aca="false">ExportRaw!$G230</f>
        <v>0</v>
      </c>
      <c r="D230" s="133" t="str">
        <f aca="false">ExportRaw!$E230</f>
        <v/>
      </c>
      <c r="E230" s="134" t="str">
        <f aca="false">ExportRaw!$D230</f>
        <v/>
      </c>
      <c r="F230" s="133" t="str">
        <f aca="false">ExportRaw!$H230</f>
        <v/>
      </c>
      <c r="G230" s="135" t="str">
        <f aca="false">ExportRaw!$I230</f>
        <v/>
      </c>
      <c r="H230" s="133" t="str">
        <f aca="false">ExportRaw!$A230</f>
        <v/>
      </c>
      <c r="I230" s="133" t="str">
        <f aca="false">ExportRaw!$B230</f>
        <v/>
      </c>
    </row>
    <row r="231" customFormat="false" ht="15.75" hidden="false" customHeight="false" outlineLevel="0" collapsed="false">
      <c r="A231" s="133" t="n">
        <f aca="false">ExportRaw!$F231</f>
        <v>0</v>
      </c>
      <c r="B231" s="133" t="n">
        <f aca="false">ExportRaw!$C231</f>
        <v>0</v>
      </c>
      <c r="C231" s="133" t="n">
        <f aca="false">ExportRaw!$G231</f>
        <v>0</v>
      </c>
      <c r="D231" s="133" t="str">
        <f aca="false">ExportRaw!$E231</f>
        <v/>
      </c>
      <c r="E231" s="134" t="str">
        <f aca="false">ExportRaw!$D231</f>
        <v/>
      </c>
      <c r="F231" s="133" t="str">
        <f aca="false">ExportRaw!$H231</f>
        <v/>
      </c>
      <c r="G231" s="135" t="str">
        <f aca="false">ExportRaw!$I231</f>
        <v/>
      </c>
      <c r="H231" s="133" t="str">
        <f aca="false">ExportRaw!$A231</f>
        <v/>
      </c>
      <c r="I231" s="133" t="str">
        <f aca="false">ExportRaw!$B231</f>
        <v/>
      </c>
    </row>
    <row r="232" customFormat="false" ht="15.75" hidden="false" customHeight="false" outlineLevel="0" collapsed="false">
      <c r="A232" s="133" t="n">
        <f aca="false">ExportRaw!$F232</f>
        <v>0</v>
      </c>
      <c r="B232" s="133" t="n">
        <f aca="false">ExportRaw!$C232</f>
        <v>0</v>
      </c>
      <c r="C232" s="133" t="n">
        <f aca="false">ExportRaw!$G232</f>
        <v>0</v>
      </c>
      <c r="D232" s="133" t="str">
        <f aca="false">ExportRaw!$E232</f>
        <v/>
      </c>
      <c r="E232" s="134" t="str">
        <f aca="false">ExportRaw!$D232</f>
        <v/>
      </c>
      <c r="F232" s="133" t="str">
        <f aca="false">ExportRaw!$H232</f>
        <v/>
      </c>
      <c r="G232" s="135" t="str">
        <f aca="false">ExportRaw!$I232</f>
        <v/>
      </c>
      <c r="H232" s="133" t="str">
        <f aca="false">ExportRaw!$A232</f>
        <v/>
      </c>
      <c r="I232" s="133" t="str">
        <f aca="false">ExportRaw!$B232</f>
        <v/>
      </c>
    </row>
    <row r="233" customFormat="false" ht="15.75" hidden="false" customHeight="false" outlineLevel="0" collapsed="false">
      <c r="A233" s="133" t="n">
        <f aca="false">ExportRaw!$F233</f>
        <v>0</v>
      </c>
      <c r="B233" s="133" t="n">
        <f aca="false">ExportRaw!$C233</f>
        <v>0</v>
      </c>
      <c r="C233" s="133" t="n">
        <f aca="false">ExportRaw!$G233</f>
        <v>0</v>
      </c>
      <c r="D233" s="133" t="str">
        <f aca="false">ExportRaw!$E233</f>
        <v/>
      </c>
      <c r="E233" s="134" t="str">
        <f aca="false">ExportRaw!$D233</f>
        <v/>
      </c>
      <c r="F233" s="133" t="str">
        <f aca="false">ExportRaw!$H233</f>
        <v/>
      </c>
      <c r="G233" s="135" t="str">
        <f aca="false">ExportRaw!$I233</f>
        <v/>
      </c>
      <c r="H233" s="133" t="str">
        <f aca="false">ExportRaw!$A233</f>
        <v/>
      </c>
      <c r="I233" s="133" t="str">
        <f aca="false">ExportRaw!$B233</f>
        <v/>
      </c>
    </row>
    <row r="234" customFormat="false" ht="15.75" hidden="false" customHeight="false" outlineLevel="0" collapsed="false">
      <c r="A234" s="133" t="n">
        <f aca="false">ExportRaw!$F234</f>
        <v>0</v>
      </c>
      <c r="B234" s="133" t="n">
        <f aca="false">ExportRaw!$C234</f>
        <v>0</v>
      </c>
      <c r="C234" s="133" t="n">
        <f aca="false">ExportRaw!$G234</f>
        <v>0</v>
      </c>
      <c r="D234" s="133" t="str">
        <f aca="false">ExportRaw!$E234</f>
        <v/>
      </c>
      <c r="E234" s="134" t="str">
        <f aca="false">ExportRaw!$D234</f>
        <v/>
      </c>
      <c r="F234" s="133" t="str">
        <f aca="false">ExportRaw!$H234</f>
        <v/>
      </c>
      <c r="G234" s="135" t="str">
        <f aca="false">ExportRaw!$I234</f>
        <v/>
      </c>
      <c r="H234" s="133" t="str">
        <f aca="false">ExportRaw!$A234</f>
        <v/>
      </c>
      <c r="I234" s="133" t="str">
        <f aca="false">ExportRaw!$B234</f>
        <v/>
      </c>
    </row>
    <row r="235" customFormat="false" ht="15.75" hidden="false" customHeight="false" outlineLevel="0" collapsed="false">
      <c r="A235" s="133" t="n">
        <f aca="false">ExportRaw!$F235</f>
        <v>0</v>
      </c>
      <c r="B235" s="133" t="n">
        <f aca="false">ExportRaw!$C235</f>
        <v>0</v>
      </c>
      <c r="C235" s="133" t="n">
        <f aca="false">ExportRaw!$G235</f>
        <v>0</v>
      </c>
      <c r="D235" s="133" t="str">
        <f aca="false">ExportRaw!$E235</f>
        <v/>
      </c>
      <c r="E235" s="134" t="str">
        <f aca="false">ExportRaw!$D235</f>
        <v/>
      </c>
      <c r="F235" s="133" t="str">
        <f aca="false">ExportRaw!$H235</f>
        <v/>
      </c>
      <c r="G235" s="135" t="str">
        <f aca="false">ExportRaw!$I235</f>
        <v/>
      </c>
      <c r="H235" s="133" t="str">
        <f aca="false">ExportRaw!$A235</f>
        <v/>
      </c>
      <c r="I235" s="133" t="str">
        <f aca="false">ExportRaw!$B235</f>
        <v/>
      </c>
    </row>
    <row r="236" customFormat="false" ht="15.75" hidden="false" customHeight="false" outlineLevel="0" collapsed="false">
      <c r="A236" s="133" t="n">
        <f aca="false">ExportRaw!$F236</f>
        <v>0</v>
      </c>
      <c r="B236" s="133" t="n">
        <f aca="false">ExportRaw!$C236</f>
        <v>0</v>
      </c>
      <c r="C236" s="133" t="n">
        <f aca="false">ExportRaw!$G236</f>
        <v>0</v>
      </c>
      <c r="D236" s="133" t="str">
        <f aca="false">ExportRaw!$E236</f>
        <v/>
      </c>
      <c r="E236" s="134" t="str">
        <f aca="false">ExportRaw!$D236</f>
        <v/>
      </c>
      <c r="F236" s="133" t="str">
        <f aca="false">ExportRaw!$H236</f>
        <v/>
      </c>
      <c r="G236" s="135" t="str">
        <f aca="false">ExportRaw!$I236</f>
        <v/>
      </c>
      <c r="H236" s="133" t="str">
        <f aca="false">ExportRaw!$A236</f>
        <v/>
      </c>
      <c r="I236" s="133" t="str">
        <f aca="false">ExportRaw!$B236</f>
        <v/>
      </c>
    </row>
    <row r="237" customFormat="false" ht="15.75" hidden="false" customHeight="false" outlineLevel="0" collapsed="false">
      <c r="A237" s="133" t="n">
        <f aca="false">ExportRaw!$F237</f>
        <v>0</v>
      </c>
      <c r="B237" s="133" t="n">
        <f aca="false">ExportRaw!$C237</f>
        <v>0</v>
      </c>
      <c r="C237" s="133" t="n">
        <f aca="false">ExportRaw!$G237</f>
        <v>0</v>
      </c>
      <c r="D237" s="133" t="str">
        <f aca="false">ExportRaw!$E237</f>
        <v/>
      </c>
      <c r="E237" s="134" t="str">
        <f aca="false">ExportRaw!$D237</f>
        <v/>
      </c>
      <c r="F237" s="133" t="str">
        <f aca="false">ExportRaw!$H237</f>
        <v/>
      </c>
      <c r="G237" s="135" t="str">
        <f aca="false">ExportRaw!$I237</f>
        <v/>
      </c>
      <c r="H237" s="133" t="str">
        <f aca="false">ExportRaw!$A237</f>
        <v/>
      </c>
      <c r="I237" s="133" t="str">
        <f aca="false">ExportRaw!$B237</f>
        <v/>
      </c>
    </row>
    <row r="238" customFormat="false" ht="15.75" hidden="false" customHeight="false" outlineLevel="0" collapsed="false">
      <c r="A238" s="133" t="n">
        <f aca="false">ExportRaw!$F238</f>
        <v>0</v>
      </c>
      <c r="B238" s="133" t="n">
        <f aca="false">ExportRaw!$C238</f>
        <v>0</v>
      </c>
      <c r="C238" s="133" t="n">
        <f aca="false">ExportRaw!$G238</f>
        <v>0</v>
      </c>
      <c r="D238" s="133" t="str">
        <f aca="false">ExportRaw!$E238</f>
        <v/>
      </c>
      <c r="E238" s="134" t="str">
        <f aca="false">ExportRaw!$D238</f>
        <v/>
      </c>
      <c r="F238" s="133" t="str">
        <f aca="false">ExportRaw!$H238</f>
        <v/>
      </c>
      <c r="G238" s="135" t="str">
        <f aca="false">ExportRaw!$I238</f>
        <v/>
      </c>
      <c r="H238" s="133" t="str">
        <f aca="false">ExportRaw!$A238</f>
        <v/>
      </c>
      <c r="I238" s="133" t="str">
        <f aca="false">ExportRaw!$B238</f>
        <v/>
      </c>
    </row>
    <row r="239" customFormat="false" ht="15.75" hidden="false" customHeight="false" outlineLevel="0" collapsed="false">
      <c r="A239" s="133" t="n">
        <f aca="false">ExportRaw!$F239</f>
        <v>0</v>
      </c>
      <c r="B239" s="133" t="n">
        <f aca="false">ExportRaw!$C239</f>
        <v>0</v>
      </c>
      <c r="C239" s="133" t="n">
        <f aca="false">ExportRaw!$G239</f>
        <v>0</v>
      </c>
      <c r="D239" s="133" t="str">
        <f aca="false">ExportRaw!$E239</f>
        <v/>
      </c>
      <c r="E239" s="134" t="str">
        <f aca="false">ExportRaw!$D239</f>
        <v/>
      </c>
      <c r="F239" s="133" t="str">
        <f aca="false">ExportRaw!$H239</f>
        <v/>
      </c>
      <c r="G239" s="135" t="str">
        <f aca="false">ExportRaw!$I239</f>
        <v/>
      </c>
      <c r="H239" s="133" t="str">
        <f aca="false">ExportRaw!$A239</f>
        <v/>
      </c>
      <c r="I239" s="133" t="str">
        <f aca="false">ExportRaw!$B239</f>
        <v/>
      </c>
    </row>
    <row r="240" customFormat="false" ht="15.75" hidden="false" customHeight="false" outlineLevel="0" collapsed="false">
      <c r="A240" s="133" t="n">
        <f aca="false">ExportRaw!$F240</f>
        <v>0</v>
      </c>
      <c r="B240" s="133" t="n">
        <f aca="false">ExportRaw!$C240</f>
        <v>0</v>
      </c>
      <c r="C240" s="133" t="n">
        <f aca="false">ExportRaw!$G240</f>
        <v>0</v>
      </c>
      <c r="D240" s="133" t="str">
        <f aca="false">ExportRaw!$E240</f>
        <v/>
      </c>
      <c r="E240" s="134" t="str">
        <f aca="false">ExportRaw!$D240</f>
        <v/>
      </c>
      <c r="F240" s="133" t="str">
        <f aca="false">ExportRaw!$H240</f>
        <v/>
      </c>
      <c r="G240" s="135" t="str">
        <f aca="false">ExportRaw!$I240</f>
        <v/>
      </c>
      <c r="H240" s="133" t="str">
        <f aca="false">ExportRaw!$A240</f>
        <v/>
      </c>
      <c r="I240" s="133" t="str">
        <f aca="false">ExportRaw!$B240</f>
        <v/>
      </c>
    </row>
    <row r="241" customFormat="false" ht="15.75" hidden="false" customHeight="false" outlineLevel="0" collapsed="false">
      <c r="A241" s="133" t="n">
        <f aca="false">ExportRaw!$F241</f>
        <v>0</v>
      </c>
      <c r="B241" s="133" t="n">
        <f aca="false">ExportRaw!$C241</f>
        <v>0</v>
      </c>
      <c r="C241" s="133" t="n">
        <f aca="false">ExportRaw!$G241</f>
        <v>0</v>
      </c>
      <c r="D241" s="133" t="str">
        <f aca="false">ExportRaw!$E241</f>
        <v/>
      </c>
      <c r="E241" s="134" t="str">
        <f aca="false">ExportRaw!$D241</f>
        <v/>
      </c>
      <c r="F241" s="133" t="str">
        <f aca="false">ExportRaw!$H241</f>
        <v/>
      </c>
      <c r="G241" s="135" t="str">
        <f aca="false">ExportRaw!$I241</f>
        <v/>
      </c>
      <c r="H241" s="133" t="str">
        <f aca="false">ExportRaw!$A241</f>
        <v/>
      </c>
      <c r="I241" s="133" t="str">
        <f aca="false">ExportRaw!$B241</f>
        <v/>
      </c>
    </row>
    <row r="242" customFormat="false" ht="15.75" hidden="false" customHeight="false" outlineLevel="0" collapsed="false">
      <c r="A242" s="133" t="n">
        <f aca="false">ExportRaw!$F242</f>
        <v>0</v>
      </c>
      <c r="B242" s="133" t="n">
        <f aca="false">ExportRaw!$C242</f>
        <v>0</v>
      </c>
      <c r="C242" s="133" t="n">
        <f aca="false">ExportRaw!$G242</f>
        <v>0</v>
      </c>
      <c r="D242" s="133" t="str">
        <f aca="false">ExportRaw!$E242</f>
        <v/>
      </c>
      <c r="E242" s="134" t="str">
        <f aca="false">ExportRaw!$D242</f>
        <v/>
      </c>
      <c r="F242" s="133" t="str">
        <f aca="false">ExportRaw!$H242</f>
        <v/>
      </c>
      <c r="G242" s="135" t="str">
        <f aca="false">ExportRaw!$I242</f>
        <v/>
      </c>
      <c r="H242" s="133" t="str">
        <f aca="false">ExportRaw!$A242</f>
        <v/>
      </c>
      <c r="I242" s="133" t="str">
        <f aca="false">ExportRaw!$B242</f>
        <v/>
      </c>
    </row>
    <row r="243" customFormat="false" ht="15.75" hidden="false" customHeight="false" outlineLevel="0" collapsed="false">
      <c r="A243" s="133" t="n">
        <f aca="false">ExportRaw!$F243</f>
        <v>0</v>
      </c>
      <c r="B243" s="133" t="n">
        <f aca="false">ExportRaw!$C243</f>
        <v>0</v>
      </c>
      <c r="C243" s="133" t="n">
        <f aca="false">ExportRaw!$G243</f>
        <v>0</v>
      </c>
      <c r="D243" s="133" t="str">
        <f aca="false">ExportRaw!$E243</f>
        <v/>
      </c>
      <c r="E243" s="134" t="str">
        <f aca="false">ExportRaw!$D243</f>
        <v/>
      </c>
      <c r="F243" s="133" t="str">
        <f aca="false">ExportRaw!$H243</f>
        <v/>
      </c>
      <c r="G243" s="135" t="str">
        <f aca="false">ExportRaw!$I243</f>
        <v/>
      </c>
      <c r="H243" s="133" t="str">
        <f aca="false">ExportRaw!$A243</f>
        <v/>
      </c>
      <c r="I243" s="133" t="str">
        <f aca="false">ExportRaw!$B243</f>
        <v/>
      </c>
    </row>
    <row r="244" customFormat="false" ht="15.75" hidden="false" customHeight="false" outlineLevel="0" collapsed="false">
      <c r="A244" s="133" t="n">
        <f aca="false">ExportRaw!$F244</f>
        <v>0</v>
      </c>
      <c r="B244" s="133" t="n">
        <f aca="false">ExportRaw!$C244</f>
        <v>0</v>
      </c>
      <c r="C244" s="133" t="n">
        <f aca="false">ExportRaw!$G244</f>
        <v>0</v>
      </c>
      <c r="D244" s="133" t="str">
        <f aca="false">ExportRaw!$E244</f>
        <v/>
      </c>
      <c r="E244" s="134" t="str">
        <f aca="false">ExportRaw!$D244</f>
        <v/>
      </c>
      <c r="F244" s="133" t="str">
        <f aca="false">ExportRaw!$H244</f>
        <v/>
      </c>
      <c r="G244" s="135" t="str">
        <f aca="false">ExportRaw!$I244</f>
        <v/>
      </c>
      <c r="H244" s="133" t="str">
        <f aca="false">ExportRaw!$A244</f>
        <v/>
      </c>
      <c r="I244" s="133" t="str">
        <f aca="false">ExportRaw!$B244</f>
        <v/>
      </c>
    </row>
    <row r="245" customFormat="false" ht="15.75" hidden="false" customHeight="false" outlineLevel="0" collapsed="false">
      <c r="A245" s="133" t="n">
        <f aca="false">ExportRaw!$F245</f>
        <v>0</v>
      </c>
      <c r="B245" s="133" t="n">
        <f aca="false">ExportRaw!$C245</f>
        <v>0</v>
      </c>
      <c r="C245" s="133" t="n">
        <f aca="false">ExportRaw!$G245</f>
        <v>0</v>
      </c>
      <c r="D245" s="133" t="str">
        <f aca="false">ExportRaw!$E245</f>
        <v/>
      </c>
      <c r="E245" s="134" t="str">
        <f aca="false">ExportRaw!$D245</f>
        <v/>
      </c>
      <c r="F245" s="133" t="str">
        <f aca="false">ExportRaw!$H245</f>
        <v/>
      </c>
      <c r="G245" s="135" t="str">
        <f aca="false">ExportRaw!$I245</f>
        <v/>
      </c>
      <c r="H245" s="133" t="str">
        <f aca="false">ExportRaw!$A245</f>
        <v/>
      </c>
      <c r="I245" s="133" t="str">
        <f aca="false">ExportRaw!$B245</f>
        <v/>
      </c>
    </row>
    <row r="246" customFormat="false" ht="15.75" hidden="false" customHeight="false" outlineLevel="0" collapsed="false">
      <c r="A246" s="133" t="n">
        <f aca="false">ExportRaw!$F246</f>
        <v>0</v>
      </c>
      <c r="B246" s="133" t="n">
        <f aca="false">ExportRaw!$C246</f>
        <v>0</v>
      </c>
      <c r="C246" s="133" t="n">
        <f aca="false">ExportRaw!$G246</f>
        <v>0</v>
      </c>
      <c r="D246" s="133" t="str">
        <f aca="false">ExportRaw!$E246</f>
        <v/>
      </c>
      <c r="E246" s="134" t="str">
        <f aca="false">ExportRaw!$D246</f>
        <v/>
      </c>
      <c r="F246" s="133" t="str">
        <f aca="false">ExportRaw!$H246</f>
        <v/>
      </c>
      <c r="G246" s="135" t="str">
        <f aca="false">ExportRaw!$I246</f>
        <v/>
      </c>
      <c r="H246" s="133" t="str">
        <f aca="false">ExportRaw!$A246</f>
        <v/>
      </c>
      <c r="I246" s="133" t="str">
        <f aca="false">ExportRaw!$B246</f>
        <v/>
      </c>
    </row>
    <row r="247" customFormat="false" ht="15.75" hidden="false" customHeight="false" outlineLevel="0" collapsed="false">
      <c r="A247" s="133" t="n">
        <f aca="false">ExportRaw!$F247</f>
        <v>0</v>
      </c>
      <c r="B247" s="133" t="n">
        <f aca="false">ExportRaw!$C247</f>
        <v>0</v>
      </c>
      <c r="C247" s="133" t="n">
        <f aca="false">ExportRaw!$G247</f>
        <v>0</v>
      </c>
      <c r="D247" s="133" t="str">
        <f aca="false">ExportRaw!$E247</f>
        <v/>
      </c>
      <c r="E247" s="134" t="str">
        <f aca="false">ExportRaw!$D247</f>
        <v/>
      </c>
      <c r="F247" s="133" t="str">
        <f aca="false">ExportRaw!$H247</f>
        <v/>
      </c>
      <c r="G247" s="135" t="str">
        <f aca="false">ExportRaw!$I247</f>
        <v/>
      </c>
      <c r="H247" s="133" t="str">
        <f aca="false">ExportRaw!$A247</f>
        <v/>
      </c>
      <c r="I247" s="133" t="str">
        <f aca="false">ExportRaw!$B247</f>
        <v/>
      </c>
    </row>
    <row r="248" customFormat="false" ht="15.75" hidden="false" customHeight="false" outlineLevel="0" collapsed="false">
      <c r="A248" s="133" t="n">
        <f aca="false">ExportRaw!$F248</f>
        <v>0</v>
      </c>
      <c r="B248" s="133" t="n">
        <f aca="false">ExportRaw!$C248</f>
        <v>0</v>
      </c>
      <c r="C248" s="133" t="n">
        <f aca="false">ExportRaw!$G248</f>
        <v>0</v>
      </c>
      <c r="D248" s="133" t="str">
        <f aca="false">ExportRaw!$E248</f>
        <v/>
      </c>
      <c r="E248" s="134" t="str">
        <f aca="false">ExportRaw!$D248</f>
        <v/>
      </c>
      <c r="F248" s="133" t="str">
        <f aca="false">ExportRaw!$H248</f>
        <v/>
      </c>
      <c r="G248" s="135" t="str">
        <f aca="false">ExportRaw!$I248</f>
        <v/>
      </c>
      <c r="H248" s="133" t="str">
        <f aca="false">ExportRaw!$A248</f>
        <v/>
      </c>
      <c r="I248" s="133" t="str">
        <f aca="false">ExportRaw!$B248</f>
        <v/>
      </c>
    </row>
    <row r="249" customFormat="false" ht="15.75" hidden="false" customHeight="false" outlineLevel="0" collapsed="false">
      <c r="A249" s="133" t="n">
        <f aca="false">ExportRaw!$F249</f>
        <v>0</v>
      </c>
      <c r="B249" s="133" t="n">
        <f aca="false">ExportRaw!$C249</f>
        <v>0</v>
      </c>
      <c r="C249" s="133" t="n">
        <f aca="false">ExportRaw!$G249</f>
        <v>0</v>
      </c>
      <c r="D249" s="133" t="str">
        <f aca="false">ExportRaw!$E249</f>
        <v/>
      </c>
      <c r="E249" s="134" t="str">
        <f aca="false">ExportRaw!$D249</f>
        <v/>
      </c>
      <c r="F249" s="133" t="str">
        <f aca="false">ExportRaw!$H249</f>
        <v/>
      </c>
      <c r="G249" s="135" t="str">
        <f aca="false">ExportRaw!$I249</f>
        <v/>
      </c>
      <c r="H249" s="133" t="str">
        <f aca="false">ExportRaw!$A249</f>
        <v/>
      </c>
      <c r="I249" s="133" t="str">
        <f aca="false">ExportRaw!$B249</f>
        <v/>
      </c>
    </row>
    <row r="250" customFormat="false" ht="15.75" hidden="false" customHeight="false" outlineLevel="0" collapsed="false">
      <c r="A250" s="133" t="n">
        <f aca="false">ExportRaw!$F250</f>
        <v>0</v>
      </c>
      <c r="B250" s="133" t="n">
        <f aca="false">ExportRaw!$C250</f>
        <v>0</v>
      </c>
      <c r="C250" s="133" t="n">
        <f aca="false">ExportRaw!$G250</f>
        <v>0</v>
      </c>
      <c r="D250" s="133" t="str">
        <f aca="false">ExportRaw!$E250</f>
        <v/>
      </c>
      <c r="E250" s="134" t="str">
        <f aca="false">ExportRaw!$D250</f>
        <v/>
      </c>
      <c r="F250" s="133" t="str">
        <f aca="false">ExportRaw!$H250</f>
        <v/>
      </c>
      <c r="G250" s="135" t="str">
        <f aca="false">ExportRaw!$I250</f>
        <v/>
      </c>
      <c r="H250" s="133" t="str">
        <f aca="false">ExportRaw!$A250</f>
        <v/>
      </c>
      <c r="I250" s="133" t="str">
        <f aca="false">ExportRaw!$B250</f>
        <v/>
      </c>
    </row>
    <row r="251" customFormat="false" ht="15.75" hidden="false" customHeight="false" outlineLevel="0" collapsed="false">
      <c r="A251" s="133" t="n">
        <f aca="false">ExportRaw!$F251</f>
        <v>0</v>
      </c>
      <c r="B251" s="133" t="n">
        <f aca="false">ExportRaw!$C251</f>
        <v>0</v>
      </c>
      <c r="C251" s="133" t="n">
        <f aca="false">ExportRaw!$G251</f>
        <v>0</v>
      </c>
      <c r="D251" s="133" t="str">
        <f aca="false">ExportRaw!$E251</f>
        <v/>
      </c>
      <c r="E251" s="134" t="str">
        <f aca="false">ExportRaw!$D251</f>
        <v/>
      </c>
      <c r="F251" s="133" t="str">
        <f aca="false">ExportRaw!$H251</f>
        <v/>
      </c>
      <c r="G251" s="135" t="str">
        <f aca="false">ExportRaw!$I251</f>
        <v/>
      </c>
      <c r="H251" s="133" t="str">
        <f aca="false">ExportRaw!$A251</f>
        <v/>
      </c>
      <c r="I251" s="133" t="str">
        <f aca="false">ExportRaw!$B251</f>
        <v/>
      </c>
    </row>
    <row r="252" customFormat="false" ht="15.75" hidden="false" customHeight="false" outlineLevel="0" collapsed="false">
      <c r="A252" s="133" t="n">
        <f aca="false">ExportRaw!$F252</f>
        <v>0</v>
      </c>
      <c r="B252" s="133" t="n">
        <f aca="false">ExportRaw!$C252</f>
        <v>0</v>
      </c>
      <c r="C252" s="133" t="n">
        <f aca="false">ExportRaw!$G252</f>
        <v>0</v>
      </c>
      <c r="D252" s="133" t="str">
        <f aca="false">ExportRaw!$E252</f>
        <v/>
      </c>
      <c r="E252" s="134" t="str">
        <f aca="false">ExportRaw!$D252</f>
        <v/>
      </c>
      <c r="F252" s="133" t="str">
        <f aca="false">ExportRaw!$H252</f>
        <v/>
      </c>
      <c r="G252" s="135" t="str">
        <f aca="false">ExportRaw!$I252</f>
        <v/>
      </c>
      <c r="H252" s="133" t="str">
        <f aca="false">ExportRaw!$A252</f>
        <v/>
      </c>
      <c r="I252" s="133" t="str">
        <f aca="false">ExportRaw!$B252</f>
        <v/>
      </c>
    </row>
    <row r="253" customFormat="false" ht="15.75" hidden="false" customHeight="false" outlineLevel="0" collapsed="false">
      <c r="A253" s="133" t="n">
        <f aca="false">ExportRaw!$F253</f>
        <v>0</v>
      </c>
      <c r="B253" s="133" t="n">
        <f aca="false">ExportRaw!$C253</f>
        <v>0</v>
      </c>
      <c r="C253" s="133" t="n">
        <f aca="false">ExportRaw!$G253</f>
        <v>0</v>
      </c>
      <c r="D253" s="133" t="str">
        <f aca="false">ExportRaw!$E253</f>
        <v/>
      </c>
      <c r="E253" s="134" t="str">
        <f aca="false">ExportRaw!$D253</f>
        <v/>
      </c>
      <c r="F253" s="133" t="str">
        <f aca="false">ExportRaw!$H253</f>
        <v/>
      </c>
      <c r="G253" s="135" t="str">
        <f aca="false">ExportRaw!$I253</f>
        <v/>
      </c>
      <c r="H253" s="133" t="str">
        <f aca="false">ExportRaw!$A253</f>
        <v/>
      </c>
      <c r="I253" s="133" t="str">
        <f aca="false">ExportRaw!$B253</f>
        <v/>
      </c>
    </row>
    <row r="254" customFormat="false" ht="15.75" hidden="false" customHeight="false" outlineLevel="0" collapsed="false">
      <c r="A254" s="133" t="n">
        <f aca="false">ExportRaw!$F254</f>
        <v>0</v>
      </c>
      <c r="B254" s="133" t="n">
        <f aca="false">ExportRaw!$C254</f>
        <v>0</v>
      </c>
      <c r="C254" s="133" t="n">
        <f aca="false">ExportRaw!$G254</f>
        <v>0</v>
      </c>
      <c r="D254" s="133" t="str">
        <f aca="false">ExportRaw!$E254</f>
        <v/>
      </c>
      <c r="E254" s="134" t="str">
        <f aca="false">ExportRaw!$D254</f>
        <v/>
      </c>
      <c r="F254" s="133" t="str">
        <f aca="false">ExportRaw!$H254</f>
        <v/>
      </c>
      <c r="G254" s="135" t="str">
        <f aca="false">ExportRaw!$I254</f>
        <v/>
      </c>
      <c r="H254" s="133" t="str">
        <f aca="false">ExportRaw!$A254</f>
        <v/>
      </c>
      <c r="I254" s="133" t="str">
        <f aca="false">ExportRaw!$B254</f>
        <v/>
      </c>
    </row>
    <row r="255" customFormat="false" ht="15.75" hidden="false" customHeight="false" outlineLevel="0" collapsed="false">
      <c r="A255" s="133" t="n">
        <f aca="false">ExportRaw!$F255</f>
        <v>0</v>
      </c>
      <c r="B255" s="133" t="n">
        <f aca="false">ExportRaw!$C255</f>
        <v>0</v>
      </c>
      <c r="C255" s="133" t="n">
        <f aca="false">ExportRaw!$G255</f>
        <v>0</v>
      </c>
      <c r="D255" s="133" t="str">
        <f aca="false">ExportRaw!$E255</f>
        <v/>
      </c>
      <c r="E255" s="134" t="str">
        <f aca="false">ExportRaw!$D255</f>
        <v/>
      </c>
      <c r="F255" s="133" t="str">
        <f aca="false">ExportRaw!$H255</f>
        <v/>
      </c>
      <c r="G255" s="135" t="str">
        <f aca="false">ExportRaw!$I255</f>
        <v/>
      </c>
      <c r="H255" s="133" t="str">
        <f aca="false">ExportRaw!$A255</f>
        <v/>
      </c>
      <c r="I255" s="133" t="str">
        <f aca="false">ExportRaw!$B255</f>
        <v/>
      </c>
    </row>
    <row r="256" customFormat="false" ht="15.75" hidden="false" customHeight="false" outlineLevel="0" collapsed="false">
      <c r="A256" s="133" t="n">
        <f aca="false">ExportRaw!$F256</f>
        <v>0</v>
      </c>
      <c r="B256" s="133" t="n">
        <f aca="false">ExportRaw!$C256</f>
        <v>0</v>
      </c>
      <c r="C256" s="133" t="n">
        <f aca="false">ExportRaw!$G256</f>
        <v>0</v>
      </c>
      <c r="D256" s="133" t="str">
        <f aca="false">ExportRaw!$E256</f>
        <v/>
      </c>
      <c r="E256" s="134" t="str">
        <f aca="false">ExportRaw!$D256</f>
        <v/>
      </c>
      <c r="F256" s="133" t="str">
        <f aca="false">ExportRaw!$H256</f>
        <v/>
      </c>
      <c r="G256" s="135" t="str">
        <f aca="false">ExportRaw!$I256</f>
        <v/>
      </c>
      <c r="H256" s="133" t="str">
        <f aca="false">ExportRaw!$A256</f>
        <v/>
      </c>
      <c r="I256" s="133" t="str">
        <f aca="false">ExportRaw!$B256</f>
        <v/>
      </c>
    </row>
    <row r="257" customFormat="false" ht="15.75" hidden="false" customHeight="false" outlineLevel="0" collapsed="false">
      <c r="A257" s="133" t="n">
        <f aca="false">ExportRaw!$F257</f>
        <v>0</v>
      </c>
      <c r="B257" s="133" t="n">
        <f aca="false">ExportRaw!$C257</f>
        <v>0</v>
      </c>
      <c r="C257" s="133" t="n">
        <f aca="false">ExportRaw!$G257</f>
        <v>0</v>
      </c>
      <c r="D257" s="133" t="str">
        <f aca="false">ExportRaw!$E257</f>
        <v/>
      </c>
      <c r="E257" s="134" t="str">
        <f aca="false">ExportRaw!$D257</f>
        <v/>
      </c>
      <c r="F257" s="133" t="str">
        <f aca="false">ExportRaw!$H257</f>
        <v/>
      </c>
      <c r="G257" s="135" t="str">
        <f aca="false">ExportRaw!$I257</f>
        <v/>
      </c>
      <c r="H257" s="133" t="str">
        <f aca="false">ExportRaw!$A257</f>
        <v/>
      </c>
      <c r="I257" s="133" t="str">
        <f aca="false">ExportRaw!$B257</f>
        <v/>
      </c>
    </row>
    <row r="258" customFormat="false" ht="15.75" hidden="false" customHeight="false" outlineLevel="0" collapsed="false">
      <c r="A258" s="133" t="n">
        <f aca="false">ExportRaw!$F258</f>
        <v>0</v>
      </c>
      <c r="B258" s="133" t="n">
        <f aca="false">ExportRaw!$C258</f>
        <v>0</v>
      </c>
      <c r="C258" s="133" t="n">
        <f aca="false">ExportRaw!$G258</f>
        <v>0</v>
      </c>
      <c r="D258" s="133" t="str">
        <f aca="false">ExportRaw!$E258</f>
        <v/>
      </c>
      <c r="E258" s="134" t="str">
        <f aca="false">ExportRaw!$D258</f>
        <v/>
      </c>
      <c r="F258" s="133" t="str">
        <f aca="false">ExportRaw!$H258</f>
        <v/>
      </c>
      <c r="G258" s="135" t="str">
        <f aca="false">ExportRaw!$I258</f>
        <v/>
      </c>
      <c r="H258" s="133" t="str">
        <f aca="false">ExportRaw!$A258</f>
        <v/>
      </c>
      <c r="I258" s="133" t="str">
        <f aca="false">ExportRaw!$B258</f>
        <v/>
      </c>
    </row>
    <row r="259" customFormat="false" ht="15.75" hidden="false" customHeight="false" outlineLevel="0" collapsed="false">
      <c r="A259" s="133" t="n">
        <f aca="false">ExportRaw!$F259</f>
        <v>0</v>
      </c>
      <c r="B259" s="133" t="n">
        <f aca="false">ExportRaw!$C259</f>
        <v>0</v>
      </c>
      <c r="C259" s="133" t="n">
        <f aca="false">ExportRaw!$G259</f>
        <v>0</v>
      </c>
      <c r="D259" s="133" t="str">
        <f aca="false">ExportRaw!$E259</f>
        <v/>
      </c>
      <c r="E259" s="134" t="str">
        <f aca="false">ExportRaw!$D259</f>
        <v/>
      </c>
      <c r="F259" s="133" t="str">
        <f aca="false">ExportRaw!$H259</f>
        <v/>
      </c>
      <c r="G259" s="135" t="str">
        <f aca="false">ExportRaw!$I259</f>
        <v/>
      </c>
      <c r="H259" s="133" t="str">
        <f aca="false">ExportRaw!$A259</f>
        <v/>
      </c>
      <c r="I259" s="133" t="str">
        <f aca="false">ExportRaw!$B259</f>
        <v/>
      </c>
    </row>
    <row r="260" customFormat="false" ht="15.75" hidden="false" customHeight="false" outlineLevel="0" collapsed="false">
      <c r="A260" s="133" t="n">
        <f aca="false">ExportRaw!$F260</f>
        <v>0</v>
      </c>
      <c r="B260" s="133" t="n">
        <f aca="false">ExportRaw!$C260</f>
        <v>0</v>
      </c>
      <c r="C260" s="133" t="n">
        <f aca="false">ExportRaw!$G260</f>
        <v>0</v>
      </c>
      <c r="D260" s="133" t="str">
        <f aca="false">ExportRaw!$E260</f>
        <v/>
      </c>
      <c r="E260" s="134" t="str">
        <f aca="false">ExportRaw!$D260</f>
        <v/>
      </c>
      <c r="F260" s="133" t="str">
        <f aca="false">ExportRaw!$H260</f>
        <v/>
      </c>
      <c r="G260" s="135" t="str">
        <f aca="false">ExportRaw!$I260</f>
        <v/>
      </c>
      <c r="H260" s="133" t="str">
        <f aca="false">ExportRaw!$A260</f>
        <v/>
      </c>
      <c r="I260" s="133" t="str">
        <f aca="false">ExportRaw!$B260</f>
        <v/>
      </c>
    </row>
    <row r="261" customFormat="false" ht="15.75" hidden="false" customHeight="false" outlineLevel="0" collapsed="false">
      <c r="A261" s="133" t="n">
        <f aca="false">ExportRaw!$F261</f>
        <v>0</v>
      </c>
      <c r="B261" s="133" t="n">
        <f aca="false">ExportRaw!$C261</f>
        <v>0</v>
      </c>
      <c r="C261" s="133" t="n">
        <f aca="false">ExportRaw!$G261</f>
        <v>0</v>
      </c>
      <c r="D261" s="133" t="str">
        <f aca="false">ExportRaw!$E261</f>
        <v/>
      </c>
      <c r="E261" s="134" t="str">
        <f aca="false">ExportRaw!$D261</f>
        <v/>
      </c>
      <c r="F261" s="133" t="str">
        <f aca="false">ExportRaw!$H261</f>
        <v/>
      </c>
      <c r="G261" s="135" t="str">
        <f aca="false">ExportRaw!$I261</f>
        <v/>
      </c>
      <c r="H261" s="133" t="str">
        <f aca="false">ExportRaw!$A261</f>
        <v/>
      </c>
      <c r="I261" s="133" t="str">
        <f aca="false">ExportRaw!$B261</f>
        <v/>
      </c>
    </row>
    <row r="262" customFormat="false" ht="15.75" hidden="false" customHeight="false" outlineLevel="0" collapsed="false">
      <c r="A262" s="133" t="n">
        <f aca="false">ExportRaw!$F262</f>
        <v>0</v>
      </c>
      <c r="B262" s="133" t="n">
        <f aca="false">ExportRaw!$C262</f>
        <v>0</v>
      </c>
      <c r="C262" s="133" t="n">
        <f aca="false">ExportRaw!$G262</f>
        <v>0</v>
      </c>
      <c r="D262" s="133" t="str">
        <f aca="false">ExportRaw!$E262</f>
        <v/>
      </c>
      <c r="E262" s="134" t="str">
        <f aca="false">ExportRaw!$D262</f>
        <v/>
      </c>
      <c r="F262" s="133" t="str">
        <f aca="false">ExportRaw!$H262</f>
        <v/>
      </c>
      <c r="G262" s="135" t="str">
        <f aca="false">ExportRaw!$I262</f>
        <v/>
      </c>
      <c r="H262" s="133" t="str">
        <f aca="false">ExportRaw!$A262</f>
        <v/>
      </c>
      <c r="I262" s="133" t="str">
        <f aca="false">ExportRaw!$B262</f>
        <v/>
      </c>
    </row>
    <row r="263" customFormat="false" ht="15.75" hidden="false" customHeight="false" outlineLevel="0" collapsed="false">
      <c r="A263" s="133" t="n">
        <f aca="false">ExportRaw!$F263</f>
        <v>0</v>
      </c>
      <c r="B263" s="133" t="n">
        <f aca="false">ExportRaw!$C263</f>
        <v>0</v>
      </c>
      <c r="C263" s="133" t="n">
        <f aca="false">ExportRaw!$G263</f>
        <v>0</v>
      </c>
      <c r="D263" s="133" t="str">
        <f aca="false">ExportRaw!$E263</f>
        <v/>
      </c>
      <c r="E263" s="134" t="str">
        <f aca="false">ExportRaw!$D263</f>
        <v/>
      </c>
      <c r="F263" s="133" t="str">
        <f aca="false">ExportRaw!$H263</f>
        <v/>
      </c>
      <c r="G263" s="135" t="str">
        <f aca="false">ExportRaw!$I263</f>
        <v/>
      </c>
      <c r="H263" s="133" t="str">
        <f aca="false">ExportRaw!$A263</f>
        <v/>
      </c>
      <c r="I263" s="133" t="str">
        <f aca="false">ExportRaw!$B263</f>
        <v/>
      </c>
    </row>
    <row r="264" customFormat="false" ht="15.75" hidden="false" customHeight="false" outlineLevel="0" collapsed="false">
      <c r="A264" s="133" t="n">
        <f aca="false">ExportRaw!$F264</f>
        <v>0</v>
      </c>
      <c r="B264" s="133" t="n">
        <f aca="false">ExportRaw!$C264</f>
        <v>0</v>
      </c>
      <c r="C264" s="133" t="n">
        <f aca="false">ExportRaw!$G264</f>
        <v>0</v>
      </c>
      <c r="D264" s="133" t="str">
        <f aca="false">ExportRaw!$E264</f>
        <v/>
      </c>
      <c r="E264" s="134" t="str">
        <f aca="false">ExportRaw!$D264</f>
        <v/>
      </c>
      <c r="F264" s="133" t="str">
        <f aca="false">ExportRaw!$H264</f>
        <v/>
      </c>
      <c r="G264" s="135" t="str">
        <f aca="false">ExportRaw!$I264</f>
        <v/>
      </c>
      <c r="H264" s="133" t="str">
        <f aca="false">ExportRaw!$A264</f>
        <v/>
      </c>
      <c r="I264" s="133" t="str">
        <f aca="false">ExportRaw!$B264</f>
        <v/>
      </c>
    </row>
    <row r="265" customFormat="false" ht="15.75" hidden="false" customHeight="false" outlineLevel="0" collapsed="false">
      <c r="A265" s="133" t="n">
        <f aca="false">ExportRaw!$F265</f>
        <v>0</v>
      </c>
      <c r="B265" s="133" t="n">
        <f aca="false">ExportRaw!$C265</f>
        <v>0</v>
      </c>
      <c r="C265" s="133" t="n">
        <f aca="false">ExportRaw!$G265</f>
        <v>0</v>
      </c>
      <c r="D265" s="133" t="str">
        <f aca="false">ExportRaw!$E265</f>
        <v/>
      </c>
      <c r="E265" s="134" t="str">
        <f aca="false">ExportRaw!$D265</f>
        <v/>
      </c>
      <c r="F265" s="133" t="str">
        <f aca="false">ExportRaw!$H265</f>
        <v/>
      </c>
      <c r="G265" s="135" t="str">
        <f aca="false">ExportRaw!$I265</f>
        <v/>
      </c>
      <c r="H265" s="133" t="str">
        <f aca="false">ExportRaw!$A265</f>
        <v/>
      </c>
      <c r="I265" s="133" t="str">
        <f aca="false">ExportRaw!$B265</f>
        <v/>
      </c>
    </row>
    <row r="266" customFormat="false" ht="15.75" hidden="false" customHeight="false" outlineLevel="0" collapsed="false">
      <c r="A266" s="133" t="n">
        <f aca="false">ExportRaw!$F266</f>
        <v>0</v>
      </c>
      <c r="B266" s="133" t="n">
        <f aca="false">ExportRaw!$C266</f>
        <v>0</v>
      </c>
      <c r="C266" s="133" t="n">
        <f aca="false">ExportRaw!$G266</f>
        <v>0</v>
      </c>
      <c r="D266" s="133" t="str">
        <f aca="false">ExportRaw!$E266</f>
        <v/>
      </c>
      <c r="E266" s="134" t="str">
        <f aca="false">ExportRaw!$D266</f>
        <v/>
      </c>
      <c r="F266" s="133" t="str">
        <f aca="false">ExportRaw!$H266</f>
        <v/>
      </c>
      <c r="G266" s="135" t="str">
        <f aca="false">ExportRaw!$I266</f>
        <v/>
      </c>
      <c r="H266" s="133" t="str">
        <f aca="false">ExportRaw!$A266</f>
        <v/>
      </c>
      <c r="I266" s="133" t="str">
        <f aca="false">ExportRaw!$B266</f>
        <v/>
      </c>
    </row>
    <row r="267" customFormat="false" ht="15.75" hidden="false" customHeight="false" outlineLevel="0" collapsed="false">
      <c r="A267" s="133" t="n">
        <f aca="false">ExportRaw!$F267</f>
        <v>0</v>
      </c>
      <c r="B267" s="133" t="n">
        <f aca="false">ExportRaw!$C267</f>
        <v>0</v>
      </c>
      <c r="C267" s="133" t="n">
        <f aca="false">ExportRaw!$G267</f>
        <v>0</v>
      </c>
      <c r="D267" s="133" t="str">
        <f aca="false">ExportRaw!$E267</f>
        <v/>
      </c>
      <c r="E267" s="134" t="str">
        <f aca="false">ExportRaw!$D267</f>
        <v/>
      </c>
      <c r="F267" s="133" t="str">
        <f aca="false">ExportRaw!$H267</f>
        <v/>
      </c>
      <c r="G267" s="135" t="str">
        <f aca="false">ExportRaw!$I267</f>
        <v/>
      </c>
      <c r="H267" s="133" t="str">
        <f aca="false">ExportRaw!$A267</f>
        <v/>
      </c>
      <c r="I267" s="133" t="str">
        <f aca="false">ExportRaw!$B267</f>
        <v/>
      </c>
    </row>
    <row r="268" customFormat="false" ht="15.75" hidden="false" customHeight="false" outlineLevel="0" collapsed="false">
      <c r="A268" s="133" t="n">
        <f aca="false">ExportRaw!$F268</f>
        <v>0</v>
      </c>
      <c r="B268" s="133" t="n">
        <f aca="false">ExportRaw!$C268</f>
        <v>0</v>
      </c>
      <c r="C268" s="133" t="n">
        <f aca="false">ExportRaw!$G268</f>
        <v>0</v>
      </c>
      <c r="D268" s="133" t="str">
        <f aca="false">ExportRaw!$E268</f>
        <v/>
      </c>
      <c r="E268" s="134" t="str">
        <f aca="false">ExportRaw!$D268</f>
        <v/>
      </c>
      <c r="F268" s="133" t="str">
        <f aca="false">ExportRaw!$H268</f>
        <v/>
      </c>
      <c r="G268" s="135" t="str">
        <f aca="false">ExportRaw!$I268</f>
        <v/>
      </c>
      <c r="H268" s="133" t="str">
        <f aca="false">ExportRaw!$A268</f>
        <v/>
      </c>
      <c r="I268" s="133" t="str">
        <f aca="false">ExportRaw!$B268</f>
        <v/>
      </c>
    </row>
    <row r="269" customFormat="false" ht="15.75" hidden="false" customHeight="false" outlineLevel="0" collapsed="false">
      <c r="A269" s="133" t="n">
        <f aca="false">ExportRaw!$F269</f>
        <v>0</v>
      </c>
      <c r="B269" s="133" t="n">
        <f aca="false">ExportRaw!$C269</f>
        <v>0</v>
      </c>
      <c r="C269" s="133" t="n">
        <f aca="false">ExportRaw!$G269</f>
        <v>0</v>
      </c>
      <c r="D269" s="133" t="str">
        <f aca="false">ExportRaw!$E269</f>
        <v/>
      </c>
      <c r="E269" s="134" t="str">
        <f aca="false">ExportRaw!$D269</f>
        <v/>
      </c>
      <c r="F269" s="133" t="str">
        <f aca="false">ExportRaw!$H269</f>
        <v/>
      </c>
      <c r="G269" s="135" t="str">
        <f aca="false">ExportRaw!$I269</f>
        <v/>
      </c>
      <c r="H269" s="133" t="str">
        <f aca="false">ExportRaw!$A269</f>
        <v/>
      </c>
      <c r="I269" s="133" t="str">
        <f aca="false">ExportRaw!$B269</f>
        <v/>
      </c>
    </row>
    <row r="270" customFormat="false" ht="15.75" hidden="false" customHeight="false" outlineLevel="0" collapsed="false">
      <c r="A270" s="133" t="n">
        <f aca="false">ExportRaw!$F270</f>
        <v>0</v>
      </c>
      <c r="B270" s="133" t="n">
        <f aca="false">ExportRaw!$C270</f>
        <v>0</v>
      </c>
      <c r="C270" s="133" t="n">
        <f aca="false">ExportRaw!$G270</f>
        <v>0</v>
      </c>
      <c r="D270" s="133" t="str">
        <f aca="false">ExportRaw!$E270</f>
        <v/>
      </c>
      <c r="E270" s="134" t="str">
        <f aca="false">ExportRaw!$D270</f>
        <v/>
      </c>
      <c r="F270" s="133" t="str">
        <f aca="false">ExportRaw!$H270</f>
        <v/>
      </c>
      <c r="G270" s="135" t="str">
        <f aca="false">ExportRaw!$I270</f>
        <v/>
      </c>
      <c r="H270" s="133" t="str">
        <f aca="false">ExportRaw!$A270</f>
        <v/>
      </c>
      <c r="I270" s="133" t="str">
        <f aca="false">ExportRaw!$B270</f>
        <v/>
      </c>
    </row>
    <row r="271" customFormat="false" ht="15.75" hidden="false" customHeight="false" outlineLevel="0" collapsed="false">
      <c r="A271" s="133" t="n">
        <f aca="false">ExportRaw!$F271</f>
        <v>0</v>
      </c>
      <c r="B271" s="133" t="n">
        <f aca="false">ExportRaw!$C271</f>
        <v>0</v>
      </c>
      <c r="C271" s="133" t="n">
        <f aca="false">ExportRaw!$G271</f>
        <v>0</v>
      </c>
      <c r="D271" s="133" t="str">
        <f aca="false">ExportRaw!$E271</f>
        <v/>
      </c>
      <c r="E271" s="134" t="str">
        <f aca="false">ExportRaw!$D271</f>
        <v/>
      </c>
      <c r="F271" s="133" t="str">
        <f aca="false">ExportRaw!$H271</f>
        <v/>
      </c>
      <c r="G271" s="135" t="str">
        <f aca="false">ExportRaw!$I271</f>
        <v/>
      </c>
      <c r="H271" s="133" t="str">
        <f aca="false">ExportRaw!$A271</f>
        <v/>
      </c>
      <c r="I271" s="133" t="str">
        <f aca="false">ExportRaw!$B271</f>
        <v/>
      </c>
    </row>
    <row r="272" customFormat="false" ht="15.75" hidden="false" customHeight="false" outlineLevel="0" collapsed="false">
      <c r="A272" s="133" t="n">
        <f aca="false">ExportRaw!$F272</f>
        <v>0</v>
      </c>
      <c r="B272" s="133" t="n">
        <f aca="false">ExportRaw!$C272</f>
        <v>0</v>
      </c>
      <c r="C272" s="133" t="n">
        <f aca="false">ExportRaw!$G272</f>
        <v>0</v>
      </c>
      <c r="D272" s="133" t="str">
        <f aca="false">ExportRaw!$E272</f>
        <v/>
      </c>
      <c r="E272" s="134" t="str">
        <f aca="false">ExportRaw!$D272</f>
        <v/>
      </c>
      <c r="F272" s="133" t="str">
        <f aca="false">ExportRaw!$H272</f>
        <v/>
      </c>
      <c r="G272" s="135" t="str">
        <f aca="false">ExportRaw!$I272</f>
        <v/>
      </c>
      <c r="H272" s="133" t="str">
        <f aca="false">ExportRaw!$A272</f>
        <v/>
      </c>
      <c r="I272" s="133" t="str">
        <f aca="false">ExportRaw!$B272</f>
        <v/>
      </c>
    </row>
    <row r="273" customFormat="false" ht="15.75" hidden="false" customHeight="false" outlineLevel="0" collapsed="false">
      <c r="A273" s="133" t="n">
        <f aca="false">ExportRaw!$F273</f>
        <v>0</v>
      </c>
      <c r="B273" s="133" t="n">
        <f aca="false">ExportRaw!$C273</f>
        <v>0</v>
      </c>
      <c r="C273" s="133" t="n">
        <f aca="false">ExportRaw!$G273</f>
        <v>0</v>
      </c>
      <c r="D273" s="133" t="str">
        <f aca="false">ExportRaw!$E273</f>
        <v/>
      </c>
      <c r="E273" s="134" t="str">
        <f aca="false">ExportRaw!$D273</f>
        <v/>
      </c>
      <c r="F273" s="133" t="str">
        <f aca="false">ExportRaw!$H273</f>
        <v/>
      </c>
      <c r="G273" s="135" t="str">
        <f aca="false">ExportRaw!$I273</f>
        <v/>
      </c>
      <c r="H273" s="133" t="str">
        <f aca="false">ExportRaw!$A273</f>
        <v/>
      </c>
      <c r="I273" s="133" t="str">
        <f aca="false">ExportRaw!$B273</f>
        <v/>
      </c>
    </row>
    <row r="274" customFormat="false" ht="15.75" hidden="false" customHeight="false" outlineLevel="0" collapsed="false">
      <c r="A274" s="133" t="n">
        <f aca="false">ExportRaw!$F274</f>
        <v>0</v>
      </c>
      <c r="B274" s="133" t="n">
        <f aca="false">ExportRaw!$C274</f>
        <v>0</v>
      </c>
      <c r="C274" s="133" t="n">
        <f aca="false">ExportRaw!$G274</f>
        <v>0</v>
      </c>
      <c r="D274" s="133" t="str">
        <f aca="false">ExportRaw!$E274</f>
        <v/>
      </c>
      <c r="E274" s="134" t="str">
        <f aca="false">ExportRaw!$D274</f>
        <v/>
      </c>
      <c r="F274" s="133" t="str">
        <f aca="false">ExportRaw!$H274</f>
        <v/>
      </c>
      <c r="G274" s="135" t="str">
        <f aca="false">ExportRaw!$I274</f>
        <v/>
      </c>
      <c r="H274" s="133" t="str">
        <f aca="false">ExportRaw!$A274</f>
        <v/>
      </c>
      <c r="I274" s="133" t="str">
        <f aca="false">ExportRaw!$B274</f>
        <v/>
      </c>
    </row>
    <row r="275" customFormat="false" ht="15.75" hidden="false" customHeight="false" outlineLevel="0" collapsed="false">
      <c r="A275" s="133" t="n">
        <f aca="false">ExportRaw!$F275</f>
        <v>0</v>
      </c>
      <c r="B275" s="133" t="n">
        <f aca="false">ExportRaw!$C275</f>
        <v>0</v>
      </c>
      <c r="C275" s="133" t="n">
        <f aca="false">ExportRaw!$G275</f>
        <v>0</v>
      </c>
      <c r="D275" s="133" t="str">
        <f aca="false">ExportRaw!$E275</f>
        <v/>
      </c>
      <c r="E275" s="134" t="str">
        <f aca="false">ExportRaw!$D275</f>
        <v/>
      </c>
      <c r="F275" s="133" t="str">
        <f aca="false">ExportRaw!$H275</f>
        <v/>
      </c>
      <c r="G275" s="135" t="str">
        <f aca="false">ExportRaw!$I275</f>
        <v/>
      </c>
      <c r="H275" s="133" t="str">
        <f aca="false">ExportRaw!$A275</f>
        <v/>
      </c>
      <c r="I275" s="133" t="str">
        <f aca="false">ExportRaw!$B275</f>
        <v/>
      </c>
    </row>
    <row r="276" customFormat="false" ht="15.75" hidden="false" customHeight="false" outlineLevel="0" collapsed="false">
      <c r="A276" s="133" t="n">
        <f aca="false">ExportRaw!$F276</f>
        <v>0</v>
      </c>
      <c r="B276" s="133" t="n">
        <f aca="false">ExportRaw!$C276</f>
        <v>0</v>
      </c>
      <c r="C276" s="133" t="n">
        <f aca="false">ExportRaw!$G276</f>
        <v>0</v>
      </c>
      <c r="D276" s="133" t="str">
        <f aca="false">ExportRaw!$E276</f>
        <v/>
      </c>
      <c r="E276" s="134" t="str">
        <f aca="false">ExportRaw!$D276</f>
        <v/>
      </c>
      <c r="F276" s="133" t="str">
        <f aca="false">ExportRaw!$H276</f>
        <v/>
      </c>
      <c r="G276" s="135" t="str">
        <f aca="false">ExportRaw!$I276</f>
        <v/>
      </c>
      <c r="H276" s="133" t="str">
        <f aca="false">ExportRaw!$A276</f>
        <v/>
      </c>
      <c r="I276" s="133" t="str">
        <f aca="false">ExportRaw!$B276</f>
        <v/>
      </c>
    </row>
    <row r="277" customFormat="false" ht="15.75" hidden="false" customHeight="false" outlineLevel="0" collapsed="false">
      <c r="A277" s="133" t="n">
        <f aca="false">ExportRaw!$F277</f>
        <v>0</v>
      </c>
      <c r="B277" s="133" t="n">
        <f aca="false">ExportRaw!$C277</f>
        <v>0</v>
      </c>
      <c r="C277" s="133" t="n">
        <f aca="false">ExportRaw!$G277</f>
        <v>0</v>
      </c>
      <c r="D277" s="133" t="str">
        <f aca="false">ExportRaw!$E277</f>
        <v/>
      </c>
      <c r="E277" s="134" t="str">
        <f aca="false">ExportRaw!$D277</f>
        <v/>
      </c>
      <c r="F277" s="133" t="str">
        <f aca="false">ExportRaw!$H277</f>
        <v/>
      </c>
      <c r="G277" s="135" t="str">
        <f aca="false">ExportRaw!$I277</f>
        <v/>
      </c>
      <c r="H277" s="133" t="str">
        <f aca="false">ExportRaw!$A277</f>
        <v/>
      </c>
      <c r="I277" s="133" t="str">
        <f aca="false">ExportRaw!$B277</f>
        <v/>
      </c>
    </row>
    <row r="278" customFormat="false" ht="15.75" hidden="false" customHeight="false" outlineLevel="0" collapsed="false">
      <c r="A278" s="133" t="n">
        <f aca="false">ExportRaw!$F278</f>
        <v>0</v>
      </c>
      <c r="B278" s="133" t="n">
        <f aca="false">ExportRaw!$C278</f>
        <v>0</v>
      </c>
      <c r="C278" s="133" t="n">
        <f aca="false">ExportRaw!$G278</f>
        <v>0</v>
      </c>
      <c r="D278" s="133" t="str">
        <f aca="false">ExportRaw!$E278</f>
        <v/>
      </c>
      <c r="E278" s="134" t="str">
        <f aca="false">ExportRaw!$D278</f>
        <v/>
      </c>
      <c r="F278" s="133" t="str">
        <f aca="false">ExportRaw!$H278</f>
        <v/>
      </c>
      <c r="G278" s="135" t="str">
        <f aca="false">ExportRaw!$I278</f>
        <v/>
      </c>
      <c r="H278" s="133" t="str">
        <f aca="false">ExportRaw!$A278</f>
        <v/>
      </c>
      <c r="I278" s="133" t="str">
        <f aca="false">ExportRaw!$B278</f>
        <v/>
      </c>
    </row>
    <row r="279" customFormat="false" ht="15.75" hidden="false" customHeight="false" outlineLevel="0" collapsed="false">
      <c r="A279" s="133" t="n">
        <f aca="false">ExportRaw!$F279</f>
        <v>0</v>
      </c>
      <c r="B279" s="133" t="n">
        <f aca="false">ExportRaw!$C279</f>
        <v>0</v>
      </c>
      <c r="C279" s="133" t="n">
        <f aca="false">ExportRaw!$G279</f>
        <v>0</v>
      </c>
      <c r="D279" s="133" t="str">
        <f aca="false">ExportRaw!$E279</f>
        <v/>
      </c>
      <c r="E279" s="134" t="str">
        <f aca="false">ExportRaw!$D279</f>
        <v/>
      </c>
      <c r="F279" s="133" t="str">
        <f aca="false">ExportRaw!$H279</f>
        <v/>
      </c>
      <c r="G279" s="135" t="str">
        <f aca="false">ExportRaw!$I279</f>
        <v/>
      </c>
      <c r="H279" s="133" t="str">
        <f aca="false">ExportRaw!$A279</f>
        <v/>
      </c>
      <c r="I279" s="133" t="str">
        <f aca="false">ExportRaw!$B279</f>
        <v/>
      </c>
    </row>
    <row r="280" customFormat="false" ht="15.75" hidden="false" customHeight="false" outlineLevel="0" collapsed="false">
      <c r="A280" s="133" t="n">
        <f aca="false">ExportRaw!$F280</f>
        <v>0</v>
      </c>
      <c r="B280" s="133" t="n">
        <f aca="false">ExportRaw!$C280</f>
        <v>0</v>
      </c>
      <c r="C280" s="133" t="n">
        <f aca="false">ExportRaw!$G280</f>
        <v>0</v>
      </c>
      <c r="D280" s="133" t="str">
        <f aca="false">ExportRaw!$E280</f>
        <v/>
      </c>
      <c r="E280" s="134" t="str">
        <f aca="false">ExportRaw!$D280</f>
        <v/>
      </c>
      <c r="F280" s="133" t="str">
        <f aca="false">ExportRaw!$H280</f>
        <v/>
      </c>
      <c r="G280" s="135" t="str">
        <f aca="false">ExportRaw!$I280</f>
        <v/>
      </c>
      <c r="H280" s="133" t="str">
        <f aca="false">ExportRaw!$A280</f>
        <v/>
      </c>
      <c r="I280" s="133" t="str">
        <f aca="false">ExportRaw!$B280</f>
        <v/>
      </c>
    </row>
    <row r="281" customFormat="false" ht="15.75" hidden="false" customHeight="false" outlineLevel="0" collapsed="false">
      <c r="A281" s="133" t="n">
        <f aca="false">ExportRaw!$F281</f>
        <v>0</v>
      </c>
      <c r="B281" s="133" t="n">
        <f aca="false">ExportRaw!$C281</f>
        <v>0</v>
      </c>
      <c r="C281" s="133" t="n">
        <f aca="false">ExportRaw!$G281</f>
        <v>0</v>
      </c>
      <c r="D281" s="133" t="str">
        <f aca="false">ExportRaw!$E281</f>
        <v/>
      </c>
      <c r="E281" s="134" t="str">
        <f aca="false">ExportRaw!$D281</f>
        <v/>
      </c>
      <c r="F281" s="133" t="str">
        <f aca="false">ExportRaw!$H281</f>
        <v/>
      </c>
      <c r="G281" s="135" t="str">
        <f aca="false">ExportRaw!$I281</f>
        <v/>
      </c>
      <c r="H281" s="133" t="str">
        <f aca="false">ExportRaw!$A281</f>
        <v/>
      </c>
      <c r="I281" s="133" t="str">
        <f aca="false">ExportRaw!$B281</f>
        <v/>
      </c>
    </row>
    <row r="282" customFormat="false" ht="15.75" hidden="false" customHeight="false" outlineLevel="0" collapsed="false">
      <c r="A282" s="133" t="n">
        <f aca="false">ExportRaw!$F282</f>
        <v>0</v>
      </c>
      <c r="B282" s="133" t="n">
        <f aca="false">ExportRaw!$C282</f>
        <v>0</v>
      </c>
      <c r="C282" s="133" t="n">
        <f aca="false">ExportRaw!$G282</f>
        <v>0</v>
      </c>
      <c r="D282" s="133" t="str">
        <f aca="false">ExportRaw!$E282</f>
        <v/>
      </c>
      <c r="E282" s="134" t="str">
        <f aca="false">ExportRaw!$D282</f>
        <v/>
      </c>
      <c r="F282" s="133" t="str">
        <f aca="false">ExportRaw!$H282</f>
        <v/>
      </c>
      <c r="G282" s="135" t="str">
        <f aca="false">ExportRaw!$I282</f>
        <v/>
      </c>
      <c r="H282" s="133" t="str">
        <f aca="false">ExportRaw!$A282</f>
        <v/>
      </c>
      <c r="I282" s="133" t="str">
        <f aca="false">ExportRaw!$B282</f>
        <v/>
      </c>
    </row>
    <row r="283" customFormat="false" ht="15.75" hidden="false" customHeight="false" outlineLevel="0" collapsed="false">
      <c r="A283" s="133" t="n">
        <f aca="false">ExportRaw!$F283</f>
        <v>0</v>
      </c>
      <c r="B283" s="133" t="n">
        <f aca="false">ExportRaw!$C283</f>
        <v>0</v>
      </c>
      <c r="C283" s="133" t="n">
        <f aca="false">ExportRaw!$G283</f>
        <v>0</v>
      </c>
      <c r="D283" s="133" t="str">
        <f aca="false">ExportRaw!$E283</f>
        <v/>
      </c>
      <c r="E283" s="134" t="str">
        <f aca="false">ExportRaw!$D283</f>
        <v/>
      </c>
      <c r="F283" s="133" t="str">
        <f aca="false">ExportRaw!$H283</f>
        <v/>
      </c>
      <c r="G283" s="135" t="str">
        <f aca="false">ExportRaw!$I283</f>
        <v/>
      </c>
      <c r="H283" s="133" t="str">
        <f aca="false">ExportRaw!$A283</f>
        <v/>
      </c>
      <c r="I283" s="133" t="str">
        <f aca="false">ExportRaw!$B283</f>
        <v/>
      </c>
    </row>
    <row r="284" customFormat="false" ht="15.75" hidden="false" customHeight="false" outlineLevel="0" collapsed="false">
      <c r="A284" s="133" t="n">
        <f aca="false">ExportRaw!$F284</f>
        <v>0</v>
      </c>
      <c r="B284" s="133" t="n">
        <f aca="false">ExportRaw!$C284</f>
        <v>0</v>
      </c>
      <c r="C284" s="133" t="n">
        <f aca="false">ExportRaw!$G284</f>
        <v>0</v>
      </c>
      <c r="D284" s="133" t="str">
        <f aca="false">ExportRaw!$E284</f>
        <v/>
      </c>
      <c r="E284" s="134" t="str">
        <f aca="false">ExportRaw!$D284</f>
        <v/>
      </c>
      <c r="F284" s="133" t="str">
        <f aca="false">ExportRaw!$H284</f>
        <v/>
      </c>
      <c r="G284" s="135" t="str">
        <f aca="false">ExportRaw!$I284</f>
        <v/>
      </c>
      <c r="H284" s="133" t="str">
        <f aca="false">ExportRaw!$A284</f>
        <v/>
      </c>
      <c r="I284" s="133" t="str">
        <f aca="false">ExportRaw!$B284</f>
        <v/>
      </c>
    </row>
    <row r="285" customFormat="false" ht="15.75" hidden="false" customHeight="false" outlineLevel="0" collapsed="false">
      <c r="A285" s="133" t="n">
        <f aca="false">ExportRaw!$F285</f>
        <v>0</v>
      </c>
      <c r="B285" s="133" t="n">
        <f aca="false">ExportRaw!$C285</f>
        <v>0</v>
      </c>
      <c r="C285" s="133" t="n">
        <f aca="false">ExportRaw!$G285</f>
        <v>0</v>
      </c>
      <c r="D285" s="133" t="str">
        <f aca="false">ExportRaw!$E285</f>
        <v/>
      </c>
      <c r="E285" s="134" t="str">
        <f aca="false">ExportRaw!$D285</f>
        <v/>
      </c>
      <c r="F285" s="133" t="str">
        <f aca="false">ExportRaw!$H285</f>
        <v/>
      </c>
      <c r="G285" s="135" t="str">
        <f aca="false">ExportRaw!$I285</f>
        <v/>
      </c>
      <c r="H285" s="133" t="str">
        <f aca="false">ExportRaw!$A285</f>
        <v/>
      </c>
      <c r="I285" s="133" t="str">
        <f aca="false">ExportRaw!$B285</f>
        <v/>
      </c>
    </row>
    <row r="286" customFormat="false" ht="15.75" hidden="false" customHeight="false" outlineLevel="0" collapsed="false">
      <c r="A286" s="133" t="n">
        <f aca="false">ExportRaw!$F286</f>
        <v>0</v>
      </c>
      <c r="B286" s="133" t="n">
        <f aca="false">ExportRaw!$C286</f>
        <v>0</v>
      </c>
      <c r="C286" s="133" t="n">
        <f aca="false">ExportRaw!$G286</f>
        <v>0</v>
      </c>
      <c r="D286" s="133" t="str">
        <f aca="false">ExportRaw!$E286</f>
        <v/>
      </c>
      <c r="E286" s="134" t="str">
        <f aca="false">ExportRaw!$D286</f>
        <v/>
      </c>
      <c r="F286" s="133" t="str">
        <f aca="false">ExportRaw!$H286</f>
        <v/>
      </c>
      <c r="G286" s="135" t="str">
        <f aca="false">ExportRaw!$I286</f>
        <v/>
      </c>
      <c r="H286" s="133" t="str">
        <f aca="false">ExportRaw!$A286</f>
        <v/>
      </c>
      <c r="I286" s="133" t="str">
        <f aca="false">ExportRaw!$B286</f>
        <v/>
      </c>
    </row>
    <row r="287" customFormat="false" ht="15.75" hidden="false" customHeight="false" outlineLevel="0" collapsed="false">
      <c r="A287" s="133" t="n">
        <f aca="false">ExportRaw!$F287</f>
        <v>0</v>
      </c>
      <c r="B287" s="133" t="n">
        <f aca="false">ExportRaw!$C287</f>
        <v>0</v>
      </c>
      <c r="C287" s="133" t="n">
        <f aca="false">ExportRaw!$G287</f>
        <v>0</v>
      </c>
      <c r="D287" s="133" t="str">
        <f aca="false">ExportRaw!$E287</f>
        <v/>
      </c>
      <c r="E287" s="134" t="str">
        <f aca="false">ExportRaw!$D287</f>
        <v/>
      </c>
      <c r="F287" s="133" t="str">
        <f aca="false">ExportRaw!$H287</f>
        <v/>
      </c>
      <c r="G287" s="135" t="str">
        <f aca="false">ExportRaw!$I287</f>
        <v/>
      </c>
      <c r="H287" s="133" t="str">
        <f aca="false">ExportRaw!$A287</f>
        <v/>
      </c>
      <c r="I287" s="133" t="str">
        <f aca="false">ExportRaw!$B287</f>
        <v/>
      </c>
    </row>
    <row r="288" customFormat="false" ht="15.75" hidden="false" customHeight="false" outlineLevel="0" collapsed="false">
      <c r="A288" s="133" t="n">
        <f aca="false">ExportRaw!$F288</f>
        <v>0</v>
      </c>
      <c r="B288" s="133" t="n">
        <f aca="false">ExportRaw!$C288</f>
        <v>0</v>
      </c>
      <c r="C288" s="133" t="n">
        <f aca="false">ExportRaw!$G288</f>
        <v>0</v>
      </c>
      <c r="D288" s="133" t="str">
        <f aca="false">ExportRaw!$E288</f>
        <v/>
      </c>
      <c r="E288" s="134" t="str">
        <f aca="false">ExportRaw!$D288</f>
        <v/>
      </c>
      <c r="F288" s="133" t="str">
        <f aca="false">ExportRaw!$H288</f>
        <v/>
      </c>
      <c r="G288" s="135" t="str">
        <f aca="false">ExportRaw!$I288</f>
        <v/>
      </c>
      <c r="H288" s="133" t="str">
        <f aca="false">ExportRaw!$A288</f>
        <v/>
      </c>
      <c r="I288" s="133" t="str">
        <f aca="false">ExportRaw!$B288</f>
        <v/>
      </c>
    </row>
    <row r="289" customFormat="false" ht="15.75" hidden="false" customHeight="false" outlineLevel="0" collapsed="false">
      <c r="A289" s="133" t="n">
        <f aca="false">ExportRaw!$F289</f>
        <v>0</v>
      </c>
      <c r="B289" s="133" t="n">
        <f aca="false">ExportRaw!$C289</f>
        <v>0</v>
      </c>
      <c r="C289" s="133" t="n">
        <f aca="false">ExportRaw!$G289</f>
        <v>0</v>
      </c>
      <c r="D289" s="133" t="str">
        <f aca="false">ExportRaw!$E289</f>
        <v/>
      </c>
      <c r="E289" s="134" t="str">
        <f aca="false">ExportRaw!$D289</f>
        <v/>
      </c>
      <c r="F289" s="133" t="str">
        <f aca="false">ExportRaw!$H289</f>
        <v/>
      </c>
      <c r="G289" s="135" t="str">
        <f aca="false">ExportRaw!$I289</f>
        <v/>
      </c>
      <c r="H289" s="133" t="str">
        <f aca="false">ExportRaw!$A289</f>
        <v/>
      </c>
      <c r="I289" s="133" t="str">
        <f aca="false">ExportRaw!$B289</f>
        <v/>
      </c>
    </row>
    <row r="290" customFormat="false" ht="15.75" hidden="false" customHeight="false" outlineLevel="0" collapsed="false">
      <c r="A290" s="133" t="n">
        <f aca="false">ExportRaw!$F290</f>
        <v>0</v>
      </c>
      <c r="B290" s="133" t="n">
        <f aca="false">ExportRaw!$C290</f>
        <v>0</v>
      </c>
      <c r="C290" s="133" t="n">
        <f aca="false">ExportRaw!$G290</f>
        <v>0</v>
      </c>
      <c r="D290" s="133" t="str">
        <f aca="false">ExportRaw!$E290</f>
        <v/>
      </c>
      <c r="E290" s="134" t="str">
        <f aca="false">ExportRaw!$D290</f>
        <v/>
      </c>
      <c r="F290" s="133" t="str">
        <f aca="false">ExportRaw!$H290</f>
        <v/>
      </c>
      <c r="G290" s="135" t="str">
        <f aca="false">ExportRaw!$I290</f>
        <v/>
      </c>
      <c r="H290" s="133" t="str">
        <f aca="false">ExportRaw!$A290</f>
        <v/>
      </c>
      <c r="I290" s="133" t="str">
        <f aca="false">ExportRaw!$B290</f>
        <v/>
      </c>
    </row>
    <row r="291" customFormat="false" ht="15.75" hidden="false" customHeight="false" outlineLevel="0" collapsed="false">
      <c r="A291" s="133" t="n">
        <f aca="false">ExportRaw!$F291</f>
        <v>0</v>
      </c>
      <c r="B291" s="133" t="n">
        <f aca="false">ExportRaw!$C291</f>
        <v>0</v>
      </c>
      <c r="C291" s="133" t="n">
        <f aca="false">ExportRaw!$G291</f>
        <v>0</v>
      </c>
      <c r="D291" s="133" t="str">
        <f aca="false">ExportRaw!$E291</f>
        <v/>
      </c>
      <c r="E291" s="134" t="str">
        <f aca="false">ExportRaw!$D291</f>
        <v/>
      </c>
      <c r="F291" s="133" t="str">
        <f aca="false">ExportRaw!$H291</f>
        <v/>
      </c>
      <c r="G291" s="135" t="str">
        <f aca="false">ExportRaw!$I291</f>
        <v/>
      </c>
      <c r="H291" s="133" t="str">
        <f aca="false">ExportRaw!$A291</f>
        <v/>
      </c>
      <c r="I291" s="133" t="str">
        <f aca="false">ExportRaw!$B291</f>
        <v/>
      </c>
    </row>
    <row r="292" customFormat="false" ht="15.75" hidden="false" customHeight="false" outlineLevel="0" collapsed="false">
      <c r="A292" s="133" t="n">
        <f aca="false">ExportRaw!$F292</f>
        <v>0</v>
      </c>
      <c r="B292" s="133" t="n">
        <f aca="false">ExportRaw!$C292</f>
        <v>0</v>
      </c>
      <c r="C292" s="133" t="n">
        <f aca="false">ExportRaw!$G292</f>
        <v>0</v>
      </c>
      <c r="D292" s="133" t="str">
        <f aca="false">ExportRaw!$E292</f>
        <v/>
      </c>
      <c r="E292" s="134" t="str">
        <f aca="false">ExportRaw!$D292</f>
        <v/>
      </c>
      <c r="F292" s="133" t="str">
        <f aca="false">ExportRaw!$H292</f>
        <v/>
      </c>
      <c r="G292" s="135" t="str">
        <f aca="false">ExportRaw!$I292</f>
        <v/>
      </c>
      <c r="H292" s="133" t="str">
        <f aca="false">ExportRaw!$A292</f>
        <v/>
      </c>
      <c r="I292" s="133" t="str">
        <f aca="false">ExportRaw!$B292</f>
        <v/>
      </c>
    </row>
    <row r="293" customFormat="false" ht="15.75" hidden="false" customHeight="false" outlineLevel="0" collapsed="false">
      <c r="A293" s="133" t="n">
        <f aca="false">ExportRaw!$F293</f>
        <v>0</v>
      </c>
      <c r="B293" s="133" t="n">
        <f aca="false">ExportRaw!$C293</f>
        <v>0</v>
      </c>
      <c r="C293" s="133" t="n">
        <f aca="false">ExportRaw!$G293</f>
        <v>0</v>
      </c>
      <c r="D293" s="133" t="str">
        <f aca="false">ExportRaw!$E293</f>
        <v/>
      </c>
      <c r="E293" s="134" t="str">
        <f aca="false">ExportRaw!$D293</f>
        <v/>
      </c>
      <c r="F293" s="133" t="str">
        <f aca="false">ExportRaw!$H293</f>
        <v/>
      </c>
      <c r="G293" s="135" t="str">
        <f aca="false">ExportRaw!$I293</f>
        <v/>
      </c>
      <c r="H293" s="133" t="str">
        <f aca="false">ExportRaw!$A293</f>
        <v/>
      </c>
      <c r="I293" s="133" t="str">
        <f aca="false">ExportRaw!$B293</f>
        <v/>
      </c>
    </row>
    <row r="294" customFormat="false" ht="15.75" hidden="false" customHeight="false" outlineLevel="0" collapsed="false">
      <c r="A294" s="133" t="n">
        <f aca="false">ExportRaw!$F294</f>
        <v>0</v>
      </c>
      <c r="B294" s="133" t="n">
        <f aca="false">ExportRaw!$C294</f>
        <v>0</v>
      </c>
      <c r="C294" s="133" t="n">
        <f aca="false">ExportRaw!$G294</f>
        <v>0</v>
      </c>
      <c r="D294" s="133" t="str">
        <f aca="false">ExportRaw!$E294</f>
        <v/>
      </c>
      <c r="E294" s="134" t="str">
        <f aca="false">ExportRaw!$D294</f>
        <v/>
      </c>
      <c r="F294" s="133" t="str">
        <f aca="false">ExportRaw!$H294</f>
        <v/>
      </c>
      <c r="G294" s="135" t="str">
        <f aca="false">ExportRaw!$I294</f>
        <v/>
      </c>
      <c r="H294" s="133" t="str">
        <f aca="false">ExportRaw!$A294</f>
        <v/>
      </c>
      <c r="I294" s="133" t="str">
        <f aca="false">ExportRaw!$B294</f>
        <v/>
      </c>
    </row>
    <row r="295" customFormat="false" ht="15.75" hidden="false" customHeight="false" outlineLevel="0" collapsed="false">
      <c r="A295" s="133" t="n">
        <f aca="false">ExportRaw!$F295</f>
        <v>0</v>
      </c>
      <c r="B295" s="133" t="n">
        <f aca="false">ExportRaw!$C295</f>
        <v>0</v>
      </c>
      <c r="C295" s="133" t="n">
        <f aca="false">ExportRaw!$G295</f>
        <v>0</v>
      </c>
      <c r="D295" s="133" t="str">
        <f aca="false">ExportRaw!$E295</f>
        <v/>
      </c>
      <c r="E295" s="134" t="str">
        <f aca="false">ExportRaw!$D295</f>
        <v/>
      </c>
      <c r="F295" s="133" t="str">
        <f aca="false">ExportRaw!$H295</f>
        <v/>
      </c>
      <c r="G295" s="135" t="str">
        <f aca="false">ExportRaw!$I295</f>
        <v/>
      </c>
      <c r="H295" s="133" t="str">
        <f aca="false">ExportRaw!$A295</f>
        <v/>
      </c>
      <c r="I295" s="133" t="str">
        <f aca="false">ExportRaw!$B295</f>
        <v/>
      </c>
    </row>
    <row r="296" customFormat="false" ht="15.75" hidden="false" customHeight="false" outlineLevel="0" collapsed="false">
      <c r="A296" s="133" t="n">
        <f aca="false">ExportRaw!$F296</f>
        <v>0</v>
      </c>
      <c r="B296" s="133" t="n">
        <f aca="false">ExportRaw!$C296</f>
        <v>0</v>
      </c>
      <c r="C296" s="133" t="n">
        <f aca="false">ExportRaw!$G296</f>
        <v>0</v>
      </c>
      <c r="D296" s="133" t="str">
        <f aca="false">ExportRaw!$E296</f>
        <v/>
      </c>
      <c r="E296" s="134" t="str">
        <f aca="false">ExportRaw!$D296</f>
        <v/>
      </c>
      <c r="F296" s="133" t="str">
        <f aca="false">ExportRaw!$H296</f>
        <v/>
      </c>
      <c r="G296" s="135" t="str">
        <f aca="false">ExportRaw!$I296</f>
        <v/>
      </c>
      <c r="H296" s="133" t="str">
        <f aca="false">ExportRaw!$A296</f>
        <v/>
      </c>
      <c r="I296" s="133" t="str">
        <f aca="false">ExportRaw!$B296</f>
        <v/>
      </c>
    </row>
    <row r="297" customFormat="false" ht="15.75" hidden="false" customHeight="false" outlineLevel="0" collapsed="false">
      <c r="A297" s="133" t="n">
        <f aca="false">ExportRaw!$F297</f>
        <v>0</v>
      </c>
      <c r="B297" s="133" t="n">
        <f aca="false">ExportRaw!$C297</f>
        <v>0</v>
      </c>
      <c r="C297" s="133" t="n">
        <f aca="false">ExportRaw!$G297</f>
        <v>0</v>
      </c>
      <c r="D297" s="133" t="str">
        <f aca="false">ExportRaw!$E297</f>
        <v/>
      </c>
      <c r="E297" s="134" t="str">
        <f aca="false">ExportRaw!$D297</f>
        <v/>
      </c>
      <c r="F297" s="133" t="str">
        <f aca="false">ExportRaw!$H297</f>
        <v/>
      </c>
      <c r="G297" s="135" t="str">
        <f aca="false">ExportRaw!$I297</f>
        <v/>
      </c>
      <c r="H297" s="133" t="str">
        <f aca="false">ExportRaw!$A297</f>
        <v/>
      </c>
      <c r="I297" s="133" t="str">
        <f aca="false">ExportRaw!$B297</f>
        <v/>
      </c>
    </row>
    <row r="298" customFormat="false" ht="15.75" hidden="false" customHeight="false" outlineLevel="0" collapsed="false">
      <c r="A298" s="133" t="n">
        <f aca="false">ExportRaw!$F298</f>
        <v>0</v>
      </c>
      <c r="B298" s="133" t="n">
        <f aca="false">ExportRaw!$C298</f>
        <v>0</v>
      </c>
      <c r="C298" s="133" t="n">
        <f aca="false">ExportRaw!$G298</f>
        <v>0</v>
      </c>
      <c r="D298" s="133" t="str">
        <f aca="false">ExportRaw!$E298</f>
        <v/>
      </c>
      <c r="E298" s="134" t="str">
        <f aca="false">ExportRaw!$D298</f>
        <v/>
      </c>
      <c r="F298" s="133" t="str">
        <f aca="false">ExportRaw!$H298</f>
        <v/>
      </c>
      <c r="G298" s="135" t="str">
        <f aca="false">ExportRaw!$I298</f>
        <v/>
      </c>
      <c r="H298" s="133" t="str">
        <f aca="false">ExportRaw!$A298</f>
        <v/>
      </c>
      <c r="I298" s="133" t="str">
        <f aca="false">ExportRaw!$B298</f>
        <v/>
      </c>
    </row>
    <row r="299" customFormat="false" ht="15.75" hidden="false" customHeight="false" outlineLevel="0" collapsed="false">
      <c r="A299" s="133" t="n">
        <f aca="false">ExportRaw!$F299</f>
        <v>0</v>
      </c>
      <c r="B299" s="133" t="n">
        <f aca="false">ExportRaw!$C299</f>
        <v>0</v>
      </c>
      <c r="C299" s="133" t="n">
        <f aca="false">ExportRaw!$G299</f>
        <v>0</v>
      </c>
      <c r="D299" s="133" t="str">
        <f aca="false">ExportRaw!$E299</f>
        <v/>
      </c>
      <c r="E299" s="134" t="str">
        <f aca="false">ExportRaw!$D299</f>
        <v/>
      </c>
      <c r="F299" s="133" t="str">
        <f aca="false">ExportRaw!$H299</f>
        <v/>
      </c>
      <c r="G299" s="135" t="str">
        <f aca="false">ExportRaw!$I299</f>
        <v/>
      </c>
      <c r="H299" s="133" t="str">
        <f aca="false">ExportRaw!$A299</f>
        <v/>
      </c>
      <c r="I299" s="133" t="str">
        <f aca="false">ExportRaw!$B299</f>
        <v/>
      </c>
    </row>
    <row r="300" customFormat="false" ht="15.75" hidden="false" customHeight="false" outlineLevel="0" collapsed="false">
      <c r="A300" s="133" t="n">
        <f aca="false">ExportRaw!$F300</f>
        <v>0</v>
      </c>
      <c r="B300" s="133" t="n">
        <f aca="false">ExportRaw!$C300</f>
        <v>0</v>
      </c>
      <c r="C300" s="133" t="n">
        <f aca="false">ExportRaw!$G300</f>
        <v>0</v>
      </c>
      <c r="D300" s="133" t="str">
        <f aca="false">ExportRaw!$E300</f>
        <v/>
      </c>
      <c r="E300" s="134" t="str">
        <f aca="false">ExportRaw!$D300</f>
        <v/>
      </c>
      <c r="F300" s="133" t="str">
        <f aca="false">ExportRaw!$H300</f>
        <v/>
      </c>
      <c r="G300" s="135" t="str">
        <f aca="false">ExportRaw!$I300</f>
        <v/>
      </c>
      <c r="H300" s="133" t="str">
        <f aca="false">ExportRaw!$A300</f>
        <v/>
      </c>
      <c r="I300" s="133" t="str">
        <f aca="false">ExportRaw!$B300</f>
        <v/>
      </c>
    </row>
    <row r="301" customFormat="false" ht="15.75" hidden="false" customHeight="false" outlineLevel="0" collapsed="false">
      <c r="A301" s="133" t="n">
        <f aca="false">ExportRaw!$F301</f>
        <v>0</v>
      </c>
      <c r="B301" s="133" t="n">
        <f aca="false">ExportRaw!$C301</f>
        <v>0</v>
      </c>
      <c r="C301" s="133" t="n">
        <f aca="false">ExportRaw!$G301</f>
        <v>0</v>
      </c>
      <c r="D301" s="133" t="str">
        <f aca="false">ExportRaw!$E301</f>
        <v/>
      </c>
      <c r="E301" s="134" t="str">
        <f aca="false">ExportRaw!$D301</f>
        <v/>
      </c>
      <c r="F301" s="133" t="str">
        <f aca="false">ExportRaw!$H301</f>
        <v/>
      </c>
      <c r="G301" s="135" t="str">
        <f aca="false">ExportRaw!$I301</f>
        <v/>
      </c>
      <c r="H301" s="133" t="str">
        <f aca="false">ExportRaw!$A301</f>
        <v/>
      </c>
      <c r="I301" s="133" t="str">
        <f aca="false">ExportRaw!$B301</f>
        <v/>
      </c>
    </row>
    <row r="302" customFormat="false" ht="15.75" hidden="false" customHeight="false" outlineLevel="0" collapsed="false">
      <c r="A302" s="133" t="n">
        <f aca="false">ExportRaw!$F302</f>
        <v>0</v>
      </c>
      <c r="B302" s="133" t="n">
        <f aca="false">ExportRaw!$C302</f>
        <v>0</v>
      </c>
      <c r="C302" s="133" t="n">
        <f aca="false">ExportRaw!$G302</f>
        <v>0</v>
      </c>
      <c r="D302" s="133" t="str">
        <f aca="false">ExportRaw!$E302</f>
        <v/>
      </c>
      <c r="E302" s="134" t="str">
        <f aca="false">ExportRaw!$D302</f>
        <v/>
      </c>
      <c r="F302" s="133" t="str">
        <f aca="false">ExportRaw!$H302</f>
        <v/>
      </c>
      <c r="G302" s="135" t="str">
        <f aca="false">ExportRaw!$I302</f>
        <v/>
      </c>
      <c r="H302" s="133" t="str">
        <f aca="false">ExportRaw!$A302</f>
        <v/>
      </c>
      <c r="I302" s="133" t="str">
        <f aca="false">ExportRaw!$B302</f>
        <v/>
      </c>
    </row>
    <row r="303" customFormat="false" ht="15.75" hidden="false" customHeight="false" outlineLevel="0" collapsed="false">
      <c r="A303" s="133" t="n">
        <f aca="false">ExportRaw!$F303</f>
        <v>0</v>
      </c>
      <c r="B303" s="133" t="n">
        <f aca="false">ExportRaw!$C303</f>
        <v>0</v>
      </c>
      <c r="C303" s="133" t="n">
        <f aca="false">ExportRaw!$G303</f>
        <v>0</v>
      </c>
      <c r="D303" s="133" t="str">
        <f aca="false">ExportRaw!$E303</f>
        <v/>
      </c>
      <c r="E303" s="134" t="str">
        <f aca="false">ExportRaw!$D303</f>
        <v/>
      </c>
      <c r="F303" s="133" t="str">
        <f aca="false">ExportRaw!$H303</f>
        <v/>
      </c>
      <c r="G303" s="135" t="str">
        <f aca="false">ExportRaw!$I303</f>
        <v/>
      </c>
      <c r="H303" s="133" t="str">
        <f aca="false">ExportRaw!$A303</f>
        <v/>
      </c>
      <c r="I303" s="133" t="str">
        <f aca="false">ExportRaw!$B303</f>
        <v/>
      </c>
    </row>
    <row r="304" customFormat="false" ht="15.75" hidden="false" customHeight="false" outlineLevel="0" collapsed="false">
      <c r="A304" s="133" t="n">
        <f aca="false">ExportRaw!$F304</f>
        <v>0</v>
      </c>
      <c r="B304" s="133" t="n">
        <f aca="false">ExportRaw!$C304</f>
        <v>0</v>
      </c>
      <c r="C304" s="133" t="n">
        <f aca="false">ExportRaw!$G304</f>
        <v>0</v>
      </c>
      <c r="D304" s="133" t="str">
        <f aca="false">ExportRaw!$E304</f>
        <v/>
      </c>
      <c r="E304" s="134" t="str">
        <f aca="false">ExportRaw!$D304</f>
        <v/>
      </c>
      <c r="F304" s="133" t="str">
        <f aca="false">ExportRaw!$H304</f>
        <v/>
      </c>
      <c r="G304" s="135" t="str">
        <f aca="false">ExportRaw!$I304</f>
        <v/>
      </c>
      <c r="H304" s="133" t="str">
        <f aca="false">ExportRaw!$A304</f>
        <v/>
      </c>
      <c r="I304" s="133" t="str">
        <f aca="false">ExportRaw!$B304</f>
        <v/>
      </c>
    </row>
    <row r="305" customFormat="false" ht="15.75" hidden="false" customHeight="false" outlineLevel="0" collapsed="false">
      <c r="A305" s="133" t="n">
        <f aca="false">ExportRaw!$F305</f>
        <v>0</v>
      </c>
      <c r="B305" s="133" t="n">
        <f aca="false">ExportRaw!$C305</f>
        <v>0</v>
      </c>
      <c r="C305" s="133" t="n">
        <f aca="false">ExportRaw!$G305</f>
        <v>0</v>
      </c>
      <c r="D305" s="133" t="str">
        <f aca="false">ExportRaw!$E305</f>
        <v/>
      </c>
      <c r="E305" s="134" t="str">
        <f aca="false">ExportRaw!$D305</f>
        <v/>
      </c>
      <c r="F305" s="133" t="str">
        <f aca="false">ExportRaw!$H305</f>
        <v/>
      </c>
      <c r="G305" s="135" t="str">
        <f aca="false">ExportRaw!$I305</f>
        <v/>
      </c>
      <c r="H305" s="133" t="str">
        <f aca="false">ExportRaw!$A305</f>
        <v/>
      </c>
      <c r="I305" s="133" t="str">
        <f aca="false">ExportRaw!$B305</f>
        <v/>
      </c>
    </row>
    <row r="306" customFormat="false" ht="15.75" hidden="false" customHeight="false" outlineLevel="0" collapsed="false">
      <c r="A306" s="133" t="n">
        <f aca="false">ExportRaw!$F306</f>
        <v>0</v>
      </c>
      <c r="B306" s="133" t="n">
        <f aca="false">ExportRaw!$C306</f>
        <v>0</v>
      </c>
      <c r="C306" s="133" t="n">
        <f aca="false">ExportRaw!$G306</f>
        <v>0</v>
      </c>
      <c r="D306" s="133" t="str">
        <f aca="false">ExportRaw!$E306</f>
        <v/>
      </c>
      <c r="E306" s="134" t="str">
        <f aca="false">ExportRaw!$D306</f>
        <v/>
      </c>
      <c r="F306" s="133" t="str">
        <f aca="false">ExportRaw!$H306</f>
        <v/>
      </c>
      <c r="G306" s="135" t="str">
        <f aca="false">ExportRaw!$I306</f>
        <v/>
      </c>
      <c r="H306" s="133" t="str">
        <f aca="false">ExportRaw!$A306</f>
        <v/>
      </c>
      <c r="I306" s="133" t="str">
        <f aca="false">ExportRaw!$B306</f>
        <v/>
      </c>
    </row>
    <row r="307" customFormat="false" ht="15.75" hidden="false" customHeight="false" outlineLevel="0" collapsed="false">
      <c r="A307" s="133" t="n">
        <f aca="false">ExportRaw!$F307</f>
        <v>0</v>
      </c>
      <c r="B307" s="133" t="n">
        <f aca="false">ExportRaw!$C307</f>
        <v>0</v>
      </c>
      <c r="C307" s="133" t="n">
        <f aca="false">ExportRaw!$G307</f>
        <v>0</v>
      </c>
      <c r="D307" s="133" t="str">
        <f aca="false">ExportRaw!$E307</f>
        <v/>
      </c>
      <c r="E307" s="134" t="str">
        <f aca="false">ExportRaw!$D307</f>
        <v/>
      </c>
      <c r="F307" s="133" t="str">
        <f aca="false">ExportRaw!$H307</f>
        <v/>
      </c>
      <c r="G307" s="135" t="str">
        <f aca="false">ExportRaw!$I307</f>
        <v/>
      </c>
      <c r="H307" s="133" t="str">
        <f aca="false">ExportRaw!$A307</f>
        <v/>
      </c>
      <c r="I307" s="133" t="str">
        <f aca="false">ExportRaw!$B307</f>
        <v/>
      </c>
    </row>
    <row r="308" customFormat="false" ht="15.75" hidden="false" customHeight="false" outlineLevel="0" collapsed="false">
      <c r="A308" s="133" t="n">
        <f aca="false">ExportRaw!$F308</f>
        <v>0</v>
      </c>
      <c r="B308" s="133" t="n">
        <f aca="false">ExportRaw!$C308</f>
        <v>0</v>
      </c>
      <c r="C308" s="133" t="n">
        <f aca="false">ExportRaw!$G308</f>
        <v>0</v>
      </c>
      <c r="D308" s="133" t="str">
        <f aca="false">ExportRaw!$E308</f>
        <v/>
      </c>
      <c r="E308" s="134" t="str">
        <f aca="false">ExportRaw!$D308</f>
        <v/>
      </c>
      <c r="F308" s="133" t="str">
        <f aca="false">ExportRaw!$H308</f>
        <v/>
      </c>
      <c r="G308" s="135" t="str">
        <f aca="false">ExportRaw!$I308</f>
        <v/>
      </c>
      <c r="H308" s="133" t="str">
        <f aca="false">ExportRaw!$A308</f>
        <v/>
      </c>
      <c r="I308" s="133" t="str">
        <f aca="false">ExportRaw!$B308</f>
        <v/>
      </c>
    </row>
    <row r="309" customFormat="false" ht="15.75" hidden="false" customHeight="false" outlineLevel="0" collapsed="false">
      <c r="A309" s="133" t="n">
        <f aca="false">ExportRaw!$F309</f>
        <v>0</v>
      </c>
      <c r="B309" s="133" t="n">
        <f aca="false">ExportRaw!$C309</f>
        <v>0</v>
      </c>
      <c r="C309" s="133" t="n">
        <f aca="false">ExportRaw!$G309</f>
        <v>0</v>
      </c>
      <c r="D309" s="133" t="str">
        <f aca="false">ExportRaw!$E309</f>
        <v/>
      </c>
      <c r="E309" s="134" t="str">
        <f aca="false">ExportRaw!$D309</f>
        <v/>
      </c>
      <c r="F309" s="133" t="str">
        <f aca="false">ExportRaw!$H309</f>
        <v/>
      </c>
      <c r="G309" s="135" t="str">
        <f aca="false">ExportRaw!$I309</f>
        <v/>
      </c>
      <c r="H309" s="133" t="str">
        <f aca="false">ExportRaw!$A309</f>
        <v/>
      </c>
      <c r="I309" s="133" t="str">
        <f aca="false">ExportRaw!$B309</f>
        <v/>
      </c>
    </row>
    <row r="310" customFormat="false" ht="15.75" hidden="false" customHeight="false" outlineLevel="0" collapsed="false">
      <c r="A310" s="133" t="n">
        <f aca="false">ExportRaw!$F310</f>
        <v>0</v>
      </c>
      <c r="B310" s="133" t="n">
        <f aca="false">ExportRaw!$C310</f>
        <v>0</v>
      </c>
      <c r="C310" s="133" t="n">
        <f aca="false">ExportRaw!$G310</f>
        <v>0</v>
      </c>
      <c r="D310" s="133" t="str">
        <f aca="false">ExportRaw!$E310</f>
        <v/>
      </c>
      <c r="E310" s="134" t="str">
        <f aca="false">ExportRaw!$D310</f>
        <v/>
      </c>
      <c r="F310" s="133" t="str">
        <f aca="false">ExportRaw!$H310</f>
        <v/>
      </c>
      <c r="G310" s="135" t="str">
        <f aca="false">ExportRaw!$I310</f>
        <v/>
      </c>
      <c r="H310" s="133" t="str">
        <f aca="false">ExportRaw!$A310</f>
        <v/>
      </c>
      <c r="I310" s="133" t="str">
        <f aca="false">ExportRaw!$B310</f>
        <v/>
      </c>
    </row>
    <row r="311" customFormat="false" ht="15.75" hidden="false" customHeight="false" outlineLevel="0" collapsed="false">
      <c r="A311" s="133" t="n">
        <f aca="false">ExportRaw!$F311</f>
        <v>0</v>
      </c>
      <c r="B311" s="133" t="n">
        <f aca="false">ExportRaw!$C311</f>
        <v>0</v>
      </c>
      <c r="C311" s="133" t="n">
        <f aca="false">ExportRaw!$G311</f>
        <v>0</v>
      </c>
      <c r="D311" s="133" t="str">
        <f aca="false">ExportRaw!$E311</f>
        <v/>
      </c>
      <c r="E311" s="134" t="str">
        <f aca="false">ExportRaw!$D311</f>
        <v/>
      </c>
      <c r="F311" s="133" t="str">
        <f aca="false">ExportRaw!$H311</f>
        <v/>
      </c>
      <c r="G311" s="135" t="str">
        <f aca="false">ExportRaw!$I311</f>
        <v/>
      </c>
      <c r="H311" s="133" t="str">
        <f aca="false">ExportRaw!$A311</f>
        <v/>
      </c>
      <c r="I311" s="133" t="str">
        <f aca="false">ExportRaw!$B311</f>
        <v/>
      </c>
    </row>
    <row r="312" customFormat="false" ht="15.75" hidden="false" customHeight="false" outlineLevel="0" collapsed="false">
      <c r="A312" s="133" t="n">
        <f aca="false">ExportRaw!$F312</f>
        <v>0</v>
      </c>
      <c r="B312" s="133" t="n">
        <f aca="false">ExportRaw!$C312</f>
        <v>0</v>
      </c>
      <c r="C312" s="133" t="n">
        <f aca="false">ExportRaw!$G312</f>
        <v>0</v>
      </c>
      <c r="D312" s="133" t="str">
        <f aca="false">ExportRaw!$E312</f>
        <v/>
      </c>
      <c r="E312" s="134" t="str">
        <f aca="false">ExportRaw!$D312</f>
        <v/>
      </c>
      <c r="F312" s="133" t="str">
        <f aca="false">ExportRaw!$H312</f>
        <v/>
      </c>
      <c r="G312" s="135" t="str">
        <f aca="false">ExportRaw!$I312</f>
        <v/>
      </c>
      <c r="H312" s="133" t="str">
        <f aca="false">ExportRaw!$A312</f>
        <v/>
      </c>
      <c r="I312" s="133" t="str">
        <f aca="false">ExportRaw!$B312</f>
        <v/>
      </c>
    </row>
    <row r="313" customFormat="false" ht="15.75" hidden="false" customHeight="false" outlineLevel="0" collapsed="false">
      <c r="A313" s="133" t="n">
        <f aca="false">ExportRaw!$F313</f>
        <v>0</v>
      </c>
      <c r="B313" s="133" t="n">
        <f aca="false">ExportRaw!$C313</f>
        <v>0</v>
      </c>
      <c r="C313" s="133" t="n">
        <f aca="false">ExportRaw!$G313</f>
        <v>0</v>
      </c>
      <c r="D313" s="133" t="str">
        <f aca="false">ExportRaw!$E313</f>
        <v/>
      </c>
      <c r="E313" s="134" t="str">
        <f aca="false">ExportRaw!$D313</f>
        <v/>
      </c>
      <c r="F313" s="133" t="str">
        <f aca="false">ExportRaw!$H313</f>
        <v/>
      </c>
      <c r="G313" s="135" t="str">
        <f aca="false">ExportRaw!$I313</f>
        <v/>
      </c>
      <c r="H313" s="133" t="str">
        <f aca="false">ExportRaw!$A313</f>
        <v/>
      </c>
      <c r="I313" s="133" t="str">
        <f aca="false">ExportRaw!$B313</f>
        <v/>
      </c>
    </row>
    <row r="314" customFormat="false" ht="15.75" hidden="false" customHeight="false" outlineLevel="0" collapsed="false">
      <c r="A314" s="133" t="n">
        <f aca="false">ExportRaw!$F314</f>
        <v>0</v>
      </c>
      <c r="B314" s="133" t="n">
        <f aca="false">ExportRaw!$C314</f>
        <v>0</v>
      </c>
      <c r="C314" s="133" t="n">
        <f aca="false">ExportRaw!$G314</f>
        <v>0</v>
      </c>
      <c r="D314" s="133" t="str">
        <f aca="false">ExportRaw!$E314</f>
        <v/>
      </c>
      <c r="E314" s="134" t="str">
        <f aca="false">ExportRaw!$D314</f>
        <v/>
      </c>
      <c r="F314" s="133" t="str">
        <f aca="false">ExportRaw!$H314</f>
        <v/>
      </c>
      <c r="G314" s="135" t="str">
        <f aca="false">ExportRaw!$I314</f>
        <v/>
      </c>
      <c r="H314" s="133" t="str">
        <f aca="false">ExportRaw!$A314</f>
        <v/>
      </c>
      <c r="I314" s="133" t="str">
        <f aca="false">ExportRaw!$B314</f>
        <v/>
      </c>
    </row>
    <row r="315" customFormat="false" ht="15.75" hidden="false" customHeight="false" outlineLevel="0" collapsed="false">
      <c r="A315" s="133" t="n">
        <f aca="false">ExportRaw!$F315</f>
        <v>0</v>
      </c>
      <c r="B315" s="133" t="n">
        <f aca="false">ExportRaw!$C315</f>
        <v>0</v>
      </c>
      <c r="C315" s="133" t="n">
        <f aca="false">ExportRaw!$G315</f>
        <v>0</v>
      </c>
      <c r="D315" s="133" t="str">
        <f aca="false">ExportRaw!$E315</f>
        <v/>
      </c>
      <c r="E315" s="134" t="str">
        <f aca="false">ExportRaw!$D315</f>
        <v/>
      </c>
      <c r="F315" s="133" t="str">
        <f aca="false">ExportRaw!$H315</f>
        <v/>
      </c>
      <c r="G315" s="135" t="str">
        <f aca="false">ExportRaw!$I315</f>
        <v/>
      </c>
      <c r="H315" s="133" t="str">
        <f aca="false">ExportRaw!$A315</f>
        <v/>
      </c>
      <c r="I315" s="133" t="str">
        <f aca="false">ExportRaw!$B315</f>
        <v/>
      </c>
    </row>
    <row r="316" customFormat="false" ht="15.75" hidden="false" customHeight="false" outlineLevel="0" collapsed="false">
      <c r="A316" s="133" t="n">
        <f aca="false">ExportRaw!$F316</f>
        <v>0</v>
      </c>
      <c r="B316" s="133" t="n">
        <f aca="false">ExportRaw!$C316</f>
        <v>0</v>
      </c>
      <c r="C316" s="133" t="n">
        <f aca="false">ExportRaw!$G316</f>
        <v>0</v>
      </c>
      <c r="D316" s="133" t="str">
        <f aca="false">ExportRaw!$E316</f>
        <v/>
      </c>
      <c r="E316" s="134" t="str">
        <f aca="false">ExportRaw!$D316</f>
        <v/>
      </c>
      <c r="F316" s="133" t="str">
        <f aca="false">ExportRaw!$H316</f>
        <v/>
      </c>
      <c r="G316" s="135" t="str">
        <f aca="false">ExportRaw!$I316</f>
        <v/>
      </c>
      <c r="H316" s="133" t="str">
        <f aca="false">ExportRaw!$A316</f>
        <v/>
      </c>
      <c r="I316" s="133" t="str">
        <f aca="false">ExportRaw!$B316</f>
        <v/>
      </c>
    </row>
    <row r="317" customFormat="false" ht="15.75" hidden="false" customHeight="false" outlineLevel="0" collapsed="false">
      <c r="A317" s="133" t="n">
        <f aca="false">ExportRaw!$F317</f>
        <v>0</v>
      </c>
      <c r="B317" s="133" t="n">
        <f aca="false">ExportRaw!$C317</f>
        <v>0</v>
      </c>
      <c r="C317" s="133" t="n">
        <f aca="false">ExportRaw!$G317</f>
        <v>0</v>
      </c>
      <c r="D317" s="133" t="str">
        <f aca="false">ExportRaw!$E317</f>
        <v/>
      </c>
      <c r="E317" s="134" t="str">
        <f aca="false">ExportRaw!$D317</f>
        <v/>
      </c>
      <c r="F317" s="133" t="str">
        <f aca="false">ExportRaw!$H317</f>
        <v/>
      </c>
      <c r="G317" s="135" t="str">
        <f aca="false">ExportRaw!$I317</f>
        <v/>
      </c>
      <c r="H317" s="133" t="str">
        <f aca="false">ExportRaw!$A317</f>
        <v/>
      </c>
      <c r="I317" s="133" t="str">
        <f aca="false">ExportRaw!$B317</f>
        <v/>
      </c>
    </row>
    <row r="318" customFormat="false" ht="15.75" hidden="false" customHeight="false" outlineLevel="0" collapsed="false">
      <c r="A318" s="133" t="n">
        <f aca="false">ExportRaw!$F318</f>
        <v>0</v>
      </c>
      <c r="B318" s="133" t="n">
        <f aca="false">ExportRaw!$C318</f>
        <v>0</v>
      </c>
      <c r="C318" s="133" t="n">
        <f aca="false">ExportRaw!$G318</f>
        <v>0</v>
      </c>
      <c r="D318" s="133" t="str">
        <f aca="false">ExportRaw!$E318</f>
        <v/>
      </c>
      <c r="E318" s="134" t="str">
        <f aca="false">ExportRaw!$D318</f>
        <v/>
      </c>
      <c r="F318" s="133" t="str">
        <f aca="false">ExportRaw!$H318</f>
        <v/>
      </c>
      <c r="G318" s="135" t="str">
        <f aca="false">ExportRaw!$I318</f>
        <v/>
      </c>
      <c r="H318" s="133" t="str">
        <f aca="false">ExportRaw!$A318</f>
        <v/>
      </c>
      <c r="I318" s="133" t="str">
        <f aca="false">ExportRaw!$B318</f>
        <v/>
      </c>
    </row>
    <row r="319" customFormat="false" ht="15.75" hidden="false" customHeight="false" outlineLevel="0" collapsed="false">
      <c r="A319" s="133" t="n">
        <f aca="false">ExportRaw!$F319</f>
        <v>0</v>
      </c>
      <c r="B319" s="133" t="n">
        <f aca="false">ExportRaw!$C319</f>
        <v>0</v>
      </c>
      <c r="C319" s="133" t="n">
        <f aca="false">ExportRaw!$G319</f>
        <v>0</v>
      </c>
      <c r="D319" s="133" t="str">
        <f aca="false">ExportRaw!$E319</f>
        <v/>
      </c>
      <c r="E319" s="134" t="str">
        <f aca="false">ExportRaw!$D319</f>
        <v/>
      </c>
      <c r="F319" s="133" t="str">
        <f aca="false">ExportRaw!$H319</f>
        <v/>
      </c>
      <c r="G319" s="135" t="str">
        <f aca="false">ExportRaw!$I319</f>
        <v/>
      </c>
      <c r="H319" s="133" t="str">
        <f aca="false">ExportRaw!$A319</f>
        <v/>
      </c>
      <c r="I319" s="133" t="str">
        <f aca="false">ExportRaw!$B319</f>
        <v/>
      </c>
    </row>
    <row r="320" customFormat="false" ht="15.75" hidden="false" customHeight="false" outlineLevel="0" collapsed="false">
      <c r="A320" s="133" t="n">
        <f aca="false">ExportRaw!$F320</f>
        <v>0</v>
      </c>
      <c r="B320" s="133" t="n">
        <f aca="false">ExportRaw!$C320</f>
        <v>0</v>
      </c>
      <c r="C320" s="133" t="n">
        <f aca="false">ExportRaw!$G320</f>
        <v>0</v>
      </c>
      <c r="D320" s="133" t="str">
        <f aca="false">ExportRaw!$E320</f>
        <v/>
      </c>
      <c r="E320" s="134" t="str">
        <f aca="false">ExportRaw!$D320</f>
        <v/>
      </c>
      <c r="F320" s="133" t="str">
        <f aca="false">ExportRaw!$H320</f>
        <v/>
      </c>
      <c r="G320" s="135" t="str">
        <f aca="false">ExportRaw!$I320</f>
        <v/>
      </c>
      <c r="H320" s="133" t="str">
        <f aca="false">ExportRaw!$A320</f>
        <v/>
      </c>
      <c r="I320" s="133" t="str">
        <f aca="false">ExportRaw!$B320</f>
        <v/>
      </c>
    </row>
    <row r="321" customFormat="false" ht="15.75" hidden="false" customHeight="false" outlineLevel="0" collapsed="false">
      <c r="A321" s="133" t="n">
        <f aca="false">ExportRaw!$F321</f>
        <v>0</v>
      </c>
      <c r="B321" s="133" t="n">
        <f aca="false">ExportRaw!$C321</f>
        <v>0</v>
      </c>
      <c r="C321" s="133" t="n">
        <f aca="false">ExportRaw!$G321</f>
        <v>0</v>
      </c>
      <c r="D321" s="133" t="str">
        <f aca="false">ExportRaw!$E321</f>
        <v/>
      </c>
      <c r="E321" s="134" t="str">
        <f aca="false">ExportRaw!$D321</f>
        <v/>
      </c>
      <c r="F321" s="133" t="str">
        <f aca="false">ExportRaw!$H321</f>
        <v/>
      </c>
      <c r="G321" s="135" t="str">
        <f aca="false">ExportRaw!$I321</f>
        <v/>
      </c>
      <c r="H321" s="133" t="str">
        <f aca="false">ExportRaw!$A321</f>
        <v/>
      </c>
      <c r="I321" s="133" t="str">
        <f aca="false">ExportRaw!$B321</f>
        <v/>
      </c>
    </row>
    <row r="322" customFormat="false" ht="15.75" hidden="false" customHeight="false" outlineLevel="0" collapsed="false">
      <c r="A322" s="133" t="n">
        <f aca="false">ExportRaw!$F322</f>
        <v>0</v>
      </c>
      <c r="B322" s="133" t="n">
        <f aca="false">ExportRaw!$C322</f>
        <v>0</v>
      </c>
      <c r="C322" s="133" t="n">
        <f aca="false">ExportRaw!$G322</f>
        <v>0</v>
      </c>
      <c r="D322" s="133" t="str">
        <f aca="false">ExportRaw!$E322</f>
        <v/>
      </c>
      <c r="E322" s="134" t="str">
        <f aca="false">ExportRaw!$D322</f>
        <v/>
      </c>
      <c r="F322" s="133" t="str">
        <f aca="false">ExportRaw!$H322</f>
        <v/>
      </c>
      <c r="G322" s="135" t="str">
        <f aca="false">ExportRaw!$I322</f>
        <v/>
      </c>
      <c r="H322" s="133" t="str">
        <f aca="false">ExportRaw!$A322</f>
        <v/>
      </c>
      <c r="I322" s="133" t="str">
        <f aca="false">ExportRaw!$B322</f>
        <v/>
      </c>
    </row>
    <row r="323" customFormat="false" ht="15.75" hidden="false" customHeight="false" outlineLevel="0" collapsed="false">
      <c r="A323" s="133" t="n">
        <f aca="false">ExportRaw!$F323</f>
        <v>0</v>
      </c>
      <c r="B323" s="133" t="n">
        <f aca="false">ExportRaw!$C323</f>
        <v>0</v>
      </c>
      <c r="C323" s="133" t="n">
        <f aca="false">ExportRaw!$G323</f>
        <v>0</v>
      </c>
      <c r="D323" s="133" t="str">
        <f aca="false">ExportRaw!$E323</f>
        <v/>
      </c>
      <c r="E323" s="134" t="str">
        <f aca="false">ExportRaw!$D323</f>
        <v/>
      </c>
      <c r="F323" s="133" t="str">
        <f aca="false">ExportRaw!$H323</f>
        <v/>
      </c>
      <c r="G323" s="135" t="str">
        <f aca="false">ExportRaw!$I323</f>
        <v/>
      </c>
      <c r="H323" s="133" t="str">
        <f aca="false">ExportRaw!$A323</f>
        <v/>
      </c>
      <c r="I323" s="133" t="str">
        <f aca="false">ExportRaw!$B323</f>
        <v/>
      </c>
    </row>
    <row r="324" customFormat="false" ht="15.75" hidden="false" customHeight="false" outlineLevel="0" collapsed="false">
      <c r="A324" s="133" t="n">
        <f aca="false">ExportRaw!$F324</f>
        <v>0</v>
      </c>
      <c r="B324" s="133" t="n">
        <f aca="false">ExportRaw!$C324</f>
        <v>0</v>
      </c>
      <c r="C324" s="133" t="n">
        <f aca="false">ExportRaw!$G324</f>
        <v>0</v>
      </c>
      <c r="D324" s="133" t="str">
        <f aca="false">ExportRaw!$E324</f>
        <v/>
      </c>
      <c r="E324" s="134" t="str">
        <f aca="false">ExportRaw!$D324</f>
        <v/>
      </c>
      <c r="F324" s="133" t="str">
        <f aca="false">ExportRaw!$H324</f>
        <v/>
      </c>
      <c r="G324" s="135" t="str">
        <f aca="false">ExportRaw!$I324</f>
        <v/>
      </c>
      <c r="H324" s="133" t="str">
        <f aca="false">ExportRaw!$A324</f>
        <v/>
      </c>
      <c r="I324" s="133" t="str">
        <f aca="false">ExportRaw!$B324</f>
        <v/>
      </c>
    </row>
    <row r="325" customFormat="false" ht="15.75" hidden="false" customHeight="false" outlineLevel="0" collapsed="false">
      <c r="A325" s="133" t="n">
        <f aca="false">ExportRaw!$F325</f>
        <v>0</v>
      </c>
      <c r="B325" s="133" t="n">
        <f aca="false">ExportRaw!$C325</f>
        <v>0</v>
      </c>
      <c r="C325" s="133" t="n">
        <f aca="false">ExportRaw!$G325</f>
        <v>0</v>
      </c>
      <c r="D325" s="133" t="str">
        <f aca="false">ExportRaw!$E325</f>
        <v/>
      </c>
      <c r="E325" s="134" t="str">
        <f aca="false">ExportRaw!$D325</f>
        <v/>
      </c>
      <c r="F325" s="133" t="str">
        <f aca="false">ExportRaw!$H325</f>
        <v/>
      </c>
      <c r="G325" s="135" t="str">
        <f aca="false">ExportRaw!$I325</f>
        <v/>
      </c>
      <c r="H325" s="133" t="str">
        <f aca="false">ExportRaw!$A325</f>
        <v/>
      </c>
      <c r="I325" s="133" t="str">
        <f aca="false">ExportRaw!$B325</f>
        <v/>
      </c>
    </row>
    <row r="326" customFormat="false" ht="15.75" hidden="false" customHeight="false" outlineLevel="0" collapsed="false">
      <c r="A326" s="133" t="n">
        <f aca="false">ExportRaw!$F326</f>
        <v>0</v>
      </c>
      <c r="B326" s="133" t="n">
        <f aca="false">ExportRaw!$C326</f>
        <v>0</v>
      </c>
      <c r="C326" s="133" t="n">
        <f aca="false">ExportRaw!$G326</f>
        <v>0</v>
      </c>
      <c r="D326" s="133" t="str">
        <f aca="false">ExportRaw!$E326</f>
        <v/>
      </c>
      <c r="E326" s="134" t="str">
        <f aca="false">ExportRaw!$D326</f>
        <v/>
      </c>
      <c r="F326" s="133" t="str">
        <f aca="false">ExportRaw!$H326</f>
        <v/>
      </c>
      <c r="G326" s="135" t="str">
        <f aca="false">ExportRaw!$I326</f>
        <v/>
      </c>
      <c r="H326" s="133" t="str">
        <f aca="false">ExportRaw!$A326</f>
        <v/>
      </c>
      <c r="I326" s="133" t="str">
        <f aca="false">ExportRaw!$B326</f>
        <v/>
      </c>
    </row>
    <row r="327" customFormat="false" ht="15.75" hidden="false" customHeight="false" outlineLevel="0" collapsed="false">
      <c r="A327" s="133" t="n">
        <f aca="false">ExportRaw!$F327</f>
        <v>0</v>
      </c>
      <c r="B327" s="133" t="n">
        <f aca="false">ExportRaw!$C327</f>
        <v>0</v>
      </c>
      <c r="C327" s="133" t="n">
        <f aca="false">ExportRaw!$G327</f>
        <v>0</v>
      </c>
      <c r="D327" s="133" t="str">
        <f aca="false">ExportRaw!$E327</f>
        <v/>
      </c>
      <c r="E327" s="134" t="str">
        <f aca="false">ExportRaw!$D327</f>
        <v/>
      </c>
      <c r="F327" s="133" t="str">
        <f aca="false">ExportRaw!$H327</f>
        <v/>
      </c>
      <c r="G327" s="135" t="str">
        <f aca="false">ExportRaw!$I327</f>
        <v/>
      </c>
      <c r="H327" s="133" t="str">
        <f aca="false">ExportRaw!$A327</f>
        <v/>
      </c>
      <c r="I327" s="133" t="str">
        <f aca="false">ExportRaw!$B327</f>
        <v/>
      </c>
    </row>
    <row r="328" customFormat="false" ht="15.75" hidden="false" customHeight="false" outlineLevel="0" collapsed="false">
      <c r="A328" s="133" t="n">
        <f aca="false">ExportRaw!$F328</f>
        <v>0</v>
      </c>
      <c r="B328" s="133" t="n">
        <f aca="false">ExportRaw!$C328</f>
        <v>0</v>
      </c>
      <c r="C328" s="133" t="n">
        <f aca="false">ExportRaw!$G328</f>
        <v>0</v>
      </c>
      <c r="D328" s="133" t="str">
        <f aca="false">ExportRaw!$E328</f>
        <v/>
      </c>
      <c r="E328" s="134" t="str">
        <f aca="false">ExportRaw!$D328</f>
        <v/>
      </c>
      <c r="F328" s="133" t="str">
        <f aca="false">ExportRaw!$H328</f>
        <v/>
      </c>
      <c r="G328" s="135" t="str">
        <f aca="false">ExportRaw!$I328</f>
        <v/>
      </c>
      <c r="H328" s="133" t="str">
        <f aca="false">ExportRaw!$A328</f>
        <v/>
      </c>
      <c r="I328" s="133" t="str">
        <f aca="false">ExportRaw!$B328</f>
        <v/>
      </c>
    </row>
    <row r="329" customFormat="false" ht="15.75" hidden="false" customHeight="false" outlineLevel="0" collapsed="false">
      <c r="A329" s="133" t="n">
        <f aca="false">ExportRaw!$F329</f>
        <v>0</v>
      </c>
      <c r="B329" s="133" t="n">
        <f aca="false">ExportRaw!$C329</f>
        <v>0</v>
      </c>
      <c r="C329" s="133" t="n">
        <f aca="false">ExportRaw!$G329</f>
        <v>0</v>
      </c>
      <c r="D329" s="133" t="str">
        <f aca="false">ExportRaw!$E329</f>
        <v/>
      </c>
      <c r="E329" s="134" t="str">
        <f aca="false">ExportRaw!$D329</f>
        <v/>
      </c>
      <c r="F329" s="133" t="str">
        <f aca="false">ExportRaw!$H329</f>
        <v/>
      </c>
      <c r="G329" s="135" t="str">
        <f aca="false">ExportRaw!$I329</f>
        <v/>
      </c>
      <c r="H329" s="133" t="str">
        <f aca="false">ExportRaw!$A329</f>
        <v/>
      </c>
      <c r="I329" s="133" t="str">
        <f aca="false">ExportRaw!$B329</f>
        <v/>
      </c>
    </row>
    <row r="330" customFormat="false" ht="15.75" hidden="false" customHeight="false" outlineLevel="0" collapsed="false">
      <c r="A330" s="133" t="n">
        <f aca="false">ExportRaw!$F330</f>
        <v>0</v>
      </c>
      <c r="B330" s="133" t="n">
        <f aca="false">ExportRaw!$C330</f>
        <v>0</v>
      </c>
      <c r="C330" s="133" t="n">
        <f aca="false">ExportRaw!$G330</f>
        <v>0</v>
      </c>
      <c r="D330" s="133" t="str">
        <f aca="false">ExportRaw!$E330</f>
        <v/>
      </c>
      <c r="E330" s="134" t="str">
        <f aca="false">ExportRaw!$D330</f>
        <v/>
      </c>
      <c r="F330" s="133" t="str">
        <f aca="false">ExportRaw!$H330</f>
        <v/>
      </c>
      <c r="G330" s="135" t="str">
        <f aca="false">ExportRaw!$I330</f>
        <v/>
      </c>
      <c r="H330" s="133" t="str">
        <f aca="false">ExportRaw!$A330</f>
        <v/>
      </c>
      <c r="I330" s="133" t="str">
        <f aca="false">ExportRaw!$B330</f>
        <v/>
      </c>
    </row>
    <row r="331" customFormat="false" ht="15.75" hidden="false" customHeight="false" outlineLevel="0" collapsed="false">
      <c r="A331" s="133" t="n">
        <f aca="false">ExportRaw!$F331</f>
        <v>0</v>
      </c>
      <c r="B331" s="133" t="n">
        <f aca="false">ExportRaw!$C331</f>
        <v>0</v>
      </c>
      <c r="C331" s="133" t="n">
        <f aca="false">ExportRaw!$G331</f>
        <v>0</v>
      </c>
      <c r="D331" s="133" t="str">
        <f aca="false">ExportRaw!$E331</f>
        <v/>
      </c>
      <c r="E331" s="134" t="str">
        <f aca="false">ExportRaw!$D331</f>
        <v/>
      </c>
      <c r="F331" s="133" t="str">
        <f aca="false">ExportRaw!$H331</f>
        <v/>
      </c>
      <c r="G331" s="135" t="str">
        <f aca="false">ExportRaw!$I331</f>
        <v/>
      </c>
      <c r="H331" s="133" t="str">
        <f aca="false">ExportRaw!$A331</f>
        <v/>
      </c>
      <c r="I331" s="133" t="str">
        <f aca="false">ExportRaw!$B331</f>
        <v/>
      </c>
    </row>
    <row r="332" customFormat="false" ht="15.75" hidden="false" customHeight="false" outlineLevel="0" collapsed="false">
      <c r="A332" s="133" t="n">
        <f aca="false">ExportRaw!$F332</f>
        <v>0</v>
      </c>
      <c r="B332" s="133" t="n">
        <f aca="false">ExportRaw!$C332</f>
        <v>0</v>
      </c>
      <c r="C332" s="133" t="n">
        <f aca="false">ExportRaw!$G332</f>
        <v>0</v>
      </c>
      <c r="D332" s="133" t="str">
        <f aca="false">ExportRaw!$E332</f>
        <v/>
      </c>
      <c r="E332" s="134" t="str">
        <f aca="false">ExportRaw!$D332</f>
        <v/>
      </c>
      <c r="F332" s="133" t="str">
        <f aca="false">ExportRaw!$H332</f>
        <v/>
      </c>
      <c r="G332" s="135" t="str">
        <f aca="false">ExportRaw!$I332</f>
        <v/>
      </c>
      <c r="H332" s="133" t="str">
        <f aca="false">ExportRaw!$A332</f>
        <v/>
      </c>
      <c r="I332" s="133" t="str">
        <f aca="false">ExportRaw!$B332</f>
        <v/>
      </c>
    </row>
    <row r="333" customFormat="false" ht="15.75" hidden="false" customHeight="false" outlineLevel="0" collapsed="false">
      <c r="A333" s="133" t="n">
        <f aca="false">ExportRaw!$F333</f>
        <v>0</v>
      </c>
      <c r="B333" s="133" t="n">
        <f aca="false">ExportRaw!$C333</f>
        <v>0</v>
      </c>
      <c r="C333" s="133" t="n">
        <f aca="false">ExportRaw!$G333</f>
        <v>0</v>
      </c>
      <c r="D333" s="133" t="str">
        <f aca="false">ExportRaw!$E333</f>
        <v/>
      </c>
      <c r="E333" s="134" t="str">
        <f aca="false">ExportRaw!$D333</f>
        <v/>
      </c>
      <c r="F333" s="133" t="str">
        <f aca="false">ExportRaw!$H333</f>
        <v/>
      </c>
      <c r="G333" s="135" t="str">
        <f aca="false">ExportRaw!$I333</f>
        <v/>
      </c>
      <c r="H333" s="133" t="str">
        <f aca="false">ExportRaw!$A333</f>
        <v/>
      </c>
      <c r="I333" s="133" t="str">
        <f aca="false">ExportRaw!$B333</f>
        <v/>
      </c>
    </row>
    <row r="334" customFormat="false" ht="15.75" hidden="false" customHeight="false" outlineLevel="0" collapsed="false">
      <c r="A334" s="133" t="n">
        <f aca="false">ExportRaw!$F334</f>
        <v>0</v>
      </c>
      <c r="B334" s="133" t="n">
        <f aca="false">ExportRaw!$C334</f>
        <v>0</v>
      </c>
      <c r="C334" s="133" t="n">
        <f aca="false">ExportRaw!$G334</f>
        <v>0</v>
      </c>
      <c r="D334" s="133" t="str">
        <f aca="false">ExportRaw!$E334</f>
        <v/>
      </c>
      <c r="E334" s="134" t="str">
        <f aca="false">ExportRaw!$D334</f>
        <v/>
      </c>
      <c r="F334" s="133" t="str">
        <f aca="false">ExportRaw!$H334</f>
        <v/>
      </c>
      <c r="G334" s="135" t="str">
        <f aca="false">ExportRaw!$I334</f>
        <v/>
      </c>
      <c r="H334" s="133" t="str">
        <f aca="false">ExportRaw!$A334</f>
        <v/>
      </c>
      <c r="I334" s="133" t="str">
        <f aca="false">ExportRaw!$B334</f>
        <v/>
      </c>
    </row>
    <row r="335" customFormat="false" ht="15.75" hidden="false" customHeight="false" outlineLevel="0" collapsed="false">
      <c r="A335" s="133" t="n">
        <f aca="false">ExportRaw!$F335</f>
        <v>0</v>
      </c>
      <c r="B335" s="133" t="n">
        <f aca="false">ExportRaw!$C335</f>
        <v>0</v>
      </c>
      <c r="C335" s="133" t="n">
        <f aca="false">ExportRaw!$G335</f>
        <v>0</v>
      </c>
      <c r="D335" s="133" t="str">
        <f aca="false">ExportRaw!$E335</f>
        <v/>
      </c>
      <c r="E335" s="134" t="str">
        <f aca="false">ExportRaw!$D335</f>
        <v/>
      </c>
      <c r="F335" s="133" t="str">
        <f aca="false">ExportRaw!$H335</f>
        <v/>
      </c>
      <c r="G335" s="135" t="str">
        <f aca="false">ExportRaw!$I335</f>
        <v/>
      </c>
      <c r="H335" s="133" t="str">
        <f aca="false">ExportRaw!$A335</f>
        <v/>
      </c>
      <c r="I335" s="133" t="str">
        <f aca="false">ExportRaw!$B335</f>
        <v/>
      </c>
    </row>
    <row r="336" customFormat="false" ht="15.75" hidden="false" customHeight="false" outlineLevel="0" collapsed="false">
      <c r="A336" s="133" t="n">
        <f aca="false">ExportRaw!$F336</f>
        <v>0</v>
      </c>
      <c r="B336" s="133" t="n">
        <f aca="false">ExportRaw!$C336</f>
        <v>0</v>
      </c>
      <c r="C336" s="133" t="n">
        <f aca="false">ExportRaw!$G336</f>
        <v>0</v>
      </c>
      <c r="D336" s="133" t="str">
        <f aca="false">ExportRaw!$E336</f>
        <v/>
      </c>
      <c r="E336" s="134" t="str">
        <f aca="false">ExportRaw!$D336</f>
        <v/>
      </c>
      <c r="F336" s="133" t="str">
        <f aca="false">ExportRaw!$H336</f>
        <v/>
      </c>
      <c r="G336" s="135" t="str">
        <f aca="false">ExportRaw!$I336</f>
        <v/>
      </c>
      <c r="H336" s="133" t="str">
        <f aca="false">ExportRaw!$A336</f>
        <v/>
      </c>
      <c r="I336" s="133" t="str">
        <f aca="false">ExportRaw!$B336</f>
        <v/>
      </c>
    </row>
    <row r="337" customFormat="false" ht="15.75" hidden="false" customHeight="false" outlineLevel="0" collapsed="false">
      <c r="A337" s="133" t="n">
        <f aca="false">ExportRaw!$F337</f>
        <v>0</v>
      </c>
      <c r="B337" s="133" t="n">
        <f aca="false">ExportRaw!$C337</f>
        <v>0</v>
      </c>
      <c r="C337" s="133" t="n">
        <f aca="false">ExportRaw!$G337</f>
        <v>0</v>
      </c>
      <c r="D337" s="133" t="str">
        <f aca="false">ExportRaw!$E337</f>
        <v/>
      </c>
      <c r="E337" s="134" t="str">
        <f aca="false">ExportRaw!$D337</f>
        <v/>
      </c>
      <c r="F337" s="133" t="str">
        <f aca="false">ExportRaw!$H337</f>
        <v/>
      </c>
      <c r="G337" s="135" t="str">
        <f aca="false">ExportRaw!$I337</f>
        <v/>
      </c>
      <c r="H337" s="133" t="str">
        <f aca="false">ExportRaw!$A337</f>
        <v/>
      </c>
      <c r="I337" s="133" t="str">
        <f aca="false">ExportRaw!$B337</f>
        <v/>
      </c>
    </row>
    <row r="338" customFormat="false" ht="15.75" hidden="false" customHeight="false" outlineLevel="0" collapsed="false">
      <c r="A338" s="133" t="n">
        <f aca="false">ExportRaw!$F338</f>
        <v>0</v>
      </c>
      <c r="B338" s="133" t="n">
        <f aca="false">ExportRaw!$C338</f>
        <v>0</v>
      </c>
      <c r="C338" s="133" t="n">
        <f aca="false">ExportRaw!$G338</f>
        <v>0</v>
      </c>
      <c r="D338" s="133" t="str">
        <f aca="false">ExportRaw!$E338</f>
        <v/>
      </c>
      <c r="E338" s="134" t="str">
        <f aca="false">ExportRaw!$D338</f>
        <v/>
      </c>
      <c r="F338" s="133" t="str">
        <f aca="false">ExportRaw!$H338</f>
        <v/>
      </c>
      <c r="G338" s="135" t="str">
        <f aca="false">ExportRaw!$I338</f>
        <v/>
      </c>
      <c r="H338" s="133" t="str">
        <f aca="false">ExportRaw!$A338</f>
        <v/>
      </c>
      <c r="I338" s="133" t="str">
        <f aca="false">ExportRaw!$B338</f>
        <v/>
      </c>
    </row>
    <row r="339" customFormat="false" ht="15.75" hidden="false" customHeight="false" outlineLevel="0" collapsed="false">
      <c r="A339" s="133" t="n">
        <f aca="false">ExportRaw!$F339</f>
        <v>0</v>
      </c>
      <c r="B339" s="133" t="n">
        <f aca="false">ExportRaw!$C339</f>
        <v>0</v>
      </c>
      <c r="C339" s="133" t="n">
        <f aca="false">ExportRaw!$G339</f>
        <v>0</v>
      </c>
      <c r="D339" s="133" t="str">
        <f aca="false">ExportRaw!$E339</f>
        <v/>
      </c>
      <c r="E339" s="134" t="str">
        <f aca="false">ExportRaw!$D339</f>
        <v/>
      </c>
      <c r="F339" s="133" t="str">
        <f aca="false">ExportRaw!$H339</f>
        <v/>
      </c>
      <c r="G339" s="135" t="str">
        <f aca="false">ExportRaw!$I339</f>
        <v/>
      </c>
      <c r="H339" s="133" t="str">
        <f aca="false">ExportRaw!$A339</f>
        <v/>
      </c>
      <c r="I339" s="133" t="str">
        <f aca="false">ExportRaw!$B339</f>
        <v/>
      </c>
    </row>
    <row r="340" customFormat="false" ht="15.75" hidden="false" customHeight="false" outlineLevel="0" collapsed="false">
      <c r="A340" s="133" t="n">
        <f aca="false">ExportRaw!$F340</f>
        <v>0</v>
      </c>
      <c r="B340" s="133" t="n">
        <f aca="false">ExportRaw!$C340</f>
        <v>0</v>
      </c>
      <c r="C340" s="133" t="n">
        <f aca="false">ExportRaw!$G340</f>
        <v>0</v>
      </c>
      <c r="D340" s="133" t="str">
        <f aca="false">ExportRaw!$E340</f>
        <v/>
      </c>
      <c r="E340" s="134" t="str">
        <f aca="false">ExportRaw!$D340</f>
        <v/>
      </c>
      <c r="F340" s="133" t="str">
        <f aca="false">ExportRaw!$H340</f>
        <v/>
      </c>
      <c r="G340" s="135" t="str">
        <f aca="false">ExportRaw!$I340</f>
        <v/>
      </c>
      <c r="H340" s="133" t="str">
        <f aca="false">ExportRaw!$A340</f>
        <v/>
      </c>
      <c r="I340" s="133" t="str">
        <f aca="false">ExportRaw!$B340</f>
        <v/>
      </c>
    </row>
    <row r="341" customFormat="false" ht="15.75" hidden="false" customHeight="false" outlineLevel="0" collapsed="false">
      <c r="A341" s="133" t="n">
        <f aca="false">ExportRaw!$F341</f>
        <v>0</v>
      </c>
      <c r="B341" s="133" t="n">
        <f aca="false">ExportRaw!$C341</f>
        <v>0</v>
      </c>
      <c r="C341" s="133" t="n">
        <f aca="false">ExportRaw!$G341</f>
        <v>0</v>
      </c>
      <c r="D341" s="133" t="str">
        <f aca="false">ExportRaw!$E341</f>
        <v/>
      </c>
      <c r="E341" s="134" t="str">
        <f aca="false">ExportRaw!$D341</f>
        <v/>
      </c>
      <c r="F341" s="133" t="str">
        <f aca="false">ExportRaw!$H341</f>
        <v/>
      </c>
      <c r="G341" s="135" t="str">
        <f aca="false">ExportRaw!$I341</f>
        <v/>
      </c>
      <c r="H341" s="133" t="str">
        <f aca="false">ExportRaw!$A341</f>
        <v/>
      </c>
      <c r="I341" s="133" t="str">
        <f aca="false">ExportRaw!$B341</f>
        <v/>
      </c>
    </row>
    <row r="342" customFormat="false" ht="15.75" hidden="false" customHeight="false" outlineLevel="0" collapsed="false">
      <c r="A342" s="133" t="n">
        <f aca="false">ExportRaw!$F342</f>
        <v>0</v>
      </c>
      <c r="B342" s="133" t="n">
        <f aca="false">ExportRaw!$C342</f>
        <v>0</v>
      </c>
      <c r="C342" s="133" t="n">
        <f aca="false">ExportRaw!$G342</f>
        <v>0</v>
      </c>
      <c r="D342" s="133" t="str">
        <f aca="false">ExportRaw!$E342</f>
        <v/>
      </c>
      <c r="E342" s="134" t="str">
        <f aca="false">ExportRaw!$D342</f>
        <v/>
      </c>
      <c r="F342" s="133" t="str">
        <f aca="false">ExportRaw!$H342</f>
        <v/>
      </c>
      <c r="G342" s="135" t="str">
        <f aca="false">ExportRaw!$I342</f>
        <v/>
      </c>
      <c r="H342" s="133" t="str">
        <f aca="false">ExportRaw!$A342</f>
        <v/>
      </c>
      <c r="I342" s="133" t="str">
        <f aca="false">ExportRaw!$B342</f>
        <v/>
      </c>
    </row>
    <row r="343" customFormat="false" ht="15.75" hidden="false" customHeight="false" outlineLevel="0" collapsed="false">
      <c r="A343" s="133" t="n">
        <f aca="false">ExportRaw!$F343</f>
        <v>0</v>
      </c>
      <c r="B343" s="133" t="n">
        <f aca="false">ExportRaw!$C343</f>
        <v>0</v>
      </c>
      <c r="C343" s="133" t="n">
        <f aca="false">ExportRaw!$G343</f>
        <v>0</v>
      </c>
      <c r="D343" s="133" t="str">
        <f aca="false">ExportRaw!$E343</f>
        <v/>
      </c>
      <c r="E343" s="134" t="str">
        <f aca="false">ExportRaw!$D343</f>
        <v/>
      </c>
      <c r="F343" s="133" t="str">
        <f aca="false">ExportRaw!$H343</f>
        <v/>
      </c>
      <c r="G343" s="135" t="str">
        <f aca="false">ExportRaw!$I343</f>
        <v/>
      </c>
      <c r="H343" s="133" t="str">
        <f aca="false">ExportRaw!$A343</f>
        <v/>
      </c>
      <c r="I343" s="133" t="str">
        <f aca="false">ExportRaw!$B343</f>
        <v/>
      </c>
    </row>
    <row r="344" customFormat="false" ht="15.75" hidden="false" customHeight="false" outlineLevel="0" collapsed="false">
      <c r="A344" s="133" t="n">
        <f aca="false">ExportRaw!$F344</f>
        <v>0</v>
      </c>
      <c r="B344" s="133" t="n">
        <f aca="false">ExportRaw!$C344</f>
        <v>0</v>
      </c>
      <c r="C344" s="133" t="n">
        <f aca="false">ExportRaw!$G344</f>
        <v>0</v>
      </c>
      <c r="D344" s="133" t="str">
        <f aca="false">ExportRaw!$E344</f>
        <v/>
      </c>
      <c r="E344" s="134" t="str">
        <f aca="false">ExportRaw!$D344</f>
        <v/>
      </c>
      <c r="F344" s="133" t="str">
        <f aca="false">ExportRaw!$H344</f>
        <v/>
      </c>
      <c r="G344" s="135" t="str">
        <f aca="false">ExportRaw!$I344</f>
        <v/>
      </c>
      <c r="H344" s="133" t="str">
        <f aca="false">ExportRaw!$A344</f>
        <v/>
      </c>
      <c r="I344" s="133" t="str">
        <f aca="false">ExportRaw!$B344</f>
        <v/>
      </c>
    </row>
    <row r="345" customFormat="false" ht="15.75" hidden="false" customHeight="false" outlineLevel="0" collapsed="false">
      <c r="A345" s="133" t="n">
        <f aca="false">ExportRaw!$F345</f>
        <v>0</v>
      </c>
      <c r="B345" s="133" t="n">
        <f aca="false">ExportRaw!$C345</f>
        <v>0</v>
      </c>
      <c r="C345" s="133" t="n">
        <f aca="false">ExportRaw!$G345</f>
        <v>0</v>
      </c>
      <c r="D345" s="133" t="str">
        <f aca="false">ExportRaw!$E345</f>
        <v/>
      </c>
      <c r="E345" s="134" t="str">
        <f aca="false">ExportRaw!$D345</f>
        <v/>
      </c>
      <c r="F345" s="133" t="str">
        <f aca="false">ExportRaw!$H345</f>
        <v/>
      </c>
      <c r="G345" s="135" t="str">
        <f aca="false">ExportRaw!$I345</f>
        <v/>
      </c>
      <c r="H345" s="133" t="str">
        <f aca="false">ExportRaw!$A345</f>
        <v/>
      </c>
      <c r="I345" s="133" t="str">
        <f aca="false">ExportRaw!$B345</f>
        <v/>
      </c>
    </row>
    <row r="346" customFormat="false" ht="15.75" hidden="false" customHeight="false" outlineLevel="0" collapsed="false">
      <c r="A346" s="133" t="n">
        <f aca="false">ExportRaw!$F346</f>
        <v>0</v>
      </c>
      <c r="B346" s="133" t="n">
        <f aca="false">ExportRaw!$C346</f>
        <v>0</v>
      </c>
      <c r="C346" s="133" t="n">
        <f aca="false">ExportRaw!$G346</f>
        <v>0</v>
      </c>
      <c r="D346" s="133" t="str">
        <f aca="false">ExportRaw!$E346</f>
        <v/>
      </c>
      <c r="E346" s="134" t="str">
        <f aca="false">ExportRaw!$D346</f>
        <v/>
      </c>
      <c r="F346" s="133" t="str">
        <f aca="false">ExportRaw!$H346</f>
        <v/>
      </c>
      <c r="G346" s="135" t="str">
        <f aca="false">ExportRaw!$I346</f>
        <v/>
      </c>
      <c r="H346" s="133" t="str">
        <f aca="false">ExportRaw!$A346</f>
        <v/>
      </c>
      <c r="I346" s="133" t="str">
        <f aca="false">ExportRaw!$B346</f>
        <v/>
      </c>
    </row>
    <row r="347" customFormat="false" ht="15.75" hidden="false" customHeight="false" outlineLevel="0" collapsed="false">
      <c r="A347" s="133" t="n">
        <f aca="false">ExportRaw!$F347</f>
        <v>0</v>
      </c>
      <c r="B347" s="133" t="n">
        <f aca="false">ExportRaw!$C347</f>
        <v>0</v>
      </c>
      <c r="C347" s="133" t="n">
        <f aca="false">ExportRaw!$G347</f>
        <v>0</v>
      </c>
      <c r="D347" s="133" t="str">
        <f aca="false">ExportRaw!$E347</f>
        <v/>
      </c>
      <c r="E347" s="134" t="str">
        <f aca="false">ExportRaw!$D347</f>
        <v/>
      </c>
      <c r="F347" s="133" t="str">
        <f aca="false">ExportRaw!$H347</f>
        <v/>
      </c>
      <c r="G347" s="135" t="str">
        <f aca="false">ExportRaw!$I347</f>
        <v/>
      </c>
      <c r="H347" s="133" t="str">
        <f aca="false">ExportRaw!$A347</f>
        <v/>
      </c>
      <c r="I347" s="133" t="str">
        <f aca="false">ExportRaw!$B347</f>
        <v/>
      </c>
    </row>
    <row r="348" customFormat="false" ht="15.75" hidden="false" customHeight="false" outlineLevel="0" collapsed="false">
      <c r="A348" s="133" t="n">
        <f aca="false">ExportRaw!$F348</f>
        <v>0</v>
      </c>
      <c r="B348" s="133" t="n">
        <f aca="false">ExportRaw!$C348</f>
        <v>0</v>
      </c>
      <c r="C348" s="133" t="n">
        <f aca="false">ExportRaw!$G348</f>
        <v>0</v>
      </c>
      <c r="D348" s="133" t="str">
        <f aca="false">ExportRaw!$E348</f>
        <v/>
      </c>
      <c r="E348" s="134" t="str">
        <f aca="false">ExportRaw!$D348</f>
        <v/>
      </c>
      <c r="F348" s="133" t="str">
        <f aca="false">ExportRaw!$H348</f>
        <v/>
      </c>
      <c r="G348" s="135" t="str">
        <f aca="false">ExportRaw!$I348</f>
        <v/>
      </c>
      <c r="H348" s="133" t="str">
        <f aca="false">ExportRaw!$A348</f>
        <v/>
      </c>
      <c r="I348" s="133" t="str">
        <f aca="false">ExportRaw!$B348</f>
        <v/>
      </c>
    </row>
    <row r="349" customFormat="false" ht="15.75" hidden="false" customHeight="false" outlineLevel="0" collapsed="false">
      <c r="A349" s="133" t="n">
        <f aca="false">ExportRaw!$F349</f>
        <v>0</v>
      </c>
      <c r="B349" s="133" t="n">
        <f aca="false">ExportRaw!$C349</f>
        <v>0</v>
      </c>
      <c r="C349" s="133" t="n">
        <f aca="false">ExportRaw!$G349</f>
        <v>0</v>
      </c>
      <c r="D349" s="133" t="str">
        <f aca="false">ExportRaw!$E349</f>
        <v/>
      </c>
      <c r="E349" s="134" t="str">
        <f aca="false">ExportRaw!$D349</f>
        <v/>
      </c>
      <c r="F349" s="133" t="str">
        <f aca="false">ExportRaw!$H349</f>
        <v/>
      </c>
      <c r="G349" s="135" t="str">
        <f aca="false">ExportRaw!$I349</f>
        <v/>
      </c>
      <c r="H349" s="133" t="str">
        <f aca="false">ExportRaw!$A349</f>
        <v/>
      </c>
      <c r="I349" s="133" t="str">
        <f aca="false">ExportRaw!$B349</f>
        <v/>
      </c>
    </row>
    <row r="350" customFormat="false" ht="15.75" hidden="false" customHeight="false" outlineLevel="0" collapsed="false">
      <c r="A350" s="133" t="n">
        <f aca="false">ExportRaw!$F350</f>
        <v>0</v>
      </c>
      <c r="B350" s="133" t="n">
        <f aca="false">ExportRaw!$C350</f>
        <v>0</v>
      </c>
      <c r="C350" s="133" t="n">
        <f aca="false">ExportRaw!$G350</f>
        <v>0</v>
      </c>
      <c r="D350" s="133" t="str">
        <f aca="false">ExportRaw!$E350</f>
        <v/>
      </c>
      <c r="E350" s="134" t="str">
        <f aca="false">ExportRaw!$D350</f>
        <v/>
      </c>
      <c r="F350" s="133" t="str">
        <f aca="false">ExportRaw!$H350</f>
        <v/>
      </c>
      <c r="G350" s="135" t="str">
        <f aca="false">ExportRaw!$I350</f>
        <v/>
      </c>
      <c r="H350" s="133" t="str">
        <f aca="false">ExportRaw!$A350</f>
        <v/>
      </c>
      <c r="I350" s="133" t="str">
        <f aca="false">ExportRaw!$B350</f>
        <v/>
      </c>
    </row>
    <row r="351" customFormat="false" ht="15.75" hidden="false" customHeight="false" outlineLevel="0" collapsed="false">
      <c r="A351" s="133" t="n">
        <f aca="false">ExportRaw!$F351</f>
        <v>0</v>
      </c>
      <c r="B351" s="133" t="n">
        <f aca="false">ExportRaw!$C351</f>
        <v>0</v>
      </c>
      <c r="C351" s="133" t="n">
        <f aca="false">ExportRaw!$G351</f>
        <v>0</v>
      </c>
      <c r="D351" s="133" t="str">
        <f aca="false">ExportRaw!$E351</f>
        <v/>
      </c>
      <c r="E351" s="134" t="str">
        <f aca="false">ExportRaw!$D351</f>
        <v/>
      </c>
      <c r="F351" s="133" t="str">
        <f aca="false">ExportRaw!$H351</f>
        <v/>
      </c>
      <c r="G351" s="135" t="str">
        <f aca="false">ExportRaw!$I351</f>
        <v/>
      </c>
      <c r="H351" s="133" t="str">
        <f aca="false">ExportRaw!$A351</f>
        <v/>
      </c>
      <c r="I351" s="133" t="str">
        <f aca="false">ExportRaw!$B351</f>
        <v/>
      </c>
    </row>
    <row r="352" customFormat="false" ht="15.75" hidden="false" customHeight="false" outlineLevel="0" collapsed="false">
      <c r="A352" s="133" t="n">
        <f aca="false">ExportRaw!$F352</f>
        <v>0</v>
      </c>
      <c r="B352" s="133" t="n">
        <f aca="false">ExportRaw!$C352</f>
        <v>0</v>
      </c>
      <c r="C352" s="133" t="n">
        <f aca="false">ExportRaw!$G352</f>
        <v>0</v>
      </c>
      <c r="D352" s="133" t="str">
        <f aca="false">ExportRaw!$E352</f>
        <v/>
      </c>
      <c r="E352" s="134" t="str">
        <f aca="false">ExportRaw!$D352</f>
        <v/>
      </c>
      <c r="F352" s="133" t="str">
        <f aca="false">ExportRaw!$H352</f>
        <v/>
      </c>
      <c r="G352" s="135" t="str">
        <f aca="false">ExportRaw!$I352</f>
        <v/>
      </c>
      <c r="H352" s="133" t="str">
        <f aca="false">ExportRaw!$A352</f>
        <v/>
      </c>
      <c r="I352" s="133" t="str">
        <f aca="false">ExportRaw!$B352</f>
        <v/>
      </c>
    </row>
    <row r="353" customFormat="false" ht="15.75" hidden="false" customHeight="false" outlineLevel="0" collapsed="false">
      <c r="A353" s="133" t="n">
        <f aca="false">ExportRaw!$F353</f>
        <v>0</v>
      </c>
      <c r="B353" s="133" t="n">
        <f aca="false">ExportRaw!$C353</f>
        <v>0</v>
      </c>
      <c r="C353" s="133" t="n">
        <f aca="false">ExportRaw!$G353</f>
        <v>0</v>
      </c>
      <c r="D353" s="133" t="str">
        <f aca="false">ExportRaw!$E353</f>
        <v/>
      </c>
      <c r="E353" s="134" t="str">
        <f aca="false">ExportRaw!$D353</f>
        <v/>
      </c>
      <c r="F353" s="133" t="str">
        <f aca="false">ExportRaw!$H353</f>
        <v/>
      </c>
      <c r="G353" s="135" t="str">
        <f aca="false">ExportRaw!$I353</f>
        <v/>
      </c>
      <c r="H353" s="133" t="str">
        <f aca="false">ExportRaw!$A353</f>
        <v/>
      </c>
      <c r="I353" s="133" t="str">
        <f aca="false">ExportRaw!$B353</f>
        <v/>
      </c>
    </row>
    <row r="354" customFormat="false" ht="15.75" hidden="false" customHeight="false" outlineLevel="0" collapsed="false">
      <c r="A354" s="133" t="n">
        <f aca="false">ExportRaw!$F354</f>
        <v>0</v>
      </c>
      <c r="B354" s="133" t="n">
        <f aca="false">ExportRaw!$C354</f>
        <v>0</v>
      </c>
      <c r="C354" s="133" t="n">
        <f aca="false">ExportRaw!$G354</f>
        <v>0</v>
      </c>
      <c r="D354" s="133" t="str">
        <f aca="false">ExportRaw!$E354</f>
        <v/>
      </c>
      <c r="E354" s="134" t="str">
        <f aca="false">ExportRaw!$D354</f>
        <v/>
      </c>
      <c r="F354" s="133" t="str">
        <f aca="false">ExportRaw!$H354</f>
        <v/>
      </c>
      <c r="G354" s="135" t="str">
        <f aca="false">ExportRaw!$I354</f>
        <v/>
      </c>
      <c r="H354" s="133" t="str">
        <f aca="false">ExportRaw!$A354</f>
        <v/>
      </c>
      <c r="I354" s="133" t="str">
        <f aca="false">ExportRaw!$B354</f>
        <v/>
      </c>
    </row>
    <row r="355" customFormat="false" ht="15.75" hidden="false" customHeight="false" outlineLevel="0" collapsed="false">
      <c r="A355" s="133" t="n">
        <f aca="false">ExportRaw!$F355</f>
        <v>0</v>
      </c>
      <c r="B355" s="133" t="n">
        <f aca="false">ExportRaw!$C355</f>
        <v>0</v>
      </c>
      <c r="C355" s="133" t="n">
        <f aca="false">ExportRaw!$G355</f>
        <v>0</v>
      </c>
      <c r="D355" s="133" t="str">
        <f aca="false">ExportRaw!$E355</f>
        <v/>
      </c>
      <c r="E355" s="134" t="str">
        <f aca="false">ExportRaw!$D355</f>
        <v/>
      </c>
      <c r="F355" s="133" t="str">
        <f aca="false">ExportRaw!$H355</f>
        <v/>
      </c>
      <c r="G355" s="135" t="str">
        <f aca="false">ExportRaw!$I355</f>
        <v/>
      </c>
      <c r="H355" s="133" t="str">
        <f aca="false">ExportRaw!$A355</f>
        <v/>
      </c>
      <c r="I355" s="133" t="str">
        <f aca="false">ExportRaw!$B355</f>
        <v/>
      </c>
    </row>
    <row r="356" customFormat="false" ht="15.75" hidden="false" customHeight="false" outlineLevel="0" collapsed="false">
      <c r="A356" s="133" t="n">
        <f aca="false">ExportRaw!$F356</f>
        <v>0</v>
      </c>
      <c r="B356" s="133" t="n">
        <f aca="false">ExportRaw!$C356</f>
        <v>0</v>
      </c>
      <c r="C356" s="133" t="n">
        <f aca="false">ExportRaw!$G356</f>
        <v>0</v>
      </c>
      <c r="D356" s="133" t="str">
        <f aca="false">ExportRaw!$E356</f>
        <v/>
      </c>
      <c r="E356" s="134" t="str">
        <f aca="false">ExportRaw!$D356</f>
        <v/>
      </c>
      <c r="F356" s="133" t="str">
        <f aca="false">ExportRaw!$H356</f>
        <v/>
      </c>
      <c r="G356" s="135" t="str">
        <f aca="false">ExportRaw!$I356</f>
        <v/>
      </c>
      <c r="H356" s="133" t="str">
        <f aca="false">ExportRaw!$A356</f>
        <v/>
      </c>
      <c r="I356" s="133" t="str">
        <f aca="false">ExportRaw!$B356</f>
        <v/>
      </c>
    </row>
    <row r="357" customFormat="false" ht="15.75" hidden="false" customHeight="false" outlineLevel="0" collapsed="false">
      <c r="A357" s="133" t="n">
        <f aca="false">ExportRaw!$F357</f>
        <v>0</v>
      </c>
      <c r="B357" s="133" t="n">
        <f aca="false">ExportRaw!$C357</f>
        <v>0</v>
      </c>
      <c r="C357" s="133" t="n">
        <f aca="false">ExportRaw!$G357</f>
        <v>0</v>
      </c>
      <c r="D357" s="133" t="str">
        <f aca="false">ExportRaw!$E357</f>
        <v/>
      </c>
      <c r="E357" s="134" t="str">
        <f aca="false">ExportRaw!$D357</f>
        <v/>
      </c>
      <c r="F357" s="133" t="str">
        <f aca="false">ExportRaw!$H357</f>
        <v/>
      </c>
      <c r="G357" s="135" t="str">
        <f aca="false">ExportRaw!$I357</f>
        <v/>
      </c>
      <c r="H357" s="133" t="str">
        <f aca="false">ExportRaw!$A357</f>
        <v/>
      </c>
      <c r="I357" s="133" t="str">
        <f aca="false">ExportRaw!$B357</f>
        <v/>
      </c>
    </row>
    <row r="358" customFormat="false" ht="15.75" hidden="false" customHeight="false" outlineLevel="0" collapsed="false">
      <c r="A358" s="133" t="n">
        <f aca="false">ExportRaw!$F358</f>
        <v>0</v>
      </c>
      <c r="B358" s="133" t="n">
        <f aca="false">ExportRaw!$C358</f>
        <v>0</v>
      </c>
      <c r="C358" s="133" t="n">
        <f aca="false">ExportRaw!$G358</f>
        <v>0</v>
      </c>
      <c r="D358" s="133" t="str">
        <f aca="false">ExportRaw!$E358</f>
        <v/>
      </c>
      <c r="E358" s="134" t="str">
        <f aca="false">ExportRaw!$D358</f>
        <v/>
      </c>
      <c r="F358" s="133" t="str">
        <f aca="false">ExportRaw!$H358</f>
        <v/>
      </c>
      <c r="G358" s="135" t="str">
        <f aca="false">ExportRaw!$I358</f>
        <v/>
      </c>
      <c r="H358" s="133" t="str">
        <f aca="false">ExportRaw!$A358</f>
        <v/>
      </c>
      <c r="I358" s="133" t="str">
        <f aca="false">ExportRaw!$B358</f>
        <v/>
      </c>
    </row>
    <row r="359" customFormat="false" ht="15.75" hidden="false" customHeight="false" outlineLevel="0" collapsed="false">
      <c r="A359" s="133" t="n">
        <f aca="false">ExportRaw!$F359</f>
        <v>0</v>
      </c>
      <c r="B359" s="133" t="n">
        <f aca="false">ExportRaw!$C359</f>
        <v>0</v>
      </c>
      <c r="C359" s="133" t="n">
        <f aca="false">ExportRaw!$G359</f>
        <v>0</v>
      </c>
      <c r="D359" s="133" t="str">
        <f aca="false">ExportRaw!$E359</f>
        <v/>
      </c>
      <c r="E359" s="134" t="str">
        <f aca="false">ExportRaw!$D359</f>
        <v/>
      </c>
      <c r="F359" s="133" t="str">
        <f aca="false">ExportRaw!$H359</f>
        <v/>
      </c>
      <c r="G359" s="135" t="str">
        <f aca="false">ExportRaw!$I359</f>
        <v/>
      </c>
      <c r="H359" s="133" t="str">
        <f aca="false">ExportRaw!$A359</f>
        <v/>
      </c>
      <c r="I359" s="133" t="str">
        <f aca="false">ExportRaw!$B359</f>
        <v/>
      </c>
    </row>
    <row r="360" customFormat="false" ht="15.75" hidden="false" customHeight="false" outlineLevel="0" collapsed="false">
      <c r="A360" s="133" t="n">
        <f aca="false">ExportRaw!$F360</f>
        <v>0</v>
      </c>
      <c r="B360" s="133" t="n">
        <f aca="false">ExportRaw!$C360</f>
        <v>0</v>
      </c>
      <c r="C360" s="133" t="n">
        <f aca="false">ExportRaw!$G360</f>
        <v>0</v>
      </c>
      <c r="D360" s="133" t="str">
        <f aca="false">ExportRaw!$E360</f>
        <v/>
      </c>
      <c r="E360" s="134" t="str">
        <f aca="false">ExportRaw!$D360</f>
        <v/>
      </c>
      <c r="F360" s="133" t="str">
        <f aca="false">ExportRaw!$H360</f>
        <v/>
      </c>
      <c r="G360" s="135" t="str">
        <f aca="false">ExportRaw!$I360</f>
        <v/>
      </c>
      <c r="H360" s="133" t="str">
        <f aca="false">ExportRaw!$A360</f>
        <v/>
      </c>
      <c r="I360" s="133" t="str">
        <f aca="false">ExportRaw!$B360</f>
        <v/>
      </c>
    </row>
    <row r="361" customFormat="false" ht="15.75" hidden="false" customHeight="false" outlineLevel="0" collapsed="false">
      <c r="A361" s="133" t="n">
        <f aca="false">ExportRaw!$F361</f>
        <v>0</v>
      </c>
      <c r="B361" s="133" t="n">
        <f aca="false">ExportRaw!$C361</f>
        <v>0</v>
      </c>
      <c r="C361" s="133" t="n">
        <f aca="false">ExportRaw!$G361</f>
        <v>0</v>
      </c>
      <c r="D361" s="133" t="str">
        <f aca="false">ExportRaw!$E361</f>
        <v/>
      </c>
      <c r="E361" s="134" t="str">
        <f aca="false">ExportRaw!$D361</f>
        <v/>
      </c>
      <c r="F361" s="133" t="str">
        <f aca="false">ExportRaw!$H361</f>
        <v/>
      </c>
      <c r="G361" s="135" t="str">
        <f aca="false">ExportRaw!$I361</f>
        <v/>
      </c>
      <c r="H361" s="133" t="str">
        <f aca="false">ExportRaw!$A361</f>
        <v/>
      </c>
      <c r="I361" s="133" t="str">
        <f aca="false">ExportRaw!$B361</f>
        <v/>
      </c>
    </row>
    <row r="362" customFormat="false" ht="15.75" hidden="false" customHeight="false" outlineLevel="0" collapsed="false">
      <c r="A362" s="133" t="n">
        <f aca="false">ExportRaw!$F362</f>
        <v>0</v>
      </c>
      <c r="B362" s="133" t="n">
        <f aca="false">ExportRaw!$C362</f>
        <v>0</v>
      </c>
      <c r="C362" s="133" t="n">
        <f aca="false">ExportRaw!$G362</f>
        <v>0</v>
      </c>
      <c r="D362" s="133" t="str">
        <f aca="false">ExportRaw!$E362</f>
        <v/>
      </c>
      <c r="E362" s="134" t="str">
        <f aca="false">ExportRaw!$D362</f>
        <v/>
      </c>
      <c r="F362" s="133" t="str">
        <f aca="false">ExportRaw!$H362</f>
        <v/>
      </c>
      <c r="G362" s="135" t="str">
        <f aca="false">ExportRaw!$I362</f>
        <v/>
      </c>
      <c r="H362" s="133" t="str">
        <f aca="false">ExportRaw!$A362</f>
        <v/>
      </c>
      <c r="I362" s="133" t="str">
        <f aca="false">ExportRaw!$B362</f>
        <v/>
      </c>
    </row>
    <row r="363" customFormat="false" ht="15.75" hidden="false" customHeight="false" outlineLevel="0" collapsed="false">
      <c r="A363" s="133" t="n">
        <f aca="false">ExportRaw!$F363</f>
        <v>0</v>
      </c>
      <c r="B363" s="133" t="n">
        <f aca="false">ExportRaw!$C363</f>
        <v>0</v>
      </c>
      <c r="C363" s="133" t="n">
        <f aca="false">ExportRaw!$G363</f>
        <v>0</v>
      </c>
      <c r="D363" s="133" t="str">
        <f aca="false">ExportRaw!$E363</f>
        <v/>
      </c>
      <c r="E363" s="134" t="str">
        <f aca="false">ExportRaw!$D363</f>
        <v/>
      </c>
      <c r="F363" s="133" t="str">
        <f aca="false">ExportRaw!$H363</f>
        <v/>
      </c>
      <c r="G363" s="135" t="str">
        <f aca="false">ExportRaw!$I363</f>
        <v/>
      </c>
      <c r="H363" s="133" t="str">
        <f aca="false">ExportRaw!$A363</f>
        <v/>
      </c>
      <c r="I363" s="133" t="str">
        <f aca="false">ExportRaw!$B363</f>
        <v/>
      </c>
    </row>
    <row r="364" customFormat="false" ht="15.75" hidden="false" customHeight="false" outlineLevel="0" collapsed="false">
      <c r="A364" s="133" t="n">
        <f aca="false">ExportRaw!$F364</f>
        <v>0</v>
      </c>
      <c r="B364" s="133" t="n">
        <f aca="false">ExportRaw!$C364</f>
        <v>0</v>
      </c>
      <c r="C364" s="133" t="n">
        <f aca="false">ExportRaw!$G364</f>
        <v>0</v>
      </c>
      <c r="D364" s="133" t="str">
        <f aca="false">ExportRaw!$E364</f>
        <v/>
      </c>
      <c r="E364" s="134" t="str">
        <f aca="false">ExportRaw!$D364</f>
        <v/>
      </c>
      <c r="F364" s="133" t="str">
        <f aca="false">ExportRaw!$H364</f>
        <v/>
      </c>
      <c r="G364" s="135" t="str">
        <f aca="false">ExportRaw!$I364</f>
        <v/>
      </c>
      <c r="H364" s="133" t="str">
        <f aca="false">ExportRaw!$A364</f>
        <v/>
      </c>
      <c r="I364" s="133" t="str">
        <f aca="false">ExportRaw!$B364</f>
        <v/>
      </c>
    </row>
    <row r="365" customFormat="false" ht="15.75" hidden="false" customHeight="false" outlineLevel="0" collapsed="false">
      <c r="A365" s="133" t="n">
        <f aca="false">ExportRaw!$F365</f>
        <v>0</v>
      </c>
      <c r="B365" s="133" t="n">
        <f aca="false">ExportRaw!$C365</f>
        <v>0</v>
      </c>
      <c r="C365" s="133" t="n">
        <f aca="false">ExportRaw!$G365</f>
        <v>0</v>
      </c>
      <c r="D365" s="133" t="str">
        <f aca="false">ExportRaw!$E365</f>
        <v/>
      </c>
      <c r="E365" s="134" t="str">
        <f aca="false">ExportRaw!$D365</f>
        <v/>
      </c>
      <c r="F365" s="133" t="str">
        <f aca="false">ExportRaw!$H365</f>
        <v/>
      </c>
      <c r="G365" s="135" t="str">
        <f aca="false">ExportRaw!$I365</f>
        <v/>
      </c>
      <c r="H365" s="133" t="str">
        <f aca="false">ExportRaw!$A365</f>
        <v/>
      </c>
      <c r="I365" s="133" t="str">
        <f aca="false">ExportRaw!$B365</f>
        <v/>
      </c>
    </row>
    <row r="366" customFormat="false" ht="15.75" hidden="false" customHeight="false" outlineLevel="0" collapsed="false">
      <c r="A366" s="133" t="n">
        <f aca="false">ExportRaw!$F366</f>
        <v>0</v>
      </c>
      <c r="B366" s="133" t="n">
        <f aca="false">ExportRaw!$C366</f>
        <v>0</v>
      </c>
      <c r="C366" s="133" t="n">
        <f aca="false">ExportRaw!$G366</f>
        <v>0</v>
      </c>
      <c r="D366" s="133" t="str">
        <f aca="false">ExportRaw!$E366</f>
        <v/>
      </c>
      <c r="E366" s="134" t="str">
        <f aca="false">ExportRaw!$D366</f>
        <v/>
      </c>
      <c r="F366" s="133" t="str">
        <f aca="false">ExportRaw!$H366</f>
        <v/>
      </c>
      <c r="G366" s="135" t="str">
        <f aca="false">ExportRaw!$I366</f>
        <v/>
      </c>
      <c r="H366" s="133" t="str">
        <f aca="false">ExportRaw!$A366</f>
        <v/>
      </c>
      <c r="I366" s="133" t="str">
        <f aca="false">ExportRaw!$B366</f>
        <v/>
      </c>
    </row>
    <row r="367" customFormat="false" ht="15.75" hidden="false" customHeight="false" outlineLevel="0" collapsed="false">
      <c r="A367" s="133" t="n">
        <f aca="false">ExportRaw!$F367</f>
        <v>0</v>
      </c>
      <c r="B367" s="133" t="n">
        <f aca="false">ExportRaw!$C367</f>
        <v>0</v>
      </c>
      <c r="C367" s="133" t="n">
        <f aca="false">ExportRaw!$G367</f>
        <v>0</v>
      </c>
      <c r="D367" s="133" t="str">
        <f aca="false">ExportRaw!$E367</f>
        <v/>
      </c>
      <c r="E367" s="134" t="str">
        <f aca="false">ExportRaw!$D367</f>
        <v/>
      </c>
      <c r="F367" s="133" t="str">
        <f aca="false">ExportRaw!$H367</f>
        <v/>
      </c>
      <c r="G367" s="135" t="str">
        <f aca="false">ExportRaw!$I367</f>
        <v/>
      </c>
      <c r="H367" s="133" t="str">
        <f aca="false">ExportRaw!$A367</f>
        <v/>
      </c>
      <c r="I367" s="133" t="str">
        <f aca="false">ExportRaw!$B367</f>
        <v/>
      </c>
    </row>
    <row r="368" customFormat="false" ht="15.75" hidden="false" customHeight="false" outlineLevel="0" collapsed="false">
      <c r="A368" s="133" t="n">
        <f aca="false">ExportRaw!$F368</f>
        <v>0</v>
      </c>
      <c r="B368" s="133" t="n">
        <f aca="false">ExportRaw!$C368</f>
        <v>0</v>
      </c>
      <c r="C368" s="133" t="n">
        <f aca="false">ExportRaw!$G368</f>
        <v>0</v>
      </c>
      <c r="D368" s="133" t="str">
        <f aca="false">ExportRaw!$E368</f>
        <v/>
      </c>
      <c r="E368" s="134" t="str">
        <f aca="false">ExportRaw!$D368</f>
        <v/>
      </c>
      <c r="F368" s="133" t="str">
        <f aca="false">ExportRaw!$H368</f>
        <v/>
      </c>
      <c r="G368" s="135" t="str">
        <f aca="false">ExportRaw!$I368</f>
        <v/>
      </c>
      <c r="H368" s="133" t="str">
        <f aca="false">ExportRaw!$A368</f>
        <v/>
      </c>
      <c r="I368" s="133" t="str">
        <f aca="false">ExportRaw!$B368</f>
        <v/>
      </c>
    </row>
    <row r="369" customFormat="false" ht="15.75" hidden="false" customHeight="false" outlineLevel="0" collapsed="false">
      <c r="A369" s="133" t="n">
        <f aca="false">ExportRaw!$F369</f>
        <v>0</v>
      </c>
      <c r="B369" s="133" t="n">
        <f aca="false">ExportRaw!$C369</f>
        <v>0</v>
      </c>
      <c r="C369" s="133" t="n">
        <f aca="false">ExportRaw!$G369</f>
        <v>0</v>
      </c>
      <c r="D369" s="133" t="str">
        <f aca="false">ExportRaw!$E369</f>
        <v/>
      </c>
      <c r="E369" s="134" t="str">
        <f aca="false">ExportRaw!$D369</f>
        <v/>
      </c>
      <c r="F369" s="133" t="str">
        <f aca="false">ExportRaw!$H369</f>
        <v/>
      </c>
      <c r="G369" s="135" t="str">
        <f aca="false">ExportRaw!$I369</f>
        <v/>
      </c>
      <c r="H369" s="133" t="str">
        <f aca="false">ExportRaw!$A369</f>
        <v/>
      </c>
      <c r="I369" s="133" t="str">
        <f aca="false">ExportRaw!$B369</f>
        <v/>
      </c>
    </row>
    <row r="370" customFormat="false" ht="15.75" hidden="false" customHeight="false" outlineLevel="0" collapsed="false">
      <c r="A370" s="133" t="n">
        <f aca="false">ExportRaw!$F370</f>
        <v>0</v>
      </c>
      <c r="B370" s="133" t="n">
        <f aca="false">ExportRaw!$C370</f>
        <v>0</v>
      </c>
      <c r="C370" s="133" t="n">
        <f aca="false">ExportRaw!$G370</f>
        <v>0</v>
      </c>
      <c r="D370" s="133" t="str">
        <f aca="false">ExportRaw!$E370</f>
        <v/>
      </c>
      <c r="E370" s="134" t="str">
        <f aca="false">ExportRaw!$D370</f>
        <v/>
      </c>
      <c r="F370" s="133" t="str">
        <f aca="false">ExportRaw!$H370</f>
        <v/>
      </c>
      <c r="G370" s="135" t="str">
        <f aca="false">ExportRaw!$I370</f>
        <v/>
      </c>
      <c r="H370" s="133" t="str">
        <f aca="false">ExportRaw!$A370</f>
        <v/>
      </c>
      <c r="I370" s="133" t="str">
        <f aca="false">ExportRaw!$B370</f>
        <v/>
      </c>
    </row>
    <row r="371" customFormat="false" ht="15.75" hidden="false" customHeight="false" outlineLevel="0" collapsed="false">
      <c r="A371" s="133" t="n">
        <f aca="false">ExportRaw!$F371</f>
        <v>0</v>
      </c>
      <c r="B371" s="133" t="n">
        <f aca="false">ExportRaw!$C371</f>
        <v>0</v>
      </c>
      <c r="C371" s="133" t="n">
        <f aca="false">ExportRaw!$G371</f>
        <v>0</v>
      </c>
      <c r="D371" s="133" t="str">
        <f aca="false">ExportRaw!$E371</f>
        <v/>
      </c>
      <c r="E371" s="134" t="str">
        <f aca="false">ExportRaw!$D371</f>
        <v/>
      </c>
      <c r="F371" s="133" t="str">
        <f aca="false">ExportRaw!$H371</f>
        <v/>
      </c>
      <c r="G371" s="135" t="str">
        <f aca="false">ExportRaw!$I371</f>
        <v/>
      </c>
      <c r="H371" s="133" t="str">
        <f aca="false">ExportRaw!$A371</f>
        <v/>
      </c>
      <c r="I371" s="133" t="str">
        <f aca="false">ExportRaw!$B371</f>
        <v/>
      </c>
    </row>
    <row r="372" customFormat="false" ht="15.75" hidden="false" customHeight="false" outlineLevel="0" collapsed="false">
      <c r="A372" s="133" t="n">
        <f aca="false">ExportRaw!$F372</f>
        <v>0</v>
      </c>
      <c r="B372" s="133" t="n">
        <f aca="false">ExportRaw!$C372</f>
        <v>0</v>
      </c>
      <c r="C372" s="133" t="n">
        <f aca="false">ExportRaw!$G372</f>
        <v>0</v>
      </c>
      <c r="D372" s="133" t="str">
        <f aca="false">ExportRaw!$E372</f>
        <v/>
      </c>
      <c r="E372" s="134" t="str">
        <f aca="false">ExportRaw!$D372</f>
        <v/>
      </c>
      <c r="F372" s="133" t="str">
        <f aca="false">ExportRaw!$H372</f>
        <v/>
      </c>
      <c r="G372" s="135" t="str">
        <f aca="false">ExportRaw!$I372</f>
        <v/>
      </c>
      <c r="H372" s="133" t="str">
        <f aca="false">ExportRaw!$A372</f>
        <v/>
      </c>
      <c r="I372" s="133" t="str">
        <f aca="false">ExportRaw!$B372</f>
        <v/>
      </c>
    </row>
    <row r="373" customFormat="false" ht="15.75" hidden="false" customHeight="false" outlineLevel="0" collapsed="false">
      <c r="A373" s="133" t="n">
        <f aca="false">ExportRaw!$F373</f>
        <v>0</v>
      </c>
      <c r="B373" s="133" t="n">
        <f aca="false">ExportRaw!$C373</f>
        <v>0</v>
      </c>
      <c r="C373" s="133" t="n">
        <f aca="false">ExportRaw!$G373</f>
        <v>0</v>
      </c>
      <c r="D373" s="133" t="str">
        <f aca="false">ExportRaw!$E373</f>
        <v/>
      </c>
      <c r="E373" s="134" t="str">
        <f aca="false">ExportRaw!$D373</f>
        <v/>
      </c>
      <c r="F373" s="133" t="str">
        <f aca="false">ExportRaw!$H373</f>
        <v/>
      </c>
      <c r="G373" s="135" t="str">
        <f aca="false">ExportRaw!$I373</f>
        <v/>
      </c>
      <c r="H373" s="133" t="str">
        <f aca="false">ExportRaw!$A373</f>
        <v/>
      </c>
      <c r="I373" s="133" t="str">
        <f aca="false">ExportRaw!$B373</f>
        <v/>
      </c>
    </row>
    <row r="374" customFormat="false" ht="15.75" hidden="false" customHeight="false" outlineLevel="0" collapsed="false">
      <c r="A374" s="133" t="n">
        <f aca="false">ExportRaw!$F374</f>
        <v>0</v>
      </c>
      <c r="B374" s="133" t="n">
        <f aca="false">ExportRaw!$C374</f>
        <v>0</v>
      </c>
      <c r="C374" s="133" t="n">
        <f aca="false">ExportRaw!$G374</f>
        <v>0</v>
      </c>
      <c r="D374" s="133" t="str">
        <f aca="false">ExportRaw!$E374</f>
        <v/>
      </c>
      <c r="E374" s="134" t="str">
        <f aca="false">ExportRaw!$D374</f>
        <v/>
      </c>
      <c r="F374" s="133" t="str">
        <f aca="false">ExportRaw!$H374</f>
        <v/>
      </c>
      <c r="G374" s="135" t="str">
        <f aca="false">ExportRaw!$I374</f>
        <v/>
      </c>
      <c r="H374" s="133" t="str">
        <f aca="false">ExportRaw!$A374</f>
        <v/>
      </c>
      <c r="I374" s="133" t="str">
        <f aca="false">ExportRaw!$B374</f>
        <v/>
      </c>
    </row>
    <row r="375" customFormat="false" ht="15.75" hidden="false" customHeight="false" outlineLevel="0" collapsed="false">
      <c r="A375" s="133" t="n">
        <f aca="false">ExportRaw!$F375</f>
        <v>0</v>
      </c>
      <c r="B375" s="133" t="n">
        <f aca="false">ExportRaw!$C375</f>
        <v>0</v>
      </c>
      <c r="C375" s="133" t="n">
        <f aca="false">ExportRaw!$G375</f>
        <v>0</v>
      </c>
      <c r="D375" s="133" t="str">
        <f aca="false">ExportRaw!$E375</f>
        <v/>
      </c>
      <c r="E375" s="134" t="str">
        <f aca="false">ExportRaw!$D375</f>
        <v/>
      </c>
      <c r="F375" s="133" t="str">
        <f aca="false">ExportRaw!$H375</f>
        <v/>
      </c>
      <c r="G375" s="135" t="str">
        <f aca="false">ExportRaw!$I375</f>
        <v/>
      </c>
      <c r="H375" s="133" t="str">
        <f aca="false">ExportRaw!$A375</f>
        <v/>
      </c>
      <c r="I375" s="133" t="str">
        <f aca="false">ExportRaw!$B375</f>
        <v/>
      </c>
    </row>
    <row r="376" customFormat="false" ht="15.75" hidden="false" customHeight="false" outlineLevel="0" collapsed="false">
      <c r="A376" s="133" t="n">
        <f aca="false">ExportRaw!$F376</f>
        <v>0</v>
      </c>
      <c r="B376" s="133" t="n">
        <f aca="false">ExportRaw!$C376</f>
        <v>0</v>
      </c>
      <c r="C376" s="133" t="n">
        <f aca="false">ExportRaw!$G376</f>
        <v>0</v>
      </c>
      <c r="D376" s="133" t="str">
        <f aca="false">ExportRaw!$E376</f>
        <v/>
      </c>
      <c r="E376" s="134" t="str">
        <f aca="false">ExportRaw!$D376</f>
        <v/>
      </c>
      <c r="F376" s="133" t="str">
        <f aca="false">ExportRaw!$H376</f>
        <v/>
      </c>
      <c r="G376" s="135" t="str">
        <f aca="false">ExportRaw!$I376</f>
        <v/>
      </c>
      <c r="H376" s="133" t="str">
        <f aca="false">ExportRaw!$A376</f>
        <v/>
      </c>
      <c r="I376" s="133" t="str">
        <f aca="false">ExportRaw!$B376</f>
        <v/>
      </c>
    </row>
    <row r="377" customFormat="false" ht="15.75" hidden="false" customHeight="false" outlineLevel="0" collapsed="false">
      <c r="A377" s="133" t="n">
        <f aca="false">ExportRaw!$F377</f>
        <v>0</v>
      </c>
      <c r="B377" s="133" t="n">
        <f aca="false">ExportRaw!$C377</f>
        <v>0</v>
      </c>
      <c r="C377" s="133" t="n">
        <f aca="false">ExportRaw!$G377</f>
        <v>0</v>
      </c>
      <c r="D377" s="133" t="str">
        <f aca="false">ExportRaw!$E377</f>
        <v/>
      </c>
      <c r="E377" s="134" t="str">
        <f aca="false">ExportRaw!$D377</f>
        <v/>
      </c>
      <c r="F377" s="133" t="str">
        <f aca="false">ExportRaw!$H377</f>
        <v/>
      </c>
      <c r="G377" s="135" t="str">
        <f aca="false">ExportRaw!$I377</f>
        <v/>
      </c>
      <c r="H377" s="133" t="str">
        <f aca="false">ExportRaw!$A377</f>
        <v/>
      </c>
      <c r="I377" s="133" t="str">
        <f aca="false">ExportRaw!$B377</f>
        <v/>
      </c>
    </row>
    <row r="378" customFormat="false" ht="15.75" hidden="false" customHeight="false" outlineLevel="0" collapsed="false">
      <c r="A378" s="133" t="n">
        <f aca="false">ExportRaw!$F378</f>
        <v>0</v>
      </c>
      <c r="B378" s="133" t="n">
        <f aca="false">ExportRaw!$C378</f>
        <v>0</v>
      </c>
      <c r="C378" s="133" t="n">
        <f aca="false">ExportRaw!$G378</f>
        <v>0</v>
      </c>
      <c r="D378" s="133" t="str">
        <f aca="false">ExportRaw!$E378</f>
        <v/>
      </c>
      <c r="E378" s="134" t="str">
        <f aca="false">ExportRaw!$D378</f>
        <v/>
      </c>
      <c r="F378" s="133" t="str">
        <f aca="false">ExportRaw!$H378</f>
        <v/>
      </c>
      <c r="G378" s="135" t="str">
        <f aca="false">ExportRaw!$I378</f>
        <v/>
      </c>
      <c r="H378" s="133" t="str">
        <f aca="false">ExportRaw!$A378</f>
        <v/>
      </c>
      <c r="I378" s="133" t="str">
        <f aca="false">ExportRaw!$B378</f>
        <v/>
      </c>
    </row>
    <row r="379" customFormat="false" ht="15.75" hidden="false" customHeight="false" outlineLevel="0" collapsed="false">
      <c r="A379" s="133" t="n">
        <f aca="false">ExportRaw!$F379</f>
        <v>0</v>
      </c>
      <c r="B379" s="133" t="n">
        <f aca="false">ExportRaw!$C379</f>
        <v>0</v>
      </c>
      <c r="C379" s="133" t="n">
        <f aca="false">ExportRaw!$G379</f>
        <v>0</v>
      </c>
      <c r="D379" s="133" t="str">
        <f aca="false">ExportRaw!$E379</f>
        <v/>
      </c>
      <c r="E379" s="134" t="str">
        <f aca="false">ExportRaw!$D379</f>
        <v/>
      </c>
      <c r="F379" s="133" t="str">
        <f aca="false">ExportRaw!$H379</f>
        <v/>
      </c>
      <c r="G379" s="135" t="str">
        <f aca="false">ExportRaw!$I379</f>
        <v/>
      </c>
      <c r="H379" s="133" t="str">
        <f aca="false">ExportRaw!$A379</f>
        <v/>
      </c>
      <c r="I379" s="133" t="str">
        <f aca="false">ExportRaw!$B379</f>
        <v/>
      </c>
    </row>
    <row r="380" customFormat="false" ht="15.75" hidden="false" customHeight="false" outlineLevel="0" collapsed="false">
      <c r="A380" s="133" t="n">
        <f aca="false">ExportRaw!$F380</f>
        <v>0</v>
      </c>
      <c r="B380" s="133" t="n">
        <f aca="false">ExportRaw!$C380</f>
        <v>0</v>
      </c>
      <c r="C380" s="133" t="n">
        <f aca="false">ExportRaw!$G380</f>
        <v>0</v>
      </c>
      <c r="D380" s="133" t="str">
        <f aca="false">ExportRaw!$E380</f>
        <v/>
      </c>
      <c r="E380" s="134" t="str">
        <f aca="false">ExportRaw!$D380</f>
        <v/>
      </c>
      <c r="F380" s="133" t="str">
        <f aca="false">ExportRaw!$H380</f>
        <v/>
      </c>
      <c r="G380" s="135" t="str">
        <f aca="false">ExportRaw!$I380</f>
        <v/>
      </c>
      <c r="H380" s="133" t="str">
        <f aca="false">ExportRaw!$A380</f>
        <v/>
      </c>
      <c r="I380" s="133" t="str">
        <f aca="false">ExportRaw!$B380</f>
        <v/>
      </c>
    </row>
    <row r="381" customFormat="false" ht="15.75" hidden="false" customHeight="false" outlineLevel="0" collapsed="false">
      <c r="A381" s="133" t="n">
        <f aca="false">ExportRaw!$F381</f>
        <v>0</v>
      </c>
      <c r="B381" s="133" t="n">
        <f aca="false">ExportRaw!$C381</f>
        <v>0</v>
      </c>
      <c r="C381" s="133" t="n">
        <f aca="false">ExportRaw!$G381</f>
        <v>0</v>
      </c>
      <c r="D381" s="133" t="str">
        <f aca="false">ExportRaw!$E381</f>
        <v/>
      </c>
      <c r="E381" s="134" t="str">
        <f aca="false">ExportRaw!$D381</f>
        <v/>
      </c>
      <c r="F381" s="133" t="str">
        <f aca="false">ExportRaw!$H381</f>
        <v/>
      </c>
      <c r="G381" s="135" t="str">
        <f aca="false">ExportRaw!$I381</f>
        <v/>
      </c>
      <c r="H381" s="133" t="str">
        <f aca="false">ExportRaw!$A381</f>
        <v/>
      </c>
      <c r="I381" s="133" t="str">
        <f aca="false">ExportRaw!$B381</f>
        <v/>
      </c>
    </row>
    <row r="382" customFormat="false" ht="15.75" hidden="false" customHeight="false" outlineLevel="0" collapsed="false">
      <c r="A382" s="133" t="n">
        <f aca="false">ExportRaw!$F382</f>
        <v>0</v>
      </c>
      <c r="B382" s="133" t="n">
        <f aca="false">ExportRaw!$C382</f>
        <v>0</v>
      </c>
      <c r="C382" s="133" t="n">
        <f aca="false">ExportRaw!$G382</f>
        <v>0</v>
      </c>
      <c r="D382" s="133" t="str">
        <f aca="false">ExportRaw!$E382</f>
        <v/>
      </c>
      <c r="E382" s="134" t="str">
        <f aca="false">ExportRaw!$D382</f>
        <v/>
      </c>
      <c r="F382" s="133" t="str">
        <f aca="false">ExportRaw!$H382</f>
        <v/>
      </c>
      <c r="G382" s="135" t="str">
        <f aca="false">ExportRaw!$I382</f>
        <v/>
      </c>
      <c r="H382" s="133" t="str">
        <f aca="false">ExportRaw!$A382</f>
        <v/>
      </c>
      <c r="I382" s="133" t="str">
        <f aca="false">ExportRaw!$B382</f>
        <v/>
      </c>
    </row>
    <row r="383" customFormat="false" ht="15.75" hidden="false" customHeight="false" outlineLevel="0" collapsed="false">
      <c r="A383" s="133" t="n">
        <f aca="false">ExportRaw!$F383</f>
        <v>0</v>
      </c>
      <c r="B383" s="133" t="n">
        <f aca="false">ExportRaw!$C383</f>
        <v>0</v>
      </c>
      <c r="C383" s="133" t="n">
        <f aca="false">ExportRaw!$G383</f>
        <v>0</v>
      </c>
      <c r="D383" s="133" t="str">
        <f aca="false">ExportRaw!$E383</f>
        <v/>
      </c>
      <c r="E383" s="134" t="str">
        <f aca="false">ExportRaw!$D383</f>
        <v/>
      </c>
      <c r="F383" s="133" t="str">
        <f aca="false">ExportRaw!$H383</f>
        <v/>
      </c>
      <c r="G383" s="135" t="str">
        <f aca="false">ExportRaw!$I383</f>
        <v/>
      </c>
      <c r="H383" s="133" t="str">
        <f aca="false">ExportRaw!$A383</f>
        <v/>
      </c>
      <c r="I383" s="133" t="str">
        <f aca="false">ExportRaw!$B383</f>
        <v/>
      </c>
    </row>
    <row r="384" customFormat="false" ht="15.75" hidden="false" customHeight="false" outlineLevel="0" collapsed="false">
      <c r="A384" s="133" t="n">
        <f aca="false">ExportRaw!$F384</f>
        <v>0</v>
      </c>
      <c r="B384" s="133" t="n">
        <f aca="false">ExportRaw!$C384</f>
        <v>0</v>
      </c>
      <c r="C384" s="133" t="n">
        <f aca="false">ExportRaw!$G384</f>
        <v>0</v>
      </c>
      <c r="D384" s="133" t="str">
        <f aca="false">ExportRaw!$E384</f>
        <v/>
      </c>
      <c r="E384" s="134" t="str">
        <f aca="false">ExportRaw!$D384</f>
        <v/>
      </c>
      <c r="F384" s="133" t="str">
        <f aca="false">ExportRaw!$H384</f>
        <v/>
      </c>
      <c r="G384" s="135" t="str">
        <f aca="false">ExportRaw!$I384</f>
        <v/>
      </c>
      <c r="H384" s="133" t="str">
        <f aca="false">ExportRaw!$A384</f>
        <v/>
      </c>
      <c r="I384" s="133" t="str">
        <f aca="false">ExportRaw!$B384</f>
        <v/>
      </c>
    </row>
    <row r="385" customFormat="false" ht="15.75" hidden="false" customHeight="false" outlineLevel="0" collapsed="false">
      <c r="A385" s="133" t="n">
        <f aca="false">ExportRaw!$F385</f>
        <v>0</v>
      </c>
      <c r="B385" s="133" t="n">
        <f aca="false">ExportRaw!$C385</f>
        <v>0</v>
      </c>
      <c r="C385" s="133" t="n">
        <f aca="false">ExportRaw!$G385</f>
        <v>0</v>
      </c>
      <c r="D385" s="133" t="str">
        <f aca="false">ExportRaw!$E385</f>
        <v/>
      </c>
      <c r="E385" s="134" t="str">
        <f aca="false">ExportRaw!$D385</f>
        <v/>
      </c>
      <c r="F385" s="133" t="str">
        <f aca="false">ExportRaw!$H385</f>
        <v/>
      </c>
      <c r="G385" s="135" t="str">
        <f aca="false">ExportRaw!$I385</f>
        <v/>
      </c>
      <c r="H385" s="133" t="str">
        <f aca="false">ExportRaw!$A385</f>
        <v/>
      </c>
      <c r="I385" s="133" t="str">
        <f aca="false">ExportRaw!$B385</f>
        <v/>
      </c>
    </row>
    <row r="386" customFormat="false" ht="15.75" hidden="false" customHeight="false" outlineLevel="0" collapsed="false">
      <c r="A386" s="133" t="n">
        <f aca="false">ExportRaw!$F386</f>
        <v>0</v>
      </c>
      <c r="B386" s="133" t="n">
        <f aca="false">ExportRaw!$C386</f>
        <v>0</v>
      </c>
      <c r="C386" s="133" t="n">
        <f aca="false">ExportRaw!$G386</f>
        <v>0</v>
      </c>
      <c r="D386" s="133" t="str">
        <f aca="false">ExportRaw!$E386</f>
        <v/>
      </c>
      <c r="E386" s="134" t="str">
        <f aca="false">ExportRaw!$D386</f>
        <v/>
      </c>
      <c r="F386" s="133" t="str">
        <f aca="false">ExportRaw!$H386</f>
        <v/>
      </c>
      <c r="G386" s="135" t="str">
        <f aca="false">ExportRaw!$I386</f>
        <v/>
      </c>
      <c r="H386" s="133" t="str">
        <f aca="false">ExportRaw!$A386</f>
        <v/>
      </c>
      <c r="I386" s="133" t="str">
        <f aca="false">ExportRaw!$B386</f>
        <v/>
      </c>
    </row>
    <row r="387" customFormat="false" ht="15.75" hidden="false" customHeight="false" outlineLevel="0" collapsed="false">
      <c r="A387" s="133" t="n">
        <f aca="false">ExportRaw!$F387</f>
        <v>0</v>
      </c>
      <c r="B387" s="133" t="n">
        <f aca="false">ExportRaw!$C387</f>
        <v>0</v>
      </c>
      <c r="C387" s="133" t="n">
        <f aca="false">ExportRaw!$G387</f>
        <v>0</v>
      </c>
      <c r="D387" s="133" t="str">
        <f aca="false">ExportRaw!$E387</f>
        <v/>
      </c>
      <c r="E387" s="134" t="str">
        <f aca="false">ExportRaw!$D387</f>
        <v/>
      </c>
      <c r="F387" s="133" t="str">
        <f aca="false">ExportRaw!$H387</f>
        <v/>
      </c>
      <c r="G387" s="135" t="str">
        <f aca="false">ExportRaw!$I387</f>
        <v/>
      </c>
      <c r="H387" s="133" t="str">
        <f aca="false">ExportRaw!$A387</f>
        <v/>
      </c>
      <c r="I387" s="133" t="str">
        <f aca="false">ExportRaw!$B387</f>
        <v/>
      </c>
    </row>
    <row r="388" customFormat="false" ht="15.75" hidden="false" customHeight="false" outlineLevel="0" collapsed="false">
      <c r="A388" s="133" t="n">
        <f aca="false">ExportRaw!$F388</f>
        <v>0</v>
      </c>
      <c r="B388" s="133" t="n">
        <f aca="false">ExportRaw!$C388</f>
        <v>0</v>
      </c>
      <c r="C388" s="133" t="n">
        <f aca="false">ExportRaw!$G388</f>
        <v>0</v>
      </c>
      <c r="D388" s="133" t="str">
        <f aca="false">ExportRaw!$E388</f>
        <v/>
      </c>
      <c r="E388" s="134" t="str">
        <f aca="false">ExportRaw!$D388</f>
        <v/>
      </c>
      <c r="F388" s="133" t="str">
        <f aca="false">ExportRaw!$H388</f>
        <v/>
      </c>
      <c r="G388" s="135" t="str">
        <f aca="false">ExportRaw!$I388</f>
        <v/>
      </c>
      <c r="H388" s="133" t="str">
        <f aca="false">ExportRaw!$A388</f>
        <v/>
      </c>
      <c r="I388" s="133" t="str">
        <f aca="false">ExportRaw!$B388</f>
        <v/>
      </c>
    </row>
    <row r="389" customFormat="false" ht="15.75" hidden="false" customHeight="false" outlineLevel="0" collapsed="false">
      <c r="A389" s="133" t="n">
        <f aca="false">ExportRaw!$F389</f>
        <v>0</v>
      </c>
      <c r="B389" s="133" t="n">
        <f aca="false">ExportRaw!$C389</f>
        <v>0</v>
      </c>
      <c r="C389" s="133" t="n">
        <f aca="false">ExportRaw!$G389</f>
        <v>0</v>
      </c>
      <c r="D389" s="133" t="str">
        <f aca="false">ExportRaw!$E389</f>
        <v/>
      </c>
      <c r="E389" s="134" t="str">
        <f aca="false">ExportRaw!$D389</f>
        <v/>
      </c>
      <c r="F389" s="133" t="str">
        <f aca="false">ExportRaw!$H389</f>
        <v/>
      </c>
      <c r="G389" s="135" t="str">
        <f aca="false">ExportRaw!$I389</f>
        <v/>
      </c>
      <c r="H389" s="133" t="str">
        <f aca="false">ExportRaw!$A389</f>
        <v/>
      </c>
      <c r="I389" s="133" t="str">
        <f aca="false">ExportRaw!$B389</f>
        <v/>
      </c>
    </row>
    <row r="390" customFormat="false" ht="15.75" hidden="false" customHeight="false" outlineLevel="0" collapsed="false">
      <c r="A390" s="133" t="n">
        <f aca="false">ExportRaw!$F390</f>
        <v>0</v>
      </c>
      <c r="B390" s="133" t="n">
        <f aca="false">ExportRaw!$C390</f>
        <v>0</v>
      </c>
      <c r="C390" s="133" t="n">
        <f aca="false">ExportRaw!$G390</f>
        <v>0</v>
      </c>
      <c r="D390" s="133" t="str">
        <f aca="false">ExportRaw!$E390</f>
        <v/>
      </c>
      <c r="E390" s="134" t="str">
        <f aca="false">ExportRaw!$D390</f>
        <v/>
      </c>
      <c r="F390" s="133" t="str">
        <f aca="false">ExportRaw!$H390</f>
        <v/>
      </c>
      <c r="G390" s="135" t="str">
        <f aca="false">ExportRaw!$I390</f>
        <v/>
      </c>
      <c r="H390" s="133" t="str">
        <f aca="false">ExportRaw!$A390</f>
        <v/>
      </c>
      <c r="I390" s="133" t="str">
        <f aca="false">ExportRaw!$B390</f>
        <v/>
      </c>
    </row>
    <row r="391" customFormat="false" ht="15.75" hidden="false" customHeight="false" outlineLevel="0" collapsed="false">
      <c r="A391" s="133" t="n">
        <f aca="false">ExportRaw!$F391</f>
        <v>0</v>
      </c>
      <c r="B391" s="133" t="n">
        <f aca="false">ExportRaw!$C391</f>
        <v>0</v>
      </c>
      <c r="C391" s="133" t="n">
        <f aca="false">ExportRaw!$G391</f>
        <v>0</v>
      </c>
      <c r="D391" s="133" t="str">
        <f aca="false">ExportRaw!$E391</f>
        <v/>
      </c>
      <c r="E391" s="134" t="str">
        <f aca="false">ExportRaw!$D391</f>
        <v/>
      </c>
      <c r="F391" s="133" t="str">
        <f aca="false">ExportRaw!$H391</f>
        <v/>
      </c>
      <c r="G391" s="135" t="str">
        <f aca="false">ExportRaw!$I391</f>
        <v/>
      </c>
      <c r="H391" s="133" t="str">
        <f aca="false">ExportRaw!$A391</f>
        <v/>
      </c>
      <c r="I391" s="133" t="str">
        <f aca="false">ExportRaw!$B391</f>
        <v/>
      </c>
    </row>
    <row r="392" customFormat="false" ht="15.75" hidden="false" customHeight="false" outlineLevel="0" collapsed="false">
      <c r="A392" s="133" t="n">
        <f aca="false">ExportRaw!$F392</f>
        <v>0</v>
      </c>
      <c r="B392" s="133" t="n">
        <f aca="false">ExportRaw!$C392</f>
        <v>0</v>
      </c>
      <c r="C392" s="133" t="n">
        <f aca="false">ExportRaw!$G392</f>
        <v>0</v>
      </c>
      <c r="D392" s="133" t="str">
        <f aca="false">ExportRaw!$E392</f>
        <v/>
      </c>
      <c r="E392" s="134" t="str">
        <f aca="false">ExportRaw!$D392</f>
        <v/>
      </c>
      <c r="F392" s="133" t="str">
        <f aca="false">ExportRaw!$H392</f>
        <v/>
      </c>
      <c r="G392" s="135" t="str">
        <f aca="false">ExportRaw!$I392</f>
        <v/>
      </c>
      <c r="H392" s="133" t="str">
        <f aca="false">ExportRaw!$A392</f>
        <v/>
      </c>
      <c r="I392" s="133" t="str">
        <f aca="false">ExportRaw!$B392</f>
        <v/>
      </c>
    </row>
    <row r="393" customFormat="false" ht="15.75" hidden="false" customHeight="false" outlineLevel="0" collapsed="false">
      <c r="A393" s="133" t="n">
        <f aca="false">ExportRaw!$F393</f>
        <v>0</v>
      </c>
      <c r="B393" s="133" t="n">
        <f aca="false">ExportRaw!$C393</f>
        <v>0</v>
      </c>
      <c r="C393" s="133" t="n">
        <f aca="false">ExportRaw!$G393</f>
        <v>0</v>
      </c>
      <c r="D393" s="133" t="str">
        <f aca="false">ExportRaw!$E393</f>
        <v/>
      </c>
      <c r="E393" s="134" t="str">
        <f aca="false">ExportRaw!$D393</f>
        <v/>
      </c>
      <c r="F393" s="133" t="str">
        <f aca="false">ExportRaw!$H393</f>
        <v/>
      </c>
      <c r="G393" s="135" t="str">
        <f aca="false">ExportRaw!$I393</f>
        <v/>
      </c>
      <c r="H393" s="133" t="str">
        <f aca="false">ExportRaw!$A393</f>
        <v/>
      </c>
      <c r="I393" s="133" t="str">
        <f aca="false">ExportRaw!$B393</f>
        <v/>
      </c>
    </row>
    <row r="394" customFormat="false" ht="15.75" hidden="false" customHeight="false" outlineLevel="0" collapsed="false">
      <c r="A394" s="133" t="n">
        <f aca="false">ExportRaw!$F394</f>
        <v>0</v>
      </c>
      <c r="B394" s="133" t="n">
        <f aca="false">ExportRaw!$C394</f>
        <v>0</v>
      </c>
      <c r="C394" s="133" t="n">
        <f aca="false">ExportRaw!$G394</f>
        <v>0</v>
      </c>
      <c r="D394" s="133" t="str">
        <f aca="false">ExportRaw!$E394</f>
        <v/>
      </c>
      <c r="E394" s="134" t="str">
        <f aca="false">ExportRaw!$D394</f>
        <v/>
      </c>
      <c r="F394" s="133" t="str">
        <f aca="false">ExportRaw!$H394</f>
        <v/>
      </c>
      <c r="G394" s="135" t="str">
        <f aca="false">ExportRaw!$I394</f>
        <v/>
      </c>
      <c r="H394" s="133" t="str">
        <f aca="false">ExportRaw!$A394</f>
        <v/>
      </c>
      <c r="I394" s="133" t="str">
        <f aca="false">ExportRaw!$B394</f>
        <v/>
      </c>
    </row>
    <row r="395" customFormat="false" ht="15.75" hidden="false" customHeight="false" outlineLevel="0" collapsed="false">
      <c r="A395" s="133" t="n">
        <f aca="false">ExportRaw!$F395</f>
        <v>0</v>
      </c>
      <c r="B395" s="133" t="n">
        <f aca="false">ExportRaw!$C395</f>
        <v>0</v>
      </c>
      <c r="C395" s="133" t="n">
        <f aca="false">ExportRaw!$G395</f>
        <v>0</v>
      </c>
      <c r="D395" s="133" t="str">
        <f aca="false">ExportRaw!$E395</f>
        <v/>
      </c>
      <c r="E395" s="134" t="str">
        <f aca="false">ExportRaw!$D395</f>
        <v/>
      </c>
      <c r="F395" s="133" t="str">
        <f aca="false">ExportRaw!$H395</f>
        <v/>
      </c>
      <c r="G395" s="135" t="str">
        <f aca="false">ExportRaw!$I395</f>
        <v/>
      </c>
      <c r="H395" s="133" t="str">
        <f aca="false">ExportRaw!$A395</f>
        <v/>
      </c>
      <c r="I395" s="133" t="str">
        <f aca="false">ExportRaw!$B395</f>
        <v/>
      </c>
    </row>
    <row r="396" customFormat="false" ht="15.75" hidden="false" customHeight="false" outlineLevel="0" collapsed="false">
      <c r="A396" s="133" t="n">
        <f aca="false">ExportRaw!$F396</f>
        <v>0</v>
      </c>
      <c r="B396" s="133" t="n">
        <f aca="false">ExportRaw!$C396</f>
        <v>0</v>
      </c>
      <c r="C396" s="133" t="n">
        <f aca="false">ExportRaw!$G396</f>
        <v>0</v>
      </c>
      <c r="D396" s="133" t="str">
        <f aca="false">ExportRaw!$E396</f>
        <v/>
      </c>
      <c r="E396" s="134" t="str">
        <f aca="false">ExportRaw!$D396</f>
        <v/>
      </c>
      <c r="F396" s="133" t="str">
        <f aca="false">ExportRaw!$H396</f>
        <v/>
      </c>
      <c r="G396" s="135" t="str">
        <f aca="false">ExportRaw!$I396</f>
        <v/>
      </c>
      <c r="H396" s="133" t="str">
        <f aca="false">ExportRaw!$A396</f>
        <v/>
      </c>
      <c r="I396" s="133" t="str">
        <f aca="false">ExportRaw!$B396</f>
        <v/>
      </c>
    </row>
    <row r="397" customFormat="false" ht="15.75" hidden="false" customHeight="false" outlineLevel="0" collapsed="false">
      <c r="A397" s="133" t="n">
        <f aca="false">ExportRaw!$F397</f>
        <v>0</v>
      </c>
      <c r="B397" s="133" t="n">
        <f aca="false">ExportRaw!$C397</f>
        <v>0</v>
      </c>
      <c r="C397" s="133" t="n">
        <f aca="false">ExportRaw!$G397</f>
        <v>0</v>
      </c>
      <c r="D397" s="133" t="str">
        <f aca="false">ExportRaw!$E397</f>
        <v/>
      </c>
      <c r="E397" s="134" t="str">
        <f aca="false">ExportRaw!$D397</f>
        <v/>
      </c>
      <c r="F397" s="133" t="str">
        <f aca="false">ExportRaw!$H397</f>
        <v/>
      </c>
      <c r="G397" s="135" t="str">
        <f aca="false">ExportRaw!$I397</f>
        <v/>
      </c>
      <c r="H397" s="133" t="str">
        <f aca="false">ExportRaw!$A397</f>
        <v/>
      </c>
      <c r="I397" s="133" t="str">
        <f aca="false">ExportRaw!$B397</f>
        <v/>
      </c>
    </row>
    <row r="398" customFormat="false" ht="15.75" hidden="false" customHeight="false" outlineLevel="0" collapsed="false">
      <c r="A398" s="133" t="n">
        <f aca="false">ExportRaw!$F398</f>
        <v>0</v>
      </c>
      <c r="B398" s="133" t="n">
        <f aca="false">ExportRaw!$C398</f>
        <v>0</v>
      </c>
      <c r="C398" s="133" t="n">
        <f aca="false">ExportRaw!$G398</f>
        <v>0</v>
      </c>
      <c r="D398" s="133" t="str">
        <f aca="false">ExportRaw!$E398</f>
        <v/>
      </c>
      <c r="E398" s="134" t="str">
        <f aca="false">ExportRaw!$D398</f>
        <v/>
      </c>
      <c r="F398" s="133" t="str">
        <f aca="false">ExportRaw!$H398</f>
        <v/>
      </c>
      <c r="G398" s="135" t="str">
        <f aca="false">ExportRaw!$I398</f>
        <v/>
      </c>
      <c r="H398" s="133" t="str">
        <f aca="false">ExportRaw!$A398</f>
        <v/>
      </c>
      <c r="I398" s="133" t="str">
        <f aca="false">ExportRaw!$B398</f>
        <v/>
      </c>
    </row>
    <row r="399" customFormat="false" ht="15.75" hidden="false" customHeight="false" outlineLevel="0" collapsed="false">
      <c r="A399" s="133" t="n">
        <f aca="false">ExportRaw!$F399</f>
        <v>0</v>
      </c>
      <c r="B399" s="133" t="n">
        <f aca="false">ExportRaw!$C399</f>
        <v>0</v>
      </c>
      <c r="C399" s="133" t="n">
        <f aca="false">ExportRaw!$G399</f>
        <v>0</v>
      </c>
      <c r="D399" s="133" t="str">
        <f aca="false">ExportRaw!$E399</f>
        <v/>
      </c>
      <c r="E399" s="134" t="str">
        <f aca="false">ExportRaw!$D399</f>
        <v/>
      </c>
      <c r="F399" s="133" t="str">
        <f aca="false">ExportRaw!$H399</f>
        <v/>
      </c>
      <c r="G399" s="135" t="str">
        <f aca="false">ExportRaw!$I399</f>
        <v/>
      </c>
      <c r="H399" s="133" t="str">
        <f aca="false">ExportRaw!$A399</f>
        <v/>
      </c>
      <c r="I399" s="133" t="str">
        <f aca="false">ExportRaw!$B399</f>
        <v/>
      </c>
    </row>
    <row r="400" customFormat="false" ht="15.75" hidden="false" customHeight="false" outlineLevel="0" collapsed="false">
      <c r="A400" s="133" t="n">
        <f aca="false">ExportRaw!$F400</f>
        <v>0</v>
      </c>
      <c r="B400" s="133" t="n">
        <f aca="false">ExportRaw!$C400</f>
        <v>0</v>
      </c>
      <c r="C400" s="133" t="n">
        <f aca="false">ExportRaw!$G400</f>
        <v>0</v>
      </c>
      <c r="D400" s="133" t="str">
        <f aca="false">ExportRaw!$E400</f>
        <v/>
      </c>
      <c r="E400" s="134" t="str">
        <f aca="false">ExportRaw!$D400</f>
        <v/>
      </c>
      <c r="F400" s="133" t="str">
        <f aca="false">ExportRaw!$H400</f>
        <v/>
      </c>
      <c r="G400" s="135" t="str">
        <f aca="false">ExportRaw!$I400</f>
        <v/>
      </c>
      <c r="H400" s="133" t="str">
        <f aca="false">ExportRaw!$A400</f>
        <v/>
      </c>
      <c r="I400" s="133" t="str">
        <f aca="false">ExportRaw!$B400</f>
        <v/>
      </c>
    </row>
    <row r="401" customFormat="false" ht="15.75" hidden="false" customHeight="false" outlineLevel="0" collapsed="false">
      <c r="A401" s="133" t="n">
        <f aca="false">ExportRaw!$F401</f>
        <v>0</v>
      </c>
      <c r="B401" s="133" t="n">
        <f aca="false">ExportRaw!$C401</f>
        <v>0</v>
      </c>
      <c r="C401" s="133" t="n">
        <f aca="false">ExportRaw!$G401</f>
        <v>0</v>
      </c>
      <c r="D401" s="133" t="str">
        <f aca="false">ExportRaw!$E401</f>
        <v/>
      </c>
      <c r="E401" s="134" t="str">
        <f aca="false">ExportRaw!$D401</f>
        <v/>
      </c>
      <c r="F401" s="133" t="str">
        <f aca="false">ExportRaw!$H401</f>
        <v/>
      </c>
      <c r="G401" s="135" t="str">
        <f aca="false">ExportRaw!$I401</f>
        <v/>
      </c>
      <c r="H401" s="133" t="str">
        <f aca="false">ExportRaw!$A401</f>
        <v/>
      </c>
      <c r="I401" s="133" t="str">
        <f aca="false">ExportRaw!$B401</f>
        <v/>
      </c>
    </row>
    <row r="402" customFormat="false" ht="15.75" hidden="false" customHeight="false" outlineLevel="0" collapsed="false">
      <c r="A402" s="133" t="n">
        <f aca="false">ExportRaw!$F402</f>
        <v>0</v>
      </c>
      <c r="B402" s="133" t="n">
        <f aca="false">ExportRaw!$C402</f>
        <v>0</v>
      </c>
      <c r="C402" s="133" t="n">
        <f aca="false">ExportRaw!$G402</f>
        <v>0</v>
      </c>
      <c r="D402" s="133" t="str">
        <f aca="false">ExportRaw!$E402</f>
        <v/>
      </c>
      <c r="E402" s="134" t="str">
        <f aca="false">ExportRaw!$D402</f>
        <v/>
      </c>
      <c r="F402" s="133" t="str">
        <f aca="false">ExportRaw!$H402</f>
        <v/>
      </c>
      <c r="G402" s="135" t="str">
        <f aca="false">ExportRaw!$I402</f>
        <v/>
      </c>
      <c r="H402" s="133" t="str">
        <f aca="false">ExportRaw!$A402</f>
        <v/>
      </c>
      <c r="I402" s="133" t="str">
        <f aca="false">ExportRaw!$B402</f>
        <v/>
      </c>
    </row>
    <row r="403" customFormat="false" ht="15.75" hidden="false" customHeight="false" outlineLevel="0" collapsed="false">
      <c r="A403" s="133" t="n">
        <f aca="false">ExportRaw!$F403</f>
        <v>0</v>
      </c>
      <c r="B403" s="133" t="n">
        <f aca="false">ExportRaw!$C403</f>
        <v>0</v>
      </c>
      <c r="C403" s="133" t="n">
        <f aca="false">ExportRaw!$G403</f>
        <v>0</v>
      </c>
      <c r="D403" s="133" t="str">
        <f aca="false">ExportRaw!$E403</f>
        <v/>
      </c>
      <c r="E403" s="134" t="str">
        <f aca="false">ExportRaw!$D403</f>
        <v/>
      </c>
      <c r="F403" s="133" t="str">
        <f aca="false">ExportRaw!$H403</f>
        <v/>
      </c>
      <c r="G403" s="135" t="str">
        <f aca="false">ExportRaw!$I403</f>
        <v/>
      </c>
      <c r="H403" s="133" t="str">
        <f aca="false">ExportRaw!$A403</f>
        <v/>
      </c>
      <c r="I403" s="133" t="str">
        <f aca="false">ExportRaw!$B403</f>
        <v/>
      </c>
    </row>
    <row r="404" customFormat="false" ht="15.75" hidden="false" customHeight="false" outlineLevel="0" collapsed="false">
      <c r="A404" s="133" t="n">
        <f aca="false">ExportRaw!$F404</f>
        <v>0</v>
      </c>
      <c r="B404" s="133" t="n">
        <f aca="false">ExportRaw!$C404</f>
        <v>0</v>
      </c>
      <c r="C404" s="133" t="n">
        <f aca="false">ExportRaw!$G404</f>
        <v>0</v>
      </c>
      <c r="D404" s="133" t="str">
        <f aca="false">ExportRaw!$E404</f>
        <v/>
      </c>
      <c r="E404" s="134" t="str">
        <f aca="false">ExportRaw!$D404</f>
        <v/>
      </c>
      <c r="F404" s="133" t="str">
        <f aca="false">ExportRaw!$H404</f>
        <v/>
      </c>
      <c r="G404" s="135" t="str">
        <f aca="false">ExportRaw!$I404</f>
        <v/>
      </c>
      <c r="H404" s="133" t="str">
        <f aca="false">ExportRaw!$A404</f>
        <v/>
      </c>
      <c r="I404" s="133" t="str">
        <f aca="false">ExportRaw!$B404</f>
        <v/>
      </c>
    </row>
    <row r="405" customFormat="false" ht="15.75" hidden="false" customHeight="false" outlineLevel="0" collapsed="false">
      <c r="A405" s="133" t="n">
        <f aca="false">ExportRaw!$F405</f>
        <v>0</v>
      </c>
      <c r="B405" s="133" t="n">
        <f aca="false">ExportRaw!$C405</f>
        <v>0</v>
      </c>
      <c r="C405" s="133" t="n">
        <f aca="false">ExportRaw!$G405</f>
        <v>0</v>
      </c>
      <c r="D405" s="133" t="str">
        <f aca="false">ExportRaw!$E405</f>
        <v/>
      </c>
      <c r="E405" s="134" t="str">
        <f aca="false">ExportRaw!$D405</f>
        <v/>
      </c>
      <c r="F405" s="133" t="str">
        <f aca="false">ExportRaw!$H405</f>
        <v/>
      </c>
      <c r="G405" s="135" t="str">
        <f aca="false">ExportRaw!$I405</f>
        <v/>
      </c>
      <c r="H405" s="133" t="str">
        <f aca="false">ExportRaw!$A405</f>
        <v/>
      </c>
      <c r="I405" s="133" t="str">
        <f aca="false">ExportRaw!$B405</f>
        <v/>
      </c>
    </row>
    <row r="406" customFormat="false" ht="15.75" hidden="false" customHeight="false" outlineLevel="0" collapsed="false">
      <c r="A406" s="133" t="n">
        <f aca="false">ExportRaw!$F406</f>
        <v>0</v>
      </c>
      <c r="B406" s="133" t="n">
        <f aca="false">ExportRaw!$C406</f>
        <v>0</v>
      </c>
      <c r="C406" s="133" t="n">
        <f aca="false">ExportRaw!$G406</f>
        <v>0</v>
      </c>
      <c r="D406" s="133" t="str">
        <f aca="false">ExportRaw!$E406</f>
        <v/>
      </c>
      <c r="E406" s="134" t="str">
        <f aca="false">ExportRaw!$D406</f>
        <v/>
      </c>
      <c r="F406" s="133" t="str">
        <f aca="false">ExportRaw!$H406</f>
        <v/>
      </c>
      <c r="G406" s="135" t="str">
        <f aca="false">ExportRaw!$I406</f>
        <v/>
      </c>
      <c r="H406" s="133" t="str">
        <f aca="false">ExportRaw!$A406</f>
        <v/>
      </c>
      <c r="I406" s="133" t="str">
        <f aca="false">ExportRaw!$B406</f>
        <v/>
      </c>
    </row>
    <row r="407" customFormat="false" ht="15.75" hidden="false" customHeight="false" outlineLevel="0" collapsed="false">
      <c r="A407" s="133" t="n">
        <f aca="false">ExportRaw!$F407</f>
        <v>0</v>
      </c>
      <c r="B407" s="133" t="n">
        <f aca="false">ExportRaw!$C407</f>
        <v>0</v>
      </c>
      <c r="C407" s="133" t="n">
        <f aca="false">ExportRaw!$G407</f>
        <v>0</v>
      </c>
      <c r="D407" s="133" t="str">
        <f aca="false">ExportRaw!$E407</f>
        <v/>
      </c>
      <c r="E407" s="134" t="str">
        <f aca="false">ExportRaw!$D407</f>
        <v/>
      </c>
      <c r="F407" s="133" t="str">
        <f aca="false">ExportRaw!$H407</f>
        <v/>
      </c>
      <c r="G407" s="135" t="str">
        <f aca="false">ExportRaw!$I407</f>
        <v/>
      </c>
      <c r="H407" s="133" t="str">
        <f aca="false">ExportRaw!$A407</f>
        <v/>
      </c>
      <c r="I407" s="133" t="str">
        <f aca="false">ExportRaw!$B407</f>
        <v/>
      </c>
    </row>
    <row r="408" customFormat="false" ht="15.75" hidden="false" customHeight="false" outlineLevel="0" collapsed="false">
      <c r="A408" s="133" t="n">
        <f aca="false">ExportRaw!$F408</f>
        <v>0</v>
      </c>
      <c r="B408" s="133" t="n">
        <f aca="false">ExportRaw!$C408</f>
        <v>0</v>
      </c>
      <c r="C408" s="133" t="n">
        <f aca="false">ExportRaw!$G408</f>
        <v>0</v>
      </c>
      <c r="D408" s="133" t="str">
        <f aca="false">ExportRaw!$E408</f>
        <v/>
      </c>
      <c r="E408" s="134" t="str">
        <f aca="false">ExportRaw!$D408</f>
        <v/>
      </c>
      <c r="F408" s="133" t="str">
        <f aca="false">ExportRaw!$H408</f>
        <v/>
      </c>
      <c r="G408" s="135" t="str">
        <f aca="false">ExportRaw!$I408</f>
        <v/>
      </c>
      <c r="H408" s="133" t="str">
        <f aca="false">ExportRaw!$A408</f>
        <v/>
      </c>
      <c r="I408" s="133" t="str">
        <f aca="false">ExportRaw!$B408</f>
        <v/>
      </c>
    </row>
    <row r="409" customFormat="false" ht="15.75" hidden="false" customHeight="false" outlineLevel="0" collapsed="false">
      <c r="A409" s="133" t="n">
        <f aca="false">ExportRaw!$F409</f>
        <v>0</v>
      </c>
      <c r="B409" s="133" t="n">
        <f aca="false">ExportRaw!$C409</f>
        <v>0</v>
      </c>
      <c r="C409" s="133" t="n">
        <f aca="false">ExportRaw!$G409</f>
        <v>0</v>
      </c>
      <c r="D409" s="133" t="str">
        <f aca="false">ExportRaw!$E409</f>
        <v/>
      </c>
      <c r="E409" s="134" t="str">
        <f aca="false">ExportRaw!$D409</f>
        <v/>
      </c>
      <c r="F409" s="133" t="str">
        <f aca="false">ExportRaw!$H409</f>
        <v/>
      </c>
      <c r="G409" s="135" t="str">
        <f aca="false">ExportRaw!$I409</f>
        <v/>
      </c>
      <c r="H409" s="133" t="str">
        <f aca="false">ExportRaw!$A409</f>
        <v/>
      </c>
      <c r="I409" s="133" t="str">
        <f aca="false">ExportRaw!$B409</f>
        <v/>
      </c>
    </row>
    <row r="410" customFormat="false" ht="15.75" hidden="false" customHeight="false" outlineLevel="0" collapsed="false">
      <c r="A410" s="133" t="n">
        <f aca="false">ExportRaw!$F410</f>
        <v>0</v>
      </c>
      <c r="B410" s="133" t="n">
        <f aca="false">ExportRaw!$C410</f>
        <v>0</v>
      </c>
      <c r="C410" s="133" t="n">
        <f aca="false">ExportRaw!$G410</f>
        <v>0</v>
      </c>
      <c r="D410" s="133" t="str">
        <f aca="false">ExportRaw!$E410</f>
        <v/>
      </c>
      <c r="E410" s="134" t="str">
        <f aca="false">ExportRaw!$D410</f>
        <v/>
      </c>
      <c r="F410" s="133" t="str">
        <f aca="false">ExportRaw!$H410</f>
        <v/>
      </c>
      <c r="G410" s="135" t="str">
        <f aca="false">ExportRaw!$I410</f>
        <v/>
      </c>
      <c r="H410" s="133" t="str">
        <f aca="false">ExportRaw!$A410</f>
        <v/>
      </c>
      <c r="I410" s="133" t="str">
        <f aca="false">ExportRaw!$B410</f>
        <v/>
      </c>
    </row>
    <row r="411" customFormat="false" ht="15.75" hidden="false" customHeight="false" outlineLevel="0" collapsed="false">
      <c r="A411" s="133" t="n">
        <f aca="false">ExportRaw!$F411</f>
        <v>0</v>
      </c>
      <c r="B411" s="133" t="n">
        <f aca="false">ExportRaw!$C411</f>
        <v>0</v>
      </c>
      <c r="C411" s="133" t="n">
        <f aca="false">ExportRaw!$G411</f>
        <v>0</v>
      </c>
      <c r="D411" s="133" t="str">
        <f aca="false">ExportRaw!$E411</f>
        <v/>
      </c>
      <c r="E411" s="134" t="str">
        <f aca="false">ExportRaw!$D411</f>
        <v/>
      </c>
      <c r="F411" s="133" t="str">
        <f aca="false">ExportRaw!$H411</f>
        <v/>
      </c>
      <c r="G411" s="135" t="str">
        <f aca="false">ExportRaw!$I411</f>
        <v/>
      </c>
      <c r="H411" s="133" t="str">
        <f aca="false">ExportRaw!$A411</f>
        <v/>
      </c>
      <c r="I411" s="133" t="str">
        <f aca="false">ExportRaw!$B411</f>
        <v/>
      </c>
    </row>
    <row r="412" customFormat="false" ht="15.75" hidden="false" customHeight="false" outlineLevel="0" collapsed="false">
      <c r="A412" s="133" t="n">
        <f aca="false">ExportRaw!$F412</f>
        <v>0</v>
      </c>
      <c r="B412" s="133" t="n">
        <f aca="false">ExportRaw!$C412</f>
        <v>0</v>
      </c>
      <c r="C412" s="133" t="n">
        <f aca="false">ExportRaw!$G412</f>
        <v>0</v>
      </c>
      <c r="D412" s="133" t="str">
        <f aca="false">ExportRaw!$E412</f>
        <v/>
      </c>
      <c r="E412" s="134" t="str">
        <f aca="false">ExportRaw!$D412</f>
        <v/>
      </c>
      <c r="F412" s="133" t="str">
        <f aca="false">ExportRaw!$H412</f>
        <v/>
      </c>
      <c r="G412" s="135" t="str">
        <f aca="false">ExportRaw!$I412</f>
        <v/>
      </c>
      <c r="H412" s="133" t="str">
        <f aca="false">ExportRaw!$A412</f>
        <v/>
      </c>
      <c r="I412" s="133" t="str">
        <f aca="false">ExportRaw!$B412</f>
        <v/>
      </c>
    </row>
    <row r="413" customFormat="false" ht="15.75" hidden="false" customHeight="false" outlineLevel="0" collapsed="false">
      <c r="A413" s="133" t="n">
        <f aca="false">ExportRaw!$F413</f>
        <v>0</v>
      </c>
      <c r="B413" s="133" t="n">
        <f aca="false">ExportRaw!$C413</f>
        <v>0</v>
      </c>
      <c r="C413" s="133" t="n">
        <f aca="false">ExportRaw!$G413</f>
        <v>0</v>
      </c>
      <c r="D413" s="133" t="str">
        <f aca="false">ExportRaw!$E413</f>
        <v/>
      </c>
      <c r="E413" s="134" t="str">
        <f aca="false">ExportRaw!$D413</f>
        <v/>
      </c>
      <c r="F413" s="133" t="str">
        <f aca="false">ExportRaw!$H413</f>
        <v/>
      </c>
      <c r="G413" s="135" t="str">
        <f aca="false">ExportRaw!$I413</f>
        <v/>
      </c>
      <c r="H413" s="133" t="str">
        <f aca="false">ExportRaw!$A413</f>
        <v/>
      </c>
      <c r="I413" s="133" t="str">
        <f aca="false">ExportRaw!$B413</f>
        <v/>
      </c>
    </row>
    <row r="414" customFormat="false" ht="15.75" hidden="false" customHeight="false" outlineLevel="0" collapsed="false">
      <c r="A414" s="133" t="n">
        <f aca="false">ExportRaw!$F414</f>
        <v>0</v>
      </c>
      <c r="B414" s="133" t="n">
        <f aca="false">ExportRaw!$C414</f>
        <v>0</v>
      </c>
      <c r="C414" s="133" t="n">
        <f aca="false">ExportRaw!$G414</f>
        <v>0</v>
      </c>
      <c r="D414" s="133" t="str">
        <f aca="false">ExportRaw!$E414</f>
        <v/>
      </c>
      <c r="E414" s="134" t="str">
        <f aca="false">ExportRaw!$D414</f>
        <v/>
      </c>
      <c r="F414" s="133" t="str">
        <f aca="false">ExportRaw!$H414</f>
        <v/>
      </c>
      <c r="G414" s="135" t="str">
        <f aca="false">ExportRaw!$I414</f>
        <v/>
      </c>
      <c r="H414" s="133" t="str">
        <f aca="false">ExportRaw!$A414</f>
        <v/>
      </c>
      <c r="I414" s="133" t="str">
        <f aca="false">ExportRaw!$B414</f>
        <v/>
      </c>
    </row>
    <row r="415" customFormat="false" ht="15.75" hidden="false" customHeight="false" outlineLevel="0" collapsed="false">
      <c r="A415" s="133" t="n">
        <f aca="false">ExportRaw!$F415</f>
        <v>0</v>
      </c>
      <c r="B415" s="133" t="n">
        <f aca="false">ExportRaw!$C415</f>
        <v>0</v>
      </c>
      <c r="C415" s="133" t="n">
        <f aca="false">ExportRaw!$G415</f>
        <v>0</v>
      </c>
      <c r="D415" s="133" t="str">
        <f aca="false">ExportRaw!$E415</f>
        <v/>
      </c>
      <c r="E415" s="134" t="str">
        <f aca="false">ExportRaw!$D415</f>
        <v/>
      </c>
      <c r="F415" s="133" t="str">
        <f aca="false">ExportRaw!$H415</f>
        <v/>
      </c>
      <c r="G415" s="135" t="str">
        <f aca="false">ExportRaw!$I415</f>
        <v/>
      </c>
      <c r="H415" s="133" t="str">
        <f aca="false">ExportRaw!$A415</f>
        <v/>
      </c>
      <c r="I415" s="133" t="str">
        <f aca="false">ExportRaw!$B415</f>
        <v/>
      </c>
    </row>
    <row r="416" customFormat="false" ht="15.75" hidden="false" customHeight="false" outlineLevel="0" collapsed="false">
      <c r="A416" s="133" t="n">
        <f aca="false">ExportRaw!$F416</f>
        <v>0</v>
      </c>
      <c r="B416" s="133" t="n">
        <f aca="false">ExportRaw!$C416</f>
        <v>0</v>
      </c>
      <c r="C416" s="133" t="n">
        <f aca="false">ExportRaw!$G416</f>
        <v>0</v>
      </c>
      <c r="D416" s="133" t="str">
        <f aca="false">ExportRaw!$E416</f>
        <v/>
      </c>
      <c r="E416" s="134" t="str">
        <f aca="false">ExportRaw!$D416</f>
        <v/>
      </c>
      <c r="F416" s="133" t="str">
        <f aca="false">ExportRaw!$H416</f>
        <v/>
      </c>
      <c r="G416" s="135" t="str">
        <f aca="false">ExportRaw!$I416</f>
        <v/>
      </c>
      <c r="H416" s="133" t="str">
        <f aca="false">ExportRaw!$A416</f>
        <v/>
      </c>
      <c r="I416" s="133" t="str">
        <f aca="false">ExportRaw!$B416</f>
        <v/>
      </c>
    </row>
    <row r="417" customFormat="false" ht="15.75" hidden="false" customHeight="false" outlineLevel="0" collapsed="false">
      <c r="A417" s="133" t="n">
        <f aca="false">ExportRaw!$F417</f>
        <v>0</v>
      </c>
      <c r="B417" s="133" t="n">
        <f aca="false">ExportRaw!$C417</f>
        <v>0</v>
      </c>
      <c r="C417" s="133" t="n">
        <f aca="false">ExportRaw!$G417</f>
        <v>0</v>
      </c>
      <c r="D417" s="133" t="str">
        <f aca="false">ExportRaw!$E417</f>
        <v/>
      </c>
      <c r="E417" s="134" t="str">
        <f aca="false">ExportRaw!$D417</f>
        <v/>
      </c>
      <c r="F417" s="133" t="str">
        <f aca="false">ExportRaw!$H417</f>
        <v/>
      </c>
      <c r="G417" s="135" t="str">
        <f aca="false">ExportRaw!$I417</f>
        <v/>
      </c>
      <c r="H417" s="133" t="str">
        <f aca="false">ExportRaw!$A417</f>
        <v/>
      </c>
      <c r="I417" s="133" t="str">
        <f aca="false">ExportRaw!$B417</f>
        <v/>
      </c>
    </row>
    <row r="418" customFormat="false" ht="15.75" hidden="false" customHeight="false" outlineLevel="0" collapsed="false">
      <c r="A418" s="133" t="n">
        <f aca="false">ExportRaw!$F418</f>
        <v>0</v>
      </c>
      <c r="B418" s="133" t="n">
        <f aca="false">ExportRaw!$C418</f>
        <v>0</v>
      </c>
      <c r="C418" s="133" t="n">
        <f aca="false">ExportRaw!$G418</f>
        <v>0</v>
      </c>
      <c r="D418" s="133" t="str">
        <f aca="false">ExportRaw!$E418</f>
        <v/>
      </c>
      <c r="E418" s="134" t="str">
        <f aca="false">ExportRaw!$D418</f>
        <v/>
      </c>
      <c r="F418" s="133" t="str">
        <f aca="false">ExportRaw!$H418</f>
        <v/>
      </c>
      <c r="G418" s="135" t="str">
        <f aca="false">ExportRaw!$I418</f>
        <v/>
      </c>
      <c r="H418" s="133" t="str">
        <f aca="false">ExportRaw!$A418</f>
        <v/>
      </c>
      <c r="I418" s="133" t="str">
        <f aca="false">ExportRaw!$B418</f>
        <v/>
      </c>
    </row>
    <row r="419" customFormat="false" ht="15.75" hidden="false" customHeight="false" outlineLevel="0" collapsed="false">
      <c r="A419" s="133" t="n">
        <f aca="false">ExportRaw!$F419</f>
        <v>0</v>
      </c>
      <c r="B419" s="133" t="n">
        <f aca="false">ExportRaw!$C419</f>
        <v>0</v>
      </c>
      <c r="C419" s="133" t="n">
        <f aca="false">ExportRaw!$G419</f>
        <v>0</v>
      </c>
      <c r="D419" s="133" t="str">
        <f aca="false">ExportRaw!$E419</f>
        <v/>
      </c>
      <c r="E419" s="134" t="str">
        <f aca="false">ExportRaw!$D419</f>
        <v/>
      </c>
      <c r="F419" s="133" t="str">
        <f aca="false">ExportRaw!$H419</f>
        <v/>
      </c>
      <c r="G419" s="135" t="str">
        <f aca="false">ExportRaw!$I419</f>
        <v/>
      </c>
      <c r="H419" s="133" t="str">
        <f aca="false">ExportRaw!$A419</f>
        <v/>
      </c>
      <c r="I419" s="133" t="str">
        <f aca="false">ExportRaw!$B419</f>
        <v/>
      </c>
    </row>
    <row r="420" customFormat="false" ht="15.75" hidden="false" customHeight="false" outlineLevel="0" collapsed="false">
      <c r="A420" s="133" t="n">
        <f aca="false">ExportRaw!$F420</f>
        <v>0</v>
      </c>
      <c r="B420" s="133" t="n">
        <f aca="false">ExportRaw!$C420</f>
        <v>0</v>
      </c>
      <c r="C420" s="133" t="n">
        <f aca="false">ExportRaw!$G420</f>
        <v>0</v>
      </c>
      <c r="D420" s="133" t="str">
        <f aca="false">ExportRaw!$E420</f>
        <v/>
      </c>
      <c r="E420" s="134" t="str">
        <f aca="false">ExportRaw!$D420</f>
        <v/>
      </c>
      <c r="F420" s="133" t="str">
        <f aca="false">ExportRaw!$H420</f>
        <v/>
      </c>
      <c r="G420" s="135" t="str">
        <f aca="false">ExportRaw!$I420</f>
        <v/>
      </c>
      <c r="H420" s="133" t="str">
        <f aca="false">ExportRaw!$A420</f>
        <v/>
      </c>
      <c r="I420" s="133" t="str">
        <f aca="false">ExportRaw!$B420</f>
        <v/>
      </c>
    </row>
    <row r="421" customFormat="false" ht="15.75" hidden="false" customHeight="false" outlineLevel="0" collapsed="false">
      <c r="A421" s="133" t="n">
        <f aca="false">ExportRaw!$F421</f>
        <v>0</v>
      </c>
      <c r="B421" s="133" t="n">
        <f aca="false">ExportRaw!$C421</f>
        <v>0</v>
      </c>
      <c r="C421" s="133" t="n">
        <f aca="false">ExportRaw!$G421</f>
        <v>0</v>
      </c>
      <c r="D421" s="133" t="str">
        <f aca="false">ExportRaw!$E421</f>
        <v/>
      </c>
      <c r="E421" s="134" t="str">
        <f aca="false">ExportRaw!$D421</f>
        <v/>
      </c>
      <c r="F421" s="133" t="str">
        <f aca="false">ExportRaw!$H421</f>
        <v/>
      </c>
      <c r="G421" s="135" t="str">
        <f aca="false">ExportRaw!$I421</f>
        <v/>
      </c>
      <c r="H421" s="133" t="str">
        <f aca="false">ExportRaw!$A421</f>
        <v/>
      </c>
      <c r="I421" s="133" t="str">
        <f aca="false">ExportRaw!$B421</f>
        <v/>
      </c>
    </row>
    <row r="422" customFormat="false" ht="15.75" hidden="false" customHeight="false" outlineLevel="0" collapsed="false">
      <c r="A422" s="133" t="n">
        <f aca="false">ExportRaw!$F422</f>
        <v>0</v>
      </c>
      <c r="B422" s="133" t="n">
        <f aca="false">ExportRaw!$C422</f>
        <v>0</v>
      </c>
      <c r="C422" s="133" t="n">
        <f aca="false">ExportRaw!$G422</f>
        <v>0</v>
      </c>
      <c r="D422" s="133" t="str">
        <f aca="false">ExportRaw!$E422</f>
        <v/>
      </c>
      <c r="E422" s="134" t="str">
        <f aca="false">ExportRaw!$D422</f>
        <v/>
      </c>
      <c r="F422" s="133" t="str">
        <f aca="false">ExportRaw!$H422</f>
        <v/>
      </c>
      <c r="G422" s="135" t="str">
        <f aca="false">ExportRaw!$I422</f>
        <v/>
      </c>
      <c r="H422" s="133" t="str">
        <f aca="false">ExportRaw!$A422</f>
        <v/>
      </c>
      <c r="I422" s="133" t="str">
        <f aca="false">ExportRaw!$B422</f>
        <v/>
      </c>
    </row>
    <row r="423" customFormat="false" ht="15.75" hidden="false" customHeight="false" outlineLevel="0" collapsed="false">
      <c r="A423" s="133" t="n">
        <f aca="false">ExportRaw!$F423</f>
        <v>0</v>
      </c>
      <c r="B423" s="133" t="n">
        <f aca="false">ExportRaw!$C423</f>
        <v>0</v>
      </c>
      <c r="C423" s="133" t="n">
        <f aca="false">ExportRaw!$G423</f>
        <v>0</v>
      </c>
      <c r="D423" s="133" t="str">
        <f aca="false">ExportRaw!$E423</f>
        <v/>
      </c>
      <c r="E423" s="134" t="str">
        <f aca="false">ExportRaw!$D423</f>
        <v/>
      </c>
      <c r="F423" s="133" t="str">
        <f aca="false">ExportRaw!$H423</f>
        <v/>
      </c>
      <c r="G423" s="135" t="str">
        <f aca="false">ExportRaw!$I423</f>
        <v/>
      </c>
      <c r="H423" s="133" t="str">
        <f aca="false">ExportRaw!$A423</f>
        <v/>
      </c>
      <c r="I423" s="133" t="str">
        <f aca="false">ExportRaw!$B423</f>
        <v/>
      </c>
    </row>
    <row r="424" customFormat="false" ht="15.75" hidden="false" customHeight="false" outlineLevel="0" collapsed="false">
      <c r="A424" s="133" t="n">
        <f aca="false">ExportRaw!$F424</f>
        <v>0</v>
      </c>
      <c r="B424" s="133" t="n">
        <f aca="false">ExportRaw!$C424</f>
        <v>0</v>
      </c>
      <c r="C424" s="133" t="n">
        <f aca="false">ExportRaw!$G424</f>
        <v>0</v>
      </c>
      <c r="D424" s="133" t="str">
        <f aca="false">ExportRaw!$E424</f>
        <v/>
      </c>
      <c r="E424" s="134" t="str">
        <f aca="false">ExportRaw!$D424</f>
        <v/>
      </c>
      <c r="F424" s="133" t="str">
        <f aca="false">ExportRaw!$H424</f>
        <v/>
      </c>
      <c r="G424" s="135" t="str">
        <f aca="false">ExportRaw!$I424</f>
        <v/>
      </c>
      <c r="H424" s="133" t="str">
        <f aca="false">ExportRaw!$A424</f>
        <v/>
      </c>
      <c r="I424" s="133" t="str">
        <f aca="false">ExportRaw!$B424</f>
        <v/>
      </c>
    </row>
    <row r="425" customFormat="false" ht="15.75" hidden="false" customHeight="false" outlineLevel="0" collapsed="false">
      <c r="A425" s="133" t="n">
        <f aca="false">ExportRaw!$F425</f>
        <v>0</v>
      </c>
      <c r="B425" s="133" t="n">
        <f aca="false">ExportRaw!$C425</f>
        <v>0</v>
      </c>
      <c r="C425" s="133" t="n">
        <f aca="false">ExportRaw!$G425</f>
        <v>0</v>
      </c>
      <c r="D425" s="133" t="str">
        <f aca="false">ExportRaw!$E425</f>
        <v/>
      </c>
      <c r="E425" s="134" t="str">
        <f aca="false">ExportRaw!$D425</f>
        <v/>
      </c>
      <c r="F425" s="133" t="str">
        <f aca="false">ExportRaw!$H425</f>
        <v/>
      </c>
      <c r="G425" s="135" t="str">
        <f aca="false">ExportRaw!$I425</f>
        <v/>
      </c>
      <c r="H425" s="133" t="str">
        <f aca="false">ExportRaw!$A425</f>
        <v/>
      </c>
      <c r="I425" s="133" t="str">
        <f aca="false">ExportRaw!$B425</f>
        <v/>
      </c>
    </row>
    <row r="426" customFormat="false" ht="15.75" hidden="false" customHeight="false" outlineLevel="0" collapsed="false">
      <c r="A426" s="133" t="n">
        <f aca="false">ExportRaw!$F426</f>
        <v>0</v>
      </c>
      <c r="B426" s="133" t="n">
        <f aca="false">ExportRaw!$C426</f>
        <v>0</v>
      </c>
      <c r="C426" s="133" t="n">
        <f aca="false">ExportRaw!$G426</f>
        <v>0</v>
      </c>
      <c r="D426" s="133" t="str">
        <f aca="false">ExportRaw!$E426</f>
        <v/>
      </c>
      <c r="E426" s="134" t="str">
        <f aca="false">ExportRaw!$D426</f>
        <v/>
      </c>
      <c r="F426" s="133" t="str">
        <f aca="false">ExportRaw!$H426</f>
        <v/>
      </c>
      <c r="G426" s="135" t="str">
        <f aca="false">ExportRaw!$I426</f>
        <v/>
      </c>
      <c r="H426" s="133" t="str">
        <f aca="false">ExportRaw!$A426</f>
        <v/>
      </c>
      <c r="I426" s="133" t="str">
        <f aca="false">ExportRaw!$B426</f>
        <v/>
      </c>
    </row>
    <row r="427" customFormat="false" ht="15.75" hidden="false" customHeight="false" outlineLevel="0" collapsed="false">
      <c r="A427" s="133" t="n">
        <f aca="false">ExportRaw!$F427</f>
        <v>0</v>
      </c>
      <c r="B427" s="133" t="n">
        <f aca="false">ExportRaw!$C427</f>
        <v>0</v>
      </c>
      <c r="C427" s="133" t="n">
        <f aca="false">ExportRaw!$G427</f>
        <v>0</v>
      </c>
      <c r="D427" s="133" t="str">
        <f aca="false">ExportRaw!$E427</f>
        <v/>
      </c>
      <c r="E427" s="134" t="str">
        <f aca="false">ExportRaw!$D427</f>
        <v/>
      </c>
      <c r="F427" s="133" t="str">
        <f aca="false">ExportRaw!$H427</f>
        <v/>
      </c>
      <c r="G427" s="135" t="str">
        <f aca="false">ExportRaw!$I427</f>
        <v/>
      </c>
      <c r="H427" s="133" t="str">
        <f aca="false">ExportRaw!$A427</f>
        <v/>
      </c>
      <c r="I427" s="133" t="str">
        <f aca="false">ExportRaw!$B427</f>
        <v/>
      </c>
    </row>
    <row r="428" customFormat="false" ht="15.75" hidden="false" customHeight="false" outlineLevel="0" collapsed="false">
      <c r="A428" s="133" t="n">
        <f aca="false">ExportRaw!$F428</f>
        <v>0</v>
      </c>
      <c r="B428" s="133" t="n">
        <f aca="false">ExportRaw!$C428</f>
        <v>0</v>
      </c>
      <c r="C428" s="133" t="n">
        <f aca="false">ExportRaw!$G428</f>
        <v>0</v>
      </c>
      <c r="D428" s="133" t="str">
        <f aca="false">ExportRaw!$E428</f>
        <v/>
      </c>
      <c r="E428" s="134" t="str">
        <f aca="false">ExportRaw!$D428</f>
        <v/>
      </c>
      <c r="F428" s="133" t="str">
        <f aca="false">ExportRaw!$H428</f>
        <v/>
      </c>
      <c r="G428" s="135" t="str">
        <f aca="false">ExportRaw!$I428</f>
        <v/>
      </c>
      <c r="H428" s="133" t="str">
        <f aca="false">ExportRaw!$A428</f>
        <v/>
      </c>
      <c r="I428" s="133" t="str">
        <f aca="false">ExportRaw!$B428</f>
        <v/>
      </c>
    </row>
    <row r="429" customFormat="false" ht="15.75" hidden="false" customHeight="false" outlineLevel="0" collapsed="false">
      <c r="A429" s="133" t="n">
        <f aca="false">ExportRaw!$F429</f>
        <v>0</v>
      </c>
      <c r="B429" s="133" t="n">
        <f aca="false">ExportRaw!$C429</f>
        <v>0</v>
      </c>
      <c r="C429" s="133" t="n">
        <f aca="false">ExportRaw!$G429</f>
        <v>0</v>
      </c>
      <c r="D429" s="133" t="str">
        <f aca="false">ExportRaw!$E429</f>
        <v/>
      </c>
      <c r="E429" s="134" t="str">
        <f aca="false">ExportRaw!$D429</f>
        <v/>
      </c>
      <c r="F429" s="133" t="str">
        <f aca="false">ExportRaw!$H429</f>
        <v/>
      </c>
      <c r="G429" s="135" t="str">
        <f aca="false">ExportRaw!$I429</f>
        <v/>
      </c>
      <c r="H429" s="133" t="str">
        <f aca="false">ExportRaw!$A429</f>
        <v/>
      </c>
      <c r="I429" s="133" t="str">
        <f aca="false">ExportRaw!$B429</f>
        <v/>
      </c>
    </row>
    <row r="430" customFormat="false" ht="15.75" hidden="false" customHeight="false" outlineLevel="0" collapsed="false">
      <c r="A430" s="133" t="n">
        <f aca="false">ExportRaw!$F430</f>
        <v>0</v>
      </c>
      <c r="B430" s="133" t="n">
        <f aca="false">ExportRaw!$C430</f>
        <v>0</v>
      </c>
      <c r="C430" s="133" t="n">
        <f aca="false">ExportRaw!$G430</f>
        <v>0</v>
      </c>
      <c r="D430" s="133" t="str">
        <f aca="false">ExportRaw!$E430</f>
        <v/>
      </c>
      <c r="E430" s="134" t="str">
        <f aca="false">ExportRaw!$D430</f>
        <v/>
      </c>
      <c r="F430" s="133" t="str">
        <f aca="false">ExportRaw!$H430</f>
        <v/>
      </c>
      <c r="G430" s="135" t="str">
        <f aca="false">ExportRaw!$I430</f>
        <v/>
      </c>
      <c r="H430" s="133" t="str">
        <f aca="false">ExportRaw!$A430</f>
        <v/>
      </c>
      <c r="I430" s="133" t="str">
        <f aca="false">ExportRaw!$B430</f>
        <v/>
      </c>
    </row>
    <row r="431" customFormat="false" ht="15.75" hidden="false" customHeight="false" outlineLevel="0" collapsed="false">
      <c r="A431" s="133" t="n">
        <f aca="false">ExportRaw!$F431</f>
        <v>0</v>
      </c>
      <c r="B431" s="133" t="n">
        <f aca="false">ExportRaw!$C431</f>
        <v>0</v>
      </c>
      <c r="C431" s="133" t="n">
        <f aca="false">ExportRaw!$G431</f>
        <v>0</v>
      </c>
      <c r="D431" s="133" t="str">
        <f aca="false">ExportRaw!$E431</f>
        <v/>
      </c>
      <c r="E431" s="134" t="str">
        <f aca="false">ExportRaw!$D431</f>
        <v/>
      </c>
      <c r="F431" s="133" t="str">
        <f aca="false">ExportRaw!$H431</f>
        <v/>
      </c>
      <c r="G431" s="135" t="str">
        <f aca="false">ExportRaw!$I431</f>
        <v/>
      </c>
      <c r="H431" s="133" t="str">
        <f aca="false">ExportRaw!$A431</f>
        <v/>
      </c>
      <c r="I431" s="133" t="str">
        <f aca="false">ExportRaw!$B431</f>
        <v/>
      </c>
    </row>
    <row r="432" customFormat="false" ht="15.75" hidden="false" customHeight="false" outlineLevel="0" collapsed="false">
      <c r="A432" s="133" t="n">
        <f aca="false">ExportRaw!$F432</f>
        <v>0</v>
      </c>
      <c r="B432" s="133" t="n">
        <f aca="false">ExportRaw!$C432</f>
        <v>0</v>
      </c>
      <c r="C432" s="133" t="n">
        <f aca="false">ExportRaw!$G432</f>
        <v>0</v>
      </c>
      <c r="D432" s="133" t="str">
        <f aca="false">ExportRaw!$E432</f>
        <v/>
      </c>
      <c r="E432" s="134" t="str">
        <f aca="false">ExportRaw!$D432</f>
        <v/>
      </c>
      <c r="F432" s="133" t="str">
        <f aca="false">ExportRaw!$H432</f>
        <v/>
      </c>
      <c r="G432" s="135" t="str">
        <f aca="false">ExportRaw!$I432</f>
        <v/>
      </c>
      <c r="H432" s="133" t="str">
        <f aca="false">ExportRaw!$A432</f>
        <v/>
      </c>
      <c r="I432" s="133" t="str">
        <f aca="false">ExportRaw!$B432</f>
        <v/>
      </c>
    </row>
    <row r="433" customFormat="false" ht="15.75" hidden="false" customHeight="false" outlineLevel="0" collapsed="false">
      <c r="A433" s="133" t="n">
        <f aca="false">ExportRaw!$F433</f>
        <v>0</v>
      </c>
      <c r="B433" s="133" t="n">
        <f aca="false">ExportRaw!$C433</f>
        <v>0</v>
      </c>
      <c r="C433" s="133" t="n">
        <f aca="false">ExportRaw!$G433</f>
        <v>0</v>
      </c>
      <c r="D433" s="133" t="str">
        <f aca="false">ExportRaw!$E433</f>
        <v/>
      </c>
      <c r="E433" s="134" t="str">
        <f aca="false">ExportRaw!$D433</f>
        <v/>
      </c>
      <c r="F433" s="133" t="str">
        <f aca="false">ExportRaw!$H433</f>
        <v/>
      </c>
      <c r="G433" s="135" t="str">
        <f aca="false">ExportRaw!$I433</f>
        <v/>
      </c>
      <c r="H433" s="133" t="str">
        <f aca="false">ExportRaw!$A433</f>
        <v/>
      </c>
      <c r="I433" s="133" t="str">
        <f aca="false">ExportRaw!$B433</f>
        <v/>
      </c>
    </row>
    <row r="434" customFormat="false" ht="15.75" hidden="false" customHeight="false" outlineLevel="0" collapsed="false">
      <c r="A434" s="133" t="n">
        <f aca="false">ExportRaw!$F434</f>
        <v>0</v>
      </c>
      <c r="B434" s="133" t="n">
        <f aca="false">ExportRaw!$C434</f>
        <v>0</v>
      </c>
      <c r="C434" s="133" t="n">
        <f aca="false">ExportRaw!$G434</f>
        <v>0</v>
      </c>
      <c r="D434" s="133" t="str">
        <f aca="false">ExportRaw!$E434</f>
        <v/>
      </c>
      <c r="E434" s="134" t="str">
        <f aca="false">ExportRaw!$D434</f>
        <v/>
      </c>
      <c r="F434" s="133" t="str">
        <f aca="false">ExportRaw!$H434</f>
        <v/>
      </c>
      <c r="G434" s="135" t="str">
        <f aca="false">ExportRaw!$I434</f>
        <v/>
      </c>
      <c r="H434" s="133" t="str">
        <f aca="false">ExportRaw!$A434</f>
        <v/>
      </c>
      <c r="I434" s="133" t="str">
        <f aca="false">ExportRaw!$B434</f>
        <v/>
      </c>
    </row>
    <row r="435" customFormat="false" ht="15.75" hidden="false" customHeight="false" outlineLevel="0" collapsed="false">
      <c r="A435" s="133" t="n">
        <f aca="false">ExportRaw!$F435</f>
        <v>0</v>
      </c>
      <c r="B435" s="133" t="n">
        <f aca="false">ExportRaw!$C435</f>
        <v>0</v>
      </c>
      <c r="C435" s="133" t="n">
        <f aca="false">ExportRaw!$G435</f>
        <v>0</v>
      </c>
      <c r="D435" s="133" t="str">
        <f aca="false">ExportRaw!$E435</f>
        <v/>
      </c>
      <c r="E435" s="134" t="str">
        <f aca="false">ExportRaw!$D435</f>
        <v/>
      </c>
      <c r="F435" s="133" t="str">
        <f aca="false">ExportRaw!$H435</f>
        <v/>
      </c>
      <c r="G435" s="135" t="str">
        <f aca="false">ExportRaw!$I435</f>
        <v/>
      </c>
      <c r="H435" s="133" t="str">
        <f aca="false">ExportRaw!$A435</f>
        <v/>
      </c>
      <c r="I435" s="133" t="str">
        <f aca="false">ExportRaw!$B435</f>
        <v/>
      </c>
    </row>
    <row r="436" customFormat="false" ht="15.75" hidden="false" customHeight="false" outlineLevel="0" collapsed="false">
      <c r="A436" s="133" t="n">
        <f aca="false">ExportRaw!$F436</f>
        <v>0</v>
      </c>
      <c r="B436" s="133" t="n">
        <f aca="false">ExportRaw!$C436</f>
        <v>0</v>
      </c>
      <c r="C436" s="133" t="n">
        <f aca="false">ExportRaw!$G436</f>
        <v>0</v>
      </c>
      <c r="D436" s="133" t="str">
        <f aca="false">ExportRaw!$E436</f>
        <v/>
      </c>
      <c r="E436" s="134" t="str">
        <f aca="false">ExportRaw!$D436</f>
        <v/>
      </c>
      <c r="F436" s="133" t="str">
        <f aca="false">ExportRaw!$H436</f>
        <v/>
      </c>
      <c r="G436" s="135" t="str">
        <f aca="false">ExportRaw!$I436</f>
        <v/>
      </c>
      <c r="H436" s="133" t="str">
        <f aca="false">ExportRaw!$A436</f>
        <v/>
      </c>
      <c r="I436" s="133" t="str">
        <f aca="false">ExportRaw!$B436</f>
        <v/>
      </c>
    </row>
    <row r="437" customFormat="false" ht="15.75" hidden="false" customHeight="false" outlineLevel="0" collapsed="false">
      <c r="A437" s="133" t="n">
        <f aca="false">ExportRaw!$F437</f>
        <v>0</v>
      </c>
      <c r="B437" s="133" t="n">
        <f aca="false">ExportRaw!$C437</f>
        <v>0</v>
      </c>
      <c r="C437" s="133" t="n">
        <f aca="false">ExportRaw!$G437</f>
        <v>0</v>
      </c>
      <c r="D437" s="133" t="str">
        <f aca="false">ExportRaw!$E437</f>
        <v/>
      </c>
      <c r="E437" s="134" t="str">
        <f aca="false">ExportRaw!$D437</f>
        <v/>
      </c>
      <c r="F437" s="133" t="str">
        <f aca="false">ExportRaw!$H437</f>
        <v/>
      </c>
      <c r="G437" s="135" t="str">
        <f aca="false">ExportRaw!$I437</f>
        <v/>
      </c>
      <c r="H437" s="133" t="str">
        <f aca="false">ExportRaw!$A437</f>
        <v/>
      </c>
      <c r="I437" s="133" t="str">
        <f aca="false">ExportRaw!$B437</f>
        <v/>
      </c>
    </row>
    <row r="438" customFormat="false" ht="15.75" hidden="false" customHeight="false" outlineLevel="0" collapsed="false">
      <c r="A438" s="133" t="n">
        <f aca="false">ExportRaw!$F438</f>
        <v>0</v>
      </c>
      <c r="B438" s="133" t="n">
        <f aca="false">ExportRaw!$C438</f>
        <v>0</v>
      </c>
      <c r="C438" s="133" t="n">
        <f aca="false">ExportRaw!$G438</f>
        <v>0</v>
      </c>
      <c r="D438" s="133" t="str">
        <f aca="false">ExportRaw!$E438</f>
        <v/>
      </c>
      <c r="E438" s="134" t="str">
        <f aca="false">ExportRaw!$D438</f>
        <v/>
      </c>
      <c r="F438" s="133" t="str">
        <f aca="false">ExportRaw!$H438</f>
        <v/>
      </c>
      <c r="G438" s="135" t="str">
        <f aca="false">ExportRaw!$I438</f>
        <v/>
      </c>
      <c r="H438" s="133" t="str">
        <f aca="false">ExportRaw!$A438</f>
        <v/>
      </c>
      <c r="I438" s="133" t="str">
        <f aca="false">ExportRaw!$B438</f>
        <v/>
      </c>
    </row>
    <row r="439" customFormat="false" ht="15.75" hidden="false" customHeight="false" outlineLevel="0" collapsed="false">
      <c r="A439" s="133" t="n">
        <f aca="false">ExportRaw!$F439</f>
        <v>0</v>
      </c>
      <c r="B439" s="133" t="n">
        <f aca="false">ExportRaw!$C439</f>
        <v>0</v>
      </c>
      <c r="C439" s="133" t="n">
        <f aca="false">ExportRaw!$G439</f>
        <v>0</v>
      </c>
      <c r="D439" s="133" t="str">
        <f aca="false">ExportRaw!$E439</f>
        <v/>
      </c>
      <c r="E439" s="134" t="str">
        <f aca="false">ExportRaw!$D439</f>
        <v/>
      </c>
      <c r="F439" s="133" t="str">
        <f aca="false">ExportRaw!$H439</f>
        <v/>
      </c>
      <c r="G439" s="135" t="str">
        <f aca="false">ExportRaw!$I439</f>
        <v/>
      </c>
      <c r="H439" s="133" t="str">
        <f aca="false">ExportRaw!$A439</f>
        <v/>
      </c>
      <c r="I439" s="133" t="str">
        <f aca="false">ExportRaw!$B439</f>
        <v/>
      </c>
    </row>
    <row r="440" customFormat="false" ht="15.75" hidden="false" customHeight="false" outlineLevel="0" collapsed="false">
      <c r="A440" s="133" t="n">
        <f aca="false">ExportRaw!$F440</f>
        <v>0</v>
      </c>
      <c r="B440" s="133" t="n">
        <f aca="false">ExportRaw!$C440</f>
        <v>0</v>
      </c>
      <c r="C440" s="133" t="n">
        <f aca="false">ExportRaw!$G440</f>
        <v>0</v>
      </c>
      <c r="D440" s="133" t="str">
        <f aca="false">ExportRaw!$E440</f>
        <v/>
      </c>
      <c r="E440" s="134" t="str">
        <f aca="false">ExportRaw!$D440</f>
        <v/>
      </c>
      <c r="F440" s="133" t="str">
        <f aca="false">ExportRaw!$H440</f>
        <v/>
      </c>
      <c r="G440" s="135" t="str">
        <f aca="false">ExportRaw!$I440</f>
        <v/>
      </c>
      <c r="H440" s="133" t="str">
        <f aca="false">ExportRaw!$A440</f>
        <v/>
      </c>
      <c r="I440" s="133" t="str">
        <f aca="false">ExportRaw!$B440</f>
        <v/>
      </c>
    </row>
    <row r="441" customFormat="false" ht="15.75" hidden="false" customHeight="false" outlineLevel="0" collapsed="false">
      <c r="A441" s="133" t="n">
        <f aca="false">ExportRaw!$F441</f>
        <v>0</v>
      </c>
      <c r="B441" s="133" t="n">
        <f aca="false">ExportRaw!$C441</f>
        <v>0</v>
      </c>
      <c r="C441" s="133" t="n">
        <f aca="false">ExportRaw!$G441</f>
        <v>0</v>
      </c>
      <c r="D441" s="133" t="str">
        <f aca="false">ExportRaw!$E441</f>
        <v/>
      </c>
      <c r="E441" s="134" t="str">
        <f aca="false">ExportRaw!$D441</f>
        <v/>
      </c>
      <c r="F441" s="133" t="str">
        <f aca="false">ExportRaw!$H441</f>
        <v/>
      </c>
      <c r="G441" s="135" t="str">
        <f aca="false">ExportRaw!$I441</f>
        <v/>
      </c>
      <c r="H441" s="133" t="str">
        <f aca="false">ExportRaw!$A441</f>
        <v/>
      </c>
      <c r="I441" s="133" t="str">
        <f aca="false">ExportRaw!$B441</f>
        <v/>
      </c>
    </row>
    <row r="442" customFormat="false" ht="15.75" hidden="false" customHeight="false" outlineLevel="0" collapsed="false">
      <c r="A442" s="133" t="n">
        <f aca="false">ExportRaw!$F442</f>
        <v>0</v>
      </c>
      <c r="B442" s="133" t="n">
        <f aca="false">ExportRaw!$C442</f>
        <v>0</v>
      </c>
      <c r="C442" s="133" t="n">
        <f aca="false">ExportRaw!$G442</f>
        <v>0</v>
      </c>
      <c r="D442" s="133" t="str">
        <f aca="false">ExportRaw!$E442</f>
        <v/>
      </c>
      <c r="E442" s="134" t="str">
        <f aca="false">ExportRaw!$D442</f>
        <v/>
      </c>
      <c r="F442" s="133" t="str">
        <f aca="false">ExportRaw!$H442</f>
        <v/>
      </c>
      <c r="G442" s="135" t="str">
        <f aca="false">ExportRaw!$I442</f>
        <v/>
      </c>
      <c r="H442" s="133" t="str">
        <f aca="false">ExportRaw!$A442</f>
        <v/>
      </c>
      <c r="I442" s="133" t="str">
        <f aca="false">ExportRaw!$B442</f>
        <v/>
      </c>
    </row>
    <row r="443" customFormat="false" ht="15.75" hidden="false" customHeight="false" outlineLevel="0" collapsed="false">
      <c r="A443" s="133" t="n">
        <f aca="false">ExportRaw!$F443</f>
        <v>0</v>
      </c>
      <c r="B443" s="133" t="n">
        <f aca="false">ExportRaw!$C443</f>
        <v>0</v>
      </c>
      <c r="C443" s="133" t="n">
        <f aca="false">ExportRaw!$G443</f>
        <v>0</v>
      </c>
      <c r="D443" s="133" t="str">
        <f aca="false">ExportRaw!$E443</f>
        <v/>
      </c>
      <c r="E443" s="134" t="str">
        <f aca="false">ExportRaw!$D443</f>
        <v/>
      </c>
      <c r="F443" s="133" t="str">
        <f aca="false">ExportRaw!$H443</f>
        <v/>
      </c>
      <c r="G443" s="135" t="str">
        <f aca="false">ExportRaw!$I443</f>
        <v/>
      </c>
      <c r="H443" s="133" t="str">
        <f aca="false">ExportRaw!$A443</f>
        <v/>
      </c>
      <c r="I443" s="133" t="str">
        <f aca="false">ExportRaw!$B443</f>
        <v/>
      </c>
    </row>
    <row r="444" customFormat="false" ht="15.75" hidden="false" customHeight="false" outlineLevel="0" collapsed="false">
      <c r="A444" s="133" t="n">
        <f aca="false">ExportRaw!$F444</f>
        <v>0</v>
      </c>
      <c r="B444" s="133" t="n">
        <f aca="false">ExportRaw!$C444</f>
        <v>0</v>
      </c>
      <c r="C444" s="133" t="n">
        <f aca="false">ExportRaw!$G444</f>
        <v>0</v>
      </c>
      <c r="D444" s="133" t="str">
        <f aca="false">ExportRaw!$E444</f>
        <v/>
      </c>
      <c r="E444" s="134" t="str">
        <f aca="false">ExportRaw!$D444</f>
        <v/>
      </c>
      <c r="F444" s="133" t="str">
        <f aca="false">ExportRaw!$H444</f>
        <v/>
      </c>
      <c r="G444" s="135" t="str">
        <f aca="false">ExportRaw!$I444</f>
        <v/>
      </c>
      <c r="H444" s="133" t="str">
        <f aca="false">ExportRaw!$A444</f>
        <v/>
      </c>
      <c r="I444" s="133" t="str">
        <f aca="false">ExportRaw!$B444</f>
        <v/>
      </c>
    </row>
    <row r="445" customFormat="false" ht="15.75" hidden="false" customHeight="false" outlineLevel="0" collapsed="false">
      <c r="A445" s="133" t="n">
        <f aca="false">ExportRaw!$F445</f>
        <v>0</v>
      </c>
      <c r="B445" s="133" t="n">
        <f aca="false">ExportRaw!$C445</f>
        <v>0</v>
      </c>
      <c r="C445" s="133" t="n">
        <f aca="false">ExportRaw!$G445</f>
        <v>0</v>
      </c>
      <c r="D445" s="133" t="str">
        <f aca="false">ExportRaw!$E445</f>
        <v/>
      </c>
      <c r="E445" s="134" t="str">
        <f aca="false">ExportRaw!$D445</f>
        <v/>
      </c>
      <c r="F445" s="133" t="str">
        <f aca="false">ExportRaw!$H445</f>
        <v/>
      </c>
      <c r="G445" s="135" t="str">
        <f aca="false">ExportRaw!$I445</f>
        <v/>
      </c>
      <c r="H445" s="133" t="str">
        <f aca="false">ExportRaw!$A445</f>
        <v/>
      </c>
      <c r="I445" s="133" t="str">
        <f aca="false">ExportRaw!$B445</f>
        <v/>
      </c>
    </row>
    <row r="446" customFormat="false" ht="15.75" hidden="false" customHeight="false" outlineLevel="0" collapsed="false">
      <c r="A446" s="133" t="n">
        <f aca="false">ExportRaw!$F446</f>
        <v>0</v>
      </c>
      <c r="B446" s="133" t="n">
        <f aca="false">ExportRaw!$C446</f>
        <v>0</v>
      </c>
      <c r="C446" s="133" t="n">
        <f aca="false">ExportRaw!$G446</f>
        <v>0</v>
      </c>
      <c r="D446" s="133" t="str">
        <f aca="false">ExportRaw!$E446</f>
        <v/>
      </c>
      <c r="E446" s="134" t="str">
        <f aca="false">ExportRaw!$D446</f>
        <v/>
      </c>
      <c r="F446" s="133" t="str">
        <f aca="false">ExportRaw!$H446</f>
        <v/>
      </c>
      <c r="G446" s="135" t="str">
        <f aca="false">ExportRaw!$I446</f>
        <v/>
      </c>
      <c r="H446" s="133" t="str">
        <f aca="false">ExportRaw!$A446</f>
        <v/>
      </c>
      <c r="I446" s="133" t="str">
        <f aca="false">ExportRaw!$B446</f>
        <v/>
      </c>
    </row>
    <row r="447" customFormat="false" ht="15.75" hidden="false" customHeight="false" outlineLevel="0" collapsed="false">
      <c r="A447" s="133" t="n">
        <f aca="false">ExportRaw!$F447</f>
        <v>0</v>
      </c>
      <c r="B447" s="133" t="n">
        <f aca="false">ExportRaw!$C447</f>
        <v>0</v>
      </c>
      <c r="C447" s="133" t="n">
        <f aca="false">ExportRaw!$G447</f>
        <v>0</v>
      </c>
      <c r="D447" s="133" t="str">
        <f aca="false">ExportRaw!$E447</f>
        <v/>
      </c>
      <c r="E447" s="134" t="str">
        <f aca="false">ExportRaw!$D447</f>
        <v/>
      </c>
      <c r="F447" s="133" t="str">
        <f aca="false">ExportRaw!$H447</f>
        <v/>
      </c>
      <c r="G447" s="135" t="str">
        <f aca="false">ExportRaw!$I447</f>
        <v/>
      </c>
      <c r="H447" s="133" t="str">
        <f aca="false">ExportRaw!$A447</f>
        <v/>
      </c>
      <c r="I447" s="133" t="str">
        <f aca="false">ExportRaw!$B447</f>
        <v/>
      </c>
    </row>
    <row r="448" customFormat="false" ht="15.75" hidden="false" customHeight="false" outlineLevel="0" collapsed="false">
      <c r="A448" s="133" t="n">
        <f aca="false">ExportRaw!$F448</f>
        <v>0</v>
      </c>
      <c r="B448" s="133" t="n">
        <f aca="false">ExportRaw!$C448</f>
        <v>0</v>
      </c>
      <c r="C448" s="133" t="n">
        <f aca="false">ExportRaw!$G448</f>
        <v>0</v>
      </c>
      <c r="D448" s="133" t="str">
        <f aca="false">ExportRaw!$E448</f>
        <v/>
      </c>
      <c r="E448" s="134" t="str">
        <f aca="false">ExportRaw!$D448</f>
        <v/>
      </c>
      <c r="F448" s="133" t="str">
        <f aca="false">ExportRaw!$H448</f>
        <v/>
      </c>
      <c r="G448" s="135" t="str">
        <f aca="false">ExportRaw!$I448</f>
        <v/>
      </c>
      <c r="H448" s="133" t="str">
        <f aca="false">ExportRaw!$A448</f>
        <v/>
      </c>
      <c r="I448" s="133" t="str">
        <f aca="false">ExportRaw!$B448</f>
        <v/>
      </c>
    </row>
    <row r="449" customFormat="false" ht="15.75" hidden="false" customHeight="false" outlineLevel="0" collapsed="false">
      <c r="A449" s="133" t="n">
        <f aca="false">ExportRaw!$F449</f>
        <v>0</v>
      </c>
      <c r="B449" s="133" t="n">
        <f aca="false">ExportRaw!$C449</f>
        <v>0</v>
      </c>
      <c r="C449" s="133" t="n">
        <f aca="false">ExportRaw!$G449</f>
        <v>0</v>
      </c>
      <c r="D449" s="133" t="str">
        <f aca="false">ExportRaw!$E449</f>
        <v/>
      </c>
      <c r="E449" s="134" t="str">
        <f aca="false">ExportRaw!$D449</f>
        <v/>
      </c>
      <c r="F449" s="133" t="str">
        <f aca="false">ExportRaw!$H449</f>
        <v/>
      </c>
      <c r="G449" s="135" t="str">
        <f aca="false">ExportRaw!$I449</f>
        <v/>
      </c>
      <c r="H449" s="133" t="str">
        <f aca="false">ExportRaw!$A449</f>
        <v/>
      </c>
      <c r="I449" s="133" t="str">
        <f aca="false">ExportRaw!$B449</f>
        <v/>
      </c>
    </row>
    <row r="450" customFormat="false" ht="15.75" hidden="false" customHeight="false" outlineLevel="0" collapsed="false">
      <c r="A450" s="133" t="n">
        <f aca="false">ExportRaw!$F450</f>
        <v>0</v>
      </c>
      <c r="B450" s="133" t="n">
        <f aca="false">ExportRaw!$C450</f>
        <v>0</v>
      </c>
      <c r="C450" s="133" t="n">
        <f aca="false">ExportRaw!$G450</f>
        <v>0</v>
      </c>
      <c r="D450" s="133" t="str">
        <f aca="false">ExportRaw!$E450</f>
        <v/>
      </c>
      <c r="E450" s="134" t="str">
        <f aca="false">ExportRaw!$D450</f>
        <v/>
      </c>
      <c r="F450" s="133" t="str">
        <f aca="false">ExportRaw!$H450</f>
        <v/>
      </c>
      <c r="G450" s="135" t="str">
        <f aca="false">ExportRaw!$I450</f>
        <v/>
      </c>
      <c r="H450" s="133" t="str">
        <f aca="false">ExportRaw!$A450</f>
        <v/>
      </c>
      <c r="I450" s="133" t="str">
        <f aca="false">ExportRaw!$B450</f>
        <v/>
      </c>
    </row>
    <row r="451" customFormat="false" ht="15.75" hidden="false" customHeight="false" outlineLevel="0" collapsed="false">
      <c r="A451" s="133" t="n">
        <f aca="false">ExportRaw!$F451</f>
        <v>0</v>
      </c>
      <c r="B451" s="133" t="n">
        <f aca="false">ExportRaw!$C451</f>
        <v>0</v>
      </c>
      <c r="C451" s="133" t="n">
        <f aca="false">ExportRaw!$G451</f>
        <v>0</v>
      </c>
      <c r="D451" s="133" t="str">
        <f aca="false">ExportRaw!$E451</f>
        <v/>
      </c>
      <c r="E451" s="134" t="str">
        <f aca="false">ExportRaw!$D451</f>
        <v/>
      </c>
      <c r="F451" s="133" t="str">
        <f aca="false">ExportRaw!$H451</f>
        <v/>
      </c>
      <c r="G451" s="135" t="str">
        <f aca="false">ExportRaw!$I451</f>
        <v/>
      </c>
      <c r="H451" s="133" t="str">
        <f aca="false">ExportRaw!$A451</f>
        <v/>
      </c>
      <c r="I451" s="133" t="str">
        <f aca="false">ExportRaw!$B451</f>
        <v/>
      </c>
    </row>
    <row r="452" customFormat="false" ht="15.75" hidden="false" customHeight="false" outlineLevel="0" collapsed="false">
      <c r="A452" s="133" t="n">
        <f aca="false">ExportRaw!$F452</f>
        <v>0</v>
      </c>
      <c r="B452" s="133" t="n">
        <f aca="false">ExportRaw!$C452</f>
        <v>0</v>
      </c>
      <c r="C452" s="133" t="n">
        <f aca="false">ExportRaw!$G452</f>
        <v>0</v>
      </c>
      <c r="D452" s="133" t="str">
        <f aca="false">ExportRaw!$E452</f>
        <v/>
      </c>
      <c r="E452" s="134" t="str">
        <f aca="false">ExportRaw!$D452</f>
        <v/>
      </c>
      <c r="F452" s="133" t="str">
        <f aca="false">ExportRaw!$H452</f>
        <v/>
      </c>
      <c r="G452" s="135" t="str">
        <f aca="false">ExportRaw!$I452</f>
        <v/>
      </c>
      <c r="H452" s="133" t="str">
        <f aca="false">ExportRaw!$A452</f>
        <v/>
      </c>
      <c r="I452" s="133" t="str">
        <f aca="false">ExportRaw!$B452</f>
        <v/>
      </c>
    </row>
    <row r="453" customFormat="false" ht="15.75" hidden="false" customHeight="false" outlineLevel="0" collapsed="false">
      <c r="A453" s="133" t="n">
        <f aca="false">ExportRaw!$F453</f>
        <v>0</v>
      </c>
      <c r="B453" s="133" t="n">
        <f aca="false">ExportRaw!$C453</f>
        <v>0</v>
      </c>
      <c r="C453" s="133" t="n">
        <f aca="false">ExportRaw!$G453</f>
        <v>0</v>
      </c>
      <c r="D453" s="133" t="str">
        <f aca="false">ExportRaw!$E453</f>
        <v/>
      </c>
      <c r="E453" s="134" t="str">
        <f aca="false">ExportRaw!$D453</f>
        <v/>
      </c>
      <c r="F453" s="133" t="str">
        <f aca="false">ExportRaw!$H453</f>
        <v/>
      </c>
      <c r="G453" s="135" t="str">
        <f aca="false">ExportRaw!$I453</f>
        <v/>
      </c>
      <c r="H453" s="133" t="str">
        <f aca="false">ExportRaw!$A453</f>
        <v/>
      </c>
      <c r="I453" s="133" t="str">
        <f aca="false">ExportRaw!$B453</f>
        <v/>
      </c>
    </row>
    <row r="454" customFormat="false" ht="15.75" hidden="false" customHeight="false" outlineLevel="0" collapsed="false">
      <c r="A454" s="133" t="n">
        <f aca="false">ExportRaw!$F454</f>
        <v>0</v>
      </c>
      <c r="B454" s="133" t="n">
        <f aca="false">ExportRaw!$C454</f>
        <v>0</v>
      </c>
      <c r="C454" s="133" t="n">
        <f aca="false">ExportRaw!$G454</f>
        <v>0</v>
      </c>
      <c r="D454" s="133" t="str">
        <f aca="false">ExportRaw!$E454</f>
        <v/>
      </c>
      <c r="E454" s="134" t="str">
        <f aca="false">ExportRaw!$D454</f>
        <v/>
      </c>
      <c r="F454" s="133" t="str">
        <f aca="false">ExportRaw!$H454</f>
        <v/>
      </c>
      <c r="G454" s="135" t="str">
        <f aca="false">ExportRaw!$I454</f>
        <v/>
      </c>
      <c r="H454" s="133" t="str">
        <f aca="false">ExportRaw!$A454</f>
        <v/>
      </c>
      <c r="I454" s="133" t="str">
        <f aca="false">ExportRaw!$B454</f>
        <v/>
      </c>
    </row>
    <row r="455" customFormat="false" ht="15.75" hidden="false" customHeight="false" outlineLevel="0" collapsed="false">
      <c r="A455" s="133" t="n">
        <f aca="false">ExportRaw!$F455</f>
        <v>0</v>
      </c>
      <c r="B455" s="133" t="n">
        <f aca="false">ExportRaw!$C455</f>
        <v>0</v>
      </c>
      <c r="C455" s="133" t="n">
        <f aca="false">ExportRaw!$G455</f>
        <v>0</v>
      </c>
      <c r="D455" s="133" t="str">
        <f aca="false">ExportRaw!$E455</f>
        <v/>
      </c>
      <c r="E455" s="134" t="str">
        <f aca="false">ExportRaw!$D455</f>
        <v/>
      </c>
      <c r="F455" s="133" t="str">
        <f aca="false">ExportRaw!$H455</f>
        <v/>
      </c>
      <c r="G455" s="135" t="str">
        <f aca="false">ExportRaw!$I455</f>
        <v/>
      </c>
      <c r="H455" s="133" t="str">
        <f aca="false">ExportRaw!$A455</f>
        <v/>
      </c>
      <c r="I455" s="133" t="str">
        <f aca="false">ExportRaw!$B455</f>
        <v/>
      </c>
    </row>
    <row r="456" customFormat="false" ht="15.75" hidden="false" customHeight="false" outlineLevel="0" collapsed="false">
      <c r="A456" s="133" t="n">
        <f aca="false">ExportRaw!$F456</f>
        <v>0</v>
      </c>
      <c r="B456" s="133" t="n">
        <f aca="false">ExportRaw!$C456</f>
        <v>0</v>
      </c>
      <c r="C456" s="133" t="n">
        <f aca="false">ExportRaw!$G456</f>
        <v>0</v>
      </c>
      <c r="D456" s="133" t="str">
        <f aca="false">ExportRaw!$E456</f>
        <v/>
      </c>
      <c r="E456" s="134" t="str">
        <f aca="false">ExportRaw!$D456</f>
        <v/>
      </c>
      <c r="F456" s="133" t="str">
        <f aca="false">ExportRaw!$H456</f>
        <v/>
      </c>
      <c r="G456" s="135" t="str">
        <f aca="false">ExportRaw!$I456</f>
        <v/>
      </c>
      <c r="H456" s="133" t="str">
        <f aca="false">ExportRaw!$A456</f>
        <v/>
      </c>
      <c r="I456" s="133" t="str">
        <f aca="false">ExportRaw!$B456</f>
        <v/>
      </c>
    </row>
    <row r="457" customFormat="false" ht="15.75" hidden="false" customHeight="false" outlineLevel="0" collapsed="false">
      <c r="A457" s="133" t="n">
        <f aca="false">ExportRaw!$F457</f>
        <v>0</v>
      </c>
      <c r="B457" s="133" t="n">
        <f aca="false">ExportRaw!$C457</f>
        <v>0</v>
      </c>
      <c r="C457" s="133" t="n">
        <f aca="false">ExportRaw!$G457</f>
        <v>0</v>
      </c>
      <c r="D457" s="133" t="str">
        <f aca="false">ExportRaw!$E457</f>
        <v/>
      </c>
      <c r="E457" s="134" t="str">
        <f aca="false">ExportRaw!$D457</f>
        <v/>
      </c>
      <c r="F457" s="133" t="str">
        <f aca="false">ExportRaw!$H457</f>
        <v/>
      </c>
      <c r="G457" s="135" t="str">
        <f aca="false">ExportRaw!$I457</f>
        <v/>
      </c>
      <c r="H457" s="133" t="str">
        <f aca="false">ExportRaw!$A457</f>
        <v/>
      </c>
      <c r="I457" s="133" t="str">
        <f aca="false">ExportRaw!$B457</f>
        <v/>
      </c>
    </row>
    <row r="458" customFormat="false" ht="15.75" hidden="false" customHeight="false" outlineLevel="0" collapsed="false">
      <c r="A458" s="133" t="n">
        <f aca="false">ExportRaw!$F458</f>
        <v>0</v>
      </c>
      <c r="B458" s="133" t="n">
        <f aca="false">ExportRaw!$C458</f>
        <v>0</v>
      </c>
      <c r="C458" s="133" t="n">
        <f aca="false">ExportRaw!$G458</f>
        <v>0</v>
      </c>
      <c r="D458" s="133" t="str">
        <f aca="false">ExportRaw!$E458</f>
        <v/>
      </c>
      <c r="E458" s="134" t="str">
        <f aca="false">ExportRaw!$D458</f>
        <v/>
      </c>
      <c r="F458" s="133" t="str">
        <f aca="false">ExportRaw!$H458</f>
        <v/>
      </c>
      <c r="G458" s="135" t="str">
        <f aca="false">ExportRaw!$I458</f>
        <v/>
      </c>
      <c r="H458" s="133" t="str">
        <f aca="false">ExportRaw!$A458</f>
        <v/>
      </c>
      <c r="I458" s="133" t="str">
        <f aca="false">ExportRaw!$B458</f>
        <v/>
      </c>
    </row>
    <row r="459" customFormat="false" ht="15.75" hidden="false" customHeight="false" outlineLevel="0" collapsed="false">
      <c r="A459" s="133" t="n">
        <f aca="false">ExportRaw!$F459</f>
        <v>0</v>
      </c>
      <c r="B459" s="133" t="n">
        <f aca="false">ExportRaw!$C459</f>
        <v>0</v>
      </c>
      <c r="C459" s="133" t="n">
        <f aca="false">ExportRaw!$G459</f>
        <v>0</v>
      </c>
      <c r="D459" s="133" t="str">
        <f aca="false">ExportRaw!$E459</f>
        <v/>
      </c>
      <c r="E459" s="134" t="str">
        <f aca="false">ExportRaw!$D459</f>
        <v/>
      </c>
      <c r="F459" s="133" t="str">
        <f aca="false">ExportRaw!$H459</f>
        <v/>
      </c>
      <c r="G459" s="135" t="str">
        <f aca="false">ExportRaw!$I459</f>
        <v/>
      </c>
      <c r="H459" s="133" t="str">
        <f aca="false">ExportRaw!$A459</f>
        <v/>
      </c>
      <c r="I459" s="133" t="str">
        <f aca="false">ExportRaw!$B459</f>
        <v/>
      </c>
    </row>
    <row r="460" customFormat="false" ht="15.75" hidden="false" customHeight="false" outlineLevel="0" collapsed="false">
      <c r="A460" s="133" t="n">
        <f aca="false">ExportRaw!$F460</f>
        <v>0</v>
      </c>
      <c r="B460" s="133" t="n">
        <f aca="false">ExportRaw!$C460</f>
        <v>0</v>
      </c>
      <c r="C460" s="133" t="n">
        <f aca="false">ExportRaw!$G460</f>
        <v>0</v>
      </c>
      <c r="D460" s="133" t="str">
        <f aca="false">ExportRaw!$E460</f>
        <v/>
      </c>
      <c r="E460" s="134" t="str">
        <f aca="false">ExportRaw!$D460</f>
        <v/>
      </c>
      <c r="F460" s="133" t="str">
        <f aca="false">ExportRaw!$H460</f>
        <v/>
      </c>
      <c r="G460" s="135" t="str">
        <f aca="false">ExportRaw!$I460</f>
        <v/>
      </c>
      <c r="H460" s="133" t="str">
        <f aca="false">ExportRaw!$A460</f>
        <v/>
      </c>
      <c r="I460" s="133" t="str">
        <f aca="false">ExportRaw!$B460</f>
        <v/>
      </c>
    </row>
    <row r="461" customFormat="false" ht="15.75" hidden="false" customHeight="false" outlineLevel="0" collapsed="false">
      <c r="A461" s="133" t="n">
        <f aca="false">ExportRaw!$F461</f>
        <v>0</v>
      </c>
      <c r="B461" s="133" t="n">
        <f aca="false">ExportRaw!$C461</f>
        <v>0</v>
      </c>
      <c r="C461" s="133" t="n">
        <f aca="false">ExportRaw!$G461</f>
        <v>0</v>
      </c>
      <c r="D461" s="133" t="str">
        <f aca="false">ExportRaw!$E461</f>
        <v/>
      </c>
      <c r="E461" s="134" t="str">
        <f aca="false">ExportRaw!$D461</f>
        <v/>
      </c>
      <c r="F461" s="133" t="str">
        <f aca="false">ExportRaw!$H461</f>
        <v/>
      </c>
      <c r="G461" s="135" t="str">
        <f aca="false">ExportRaw!$I461</f>
        <v/>
      </c>
      <c r="H461" s="133" t="str">
        <f aca="false">ExportRaw!$A461</f>
        <v/>
      </c>
      <c r="I461" s="133" t="str">
        <f aca="false">ExportRaw!$B461</f>
        <v/>
      </c>
    </row>
    <row r="462" customFormat="false" ht="15.75" hidden="false" customHeight="false" outlineLevel="0" collapsed="false">
      <c r="A462" s="133" t="n">
        <f aca="false">ExportRaw!$F462</f>
        <v>0</v>
      </c>
      <c r="B462" s="133" t="n">
        <f aca="false">ExportRaw!$C462</f>
        <v>0</v>
      </c>
      <c r="C462" s="133" t="n">
        <f aca="false">ExportRaw!$G462</f>
        <v>0</v>
      </c>
      <c r="D462" s="133" t="str">
        <f aca="false">ExportRaw!$E462</f>
        <v/>
      </c>
      <c r="E462" s="134" t="str">
        <f aca="false">ExportRaw!$D462</f>
        <v/>
      </c>
      <c r="F462" s="133" t="str">
        <f aca="false">ExportRaw!$H462</f>
        <v/>
      </c>
      <c r="G462" s="135" t="str">
        <f aca="false">ExportRaw!$I462</f>
        <v/>
      </c>
      <c r="H462" s="133" t="str">
        <f aca="false">ExportRaw!$A462</f>
        <v/>
      </c>
      <c r="I462" s="133" t="str">
        <f aca="false">ExportRaw!$B462</f>
        <v/>
      </c>
    </row>
    <row r="463" customFormat="false" ht="15.75" hidden="false" customHeight="false" outlineLevel="0" collapsed="false">
      <c r="A463" s="133" t="n">
        <f aca="false">ExportRaw!$F463</f>
        <v>0</v>
      </c>
      <c r="B463" s="133" t="n">
        <f aca="false">ExportRaw!$C463</f>
        <v>0</v>
      </c>
      <c r="C463" s="133" t="n">
        <f aca="false">ExportRaw!$G463</f>
        <v>0</v>
      </c>
      <c r="D463" s="133" t="str">
        <f aca="false">ExportRaw!$E463</f>
        <v/>
      </c>
      <c r="E463" s="134" t="str">
        <f aca="false">ExportRaw!$D463</f>
        <v/>
      </c>
      <c r="F463" s="133" t="str">
        <f aca="false">ExportRaw!$H463</f>
        <v/>
      </c>
      <c r="G463" s="135" t="str">
        <f aca="false">ExportRaw!$I463</f>
        <v/>
      </c>
      <c r="H463" s="133" t="str">
        <f aca="false">ExportRaw!$A463</f>
        <v/>
      </c>
      <c r="I463" s="133" t="str">
        <f aca="false">ExportRaw!$B463</f>
        <v/>
      </c>
    </row>
    <row r="464" customFormat="false" ht="15.75" hidden="false" customHeight="false" outlineLevel="0" collapsed="false">
      <c r="A464" s="133" t="n">
        <f aca="false">ExportRaw!$F464</f>
        <v>0</v>
      </c>
      <c r="B464" s="133" t="n">
        <f aca="false">ExportRaw!$C464</f>
        <v>0</v>
      </c>
      <c r="C464" s="133" t="n">
        <f aca="false">ExportRaw!$G464</f>
        <v>0</v>
      </c>
      <c r="D464" s="133" t="str">
        <f aca="false">ExportRaw!$E464</f>
        <v/>
      </c>
      <c r="E464" s="134" t="str">
        <f aca="false">ExportRaw!$D464</f>
        <v/>
      </c>
      <c r="F464" s="133" t="str">
        <f aca="false">ExportRaw!$H464</f>
        <v/>
      </c>
      <c r="G464" s="135" t="str">
        <f aca="false">ExportRaw!$I464</f>
        <v/>
      </c>
      <c r="H464" s="133" t="str">
        <f aca="false">ExportRaw!$A464</f>
        <v/>
      </c>
      <c r="I464" s="133" t="str">
        <f aca="false">ExportRaw!$B464</f>
        <v/>
      </c>
    </row>
    <row r="465" customFormat="false" ht="15.75" hidden="false" customHeight="false" outlineLevel="0" collapsed="false">
      <c r="A465" s="133" t="n">
        <f aca="false">ExportRaw!$F465</f>
        <v>0</v>
      </c>
      <c r="B465" s="133" t="n">
        <f aca="false">ExportRaw!$C465</f>
        <v>0</v>
      </c>
      <c r="C465" s="133" t="n">
        <f aca="false">ExportRaw!$G465</f>
        <v>0</v>
      </c>
      <c r="D465" s="133" t="str">
        <f aca="false">ExportRaw!$E465</f>
        <v/>
      </c>
      <c r="E465" s="134" t="str">
        <f aca="false">ExportRaw!$D465</f>
        <v/>
      </c>
      <c r="F465" s="133" t="str">
        <f aca="false">ExportRaw!$H465</f>
        <v/>
      </c>
      <c r="G465" s="135" t="str">
        <f aca="false">ExportRaw!$I465</f>
        <v/>
      </c>
      <c r="H465" s="133" t="str">
        <f aca="false">ExportRaw!$A465</f>
        <v/>
      </c>
      <c r="I465" s="133" t="str">
        <f aca="false">ExportRaw!$B465</f>
        <v/>
      </c>
    </row>
    <row r="466" customFormat="false" ht="15.75" hidden="false" customHeight="false" outlineLevel="0" collapsed="false">
      <c r="A466" s="133" t="n">
        <f aca="false">ExportRaw!$F466</f>
        <v>0</v>
      </c>
      <c r="B466" s="133" t="n">
        <f aca="false">ExportRaw!$C466</f>
        <v>0</v>
      </c>
      <c r="C466" s="133" t="n">
        <f aca="false">ExportRaw!$G466</f>
        <v>0</v>
      </c>
      <c r="D466" s="133" t="str">
        <f aca="false">ExportRaw!$E466</f>
        <v/>
      </c>
      <c r="E466" s="134" t="str">
        <f aca="false">ExportRaw!$D466</f>
        <v/>
      </c>
      <c r="F466" s="133" t="str">
        <f aca="false">ExportRaw!$H466</f>
        <v/>
      </c>
      <c r="G466" s="135" t="str">
        <f aca="false">ExportRaw!$I466</f>
        <v/>
      </c>
      <c r="H466" s="133" t="str">
        <f aca="false">ExportRaw!$A466</f>
        <v/>
      </c>
      <c r="I466" s="133" t="str">
        <f aca="false">ExportRaw!$B466</f>
        <v/>
      </c>
    </row>
    <row r="467" customFormat="false" ht="15.75" hidden="false" customHeight="false" outlineLevel="0" collapsed="false">
      <c r="A467" s="133" t="n">
        <f aca="false">ExportRaw!$F467</f>
        <v>0</v>
      </c>
      <c r="B467" s="133" t="n">
        <f aca="false">ExportRaw!$C467</f>
        <v>0</v>
      </c>
      <c r="C467" s="133" t="n">
        <f aca="false">ExportRaw!$G467</f>
        <v>0</v>
      </c>
      <c r="D467" s="133" t="str">
        <f aca="false">ExportRaw!$E467</f>
        <v/>
      </c>
      <c r="E467" s="134" t="str">
        <f aca="false">ExportRaw!$D467</f>
        <v/>
      </c>
      <c r="F467" s="133" t="str">
        <f aca="false">ExportRaw!$H467</f>
        <v/>
      </c>
      <c r="G467" s="135" t="str">
        <f aca="false">ExportRaw!$I467</f>
        <v/>
      </c>
      <c r="H467" s="133" t="str">
        <f aca="false">ExportRaw!$A467</f>
        <v/>
      </c>
      <c r="I467" s="133" t="str">
        <f aca="false">ExportRaw!$B467</f>
        <v/>
      </c>
    </row>
    <row r="468" customFormat="false" ht="15.75" hidden="false" customHeight="false" outlineLevel="0" collapsed="false">
      <c r="A468" s="133" t="n">
        <f aca="false">ExportRaw!$F468</f>
        <v>0</v>
      </c>
      <c r="B468" s="133" t="n">
        <f aca="false">ExportRaw!$C468</f>
        <v>0</v>
      </c>
      <c r="C468" s="133" t="n">
        <f aca="false">ExportRaw!$G468</f>
        <v>0</v>
      </c>
      <c r="D468" s="133" t="str">
        <f aca="false">ExportRaw!$E468</f>
        <v/>
      </c>
      <c r="E468" s="134" t="str">
        <f aca="false">ExportRaw!$D468</f>
        <v/>
      </c>
      <c r="F468" s="133" t="str">
        <f aca="false">ExportRaw!$H468</f>
        <v/>
      </c>
      <c r="G468" s="135" t="str">
        <f aca="false">ExportRaw!$I468</f>
        <v/>
      </c>
      <c r="H468" s="133" t="str">
        <f aca="false">ExportRaw!$A468</f>
        <v/>
      </c>
      <c r="I468" s="133" t="str">
        <f aca="false">ExportRaw!$B468</f>
        <v/>
      </c>
    </row>
    <row r="469" customFormat="false" ht="15.75" hidden="false" customHeight="false" outlineLevel="0" collapsed="false">
      <c r="A469" s="133" t="n">
        <f aca="false">ExportRaw!$F469</f>
        <v>0</v>
      </c>
      <c r="B469" s="133" t="n">
        <f aca="false">ExportRaw!$C469</f>
        <v>0</v>
      </c>
      <c r="C469" s="133" t="n">
        <f aca="false">ExportRaw!$G469</f>
        <v>0</v>
      </c>
      <c r="D469" s="133" t="str">
        <f aca="false">ExportRaw!$E469</f>
        <v/>
      </c>
      <c r="E469" s="134" t="str">
        <f aca="false">ExportRaw!$D469</f>
        <v/>
      </c>
      <c r="F469" s="133" t="str">
        <f aca="false">ExportRaw!$H469</f>
        <v/>
      </c>
      <c r="G469" s="135" t="str">
        <f aca="false">ExportRaw!$I469</f>
        <v/>
      </c>
      <c r="H469" s="133" t="str">
        <f aca="false">ExportRaw!$A469</f>
        <v/>
      </c>
      <c r="I469" s="133" t="str">
        <f aca="false">ExportRaw!$B469</f>
        <v/>
      </c>
    </row>
    <row r="470" customFormat="false" ht="15.75" hidden="false" customHeight="false" outlineLevel="0" collapsed="false">
      <c r="A470" s="133" t="n">
        <f aca="false">ExportRaw!$F470</f>
        <v>0</v>
      </c>
      <c r="B470" s="133" t="n">
        <f aca="false">ExportRaw!$C470</f>
        <v>0</v>
      </c>
      <c r="C470" s="133" t="n">
        <f aca="false">ExportRaw!$G470</f>
        <v>0</v>
      </c>
      <c r="D470" s="133" t="str">
        <f aca="false">ExportRaw!$E470</f>
        <v/>
      </c>
      <c r="E470" s="134" t="str">
        <f aca="false">ExportRaw!$D470</f>
        <v/>
      </c>
      <c r="F470" s="133" t="str">
        <f aca="false">ExportRaw!$H470</f>
        <v/>
      </c>
      <c r="G470" s="135" t="str">
        <f aca="false">ExportRaw!$I470</f>
        <v/>
      </c>
      <c r="H470" s="133" t="str">
        <f aca="false">ExportRaw!$A470</f>
        <v/>
      </c>
      <c r="I470" s="133" t="str">
        <f aca="false">ExportRaw!$B470</f>
        <v/>
      </c>
    </row>
    <row r="471" customFormat="false" ht="15.75" hidden="false" customHeight="false" outlineLevel="0" collapsed="false">
      <c r="A471" s="133" t="n">
        <f aca="false">ExportRaw!$F471</f>
        <v>0</v>
      </c>
      <c r="B471" s="133" t="n">
        <f aca="false">ExportRaw!$C471</f>
        <v>0</v>
      </c>
      <c r="C471" s="133" t="n">
        <f aca="false">ExportRaw!$G471</f>
        <v>0</v>
      </c>
      <c r="D471" s="133" t="str">
        <f aca="false">ExportRaw!$E471</f>
        <v/>
      </c>
      <c r="E471" s="134" t="str">
        <f aca="false">ExportRaw!$D471</f>
        <v/>
      </c>
      <c r="F471" s="133" t="str">
        <f aca="false">ExportRaw!$H471</f>
        <v/>
      </c>
      <c r="G471" s="135" t="str">
        <f aca="false">ExportRaw!$I471</f>
        <v/>
      </c>
      <c r="H471" s="133" t="str">
        <f aca="false">ExportRaw!$A471</f>
        <v/>
      </c>
      <c r="I471" s="133" t="str">
        <f aca="false">ExportRaw!$B471</f>
        <v/>
      </c>
    </row>
    <row r="472" customFormat="false" ht="15.75" hidden="false" customHeight="false" outlineLevel="0" collapsed="false">
      <c r="A472" s="133" t="n">
        <f aca="false">ExportRaw!$F472</f>
        <v>0</v>
      </c>
      <c r="B472" s="133" t="n">
        <f aca="false">ExportRaw!$C472</f>
        <v>0</v>
      </c>
      <c r="C472" s="133" t="n">
        <f aca="false">ExportRaw!$G472</f>
        <v>0</v>
      </c>
      <c r="D472" s="133" t="str">
        <f aca="false">ExportRaw!$E472</f>
        <v/>
      </c>
      <c r="E472" s="134" t="str">
        <f aca="false">ExportRaw!$D472</f>
        <v/>
      </c>
      <c r="F472" s="133" t="str">
        <f aca="false">ExportRaw!$H472</f>
        <v/>
      </c>
      <c r="G472" s="135" t="str">
        <f aca="false">ExportRaw!$I472</f>
        <v/>
      </c>
      <c r="H472" s="133" t="str">
        <f aca="false">ExportRaw!$A472</f>
        <v/>
      </c>
      <c r="I472" s="133" t="str">
        <f aca="false">ExportRaw!$B472</f>
        <v/>
      </c>
    </row>
    <row r="473" customFormat="false" ht="15.75" hidden="false" customHeight="false" outlineLevel="0" collapsed="false">
      <c r="A473" s="133" t="n">
        <f aca="false">ExportRaw!$F473</f>
        <v>0</v>
      </c>
      <c r="B473" s="133" t="n">
        <f aca="false">ExportRaw!$C473</f>
        <v>0</v>
      </c>
      <c r="C473" s="133" t="n">
        <f aca="false">ExportRaw!$G473</f>
        <v>0</v>
      </c>
      <c r="D473" s="133" t="str">
        <f aca="false">ExportRaw!$E473</f>
        <v/>
      </c>
      <c r="E473" s="134" t="str">
        <f aca="false">ExportRaw!$D473</f>
        <v/>
      </c>
      <c r="F473" s="133" t="str">
        <f aca="false">ExportRaw!$H473</f>
        <v/>
      </c>
      <c r="G473" s="135" t="str">
        <f aca="false">ExportRaw!$I473</f>
        <v/>
      </c>
      <c r="H473" s="133" t="str">
        <f aca="false">ExportRaw!$A473</f>
        <v/>
      </c>
      <c r="I473" s="133" t="str">
        <f aca="false">ExportRaw!$B473</f>
        <v/>
      </c>
    </row>
    <row r="474" customFormat="false" ht="15.75" hidden="false" customHeight="false" outlineLevel="0" collapsed="false">
      <c r="A474" s="133" t="n">
        <f aca="false">ExportRaw!$F474</f>
        <v>0</v>
      </c>
      <c r="B474" s="133" t="n">
        <f aca="false">ExportRaw!$C474</f>
        <v>0</v>
      </c>
      <c r="C474" s="133" t="n">
        <f aca="false">ExportRaw!$G474</f>
        <v>0</v>
      </c>
      <c r="D474" s="133" t="str">
        <f aca="false">ExportRaw!$E474</f>
        <v/>
      </c>
      <c r="E474" s="134" t="str">
        <f aca="false">ExportRaw!$D474</f>
        <v/>
      </c>
      <c r="F474" s="133" t="str">
        <f aca="false">ExportRaw!$H474</f>
        <v/>
      </c>
      <c r="G474" s="135" t="str">
        <f aca="false">ExportRaw!$I474</f>
        <v/>
      </c>
      <c r="H474" s="133" t="str">
        <f aca="false">ExportRaw!$A474</f>
        <v/>
      </c>
      <c r="I474" s="133" t="str">
        <f aca="false">ExportRaw!$B474</f>
        <v/>
      </c>
    </row>
    <row r="475" customFormat="false" ht="15.75" hidden="false" customHeight="false" outlineLevel="0" collapsed="false">
      <c r="A475" s="133" t="n">
        <f aca="false">ExportRaw!$F475</f>
        <v>0</v>
      </c>
      <c r="B475" s="133" t="n">
        <f aca="false">ExportRaw!$C475</f>
        <v>0</v>
      </c>
      <c r="C475" s="133" t="n">
        <f aca="false">ExportRaw!$G475</f>
        <v>0</v>
      </c>
      <c r="D475" s="133" t="str">
        <f aca="false">ExportRaw!$E475</f>
        <v/>
      </c>
      <c r="E475" s="134" t="str">
        <f aca="false">ExportRaw!$D475</f>
        <v/>
      </c>
      <c r="F475" s="133" t="str">
        <f aca="false">ExportRaw!$H475</f>
        <v/>
      </c>
      <c r="G475" s="135" t="str">
        <f aca="false">ExportRaw!$I475</f>
        <v/>
      </c>
      <c r="H475" s="133" t="str">
        <f aca="false">ExportRaw!$A475</f>
        <v/>
      </c>
      <c r="I475" s="133" t="str">
        <f aca="false">ExportRaw!$B475</f>
        <v/>
      </c>
    </row>
    <row r="476" customFormat="false" ht="15.75" hidden="false" customHeight="false" outlineLevel="0" collapsed="false">
      <c r="A476" s="133" t="n">
        <f aca="false">ExportRaw!$F476</f>
        <v>0</v>
      </c>
      <c r="B476" s="133" t="n">
        <f aca="false">ExportRaw!$C476</f>
        <v>0</v>
      </c>
      <c r="C476" s="133" t="n">
        <f aca="false">ExportRaw!$G476</f>
        <v>0</v>
      </c>
      <c r="D476" s="133" t="str">
        <f aca="false">ExportRaw!$E476</f>
        <v/>
      </c>
      <c r="E476" s="134" t="str">
        <f aca="false">ExportRaw!$D476</f>
        <v/>
      </c>
      <c r="F476" s="133" t="str">
        <f aca="false">ExportRaw!$H476</f>
        <v/>
      </c>
      <c r="G476" s="135" t="str">
        <f aca="false">ExportRaw!$I476</f>
        <v/>
      </c>
      <c r="H476" s="133" t="str">
        <f aca="false">ExportRaw!$A476</f>
        <v/>
      </c>
      <c r="I476" s="133" t="str">
        <f aca="false">ExportRaw!$B476</f>
        <v/>
      </c>
    </row>
    <row r="477" customFormat="false" ht="15.75" hidden="false" customHeight="false" outlineLevel="0" collapsed="false">
      <c r="A477" s="133" t="n">
        <f aca="false">ExportRaw!$F477</f>
        <v>0</v>
      </c>
      <c r="B477" s="133" t="n">
        <f aca="false">ExportRaw!$C477</f>
        <v>0</v>
      </c>
      <c r="C477" s="133" t="n">
        <f aca="false">ExportRaw!$G477</f>
        <v>0</v>
      </c>
      <c r="D477" s="133" t="str">
        <f aca="false">ExportRaw!$E477</f>
        <v/>
      </c>
      <c r="E477" s="134" t="str">
        <f aca="false">ExportRaw!$D477</f>
        <v/>
      </c>
      <c r="F477" s="133" t="str">
        <f aca="false">ExportRaw!$H477</f>
        <v/>
      </c>
      <c r="G477" s="135" t="str">
        <f aca="false">ExportRaw!$I477</f>
        <v/>
      </c>
      <c r="H477" s="133" t="str">
        <f aca="false">ExportRaw!$A477</f>
        <v/>
      </c>
      <c r="I477" s="133" t="str">
        <f aca="false">ExportRaw!$B477</f>
        <v/>
      </c>
    </row>
    <row r="478" customFormat="false" ht="15.75" hidden="false" customHeight="false" outlineLevel="0" collapsed="false">
      <c r="A478" s="133" t="n">
        <f aca="false">ExportRaw!$F478</f>
        <v>0</v>
      </c>
      <c r="B478" s="133" t="n">
        <f aca="false">ExportRaw!$C478</f>
        <v>0</v>
      </c>
      <c r="C478" s="133" t="n">
        <f aca="false">ExportRaw!$G478</f>
        <v>0</v>
      </c>
      <c r="D478" s="133" t="str">
        <f aca="false">ExportRaw!$E478</f>
        <v/>
      </c>
      <c r="E478" s="134" t="str">
        <f aca="false">ExportRaw!$D478</f>
        <v/>
      </c>
      <c r="F478" s="133" t="str">
        <f aca="false">ExportRaw!$H478</f>
        <v/>
      </c>
      <c r="G478" s="135" t="str">
        <f aca="false">ExportRaw!$I478</f>
        <v/>
      </c>
      <c r="H478" s="133" t="str">
        <f aca="false">ExportRaw!$A478</f>
        <v/>
      </c>
      <c r="I478" s="133" t="str">
        <f aca="false">ExportRaw!$B478</f>
        <v/>
      </c>
    </row>
    <row r="479" customFormat="false" ht="15.75" hidden="false" customHeight="false" outlineLevel="0" collapsed="false">
      <c r="A479" s="133" t="n">
        <f aca="false">ExportRaw!$F479</f>
        <v>0</v>
      </c>
      <c r="B479" s="133" t="n">
        <f aca="false">ExportRaw!$C479</f>
        <v>0</v>
      </c>
      <c r="C479" s="133" t="n">
        <f aca="false">ExportRaw!$G479</f>
        <v>0</v>
      </c>
      <c r="D479" s="133" t="str">
        <f aca="false">ExportRaw!$E479</f>
        <v/>
      </c>
      <c r="E479" s="134" t="str">
        <f aca="false">ExportRaw!$D479</f>
        <v/>
      </c>
      <c r="F479" s="133" t="str">
        <f aca="false">ExportRaw!$H479</f>
        <v/>
      </c>
      <c r="G479" s="135" t="str">
        <f aca="false">ExportRaw!$I479</f>
        <v/>
      </c>
      <c r="H479" s="133" t="str">
        <f aca="false">ExportRaw!$A479</f>
        <v/>
      </c>
      <c r="I479" s="133" t="str">
        <f aca="false">ExportRaw!$B479</f>
        <v/>
      </c>
    </row>
    <row r="480" customFormat="false" ht="15.75" hidden="false" customHeight="false" outlineLevel="0" collapsed="false">
      <c r="A480" s="133" t="n">
        <f aca="false">ExportRaw!$F480</f>
        <v>0</v>
      </c>
      <c r="B480" s="133" t="n">
        <f aca="false">ExportRaw!$C480</f>
        <v>0</v>
      </c>
      <c r="C480" s="133" t="n">
        <f aca="false">ExportRaw!$G480</f>
        <v>0</v>
      </c>
      <c r="D480" s="133" t="str">
        <f aca="false">ExportRaw!$E480</f>
        <v/>
      </c>
      <c r="E480" s="134" t="str">
        <f aca="false">ExportRaw!$D480</f>
        <v/>
      </c>
      <c r="F480" s="133" t="str">
        <f aca="false">ExportRaw!$H480</f>
        <v/>
      </c>
      <c r="G480" s="135" t="str">
        <f aca="false">ExportRaw!$I480</f>
        <v/>
      </c>
      <c r="H480" s="133" t="str">
        <f aca="false">ExportRaw!$A480</f>
        <v/>
      </c>
      <c r="I480" s="133" t="str">
        <f aca="false">ExportRaw!$B480</f>
        <v/>
      </c>
    </row>
    <row r="481" customFormat="false" ht="15.75" hidden="false" customHeight="false" outlineLevel="0" collapsed="false">
      <c r="A481" s="133" t="n">
        <f aca="false">ExportRaw!$F481</f>
        <v>0</v>
      </c>
      <c r="B481" s="133" t="n">
        <f aca="false">ExportRaw!$C481</f>
        <v>0</v>
      </c>
      <c r="C481" s="133" t="n">
        <f aca="false">ExportRaw!$G481</f>
        <v>0</v>
      </c>
      <c r="D481" s="133" t="str">
        <f aca="false">ExportRaw!$E481</f>
        <v/>
      </c>
      <c r="E481" s="134" t="str">
        <f aca="false">ExportRaw!$D481</f>
        <v/>
      </c>
      <c r="F481" s="133" t="str">
        <f aca="false">ExportRaw!$H481</f>
        <v/>
      </c>
      <c r="G481" s="135" t="str">
        <f aca="false">ExportRaw!$I481</f>
        <v/>
      </c>
      <c r="H481" s="133" t="str">
        <f aca="false">ExportRaw!$A481</f>
        <v/>
      </c>
      <c r="I481" s="133" t="str">
        <f aca="false">ExportRaw!$B481</f>
        <v/>
      </c>
    </row>
    <row r="482" customFormat="false" ht="15.75" hidden="false" customHeight="false" outlineLevel="0" collapsed="false">
      <c r="A482" s="133" t="n">
        <f aca="false">ExportRaw!$F482</f>
        <v>0</v>
      </c>
      <c r="B482" s="133" t="n">
        <f aca="false">ExportRaw!$C482</f>
        <v>0</v>
      </c>
      <c r="C482" s="133" t="n">
        <f aca="false">ExportRaw!$G482</f>
        <v>0</v>
      </c>
      <c r="D482" s="133" t="str">
        <f aca="false">ExportRaw!$E482</f>
        <v/>
      </c>
      <c r="E482" s="134" t="str">
        <f aca="false">ExportRaw!$D482</f>
        <v/>
      </c>
      <c r="F482" s="133" t="str">
        <f aca="false">ExportRaw!$H482</f>
        <v/>
      </c>
      <c r="G482" s="135" t="str">
        <f aca="false">ExportRaw!$I482</f>
        <v/>
      </c>
      <c r="H482" s="133" t="str">
        <f aca="false">ExportRaw!$A482</f>
        <v/>
      </c>
      <c r="I482" s="133" t="str">
        <f aca="false">ExportRaw!$B482</f>
        <v/>
      </c>
    </row>
    <row r="483" customFormat="false" ht="15.75" hidden="false" customHeight="false" outlineLevel="0" collapsed="false">
      <c r="A483" s="133" t="n">
        <f aca="false">ExportRaw!$F483</f>
        <v>0</v>
      </c>
      <c r="B483" s="133" t="n">
        <f aca="false">ExportRaw!$C483</f>
        <v>0</v>
      </c>
      <c r="C483" s="133" t="n">
        <f aca="false">ExportRaw!$G483</f>
        <v>0</v>
      </c>
      <c r="D483" s="133" t="str">
        <f aca="false">ExportRaw!$E483</f>
        <v/>
      </c>
      <c r="E483" s="134" t="str">
        <f aca="false">ExportRaw!$D483</f>
        <v/>
      </c>
      <c r="F483" s="133" t="str">
        <f aca="false">ExportRaw!$H483</f>
        <v/>
      </c>
      <c r="G483" s="135" t="str">
        <f aca="false">ExportRaw!$I483</f>
        <v/>
      </c>
      <c r="H483" s="133" t="str">
        <f aca="false">ExportRaw!$A483</f>
        <v/>
      </c>
      <c r="I483" s="133" t="str">
        <f aca="false">ExportRaw!$B483</f>
        <v/>
      </c>
    </row>
    <row r="484" customFormat="false" ht="15.75" hidden="false" customHeight="false" outlineLevel="0" collapsed="false">
      <c r="A484" s="133" t="n">
        <f aca="false">ExportRaw!$F484</f>
        <v>0</v>
      </c>
      <c r="B484" s="133" t="n">
        <f aca="false">ExportRaw!$C484</f>
        <v>0</v>
      </c>
      <c r="C484" s="133" t="n">
        <f aca="false">ExportRaw!$G484</f>
        <v>0</v>
      </c>
      <c r="D484" s="133" t="str">
        <f aca="false">ExportRaw!$E484</f>
        <v/>
      </c>
      <c r="E484" s="134" t="str">
        <f aca="false">ExportRaw!$D484</f>
        <v/>
      </c>
      <c r="F484" s="133" t="str">
        <f aca="false">ExportRaw!$H484</f>
        <v/>
      </c>
      <c r="G484" s="135" t="str">
        <f aca="false">ExportRaw!$I484</f>
        <v/>
      </c>
      <c r="H484" s="133" t="str">
        <f aca="false">ExportRaw!$A484</f>
        <v/>
      </c>
      <c r="I484" s="133" t="str">
        <f aca="false">ExportRaw!$B484</f>
        <v/>
      </c>
    </row>
    <row r="485" customFormat="false" ht="15.75" hidden="false" customHeight="false" outlineLevel="0" collapsed="false">
      <c r="A485" s="133" t="n">
        <f aca="false">ExportRaw!$F485</f>
        <v>0</v>
      </c>
      <c r="B485" s="133" t="n">
        <f aca="false">ExportRaw!$C485</f>
        <v>0</v>
      </c>
      <c r="C485" s="133" t="n">
        <f aca="false">ExportRaw!$G485</f>
        <v>0</v>
      </c>
      <c r="D485" s="133" t="str">
        <f aca="false">ExportRaw!$E485</f>
        <v/>
      </c>
      <c r="E485" s="134" t="str">
        <f aca="false">ExportRaw!$D485</f>
        <v/>
      </c>
      <c r="F485" s="133" t="str">
        <f aca="false">ExportRaw!$H485</f>
        <v/>
      </c>
      <c r="G485" s="135" t="str">
        <f aca="false">ExportRaw!$I485</f>
        <v/>
      </c>
      <c r="H485" s="133" t="str">
        <f aca="false">ExportRaw!$A485</f>
        <v/>
      </c>
      <c r="I485" s="133" t="str">
        <f aca="false">ExportRaw!$B485</f>
        <v/>
      </c>
    </row>
    <row r="486" customFormat="false" ht="15.75" hidden="false" customHeight="false" outlineLevel="0" collapsed="false">
      <c r="A486" s="133" t="n">
        <f aca="false">ExportRaw!$F486</f>
        <v>0</v>
      </c>
      <c r="B486" s="133" t="n">
        <f aca="false">ExportRaw!$C486</f>
        <v>0</v>
      </c>
      <c r="C486" s="133" t="n">
        <f aca="false">ExportRaw!$G486</f>
        <v>0</v>
      </c>
      <c r="D486" s="133" t="str">
        <f aca="false">ExportRaw!$E486</f>
        <v/>
      </c>
      <c r="E486" s="134" t="str">
        <f aca="false">ExportRaw!$D486</f>
        <v/>
      </c>
      <c r="F486" s="133" t="str">
        <f aca="false">ExportRaw!$H486</f>
        <v/>
      </c>
      <c r="G486" s="135" t="str">
        <f aca="false">ExportRaw!$I486</f>
        <v/>
      </c>
      <c r="H486" s="133" t="str">
        <f aca="false">ExportRaw!$A486</f>
        <v/>
      </c>
      <c r="I486" s="133" t="str">
        <f aca="false">ExportRaw!$B486</f>
        <v/>
      </c>
    </row>
    <row r="487" customFormat="false" ht="15.75" hidden="false" customHeight="false" outlineLevel="0" collapsed="false">
      <c r="A487" s="133" t="n">
        <f aca="false">ExportRaw!$F487</f>
        <v>0</v>
      </c>
      <c r="B487" s="133" t="n">
        <f aca="false">ExportRaw!$C487</f>
        <v>0</v>
      </c>
      <c r="C487" s="133" t="n">
        <f aca="false">ExportRaw!$G487</f>
        <v>0</v>
      </c>
      <c r="D487" s="133" t="str">
        <f aca="false">ExportRaw!$E487</f>
        <v/>
      </c>
      <c r="E487" s="134" t="str">
        <f aca="false">ExportRaw!$D487</f>
        <v/>
      </c>
      <c r="F487" s="133" t="str">
        <f aca="false">ExportRaw!$H487</f>
        <v/>
      </c>
      <c r="G487" s="135" t="str">
        <f aca="false">ExportRaw!$I487</f>
        <v/>
      </c>
      <c r="H487" s="133" t="str">
        <f aca="false">ExportRaw!$A487</f>
        <v/>
      </c>
      <c r="I487" s="133" t="str">
        <f aca="false">ExportRaw!$B487</f>
        <v/>
      </c>
    </row>
    <row r="488" customFormat="false" ht="15.75" hidden="false" customHeight="false" outlineLevel="0" collapsed="false">
      <c r="A488" s="133" t="n">
        <f aca="false">ExportRaw!$F488</f>
        <v>0</v>
      </c>
      <c r="B488" s="133" t="n">
        <f aca="false">ExportRaw!$C488</f>
        <v>0</v>
      </c>
      <c r="C488" s="133" t="n">
        <f aca="false">ExportRaw!$G488</f>
        <v>0</v>
      </c>
      <c r="D488" s="133" t="str">
        <f aca="false">ExportRaw!$E488</f>
        <v/>
      </c>
      <c r="E488" s="134" t="str">
        <f aca="false">ExportRaw!$D488</f>
        <v/>
      </c>
      <c r="F488" s="133" t="str">
        <f aca="false">ExportRaw!$H488</f>
        <v/>
      </c>
      <c r="G488" s="135" t="str">
        <f aca="false">ExportRaw!$I488</f>
        <v/>
      </c>
      <c r="H488" s="133" t="str">
        <f aca="false">ExportRaw!$A488</f>
        <v/>
      </c>
      <c r="I488" s="133" t="str">
        <f aca="false">ExportRaw!$B488</f>
        <v/>
      </c>
    </row>
    <row r="489" customFormat="false" ht="15.75" hidden="false" customHeight="false" outlineLevel="0" collapsed="false">
      <c r="A489" s="133" t="n">
        <f aca="false">ExportRaw!$F489</f>
        <v>0</v>
      </c>
      <c r="B489" s="133" t="n">
        <f aca="false">ExportRaw!$C489</f>
        <v>0</v>
      </c>
      <c r="C489" s="133" t="n">
        <f aca="false">ExportRaw!$G489</f>
        <v>0</v>
      </c>
      <c r="D489" s="133" t="str">
        <f aca="false">ExportRaw!$E489</f>
        <v/>
      </c>
      <c r="E489" s="134" t="str">
        <f aca="false">ExportRaw!$D489</f>
        <v/>
      </c>
      <c r="F489" s="133" t="str">
        <f aca="false">ExportRaw!$H489</f>
        <v/>
      </c>
      <c r="G489" s="135" t="str">
        <f aca="false">ExportRaw!$I489</f>
        <v/>
      </c>
      <c r="H489" s="133" t="str">
        <f aca="false">ExportRaw!$A489</f>
        <v/>
      </c>
      <c r="I489" s="133" t="str">
        <f aca="false">ExportRaw!$B489</f>
        <v/>
      </c>
    </row>
    <row r="490" customFormat="false" ht="15.75" hidden="false" customHeight="false" outlineLevel="0" collapsed="false">
      <c r="A490" s="133" t="n">
        <f aca="false">ExportRaw!$F490</f>
        <v>0</v>
      </c>
      <c r="B490" s="133" t="n">
        <f aca="false">ExportRaw!$C490</f>
        <v>0</v>
      </c>
      <c r="C490" s="133" t="n">
        <f aca="false">ExportRaw!$G490</f>
        <v>0</v>
      </c>
      <c r="D490" s="133" t="str">
        <f aca="false">ExportRaw!$E490</f>
        <v/>
      </c>
      <c r="E490" s="134" t="str">
        <f aca="false">ExportRaw!$D490</f>
        <v/>
      </c>
      <c r="F490" s="133" t="str">
        <f aca="false">ExportRaw!$H490</f>
        <v/>
      </c>
      <c r="G490" s="135" t="str">
        <f aca="false">ExportRaw!$I490</f>
        <v/>
      </c>
      <c r="H490" s="133" t="str">
        <f aca="false">ExportRaw!$A490</f>
        <v/>
      </c>
      <c r="I490" s="133" t="str">
        <f aca="false">ExportRaw!$B490</f>
        <v/>
      </c>
    </row>
    <row r="491" customFormat="false" ht="15.75" hidden="false" customHeight="false" outlineLevel="0" collapsed="false">
      <c r="A491" s="133" t="n">
        <f aca="false">ExportRaw!$F491</f>
        <v>0</v>
      </c>
      <c r="B491" s="133" t="n">
        <f aca="false">ExportRaw!$C491</f>
        <v>0</v>
      </c>
      <c r="C491" s="133" t="n">
        <f aca="false">ExportRaw!$G491</f>
        <v>0</v>
      </c>
      <c r="D491" s="133" t="str">
        <f aca="false">ExportRaw!$E491</f>
        <v/>
      </c>
      <c r="E491" s="134" t="str">
        <f aca="false">ExportRaw!$D491</f>
        <v/>
      </c>
      <c r="F491" s="133" t="str">
        <f aca="false">ExportRaw!$H491</f>
        <v/>
      </c>
      <c r="G491" s="135" t="str">
        <f aca="false">ExportRaw!$I491</f>
        <v/>
      </c>
      <c r="H491" s="133" t="str">
        <f aca="false">ExportRaw!$A491</f>
        <v/>
      </c>
      <c r="I491" s="133" t="str">
        <f aca="false">ExportRaw!$B491</f>
        <v/>
      </c>
    </row>
    <row r="492" customFormat="false" ht="15.75" hidden="false" customHeight="false" outlineLevel="0" collapsed="false">
      <c r="A492" s="133" t="n">
        <f aca="false">ExportRaw!$F492</f>
        <v>0</v>
      </c>
      <c r="B492" s="133" t="n">
        <f aca="false">ExportRaw!$C492</f>
        <v>0</v>
      </c>
      <c r="C492" s="133" t="n">
        <f aca="false">ExportRaw!$G492</f>
        <v>0</v>
      </c>
      <c r="D492" s="133" t="str">
        <f aca="false">ExportRaw!$E492</f>
        <v/>
      </c>
      <c r="E492" s="134" t="str">
        <f aca="false">ExportRaw!$D492</f>
        <v/>
      </c>
      <c r="F492" s="133" t="str">
        <f aca="false">ExportRaw!$H492</f>
        <v/>
      </c>
      <c r="G492" s="135" t="str">
        <f aca="false">ExportRaw!$I492</f>
        <v/>
      </c>
      <c r="H492" s="133" t="str">
        <f aca="false">ExportRaw!$A492</f>
        <v/>
      </c>
      <c r="I492" s="133" t="str">
        <f aca="false">ExportRaw!$B492</f>
        <v/>
      </c>
    </row>
    <row r="493" customFormat="false" ht="15.75" hidden="false" customHeight="false" outlineLevel="0" collapsed="false">
      <c r="A493" s="133" t="n">
        <f aca="false">ExportRaw!$F493</f>
        <v>0</v>
      </c>
      <c r="B493" s="133" t="n">
        <f aca="false">ExportRaw!$C493</f>
        <v>0</v>
      </c>
      <c r="C493" s="133" t="n">
        <f aca="false">ExportRaw!$G493</f>
        <v>0</v>
      </c>
      <c r="D493" s="133" t="str">
        <f aca="false">ExportRaw!$E493</f>
        <v/>
      </c>
      <c r="E493" s="134" t="str">
        <f aca="false">ExportRaw!$D493</f>
        <v/>
      </c>
      <c r="F493" s="133" t="str">
        <f aca="false">ExportRaw!$H493</f>
        <v/>
      </c>
      <c r="G493" s="135" t="str">
        <f aca="false">ExportRaw!$I493</f>
        <v/>
      </c>
      <c r="H493" s="133" t="str">
        <f aca="false">ExportRaw!$A493</f>
        <v/>
      </c>
      <c r="I493" s="133" t="str">
        <f aca="false">ExportRaw!$B493</f>
        <v/>
      </c>
    </row>
    <row r="494" customFormat="false" ht="15.75" hidden="false" customHeight="false" outlineLevel="0" collapsed="false">
      <c r="A494" s="133" t="n">
        <f aca="false">ExportRaw!$F494</f>
        <v>0</v>
      </c>
      <c r="B494" s="133" t="n">
        <f aca="false">ExportRaw!$C494</f>
        <v>0</v>
      </c>
      <c r="C494" s="133" t="n">
        <f aca="false">ExportRaw!$G494</f>
        <v>0</v>
      </c>
      <c r="D494" s="133" t="str">
        <f aca="false">ExportRaw!$E494</f>
        <v/>
      </c>
      <c r="E494" s="134" t="str">
        <f aca="false">ExportRaw!$D494</f>
        <v/>
      </c>
      <c r="F494" s="133" t="str">
        <f aca="false">ExportRaw!$H494</f>
        <v/>
      </c>
      <c r="G494" s="135" t="str">
        <f aca="false">ExportRaw!$I494</f>
        <v/>
      </c>
      <c r="H494" s="133" t="str">
        <f aca="false">ExportRaw!$A494</f>
        <v/>
      </c>
      <c r="I494" s="133" t="str">
        <f aca="false">ExportRaw!$B494</f>
        <v/>
      </c>
    </row>
    <row r="495" customFormat="false" ht="15.75" hidden="false" customHeight="false" outlineLevel="0" collapsed="false">
      <c r="A495" s="133" t="n">
        <f aca="false">ExportRaw!$F495</f>
        <v>0</v>
      </c>
      <c r="B495" s="133" t="n">
        <f aca="false">ExportRaw!$C495</f>
        <v>0</v>
      </c>
      <c r="C495" s="133" t="n">
        <f aca="false">ExportRaw!$G495</f>
        <v>0</v>
      </c>
      <c r="D495" s="133" t="str">
        <f aca="false">ExportRaw!$E495</f>
        <v/>
      </c>
      <c r="E495" s="134" t="str">
        <f aca="false">ExportRaw!$D495</f>
        <v/>
      </c>
      <c r="F495" s="133" t="str">
        <f aca="false">ExportRaw!$H495</f>
        <v/>
      </c>
      <c r="G495" s="135" t="str">
        <f aca="false">ExportRaw!$I495</f>
        <v/>
      </c>
      <c r="H495" s="133" t="str">
        <f aca="false">ExportRaw!$A495</f>
        <v/>
      </c>
      <c r="I495" s="133" t="str">
        <f aca="false">ExportRaw!$B495</f>
        <v/>
      </c>
    </row>
    <row r="496" customFormat="false" ht="15.75" hidden="false" customHeight="false" outlineLevel="0" collapsed="false">
      <c r="A496" s="133" t="n">
        <f aca="false">ExportRaw!$F496</f>
        <v>0</v>
      </c>
      <c r="B496" s="133" t="n">
        <f aca="false">ExportRaw!$C496</f>
        <v>0</v>
      </c>
      <c r="C496" s="133" t="n">
        <f aca="false">ExportRaw!$G496</f>
        <v>0</v>
      </c>
      <c r="D496" s="133" t="str">
        <f aca="false">ExportRaw!$E496</f>
        <v/>
      </c>
      <c r="E496" s="134" t="str">
        <f aca="false">ExportRaw!$D496</f>
        <v/>
      </c>
      <c r="F496" s="133" t="str">
        <f aca="false">ExportRaw!$H496</f>
        <v/>
      </c>
      <c r="G496" s="135" t="str">
        <f aca="false">ExportRaw!$I496</f>
        <v/>
      </c>
      <c r="H496" s="133" t="str">
        <f aca="false">ExportRaw!$A496</f>
        <v/>
      </c>
      <c r="I496" s="133" t="str">
        <f aca="false">ExportRaw!$B496</f>
        <v/>
      </c>
    </row>
    <row r="497" customFormat="false" ht="15.75" hidden="false" customHeight="false" outlineLevel="0" collapsed="false">
      <c r="A497" s="133" t="n">
        <f aca="false">ExportRaw!$F497</f>
        <v>0</v>
      </c>
      <c r="B497" s="133" t="n">
        <f aca="false">ExportRaw!$C497</f>
        <v>0</v>
      </c>
      <c r="C497" s="133" t="n">
        <f aca="false">ExportRaw!$G497</f>
        <v>0</v>
      </c>
      <c r="D497" s="133" t="str">
        <f aca="false">ExportRaw!$E497</f>
        <v/>
      </c>
      <c r="E497" s="134" t="str">
        <f aca="false">ExportRaw!$D497</f>
        <v/>
      </c>
      <c r="F497" s="133" t="str">
        <f aca="false">ExportRaw!$H497</f>
        <v/>
      </c>
      <c r="G497" s="135" t="str">
        <f aca="false">ExportRaw!$I497</f>
        <v/>
      </c>
      <c r="H497" s="133" t="str">
        <f aca="false">ExportRaw!$A497</f>
        <v/>
      </c>
      <c r="I497" s="133" t="str">
        <f aca="false">ExportRaw!$B497</f>
        <v/>
      </c>
    </row>
    <row r="498" customFormat="false" ht="15.75" hidden="false" customHeight="false" outlineLevel="0" collapsed="false">
      <c r="A498" s="133" t="n">
        <f aca="false">ExportRaw!$F498</f>
        <v>0</v>
      </c>
      <c r="B498" s="133" t="n">
        <f aca="false">ExportRaw!$C498</f>
        <v>0</v>
      </c>
      <c r="C498" s="133" t="n">
        <f aca="false">ExportRaw!$G498</f>
        <v>0</v>
      </c>
      <c r="D498" s="133" t="str">
        <f aca="false">ExportRaw!$E498</f>
        <v/>
      </c>
      <c r="E498" s="134" t="str">
        <f aca="false">ExportRaw!$D498</f>
        <v/>
      </c>
      <c r="F498" s="133" t="str">
        <f aca="false">ExportRaw!$H498</f>
        <v/>
      </c>
      <c r="G498" s="135" t="str">
        <f aca="false">ExportRaw!$I498</f>
        <v/>
      </c>
      <c r="H498" s="133" t="str">
        <f aca="false">ExportRaw!$A498</f>
        <v/>
      </c>
      <c r="I498" s="133" t="str">
        <f aca="false">ExportRaw!$B498</f>
        <v/>
      </c>
    </row>
    <row r="499" customFormat="false" ht="15.75" hidden="false" customHeight="false" outlineLevel="0" collapsed="false">
      <c r="A499" s="133" t="n">
        <f aca="false">ExportRaw!$F499</f>
        <v>0</v>
      </c>
      <c r="B499" s="133" t="n">
        <f aca="false">ExportRaw!$C499</f>
        <v>0</v>
      </c>
      <c r="C499" s="133" t="n">
        <f aca="false">ExportRaw!$G499</f>
        <v>0</v>
      </c>
      <c r="D499" s="133" t="str">
        <f aca="false">ExportRaw!$E499</f>
        <v/>
      </c>
      <c r="E499" s="134" t="str">
        <f aca="false">ExportRaw!$D499</f>
        <v/>
      </c>
      <c r="F499" s="133" t="str">
        <f aca="false">ExportRaw!$H499</f>
        <v/>
      </c>
      <c r="G499" s="135" t="str">
        <f aca="false">ExportRaw!$I499</f>
        <v/>
      </c>
      <c r="H499" s="133" t="str">
        <f aca="false">ExportRaw!$A499</f>
        <v/>
      </c>
      <c r="I499" s="133" t="str">
        <f aca="false">ExportRaw!$B499</f>
        <v/>
      </c>
    </row>
    <row r="500" customFormat="false" ht="15.75" hidden="false" customHeight="false" outlineLevel="0" collapsed="false">
      <c r="A500" s="133" t="n">
        <f aca="false">ExportRaw!$F500</f>
        <v>0</v>
      </c>
      <c r="B500" s="133" t="n">
        <f aca="false">ExportRaw!$C500</f>
        <v>0</v>
      </c>
      <c r="C500" s="133" t="n">
        <f aca="false">ExportRaw!$G500</f>
        <v>0</v>
      </c>
      <c r="D500" s="133" t="str">
        <f aca="false">ExportRaw!$E500</f>
        <v/>
      </c>
      <c r="E500" s="134" t="str">
        <f aca="false">ExportRaw!$D500</f>
        <v/>
      </c>
      <c r="F500" s="133" t="str">
        <f aca="false">ExportRaw!$H500</f>
        <v/>
      </c>
      <c r="G500" s="135" t="str">
        <f aca="false">ExportRaw!$I500</f>
        <v/>
      </c>
      <c r="H500" s="133" t="str">
        <f aca="false">ExportRaw!$A500</f>
        <v/>
      </c>
      <c r="I500" s="133" t="str">
        <f aca="false">ExportRaw!$B500</f>
        <v/>
      </c>
    </row>
    <row r="501" customFormat="false" ht="15.75" hidden="false" customHeight="false" outlineLevel="0" collapsed="false">
      <c r="A501" s="133" t="n">
        <f aca="false">ExportRaw!$F501</f>
        <v>0</v>
      </c>
      <c r="B501" s="133" t="n">
        <f aca="false">ExportRaw!$C501</f>
        <v>0</v>
      </c>
      <c r="C501" s="133" t="n">
        <f aca="false">ExportRaw!$G501</f>
        <v>0</v>
      </c>
      <c r="D501" s="133" t="str">
        <f aca="false">ExportRaw!$E501</f>
        <v/>
      </c>
      <c r="E501" s="134" t="str">
        <f aca="false">ExportRaw!$D501</f>
        <v/>
      </c>
      <c r="F501" s="133" t="str">
        <f aca="false">ExportRaw!$H501</f>
        <v/>
      </c>
      <c r="G501" s="135" t="str">
        <f aca="false">ExportRaw!$I501</f>
        <v/>
      </c>
      <c r="H501" s="133" t="str">
        <f aca="false">ExportRaw!$A501</f>
        <v/>
      </c>
      <c r="I501" s="133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32" t="s">
        <v>82</v>
      </c>
      <c r="B1" s="132" t="s">
        <v>83</v>
      </c>
      <c r="C1" s="132" t="s">
        <v>84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customFormat="false" ht="15.75" hidden="false" customHeight="false" outlineLevel="0" collapsed="false">
      <c r="A2" s="136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customFormat="false" ht="15.75" hidden="false" customHeight="false" outlineLevel="0" collapsed="false">
      <c r="A3" s="136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customFormat="false" ht="15.75" hidden="false" customHeight="false" outlineLevel="0" collapsed="false">
      <c r="A4" s="136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customFormat="false" ht="15.75" hidden="false" customHeight="false" outlineLevel="0" collapsed="false">
      <c r="A5" s="137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customFormat="false" ht="15.75" hidden="false" customHeight="false" outlineLevel="0" collapsed="false">
      <c r="A6" s="137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customFormat="false" ht="15.75" hidden="false" customHeight="false" outlineLevel="0" collapsed="false">
      <c r="A7" s="137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customFormat="false" ht="15.75" hidden="false" customHeight="false" outlineLevel="0" collapsed="false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customFormat="false" ht="15.75" hidden="false" customHeight="false" outlineLevel="0" collapsed="false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customFormat="false" ht="15.75" hidden="false" customHeight="false" outlineLevel="0" collapsed="false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customFormat="false" ht="15.75" hidden="false" customHeight="false" outlineLevel="0" collapsed="false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customFormat="false" ht="15.75" hidden="false" customHeight="false" outlineLevel="0" collapsed="false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customFormat="false" ht="15.75" hidden="false" customHeight="false" outlineLevel="0" collapsed="false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customFormat="false" ht="15.75" hidden="false" customHeight="false" outlineLevel="0" collapsed="false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customFormat="false" ht="15.75" hidden="false" customHeight="false" outlineLevel="0" collapsed="false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customFormat="false" ht="15.75" hidden="false" customHeight="false" outlineLevel="0" collapsed="false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customFormat="false" ht="15.75" hidden="false" customHeight="false" outlineLevel="0" collapsed="false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customFormat="false" ht="15.75" hidden="false" customHeight="false" outlineLevel="0" collapsed="false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customFormat="false" ht="15.75" hidden="false" customHeight="false" outlineLevel="0" collapsed="false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customFormat="false" ht="15.75" hidden="false" customHeight="false" outlineLevel="0" collapsed="false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customFormat="false" ht="15.75" hidden="false" customHeight="false" outlineLevel="0" collapsed="false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customFormat="false" ht="15.75" hidden="false" customHeight="fals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customFormat="false" ht="15.75" hidden="false" customHeight="false" outlineLevel="0" collapsed="false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customFormat="false" ht="15.75" hidden="false" customHeight="fals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customFormat="false" ht="15.75" hidden="false" customHeight="false" outlineLevel="0" collapsed="false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customFormat="false" ht="15.75" hidden="false" customHeight="false" outlineLevel="0" collapsed="false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customFormat="false" ht="15.75" hidden="false" customHeight="false" outlineLevel="0" collapsed="false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customFormat="false" ht="15.75" hidden="false" customHeight="false" outlineLevel="0" collapsed="false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customFormat="false" ht="15.75" hidden="false" customHeight="false" outlineLevel="0" collapsed="false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customFormat="false" ht="15.75" hidden="false" customHeight="false" outlineLevel="0" collapsed="false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customFormat="false" ht="15.75" hidden="false" customHeight="false" outlineLevel="0" collapsed="false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customFormat="false" ht="15.75" hidden="false" customHeight="false" outlineLevel="0" collapsed="false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customFormat="false" ht="15.75" hidden="false" customHeight="false" outlineLevel="0" collapsed="false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customFormat="false" ht="15.75" hidden="false" customHeight="false" outlineLevel="0" collapsed="false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customFormat="false" ht="15.75" hidden="false" customHeight="false" outlineLevel="0" collapsed="false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customFormat="false" ht="15.75" hidden="false" customHeight="false" outlineLevel="0" collapsed="false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customFormat="false" ht="15.75" hidden="false" customHeight="false" outlineLevel="0" collapsed="false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customFormat="false" ht="15.75" hidden="false" customHeight="false" outlineLevel="0" collapsed="false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customFormat="false" ht="15.75" hidden="false" customHeight="false" outlineLevel="0" collapsed="false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customFormat="false" ht="15.75" hidden="false" customHeight="false" outlineLevel="0" collapsed="false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customFormat="false" ht="15.75" hidden="false" customHeight="false" outlineLevel="0" collapsed="false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customFormat="false" ht="15.75" hidden="false" customHeight="false" outlineLevel="0" collapsed="false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customFormat="false" ht="15.75" hidden="false" customHeight="false" outlineLevel="0" collapsed="false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customFormat="false" ht="15.75" hidden="false" customHeight="false" outlineLevel="0" collapsed="false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customFormat="false" ht="15.75" hidden="false" customHeight="false" outlineLevel="0" collapsed="false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customFormat="false" ht="15.75" hidden="false" customHeight="false" outlineLevel="0" collapsed="false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customFormat="false" ht="15.75" hidden="false" customHeight="false" outlineLevel="0" collapsed="false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customFormat="false" ht="15.75" hidden="false" customHeight="false" outlineLevel="0" collapsed="false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customFormat="false" ht="15.75" hidden="false" customHeight="false" outlineLevel="0" collapsed="false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customFormat="false" ht="15.75" hidden="false" customHeight="false" outlineLevel="0" collapsed="false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customFormat="false" ht="15.75" hidden="false" customHeight="false" outlineLevel="0" collapsed="false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customFormat="false" ht="15.75" hidden="false" customHeight="false" outlineLevel="0" collapsed="false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customFormat="false" ht="15.75" hidden="false" customHeight="false" outlineLevel="0" collapsed="false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customFormat="false" ht="15.75" hidden="false" customHeight="false" outlineLevel="0" collapsed="false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customFormat="false" ht="15.75" hidden="false" customHeight="false" outlineLevel="0" collapsed="false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customFormat="false" ht="15.75" hidden="false" customHeight="false" outlineLevel="0" collapsed="false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customFormat="false" ht="15.75" hidden="false" customHeight="false" outlineLevel="0" collapsed="false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customFormat="false" ht="15.75" hidden="false" customHeight="false" outlineLevel="0" collapsed="false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customFormat="false" ht="15.75" hidden="false" customHeight="false" outlineLevel="0" collapsed="false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customFormat="false" ht="15.75" hidden="false" customHeight="false" outlineLevel="0" collapsed="false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customFormat="false" ht="15.75" hidden="false" customHeight="false" outlineLevel="0" collapsed="false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customFormat="false" ht="15.75" hidden="false" customHeight="false" outlineLevel="0" collapsed="false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customFormat="false" ht="15.75" hidden="false" customHeight="false" outlineLevel="0" collapsed="false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customFormat="false" ht="15.75" hidden="false" customHeight="false" outlineLevel="0" collapsed="false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customFormat="false" ht="15.75" hidden="false" customHeight="false" outlineLevel="0" collapsed="false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customFormat="false" ht="15.75" hidden="false" customHeight="false" outlineLevel="0" collapsed="false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customFormat="false" ht="15.75" hidden="false" customHeight="false" outlineLevel="0" collapsed="false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customFormat="false" ht="15.75" hidden="false" customHeight="false" outlineLevel="0" collapsed="false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customFormat="false" ht="15.75" hidden="false" customHeight="false" outlineLevel="0" collapsed="false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customFormat="false" ht="15.75" hidden="false" customHeight="false" outlineLevel="0" collapsed="false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customFormat="false" ht="15.75" hidden="false" customHeight="false" outlineLevel="0" collapsed="false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customFormat="false" ht="15.75" hidden="false" customHeight="false" outlineLevel="0" collapsed="false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customFormat="false" ht="15.75" hidden="false" customHeight="false" outlineLevel="0" collapsed="false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customFormat="false" ht="15.75" hidden="false" customHeight="false" outlineLevel="0" collapsed="false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customFormat="false" ht="15.75" hidden="false" customHeight="false" outlineLevel="0" collapsed="false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customFormat="false" ht="15.75" hidden="false" customHeight="false" outlineLevel="0" collapsed="false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customFormat="false" ht="15.75" hidden="false" customHeight="false" outlineLevel="0" collapsed="false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customFormat="false" ht="15.75" hidden="false" customHeight="false" outlineLevel="0" collapsed="false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customFormat="false" ht="15.75" hidden="false" customHeight="false" outlineLevel="0" collapsed="false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customFormat="false" ht="15.75" hidden="false" customHeight="false" outlineLevel="0" collapsed="false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customFormat="false" ht="15.75" hidden="false" customHeight="false" outlineLevel="0" collapsed="false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customFormat="false" ht="15.75" hidden="false" customHeight="false" outlineLevel="0" collapsed="false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customFormat="false" ht="15.75" hidden="false" customHeight="false" outlineLevel="0" collapsed="false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customFormat="false" ht="15.75" hidden="false" customHeight="false" outlineLevel="0" collapsed="false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customFormat="false" ht="15.75" hidden="false" customHeight="false" outlineLevel="0" collapsed="false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customFormat="false" ht="15.75" hidden="false" customHeight="false" outlineLevel="0" collapsed="false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customFormat="false" ht="15.75" hidden="false" customHeight="false" outlineLevel="0" collapsed="false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customFormat="false" ht="15.75" hidden="false" customHeight="false" outlineLevel="0" collapsed="false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customFormat="false" ht="15.75" hidden="false" customHeight="false" outlineLevel="0" collapsed="false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customFormat="false" ht="15.75" hidden="false" customHeight="false" outlineLevel="0" collapsed="false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customFormat="false" ht="15.75" hidden="false" customHeight="false" outlineLevel="0" collapsed="false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customFormat="false" ht="15.75" hidden="false" customHeight="false" outlineLevel="0" collapsed="false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customFormat="false" ht="15.75" hidden="false" customHeight="false" outlineLevel="0" collapsed="false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customFormat="false" ht="15.75" hidden="false" customHeight="false" outlineLevel="0" collapsed="false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customFormat="false" ht="15.75" hidden="false" customHeight="false" outlineLevel="0" collapsed="false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customFormat="false" ht="15.75" hidden="false" customHeight="false" outlineLevel="0" collapsed="false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customFormat="false" ht="15.75" hidden="false" customHeight="false" outlineLevel="0" collapsed="false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customFormat="false" ht="15.75" hidden="false" customHeight="false" outlineLevel="0" collapsed="false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customFormat="false" ht="15.75" hidden="false" customHeight="false" outlineLevel="0" collapsed="false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customFormat="false" ht="15.75" hidden="false" customHeight="false" outlineLevel="0" collapsed="false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customFormat="false" ht="15.75" hidden="false" customHeight="false" outlineLevel="0" collapsed="false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customFormat="false" ht="15.75" hidden="false" customHeight="false" outlineLevel="0" collapsed="false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customFormat="false" ht="15.75" hidden="false" customHeight="false" outlineLevel="0" collapsed="false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customFormat="false" ht="15.75" hidden="false" customHeight="false" outlineLevel="0" collapsed="false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customFormat="false" ht="15.75" hidden="false" customHeight="false" outlineLevel="0" collapsed="false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customFormat="false" ht="15.75" hidden="false" customHeight="false" outlineLevel="0" collapsed="false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customFormat="false" ht="15.75" hidden="false" customHeight="false" outlineLevel="0" collapsed="false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customFormat="false" ht="15.75" hidden="false" customHeight="false" outlineLevel="0" collapsed="false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customFormat="false" ht="15.75" hidden="false" customHeight="false" outlineLevel="0" collapsed="false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customFormat="false" ht="15.75" hidden="false" customHeight="false" outlineLevel="0" collapsed="false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customFormat="false" ht="15.75" hidden="false" customHeight="false" outlineLevel="0" collapsed="false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customFormat="false" ht="15.75" hidden="false" customHeight="false" outlineLevel="0" collapsed="false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customFormat="false" ht="15.75" hidden="false" customHeight="false" outlineLevel="0" collapsed="false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customFormat="false" ht="15.75" hidden="false" customHeight="false" outlineLevel="0" collapsed="false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customFormat="false" ht="15.75" hidden="false" customHeight="false" outlineLevel="0" collapsed="false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customFormat="false" ht="15.75" hidden="false" customHeight="false" outlineLevel="0" collapsed="false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customFormat="false" ht="15.75" hidden="false" customHeight="false" outlineLevel="0" collapsed="false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customFormat="false" ht="15.75" hidden="false" customHeight="false" outlineLevel="0" collapsed="false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customFormat="false" ht="15.75" hidden="false" customHeight="false" outlineLevel="0" collapsed="false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customFormat="false" ht="15.75" hidden="false" customHeight="false" outlineLevel="0" collapsed="false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customFormat="false" ht="15.75" hidden="false" customHeight="false" outlineLevel="0" collapsed="false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customFormat="false" ht="15.75" hidden="false" customHeight="false" outlineLevel="0" collapsed="false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customFormat="false" ht="15.75" hidden="false" customHeight="false" outlineLevel="0" collapsed="false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customFormat="false" ht="15.75" hidden="false" customHeight="false" outlineLevel="0" collapsed="false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customFormat="false" ht="15.75" hidden="false" customHeight="false" outlineLevel="0" collapsed="false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customFormat="false" ht="15.75" hidden="false" customHeight="false" outlineLevel="0" collapsed="false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customFormat="false" ht="15.75" hidden="false" customHeight="false" outlineLevel="0" collapsed="false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customFormat="false" ht="15.75" hidden="false" customHeight="false" outlineLevel="0" collapsed="false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customFormat="false" ht="15.75" hidden="false" customHeight="false" outlineLevel="0" collapsed="false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customFormat="false" ht="15.75" hidden="false" customHeight="false" outlineLevel="0" collapsed="false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customFormat="false" ht="15.75" hidden="false" customHeight="false" outlineLevel="0" collapsed="false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customFormat="false" ht="15.75" hidden="false" customHeight="false" outlineLevel="0" collapsed="false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customFormat="false" ht="15.75" hidden="false" customHeight="false" outlineLevel="0" collapsed="false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customFormat="false" ht="15.75" hidden="false" customHeight="false" outlineLevel="0" collapsed="false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customFormat="false" ht="15.75" hidden="false" customHeight="false" outlineLevel="0" collapsed="false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customFormat="false" ht="15.75" hidden="false" customHeight="false" outlineLevel="0" collapsed="false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customFormat="false" ht="15.75" hidden="false" customHeight="false" outlineLevel="0" collapsed="false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customFormat="false" ht="15.75" hidden="false" customHeight="false" outlineLevel="0" collapsed="false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customFormat="false" ht="15.75" hidden="false" customHeight="false" outlineLevel="0" collapsed="false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customFormat="false" ht="15.75" hidden="false" customHeight="false" outlineLevel="0" collapsed="false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customFormat="false" ht="15.75" hidden="false" customHeight="false" outlineLevel="0" collapsed="false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customFormat="false" ht="15.75" hidden="false" customHeight="false" outlineLevel="0" collapsed="false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customFormat="false" ht="15.75" hidden="false" customHeight="false" outlineLevel="0" collapsed="false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customFormat="false" ht="15.75" hidden="false" customHeight="false" outlineLevel="0" collapsed="false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customFormat="false" ht="15.75" hidden="false" customHeight="false" outlineLevel="0" collapsed="false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customFormat="false" ht="15.75" hidden="false" customHeight="false" outlineLevel="0" collapsed="false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customFormat="false" ht="15.75" hidden="false" customHeight="false" outlineLevel="0" collapsed="false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customFormat="false" ht="15.75" hidden="false" customHeight="false" outlineLevel="0" collapsed="false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customFormat="false" ht="15.75" hidden="false" customHeight="false" outlineLevel="0" collapsed="false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customFormat="false" ht="15.75" hidden="false" customHeight="false" outlineLevel="0" collapsed="false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customFormat="false" ht="15.75" hidden="false" customHeight="false" outlineLevel="0" collapsed="false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customFormat="false" ht="15.75" hidden="false" customHeight="false" outlineLevel="0" collapsed="false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customFormat="false" ht="15.75" hidden="false" customHeight="false" outlineLevel="0" collapsed="false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customFormat="false" ht="15.75" hidden="false" customHeight="false" outlineLevel="0" collapsed="false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customFormat="false" ht="15.75" hidden="false" customHeight="false" outlineLevel="0" collapsed="false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customFormat="false" ht="15.75" hidden="false" customHeight="false" outlineLevel="0" collapsed="false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customFormat="false" ht="15.75" hidden="false" customHeight="false" outlineLevel="0" collapsed="false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customFormat="false" ht="15.75" hidden="false" customHeight="false" outlineLevel="0" collapsed="false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customFormat="false" ht="15.75" hidden="false" customHeight="false" outlineLevel="0" collapsed="false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customFormat="false" ht="15.75" hidden="false" customHeight="false" outlineLevel="0" collapsed="false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customFormat="false" ht="15.75" hidden="false" customHeight="false" outlineLevel="0" collapsed="false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customFormat="false" ht="15.75" hidden="false" customHeight="false" outlineLevel="0" collapsed="false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customFormat="false" ht="15.75" hidden="false" customHeight="false" outlineLevel="0" collapsed="false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customFormat="false" ht="15.75" hidden="false" customHeight="false" outlineLevel="0" collapsed="false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customFormat="false" ht="15.75" hidden="false" customHeight="false" outlineLevel="0" collapsed="false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customFormat="false" ht="15.75" hidden="false" customHeight="false" outlineLevel="0" collapsed="false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customFormat="false" ht="15.75" hidden="false" customHeight="false" outlineLevel="0" collapsed="false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customFormat="false" ht="15.75" hidden="false" customHeight="false" outlineLevel="0" collapsed="false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customFormat="false" ht="15.75" hidden="false" customHeight="false" outlineLevel="0" collapsed="false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customFormat="false" ht="15.75" hidden="false" customHeight="false" outlineLevel="0" collapsed="false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customFormat="false" ht="15.75" hidden="false" customHeight="false" outlineLevel="0" collapsed="false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customFormat="false" ht="15.75" hidden="false" customHeight="false" outlineLevel="0" collapsed="false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customFormat="false" ht="15.75" hidden="false" customHeight="false" outlineLevel="0" collapsed="false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customFormat="false" ht="15.75" hidden="false" customHeight="false" outlineLevel="0" collapsed="false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customFormat="false" ht="15.75" hidden="false" customHeight="false" outlineLevel="0" collapsed="false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customFormat="false" ht="15.75" hidden="false" customHeight="false" outlineLevel="0" collapsed="false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customFormat="false" ht="15.75" hidden="false" customHeight="false" outlineLevel="0" collapsed="false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customFormat="false" ht="15.75" hidden="false" customHeight="false" outlineLevel="0" collapsed="false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customFormat="false" ht="15.75" hidden="false" customHeight="false" outlineLevel="0" collapsed="false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customFormat="false" ht="15.75" hidden="false" customHeight="false" outlineLevel="0" collapsed="false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customFormat="false" ht="15.75" hidden="false" customHeight="false" outlineLevel="0" collapsed="false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customFormat="false" ht="15.75" hidden="false" customHeight="false" outlineLevel="0" collapsed="false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customFormat="false" ht="15.75" hidden="false" customHeight="false" outlineLevel="0" collapsed="false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customFormat="false" ht="15.75" hidden="false" customHeight="false" outlineLevel="0" collapsed="false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customFormat="false" ht="15.75" hidden="false" customHeight="false" outlineLevel="0" collapsed="false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customFormat="false" ht="15.75" hidden="false" customHeight="false" outlineLevel="0" collapsed="false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customFormat="false" ht="15.75" hidden="false" customHeight="false" outlineLevel="0" collapsed="false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customFormat="false" ht="15.75" hidden="false" customHeight="false" outlineLevel="0" collapsed="false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customFormat="false" ht="15.75" hidden="false" customHeight="false" outlineLevel="0" collapsed="false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customFormat="false" ht="15.75" hidden="false" customHeight="false" outlineLevel="0" collapsed="false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customFormat="false" ht="15.75" hidden="false" customHeight="false" outlineLevel="0" collapsed="false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customFormat="false" ht="15.75" hidden="false" customHeight="false" outlineLevel="0" collapsed="false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customFormat="false" ht="15.75" hidden="false" customHeight="false" outlineLevel="0" collapsed="false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customFormat="false" ht="15.75" hidden="false" customHeight="false" outlineLevel="0" collapsed="false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customFormat="false" ht="15.75" hidden="false" customHeight="false" outlineLevel="0" collapsed="false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customFormat="false" ht="15.75" hidden="false" customHeight="false" outlineLevel="0" collapsed="false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customFormat="false" ht="15.75" hidden="false" customHeight="false" outlineLevel="0" collapsed="false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customFormat="false" ht="15.75" hidden="false" customHeight="false" outlineLevel="0" collapsed="false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customFormat="false" ht="15.75" hidden="false" customHeight="false" outlineLevel="0" collapsed="false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customFormat="false" ht="15.75" hidden="false" customHeight="false" outlineLevel="0" collapsed="false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customFormat="false" ht="15.75" hidden="false" customHeight="false" outlineLevel="0" collapsed="false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customFormat="false" ht="15.75" hidden="false" customHeight="false" outlineLevel="0" collapsed="false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customFormat="false" ht="15.75" hidden="false" customHeight="false" outlineLevel="0" collapsed="false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customFormat="false" ht="15.75" hidden="false" customHeight="false" outlineLevel="0" collapsed="false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customFormat="false" ht="15.75" hidden="false" customHeight="false" outlineLevel="0" collapsed="false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customFormat="false" ht="15.75" hidden="false" customHeight="false" outlineLevel="0" collapsed="false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customFormat="false" ht="15.75" hidden="false" customHeight="false" outlineLevel="0" collapsed="false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customFormat="false" ht="15.75" hidden="false" customHeight="false" outlineLevel="0" collapsed="false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customFormat="false" ht="15.75" hidden="false" customHeight="false" outlineLevel="0" collapsed="false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customFormat="false" ht="15.75" hidden="false" customHeight="false" outlineLevel="0" collapsed="false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customFormat="false" ht="15.75" hidden="false" customHeight="false" outlineLevel="0" collapsed="false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customFormat="false" ht="15.75" hidden="false" customHeight="false" outlineLevel="0" collapsed="false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customFormat="false" ht="15.75" hidden="false" customHeight="false" outlineLevel="0" collapsed="false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customFormat="false" ht="15.75" hidden="false" customHeight="false" outlineLevel="0" collapsed="false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customFormat="false" ht="15.75" hidden="false" customHeight="false" outlineLevel="0" collapsed="false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customFormat="false" ht="15.75" hidden="false" customHeight="false" outlineLevel="0" collapsed="false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customFormat="false" ht="15.75" hidden="false" customHeight="false" outlineLevel="0" collapsed="false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customFormat="false" ht="15.75" hidden="false" customHeight="false" outlineLevel="0" collapsed="false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customFormat="false" ht="15.75" hidden="false" customHeight="false" outlineLevel="0" collapsed="false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customFormat="false" ht="15.75" hidden="false" customHeight="false" outlineLevel="0" collapsed="false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customFormat="false" ht="15.75" hidden="false" customHeight="false" outlineLevel="0" collapsed="false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customFormat="false" ht="15.75" hidden="false" customHeight="false" outlineLevel="0" collapsed="false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customFormat="false" ht="15.75" hidden="false" customHeight="false" outlineLevel="0" collapsed="false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customFormat="false" ht="15.75" hidden="false" customHeight="false" outlineLevel="0" collapsed="false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customFormat="false" ht="15.75" hidden="false" customHeight="false" outlineLevel="0" collapsed="false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customFormat="false" ht="15.75" hidden="false" customHeight="false" outlineLevel="0" collapsed="false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customFormat="false" ht="15.75" hidden="false" customHeight="false" outlineLevel="0" collapsed="false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customFormat="false" ht="15.75" hidden="false" customHeight="false" outlineLevel="0" collapsed="false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customFormat="false" ht="15.75" hidden="false" customHeight="false" outlineLevel="0" collapsed="false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customFormat="false" ht="15.75" hidden="false" customHeight="false" outlineLevel="0" collapsed="false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customFormat="false" ht="15.75" hidden="false" customHeight="false" outlineLevel="0" collapsed="false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customFormat="false" ht="15.75" hidden="false" customHeight="false" outlineLevel="0" collapsed="false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customFormat="false" ht="15.75" hidden="false" customHeight="false" outlineLevel="0" collapsed="false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customFormat="false" ht="15.75" hidden="false" customHeight="false" outlineLevel="0" collapsed="false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customFormat="false" ht="15.75" hidden="false" customHeight="false" outlineLevel="0" collapsed="false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customFormat="false" ht="15.75" hidden="false" customHeight="false" outlineLevel="0" collapsed="false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customFormat="false" ht="15.75" hidden="false" customHeight="false" outlineLevel="0" collapsed="false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customFormat="false" ht="15.75" hidden="false" customHeight="false" outlineLevel="0" collapsed="false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customFormat="false" ht="15.75" hidden="false" customHeight="false" outlineLevel="0" collapsed="false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customFormat="false" ht="15.75" hidden="false" customHeight="false" outlineLevel="0" collapsed="false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customFormat="false" ht="15.75" hidden="false" customHeight="false" outlineLevel="0" collapsed="false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customFormat="false" ht="15.75" hidden="false" customHeight="false" outlineLevel="0" collapsed="false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customFormat="false" ht="15.75" hidden="false" customHeight="false" outlineLevel="0" collapsed="false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customFormat="false" ht="15.75" hidden="false" customHeight="false" outlineLevel="0" collapsed="false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customFormat="false" ht="15.75" hidden="false" customHeight="false" outlineLevel="0" collapsed="false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customFormat="false" ht="15.75" hidden="false" customHeight="false" outlineLevel="0" collapsed="false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customFormat="false" ht="15.75" hidden="false" customHeight="false" outlineLevel="0" collapsed="false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customFormat="false" ht="15.75" hidden="false" customHeight="false" outlineLevel="0" collapsed="false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customFormat="false" ht="15.75" hidden="false" customHeight="false" outlineLevel="0" collapsed="false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customFormat="false" ht="15.75" hidden="false" customHeight="false" outlineLevel="0" collapsed="false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customFormat="false" ht="15.75" hidden="false" customHeight="false" outlineLevel="0" collapsed="false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customFormat="false" ht="15.75" hidden="false" customHeight="false" outlineLevel="0" collapsed="false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customFormat="false" ht="15.75" hidden="false" customHeight="false" outlineLevel="0" collapsed="false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customFormat="false" ht="15.75" hidden="false" customHeight="false" outlineLevel="0" collapsed="false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customFormat="false" ht="15.75" hidden="false" customHeight="false" outlineLevel="0" collapsed="false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customFormat="false" ht="15.75" hidden="false" customHeight="false" outlineLevel="0" collapsed="false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customFormat="false" ht="15.75" hidden="false" customHeight="false" outlineLevel="0" collapsed="false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customFormat="false" ht="15.75" hidden="false" customHeight="false" outlineLevel="0" collapsed="false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customFormat="false" ht="15.75" hidden="false" customHeight="false" outlineLevel="0" collapsed="false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customFormat="false" ht="15.75" hidden="false" customHeight="false" outlineLevel="0" collapsed="false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customFormat="false" ht="15.75" hidden="false" customHeight="false" outlineLevel="0" collapsed="false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customFormat="false" ht="15.75" hidden="false" customHeight="false" outlineLevel="0" collapsed="false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customFormat="false" ht="15.75" hidden="false" customHeight="false" outlineLevel="0" collapsed="false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customFormat="false" ht="15.75" hidden="false" customHeight="false" outlineLevel="0" collapsed="false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customFormat="false" ht="15.75" hidden="false" customHeight="false" outlineLevel="0" collapsed="false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customFormat="false" ht="15.75" hidden="false" customHeight="false" outlineLevel="0" collapsed="false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customFormat="false" ht="15.75" hidden="false" customHeight="false" outlineLevel="0" collapsed="false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customFormat="false" ht="15.75" hidden="false" customHeight="false" outlineLevel="0" collapsed="false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customFormat="false" ht="15.75" hidden="false" customHeight="false" outlineLevel="0" collapsed="false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customFormat="false" ht="15.75" hidden="false" customHeight="false" outlineLevel="0" collapsed="false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customFormat="false" ht="15.75" hidden="false" customHeight="false" outlineLevel="0" collapsed="false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customFormat="false" ht="15.75" hidden="false" customHeight="false" outlineLevel="0" collapsed="false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customFormat="false" ht="15.75" hidden="false" customHeight="false" outlineLevel="0" collapsed="false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customFormat="false" ht="15.75" hidden="false" customHeight="false" outlineLevel="0" collapsed="false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customFormat="false" ht="15.75" hidden="false" customHeight="false" outlineLevel="0" collapsed="false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customFormat="false" ht="15.75" hidden="false" customHeight="false" outlineLevel="0" collapsed="false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customFormat="false" ht="15.75" hidden="false" customHeight="false" outlineLevel="0" collapsed="false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customFormat="false" ht="15.75" hidden="false" customHeight="false" outlineLevel="0" collapsed="false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customFormat="false" ht="15.75" hidden="false" customHeight="false" outlineLevel="0" collapsed="false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customFormat="false" ht="15.75" hidden="false" customHeight="false" outlineLevel="0" collapsed="false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customFormat="false" ht="15.75" hidden="false" customHeight="false" outlineLevel="0" collapsed="false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customFormat="false" ht="15.75" hidden="false" customHeight="false" outlineLevel="0" collapsed="false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customFormat="false" ht="15.75" hidden="false" customHeight="false" outlineLevel="0" collapsed="false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customFormat="false" ht="15.75" hidden="false" customHeight="false" outlineLevel="0" collapsed="false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customFormat="false" ht="15.75" hidden="false" customHeight="false" outlineLevel="0" collapsed="false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customFormat="false" ht="15.75" hidden="false" customHeight="false" outlineLevel="0" collapsed="false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customFormat="false" ht="15.75" hidden="false" customHeight="false" outlineLevel="0" collapsed="false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customFormat="false" ht="15.75" hidden="false" customHeight="false" outlineLevel="0" collapsed="false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customFormat="false" ht="15.75" hidden="false" customHeight="false" outlineLevel="0" collapsed="false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customFormat="false" ht="15.75" hidden="false" customHeight="false" outlineLevel="0" collapsed="false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customFormat="false" ht="15.75" hidden="false" customHeight="false" outlineLevel="0" collapsed="false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customFormat="false" ht="15.75" hidden="false" customHeight="false" outlineLevel="0" collapsed="false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customFormat="false" ht="15.75" hidden="false" customHeight="false" outlineLevel="0" collapsed="false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customFormat="false" ht="15.75" hidden="false" customHeight="false" outlineLevel="0" collapsed="false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customFormat="false" ht="15.75" hidden="false" customHeight="false" outlineLevel="0" collapsed="false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customFormat="false" ht="15.75" hidden="false" customHeight="false" outlineLevel="0" collapsed="false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customFormat="false" ht="15.75" hidden="false" customHeight="false" outlineLevel="0" collapsed="false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customFormat="false" ht="15.75" hidden="false" customHeight="false" outlineLevel="0" collapsed="false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customFormat="false" ht="15.75" hidden="false" customHeight="false" outlineLevel="0" collapsed="false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customFormat="false" ht="15.75" hidden="false" customHeight="false" outlineLevel="0" collapsed="false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customFormat="false" ht="15.75" hidden="false" customHeight="false" outlineLevel="0" collapsed="false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customFormat="false" ht="15.75" hidden="false" customHeight="false" outlineLevel="0" collapsed="false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customFormat="false" ht="15.75" hidden="false" customHeight="false" outlineLevel="0" collapsed="false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customFormat="false" ht="15.75" hidden="false" customHeight="false" outlineLevel="0" collapsed="false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customFormat="false" ht="15.75" hidden="false" customHeight="false" outlineLevel="0" collapsed="false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customFormat="false" ht="15.75" hidden="false" customHeight="false" outlineLevel="0" collapsed="false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customFormat="false" ht="15.75" hidden="false" customHeight="false" outlineLevel="0" collapsed="false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customFormat="false" ht="15.75" hidden="false" customHeight="false" outlineLevel="0" collapsed="false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customFormat="false" ht="15.75" hidden="false" customHeight="false" outlineLevel="0" collapsed="false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customFormat="false" ht="15.75" hidden="false" customHeight="false" outlineLevel="0" collapsed="false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customFormat="false" ht="15.75" hidden="false" customHeight="false" outlineLevel="0" collapsed="false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customFormat="false" ht="15.75" hidden="false" customHeight="false" outlineLevel="0" collapsed="false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customFormat="false" ht="15.75" hidden="false" customHeight="false" outlineLevel="0" collapsed="false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customFormat="false" ht="15.75" hidden="false" customHeight="false" outlineLevel="0" collapsed="false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customFormat="false" ht="15.75" hidden="false" customHeight="false" outlineLevel="0" collapsed="false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customFormat="false" ht="15.75" hidden="false" customHeight="false" outlineLevel="0" collapsed="false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customFormat="false" ht="15.75" hidden="false" customHeight="false" outlineLevel="0" collapsed="false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customFormat="false" ht="15.75" hidden="false" customHeight="false" outlineLevel="0" collapsed="false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customFormat="false" ht="15.75" hidden="false" customHeight="false" outlineLevel="0" collapsed="false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customFormat="false" ht="15.75" hidden="false" customHeight="false" outlineLevel="0" collapsed="false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customFormat="false" ht="15.75" hidden="false" customHeight="false" outlineLevel="0" collapsed="false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customFormat="false" ht="15.75" hidden="false" customHeight="false" outlineLevel="0" collapsed="false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customFormat="false" ht="15.75" hidden="false" customHeight="false" outlineLevel="0" collapsed="false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customFormat="false" ht="15.75" hidden="false" customHeight="false" outlineLevel="0" collapsed="false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customFormat="false" ht="15.75" hidden="false" customHeight="false" outlineLevel="0" collapsed="false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customFormat="false" ht="15.75" hidden="false" customHeight="false" outlineLevel="0" collapsed="false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customFormat="false" ht="15.75" hidden="false" customHeight="false" outlineLevel="0" collapsed="false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customFormat="false" ht="15.75" hidden="false" customHeight="false" outlineLevel="0" collapsed="false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customFormat="false" ht="15.75" hidden="false" customHeight="false" outlineLevel="0" collapsed="false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customFormat="false" ht="15.75" hidden="false" customHeight="false" outlineLevel="0" collapsed="false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customFormat="false" ht="15.75" hidden="false" customHeight="false" outlineLevel="0" collapsed="false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customFormat="false" ht="15.75" hidden="false" customHeight="false" outlineLevel="0" collapsed="false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customFormat="false" ht="15.75" hidden="false" customHeight="false" outlineLevel="0" collapsed="false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customFormat="false" ht="15.75" hidden="false" customHeight="false" outlineLevel="0" collapsed="false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customFormat="false" ht="15.75" hidden="false" customHeight="false" outlineLevel="0" collapsed="false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customFormat="false" ht="15.75" hidden="false" customHeight="false" outlineLevel="0" collapsed="false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customFormat="false" ht="15.75" hidden="false" customHeight="false" outlineLevel="0" collapsed="false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customFormat="false" ht="15.75" hidden="false" customHeight="false" outlineLevel="0" collapsed="false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customFormat="false" ht="15.75" hidden="false" customHeight="false" outlineLevel="0" collapsed="false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customFormat="false" ht="15.75" hidden="false" customHeight="false" outlineLevel="0" collapsed="false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customFormat="false" ht="15.75" hidden="false" customHeight="false" outlineLevel="0" collapsed="false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customFormat="false" ht="15.75" hidden="false" customHeight="false" outlineLevel="0" collapsed="false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customFormat="false" ht="15.75" hidden="false" customHeight="false" outlineLevel="0" collapsed="false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customFormat="false" ht="15.75" hidden="false" customHeight="false" outlineLevel="0" collapsed="false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customFormat="false" ht="15.75" hidden="false" customHeight="false" outlineLevel="0" collapsed="false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customFormat="false" ht="15.75" hidden="false" customHeight="false" outlineLevel="0" collapsed="false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customFormat="false" ht="15.75" hidden="false" customHeight="false" outlineLevel="0" collapsed="false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customFormat="false" ht="15.75" hidden="false" customHeight="false" outlineLevel="0" collapsed="false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customFormat="false" ht="15.75" hidden="false" customHeight="false" outlineLevel="0" collapsed="false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customFormat="false" ht="15.75" hidden="false" customHeight="false" outlineLevel="0" collapsed="false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customFormat="false" ht="15.75" hidden="false" customHeight="false" outlineLevel="0" collapsed="false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customFormat="false" ht="15.75" hidden="false" customHeight="false" outlineLevel="0" collapsed="false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customFormat="false" ht="15.75" hidden="false" customHeight="false" outlineLevel="0" collapsed="false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customFormat="false" ht="15.75" hidden="false" customHeight="false" outlineLevel="0" collapsed="false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customFormat="false" ht="15.75" hidden="false" customHeight="false" outlineLevel="0" collapsed="false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customFormat="false" ht="15.75" hidden="false" customHeight="false" outlineLevel="0" collapsed="false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customFormat="false" ht="15.75" hidden="false" customHeight="false" outlineLevel="0" collapsed="false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customFormat="false" ht="15.75" hidden="false" customHeight="false" outlineLevel="0" collapsed="false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customFormat="false" ht="15.75" hidden="false" customHeight="false" outlineLevel="0" collapsed="false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customFormat="false" ht="15.75" hidden="false" customHeight="false" outlineLevel="0" collapsed="false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customFormat="false" ht="15.75" hidden="false" customHeight="false" outlineLevel="0" collapsed="false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customFormat="false" ht="15.75" hidden="false" customHeight="false" outlineLevel="0" collapsed="false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customFormat="false" ht="15.75" hidden="false" customHeight="false" outlineLevel="0" collapsed="false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customFormat="false" ht="15.75" hidden="false" customHeight="false" outlineLevel="0" collapsed="false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customFormat="false" ht="15.75" hidden="false" customHeight="false" outlineLevel="0" collapsed="false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customFormat="false" ht="15.75" hidden="false" customHeight="false" outlineLevel="0" collapsed="false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customFormat="false" ht="15.75" hidden="false" customHeight="false" outlineLevel="0" collapsed="false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customFormat="false" ht="15.75" hidden="false" customHeight="false" outlineLevel="0" collapsed="false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customFormat="false" ht="15.75" hidden="false" customHeight="false" outlineLevel="0" collapsed="false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customFormat="false" ht="15.75" hidden="false" customHeight="false" outlineLevel="0" collapsed="false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customFormat="false" ht="15.75" hidden="false" customHeight="false" outlineLevel="0" collapsed="false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customFormat="false" ht="15.75" hidden="false" customHeight="false" outlineLevel="0" collapsed="false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customFormat="false" ht="15.75" hidden="false" customHeight="false" outlineLevel="0" collapsed="false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customFormat="false" ht="15.75" hidden="false" customHeight="false" outlineLevel="0" collapsed="false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customFormat="false" ht="15.75" hidden="false" customHeight="false" outlineLevel="0" collapsed="false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customFormat="false" ht="15.75" hidden="false" customHeight="false" outlineLevel="0" collapsed="false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customFormat="false" ht="15.75" hidden="false" customHeight="false" outlineLevel="0" collapsed="false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customFormat="false" ht="15.75" hidden="false" customHeight="false" outlineLevel="0" collapsed="false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customFormat="false" ht="15.75" hidden="false" customHeight="false" outlineLevel="0" collapsed="false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customFormat="false" ht="15.75" hidden="false" customHeight="false" outlineLevel="0" collapsed="false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customFormat="false" ht="15.75" hidden="false" customHeight="false" outlineLevel="0" collapsed="false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customFormat="false" ht="15.75" hidden="false" customHeight="false" outlineLevel="0" collapsed="false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customFormat="false" ht="15.75" hidden="false" customHeight="false" outlineLevel="0" collapsed="false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customFormat="false" ht="15.75" hidden="false" customHeight="false" outlineLevel="0" collapsed="false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customFormat="false" ht="15.75" hidden="false" customHeight="false" outlineLevel="0" collapsed="false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customFormat="false" ht="15.75" hidden="false" customHeight="false" outlineLevel="0" collapsed="false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customFormat="false" ht="15.75" hidden="false" customHeight="false" outlineLevel="0" collapsed="false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customFormat="false" ht="15.75" hidden="false" customHeight="false" outlineLevel="0" collapsed="false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customFormat="false" ht="15.75" hidden="false" customHeight="false" outlineLevel="0" collapsed="false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customFormat="false" ht="15.75" hidden="false" customHeight="false" outlineLevel="0" collapsed="false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customFormat="false" ht="15.75" hidden="false" customHeight="false" outlineLevel="0" collapsed="false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customFormat="false" ht="15.75" hidden="false" customHeight="false" outlineLevel="0" collapsed="false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customFormat="false" ht="15.75" hidden="false" customHeight="false" outlineLevel="0" collapsed="false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customFormat="false" ht="15.75" hidden="false" customHeight="false" outlineLevel="0" collapsed="false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customFormat="false" ht="15.75" hidden="false" customHeight="false" outlineLevel="0" collapsed="false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customFormat="false" ht="15.75" hidden="false" customHeight="false" outlineLevel="0" collapsed="false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customFormat="false" ht="15.75" hidden="false" customHeight="false" outlineLevel="0" collapsed="false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customFormat="false" ht="15.75" hidden="false" customHeight="false" outlineLevel="0" collapsed="false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customFormat="false" ht="15.75" hidden="false" customHeight="false" outlineLevel="0" collapsed="false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customFormat="false" ht="15.75" hidden="false" customHeight="false" outlineLevel="0" collapsed="false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customFormat="false" ht="15.75" hidden="false" customHeight="false" outlineLevel="0" collapsed="false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customFormat="false" ht="15.75" hidden="false" customHeight="false" outlineLevel="0" collapsed="false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customFormat="false" ht="15.75" hidden="false" customHeight="false" outlineLevel="0" collapsed="false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customFormat="false" ht="15.75" hidden="false" customHeight="false" outlineLevel="0" collapsed="false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customFormat="false" ht="15.75" hidden="false" customHeight="false" outlineLevel="0" collapsed="false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customFormat="false" ht="15.75" hidden="false" customHeight="false" outlineLevel="0" collapsed="false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customFormat="false" ht="15.75" hidden="false" customHeight="false" outlineLevel="0" collapsed="false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customFormat="false" ht="15.75" hidden="false" customHeight="false" outlineLevel="0" collapsed="false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customFormat="false" ht="15.75" hidden="false" customHeight="false" outlineLevel="0" collapsed="false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customFormat="false" ht="15.75" hidden="false" customHeight="false" outlineLevel="0" collapsed="false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customFormat="false" ht="15.75" hidden="false" customHeight="false" outlineLevel="0" collapsed="false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customFormat="false" ht="15.75" hidden="false" customHeight="false" outlineLevel="0" collapsed="false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customFormat="false" ht="15.75" hidden="false" customHeight="false" outlineLevel="0" collapsed="false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customFormat="false" ht="15.75" hidden="false" customHeight="false" outlineLevel="0" collapsed="false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customFormat="false" ht="15.75" hidden="false" customHeight="false" outlineLevel="0" collapsed="false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customFormat="false" ht="15.75" hidden="false" customHeight="false" outlineLevel="0" collapsed="false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customFormat="false" ht="15.75" hidden="false" customHeight="false" outlineLevel="0" collapsed="false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customFormat="false" ht="15.75" hidden="false" customHeight="false" outlineLevel="0" collapsed="false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customFormat="false" ht="15.75" hidden="false" customHeight="false" outlineLevel="0" collapsed="false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customFormat="false" ht="15.75" hidden="false" customHeight="false" outlineLevel="0" collapsed="false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customFormat="false" ht="15.75" hidden="false" customHeight="false" outlineLevel="0" collapsed="false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customFormat="false" ht="15.75" hidden="false" customHeight="false" outlineLevel="0" collapsed="false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customFormat="false" ht="15.75" hidden="false" customHeight="false" outlineLevel="0" collapsed="false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customFormat="false" ht="15.75" hidden="false" customHeight="false" outlineLevel="0" collapsed="false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customFormat="false" ht="15.75" hidden="false" customHeight="false" outlineLevel="0" collapsed="false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customFormat="false" ht="15.75" hidden="false" customHeight="false" outlineLevel="0" collapsed="false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customFormat="false" ht="15.75" hidden="false" customHeight="false" outlineLevel="0" collapsed="false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customFormat="false" ht="15.75" hidden="false" customHeight="false" outlineLevel="0" collapsed="false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customFormat="false" ht="15.75" hidden="false" customHeight="false" outlineLevel="0" collapsed="false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customFormat="false" ht="15.75" hidden="false" customHeight="false" outlineLevel="0" collapsed="false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customFormat="false" ht="15.75" hidden="false" customHeight="false" outlineLevel="0" collapsed="false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customFormat="false" ht="15.75" hidden="false" customHeight="false" outlineLevel="0" collapsed="false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customFormat="false" ht="15.75" hidden="false" customHeight="false" outlineLevel="0" collapsed="false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customFormat="false" ht="15.75" hidden="false" customHeight="false" outlineLevel="0" collapsed="false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customFormat="false" ht="15.75" hidden="false" customHeight="false" outlineLevel="0" collapsed="false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customFormat="false" ht="15.75" hidden="false" customHeight="false" outlineLevel="0" collapsed="false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customFormat="false" ht="15.75" hidden="false" customHeight="false" outlineLevel="0" collapsed="false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customFormat="false" ht="15.75" hidden="false" customHeight="false" outlineLevel="0" collapsed="false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customFormat="false" ht="15.75" hidden="false" customHeight="false" outlineLevel="0" collapsed="false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customFormat="false" ht="15.75" hidden="false" customHeight="false" outlineLevel="0" collapsed="false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customFormat="false" ht="15.75" hidden="false" customHeight="false" outlineLevel="0" collapsed="false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customFormat="false" ht="15.75" hidden="false" customHeight="false" outlineLevel="0" collapsed="false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customFormat="false" ht="15.75" hidden="false" customHeight="false" outlineLevel="0" collapsed="false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customFormat="false" ht="15.75" hidden="false" customHeight="false" outlineLevel="0" collapsed="false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customFormat="false" ht="15.75" hidden="false" customHeight="false" outlineLevel="0" collapsed="false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customFormat="false" ht="15.75" hidden="false" customHeight="false" outlineLevel="0" collapsed="false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customFormat="false" ht="15.75" hidden="false" customHeight="false" outlineLevel="0" collapsed="false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customFormat="false" ht="15.75" hidden="false" customHeight="false" outlineLevel="0" collapsed="false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customFormat="false" ht="15.75" hidden="false" customHeight="false" outlineLevel="0" collapsed="false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customFormat="false" ht="15.75" hidden="false" customHeight="false" outlineLevel="0" collapsed="false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customFormat="false" ht="15.75" hidden="false" customHeight="false" outlineLevel="0" collapsed="false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customFormat="false" ht="15.75" hidden="false" customHeight="false" outlineLevel="0" collapsed="false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customFormat="false" ht="15.75" hidden="false" customHeight="false" outlineLevel="0" collapsed="false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customFormat="false" ht="15.75" hidden="false" customHeight="false" outlineLevel="0" collapsed="false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customFormat="false" ht="15.75" hidden="false" customHeight="false" outlineLevel="0" collapsed="false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customFormat="false" ht="15.75" hidden="false" customHeight="false" outlineLevel="0" collapsed="false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customFormat="false" ht="15.75" hidden="false" customHeight="false" outlineLevel="0" collapsed="false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customFormat="false" ht="15.75" hidden="false" customHeight="false" outlineLevel="0" collapsed="false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customFormat="false" ht="15.75" hidden="false" customHeight="false" outlineLevel="0" collapsed="false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customFormat="false" ht="15.75" hidden="false" customHeight="false" outlineLevel="0" collapsed="false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customFormat="false" ht="15.75" hidden="false" customHeight="false" outlineLevel="0" collapsed="false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customFormat="false" ht="15.75" hidden="false" customHeight="false" outlineLevel="0" collapsed="false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customFormat="false" ht="15.75" hidden="false" customHeight="false" outlineLevel="0" collapsed="false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customFormat="false" ht="15.75" hidden="false" customHeight="false" outlineLevel="0" collapsed="false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customFormat="false" ht="15.75" hidden="false" customHeight="false" outlineLevel="0" collapsed="false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customFormat="false" ht="15.75" hidden="false" customHeight="false" outlineLevel="0" collapsed="false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customFormat="false" ht="15.75" hidden="false" customHeight="false" outlineLevel="0" collapsed="false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customFormat="false" ht="15.75" hidden="false" customHeight="false" outlineLevel="0" collapsed="false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customFormat="false" ht="15.75" hidden="false" customHeight="false" outlineLevel="0" collapsed="false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customFormat="false" ht="15.75" hidden="false" customHeight="false" outlineLevel="0" collapsed="false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customFormat="false" ht="15.75" hidden="false" customHeight="false" outlineLevel="0" collapsed="false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customFormat="false" ht="15.75" hidden="false" customHeight="false" outlineLevel="0" collapsed="false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customFormat="false" ht="15.75" hidden="false" customHeight="false" outlineLevel="0" collapsed="false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customFormat="false" ht="15.75" hidden="false" customHeight="false" outlineLevel="0" collapsed="false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customFormat="false" ht="15.75" hidden="false" customHeight="false" outlineLevel="0" collapsed="false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customFormat="false" ht="15.75" hidden="false" customHeight="false" outlineLevel="0" collapsed="false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customFormat="false" ht="15.75" hidden="false" customHeight="false" outlineLevel="0" collapsed="false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customFormat="false" ht="15.75" hidden="false" customHeight="false" outlineLevel="0" collapsed="false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customFormat="false" ht="15.75" hidden="false" customHeight="false" outlineLevel="0" collapsed="false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customFormat="false" ht="15.75" hidden="false" customHeight="false" outlineLevel="0" collapsed="false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customFormat="false" ht="15.75" hidden="false" customHeight="false" outlineLevel="0" collapsed="false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customFormat="false" ht="15.75" hidden="false" customHeight="false" outlineLevel="0" collapsed="false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customFormat="false" ht="15.75" hidden="false" customHeight="false" outlineLevel="0" collapsed="false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customFormat="false" ht="15.75" hidden="false" customHeight="false" outlineLevel="0" collapsed="false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customFormat="false" ht="15.75" hidden="false" customHeight="false" outlineLevel="0" collapsed="false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customFormat="false" ht="15.75" hidden="false" customHeight="false" outlineLevel="0" collapsed="false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customFormat="false" ht="15.75" hidden="false" customHeight="false" outlineLevel="0" collapsed="false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customFormat="false" ht="15.75" hidden="false" customHeight="false" outlineLevel="0" collapsed="false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customFormat="false" ht="15.75" hidden="false" customHeight="false" outlineLevel="0" collapsed="false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customFormat="false" ht="15.75" hidden="false" customHeight="false" outlineLevel="0" collapsed="false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customFormat="false" ht="15.75" hidden="false" customHeight="false" outlineLevel="0" collapsed="false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customFormat="false" ht="15.75" hidden="false" customHeight="false" outlineLevel="0" collapsed="false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customFormat="false" ht="15.75" hidden="false" customHeight="false" outlineLevel="0" collapsed="false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customFormat="false" ht="15.75" hidden="false" customHeight="false" outlineLevel="0" collapsed="false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customFormat="false" ht="15.75" hidden="false" customHeight="false" outlineLevel="0" collapsed="false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customFormat="false" ht="15.75" hidden="false" customHeight="false" outlineLevel="0" collapsed="false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customFormat="false" ht="15.75" hidden="false" customHeight="false" outlineLevel="0" collapsed="false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customFormat="false" ht="15.75" hidden="false" customHeight="false" outlineLevel="0" collapsed="false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customFormat="false" ht="15.75" hidden="false" customHeight="false" outlineLevel="0" collapsed="false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customFormat="false" ht="15.75" hidden="false" customHeight="false" outlineLevel="0" collapsed="false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customFormat="false" ht="15.75" hidden="false" customHeight="false" outlineLevel="0" collapsed="false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customFormat="false" ht="15.75" hidden="false" customHeight="false" outlineLevel="0" collapsed="false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customFormat="false" ht="15.75" hidden="false" customHeight="false" outlineLevel="0" collapsed="false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customFormat="false" ht="15.75" hidden="false" customHeight="false" outlineLevel="0" collapsed="false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customFormat="false" ht="15.75" hidden="false" customHeight="false" outlineLevel="0" collapsed="false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customFormat="false" ht="15.75" hidden="false" customHeight="false" outlineLevel="0" collapsed="false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customFormat="false" ht="15.75" hidden="false" customHeight="false" outlineLevel="0" collapsed="false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customFormat="false" ht="15.75" hidden="false" customHeight="false" outlineLevel="0" collapsed="false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customFormat="false" ht="15.75" hidden="false" customHeight="false" outlineLevel="0" collapsed="false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customFormat="false" ht="15.75" hidden="false" customHeight="false" outlineLevel="0" collapsed="false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customFormat="false" ht="15.75" hidden="false" customHeight="false" outlineLevel="0" collapsed="false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customFormat="false" ht="15.75" hidden="false" customHeight="false" outlineLevel="0" collapsed="false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customFormat="false" ht="15.75" hidden="false" customHeight="false" outlineLevel="0" collapsed="false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customFormat="false" ht="15.75" hidden="false" customHeight="false" outlineLevel="0" collapsed="false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customFormat="false" ht="15.75" hidden="false" customHeight="false" outlineLevel="0" collapsed="false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customFormat="false" ht="15.75" hidden="false" customHeight="false" outlineLevel="0" collapsed="false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customFormat="false" ht="15.75" hidden="false" customHeight="false" outlineLevel="0" collapsed="false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customFormat="false" ht="15.75" hidden="false" customHeight="false" outlineLevel="0" collapsed="false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customFormat="false" ht="15.75" hidden="false" customHeight="false" outlineLevel="0" collapsed="false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customFormat="false" ht="15.75" hidden="false" customHeight="false" outlineLevel="0" collapsed="false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customFormat="false" ht="15.75" hidden="false" customHeight="false" outlineLevel="0" collapsed="false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customFormat="false" ht="15.75" hidden="false" customHeight="false" outlineLevel="0" collapsed="false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customFormat="false" ht="15.75" hidden="false" customHeight="false" outlineLevel="0" collapsed="false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customFormat="false" ht="15.75" hidden="false" customHeight="false" outlineLevel="0" collapsed="false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customFormat="false" ht="15.75" hidden="false" customHeight="false" outlineLevel="0" collapsed="false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customFormat="false" ht="15.75" hidden="false" customHeight="false" outlineLevel="0" collapsed="false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customFormat="false" ht="15.75" hidden="false" customHeight="false" outlineLevel="0" collapsed="false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customFormat="false" ht="15.75" hidden="false" customHeight="false" outlineLevel="0" collapsed="false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customFormat="false" ht="15.75" hidden="false" customHeight="false" outlineLevel="0" collapsed="false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customFormat="false" ht="15.75" hidden="false" customHeight="false" outlineLevel="0" collapsed="false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customFormat="false" ht="15.75" hidden="false" customHeight="false" outlineLevel="0" collapsed="false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customFormat="false" ht="15.75" hidden="false" customHeight="false" outlineLevel="0" collapsed="false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customFormat="false" ht="15.75" hidden="false" customHeight="false" outlineLevel="0" collapsed="false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customFormat="false" ht="15.75" hidden="false" customHeight="false" outlineLevel="0" collapsed="false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customFormat="false" ht="15.75" hidden="false" customHeight="false" outlineLevel="0" collapsed="false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customFormat="false" ht="15.75" hidden="false" customHeight="false" outlineLevel="0" collapsed="false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customFormat="false" ht="15.75" hidden="false" customHeight="false" outlineLevel="0" collapsed="false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customFormat="false" ht="15.75" hidden="false" customHeight="false" outlineLevel="0" collapsed="false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customFormat="false" ht="15.75" hidden="false" customHeight="false" outlineLevel="0" collapsed="false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customFormat="false" ht="15.75" hidden="false" customHeight="false" outlineLevel="0" collapsed="false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customFormat="false" ht="15.75" hidden="false" customHeight="false" outlineLevel="0" collapsed="false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customFormat="false" ht="15.75" hidden="false" customHeight="false" outlineLevel="0" collapsed="false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customFormat="false" ht="15.75" hidden="false" customHeight="false" outlineLevel="0" collapsed="false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customFormat="false" ht="15.75" hidden="false" customHeight="false" outlineLevel="0" collapsed="false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customFormat="false" ht="15.75" hidden="false" customHeight="false" outlineLevel="0" collapsed="false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customFormat="false" ht="15.75" hidden="false" customHeight="false" outlineLevel="0" collapsed="false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customFormat="false" ht="15.75" hidden="false" customHeight="false" outlineLevel="0" collapsed="false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customFormat="false" ht="15.75" hidden="false" customHeight="false" outlineLevel="0" collapsed="false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customFormat="false" ht="15.75" hidden="false" customHeight="false" outlineLevel="0" collapsed="false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customFormat="false" ht="15.75" hidden="false" customHeight="false" outlineLevel="0" collapsed="false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customFormat="false" ht="15.75" hidden="false" customHeight="false" outlineLevel="0" collapsed="false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customFormat="false" ht="15.75" hidden="false" customHeight="false" outlineLevel="0" collapsed="false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customFormat="false" ht="15.75" hidden="false" customHeight="false" outlineLevel="0" collapsed="false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customFormat="false" ht="15.75" hidden="false" customHeight="false" outlineLevel="0" collapsed="false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customFormat="false" ht="15.75" hidden="false" customHeight="false" outlineLevel="0" collapsed="false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customFormat="false" ht="15.75" hidden="false" customHeight="false" outlineLevel="0" collapsed="false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customFormat="false" ht="15.75" hidden="false" customHeight="false" outlineLevel="0" collapsed="false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customFormat="false" ht="15.75" hidden="false" customHeight="false" outlineLevel="0" collapsed="false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customFormat="false" ht="15.75" hidden="false" customHeight="false" outlineLevel="0" collapsed="false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customFormat="false" ht="15.75" hidden="false" customHeight="false" outlineLevel="0" collapsed="false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customFormat="false" ht="15.75" hidden="false" customHeight="false" outlineLevel="0" collapsed="false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customFormat="false" ht="15.75" hidden="false" customHeight="false" outlineLevel="0" collapsed="false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customFormat="false" ht="15.75" hidden="false" customHeight="false" outlineLevel="0" collapsed="false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customFormat="false" ht="15.75" hidden="false" customHeight="false" outlineLevel="0" collapsed="false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customFormat="false" ht="15.75" hidden="false" customHeight="false" outlineLevel="0" collapsed="false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customFormat="false" ht="15.75" hidden="false" customHeight="false" outlineLevel="0" collapsed="false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customFormat="false" ht="15.75" hidden="false" customHeight="false" outlineLevel="0" collapsed="false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customFormat="false" ht="15.75" hidden="false" customHeight="false" outlineLevel="0" collapsed="false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customFormat="false" ht="15.75" hidden="false" customHeight="false" outlineLevel="0" collapsed="false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customFormat="false" ht="15.75" hidden="false" customHeight="false" outlineLevel="0" collapsed="false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customFormat="false" ht="15.75" hidden="false" customHeight="false" outlineLevel="0" collapsed="false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customFormat="false" ht="15.75" hidden="false" customHeight="false" outlineLevel="0" collapsed="false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customFormat="false" ht="15.75" hidden="false" customHeight="false" outlineLevel="0" collapsed="false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customFormat="false" ht="15.75" hidden="false" customHeight="false" outlineLevel="0" collapsed="false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customFormat="false" ht="15.75" hidden="false" customHeight="false" outlineLevel="0" collapsed="false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customFormat="false" ht="15.75" hidden="false" customHeight="false" outlineLevel="0" collapsed="false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customFormat="false" ht="15.75" hidden="false" customHeight="false" outlineLevel="0" collapsed="false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customFormat="false" ht="15.75" hidden="false" customHeight="false" outlineLevel="0" collapsed="false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customFormat="false" ht="15.75" hidden="false" customHeight="false" outlineLevel="0" collapsed="false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customFormat="false" ht="15.75" hidden="false" customHeight="false" outlineLevel="0" collapsed="false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customFormat="false" ht="15.75" hidden="false" customHeight="false" outlineLevel="0" collapsed="false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customFormat="false" ht="15.75" hidden="false" customHeight="false" outlineLevel="0" collapsed="false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customFormat="false" ht="15.75" hidden="false" customHeight="false" outlineLevel="0" collapsed="false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customFormat="false" ht="15.75" hidden="false" customHeight="false" outlineLevel="0" collapsed="false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customFormat="false" ht="15.75" hidden="false" customHeight="false" outlineLevel="0" collapsed="false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customFormat="false" ht="15.75" hidden="false" customHeight="false" outlineLevel="0" collapsed="false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customFormat="false" ht="15.75" hidden="false" customHeight="false" outlineLevel="0" collapsed="false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customFormat="false" ht="15.75" hidden="false" customHeight="false" outlineLevel="0" collapsed="false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customFormat="false" ht="15.75" hidden="false" customHeight="false" outlineLevel="0" collapsed="false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customFormat="false" ht="15.75" hidden="false" customHeight="false" outlineLevel="0" collapsed="false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customFormat="false" ht="15.75" hidden="false" customHeight="false" outlineLevel="0" collapsed="false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customFormat="false" ht="15.75" hidden="false" customHeight="false" outlineLevel="0" collapsed="false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customFormat="false" ht="15.75" hidden="false" customHeight="false" outlineLevel="0" collapsed="false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customFormat="false" ht="15.75" hidden="false" customHeight="false" outlineLevel="0" collapsed="false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customFormat="false" ht="15.75" hidden="false" customHeight="false" outlineLevel="0" collapsed="false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customFormat="false" ht="15.75" hidden="false" customHeight="false" outlineLevel="0" collapsed="false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customFormat="false" ht="15.75" hidden="false" customHeight="false" outlineLevel="0" collapsed="false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customFormat="false" ht="15.75" hidden="false" customHeight="false" outlineLevel="0" collapsed="false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customFormat="false" ht="15.75" hidden="false" customHeight="false" outlineLevel="0" collapsed="false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customFormat="false" ht="15.75" hidden="false" customHeight="false" outlineLevel="0" collapsed="false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customFormat="false" ht="15.75" hidden="false" customHeight="false" outlineLevel="0" collapsed="false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customFormat="false" ht="15.75" hidden="false" customHeight="false" outlineLevel="0" collapsed="false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customFormat="false" ht="15.75" hidden="false" customHeight="false" outlineLevel="0" collapsed="false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customFormat="false" ht="15.75" hidden="false" customHeight="false" outlineLevel="0" collapsed="false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customFormat="false" ht="15.75" hidden="false" customHeight="false" outlineLevel="0" collapsed="false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customFormat="false" ht="15.75" hidden="false" customHeight="false" outlineLevel="0" collapsed="false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customFormat="false" ht="15.75" hidden="false" customHeight="false" outlineLevel="0" collapsed="false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customFormat="false" ht="15.75" hidden="false" customHeight="false" outlineLevel="0" collapsed="false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customFormat="false" ht="15.75" hidden="false" customHeight="false" outlineLevel="0" collapsed="false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customFormat="false" ht="15.75" hidden="false" customHeight="false" outlineLevel="0" collapsed="false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customFormat="false" ht="15.75" hidden="false" customHeight="false" outlineLevel="0" collapsed="false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customFormat="false" ht="15.75" hidden="false" customHeight="false" outlineLevel="0" collapsed="false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customFormat="false" ht="15.75" hidden="false" customHeight="false" outlineLevel="0" collapsed="false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customFormat="false" ht="15.75" hidden="false" customHeight="false" outlineLevel="0" collapsed="false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customFormat="false" ht="15.75" hidden="false" customHeight="false" outlineLevel="0" collapsed="false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customFormat="false" ht="15.75" hidden="false" customHeight="false" outlineLevel="0" collapsed="false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customFormat="false" ht="15.75" hidden="false" customHeight="false" outlineLevel="0" collapsed="false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customFormat="false" ht="15.75" hidden="false" customHeight="false" outlineLevel="0" collapsed="false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customFormat="false" ht="15.75" hidden="false" customHeight="false" outlineLevel="0" collapsed="false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customFormat="false" ht="15.75" hidden="false" customHeight="false" outlineLevel="0" collapsed="false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customFormat="false" ht="15.75" hidden="false" customHeight="false" outlineLevel="0" collapsed="false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customFormat="false" ht="15.75" hidden="false" customHeight="false" outlineLevel="0" collapsed="false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customFormat="false" ht="15.75" hidden="false" customHeight="false" outlineLevel="0" collapsed="false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customFormat="false" ht="15.75" hidden="false" customHeight="false" outlineLevel="0" collapsed="false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customFormat="false" ht="15.75" hidden="false" customHeight="false" outlineLevel="0" collapsed="false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customFormat="false" ht="15.75" hidden="false" customHeight="false" outlineLevel="0" collapsed="false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customFormat="false" ht="15.75" hidden="false" customHeight="false" outlineLevel="0" collapsed="false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customFormat="false" ht="15.75" hidden="false" customHeight="false" outlineLevel="0" collapsed="false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customFormat="false" ht="15.75" hidden="false" customHeight="false" outlineLevel="0" collapsed="false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customFormat="false" ht="15.75" hidden="false" customHeight="false" outlineLevel="0" collapsed="false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customFormat="false" ht="15.75" hidden="false" customHeight="false" outlineLevel="0" collapsed="false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customFormat="false" ht="15.75" hidden="false" customHeight="false" outlineLevel="0" collapsed="false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customFormat="false" ht="15.75" hidden="false" customHeight="false" outlineLevel="0" collapsed="false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customFormat="false" ht="15.75" hidden="false" customHeight="false" outlineLevel="0" collapsed="false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customFormat="false" ht="15.75" hidden="false" customHeight="false" outlineLevel="0" collapsed="false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customFormat="false" ht="15.75" hidden="false" customHeight="false" outlineLevel="0" collapsed="false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customFormat="false" ht="15.75" hidden="false" customHeight="false" outlineLevel="0" collapsed="false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customFormat="false" ht="15.75" hidden="false" customHeight="false" outlineLevel="0" collapsed="false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customFormat="false" ht="15.75" hidden="false" customHeight="false" outlineLevel="0" collapsed="false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customFormat="false" ht="15.75" hidden="false" customHeight="false" outlineLevel="0" collapsed="false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customFormat="false" ht="15.75" hidden="false" customHeight="false" outlineLevel="0" collapsed="false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customFormat="false" ht="15.75" hidden="false" customHeight="false" outlineLevel="0" collapsed="false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customFormat="false" ht="15.75" hidden="false" customHeight="false" outlineLevel="0" collapsed="false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customFormat="false" ht="15.75" hidden="false" customHeight="false" outlineLevel="0" collapsed="false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customFormat="false" ht="15.75" hidden="false" customHeight="false" outlineLevel="0" collapsed="false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customFormat="false" ht="15.75" hidden="false" customHeight="false" outlineLevel="0" collapsed="false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customFormat="false" ht="15.75" hidden="false" customHeight="false" outlineLevel="0" collapsed="false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customFormat="false" ht="15.75" hidden="false" customHeight="false" outlineLevel="0" collapsed="false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customFormat="false" ht="15.75" hidden="false" customHeight="false" outlineLevel="0" collapsed="false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customFormat="false" ht="15.75" hidden="false" customHeight="false" outlineLevel="0" collapsed="false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customFormat="false" ht="15.75" hidden="false" customHeight="false" outlineLevel="0" collapsed="false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customFormat="false" ht="15.75" hidden="false" customHeight="false" outlineLevel="0" collapsed="false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customFormat="false" ht="15.75" hidden="false" customHeight="false" outlineLevel="0" collapsed="false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customFormat="false" ht="15.75" hidden="false" customHeight="false" outlineLevel="0" collapsed="false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customFormat="false" ht="15.75" hidden="false" customHeight="false" outlineLevel="0" collapsed="false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customFormat="false" ht="15.75" hidden="false" customHeight="false" outlineLevel="0" collapsed="false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customFormat="false" ht="15.75" hidden="false" customHeight="false" outlineLevel="0" collapsed="false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customFormat="false" ht="15.75" hidden="false" customHeight="false" outlineLevel="0" collapsed="false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customFormat="false" ht="15.75" hidden="false" customHeight="false" outlineLevel="0" collapsed="false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customFormat="false" ht="15.75" hidden="false" customHeight="false" outlineLevel="0" collapsed="false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customFormat="false" ht="15.75" hidden="false" customHeight="false" outlineLevel="0" collapsed="false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customFormat="false" ht="15.75" hidden="false" customHeight="false" outlineLevel="0" collapsed="false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customFormat="false" ht="15.75" hidden="false" customHeight="false" outlineLevel="0" collapsed="false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customFormat="false" ht="15.75" hidden="false" customHeight="false" outlineLevel="0" collapsed="false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customFormat="false" ht="15.75" hidden="false" customHeight="false" outlineLevel="0" collapsed="false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customFormat="false" ht="15.75" hidden="false" customHeight="false" outlineLevel="0" collapsed="false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customFormat="false" ht="15.75" hidden="false" customHeight="false" outlineLevel="0" collapsed="false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customFormat="false" ht="15.75" hidden="false" customHeight="false" outlineLevel="0" collapsed="false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customFormat="false" ht="15.75" hidden="false" customHeight="false" outlineLevel="0" collapsed="false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customFormat="false" ht="15.75" hidden="false" customHeight="false" outlineLevel="0" collapsed="false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customFormat="false" ht="15.75" hidden="false" customHeight="false" outlineLevel="0" collapsed="false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customFormat="false" ht="15.75" hidden="false" customHeight="false" outlineLevel="0" collapsed="false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customFormat="false" ht="15.75" hidden="false" customHeight="false" outlineLevel="0" collapsed="false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customFormat="false" ht="15.75" hidden="false" customHeight="false" outlineLevel="0" collapsed="false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customFormat="false" ht="15.75" hidden="false" customHeight="false" outlineLevel="0" collapsed="false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customFormat="false" ht="15.75" hidden="false" customHeight="false" outlineLevel="0" collapsed="false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customFormat="false" ht="15.75" hidden="false" customHeight="false" outlineLevel="0" collapsed="false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customFormat="false" ht="15.75" hidden="false" customHeight="false" outlineLevel="0" collapsed="false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customFormat="false" ht="15.75" hidden="false" customHeight="false" outlineLevel="0" collapsed="false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customFormat="false" ht="15.75" hidden="false" customHeight="false" outlineLevel="0" collapsed="false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customFormat="false" ht="15.75" hidden="false" customHeight="false" outlineLevel="0" collapsed="false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customFormat="false" ht="15.75" hidden="false" customHeight="false" outlineLevel="0" collapsed="false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customFormat="false" ht="15.75" hidden="false" customHeight="false" outlineLevel="0" collapsed="false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customFormat="false" ht="15.75" hidden="false" customHeight="false" outlineLevel="0" collapsed="false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customFormat="false" ht="15.75" hidden="false" customHeight="false" outlineLevel="0" collapsed="false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customFormat="false" ht="15.75" hidden="false" customHeight="false" outlineLevel="0" collapsed="false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customFormat="false" ht="15.75" hidden="false" customHeight="false" outlineLevel="0" collapsed="false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customFormat="false" ht="15.75" hidden="false" customHeight="false" outlineLevel="0" collapsed="false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customFormat="false" ht="15.75" hidden="false" customHeight="false" outlineLevel="0" collapsed="false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customFormat="false" ht="15.75" hidden="false" customHeight="false" outlineLevel="0" collapsed="false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customFormat="false" ht="15.75" hidden="false" customHeight="false" outlineLevel="0" collapsed="false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customFormat="false" ht="15.75" hidden="false" customHeight="false" outlineLevel="0" collapsed="false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customFormat="false" ht="15.75" hidden="false" customHeight="false" outlineLevel="0" collapsed="false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customFormat="false" ht="15.75" hidden="false" customHeight="false" outlineLevel="0" collapsed="false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customFormat="false" ht="15.75" hidden="false" customHeight="false" outlineLevel="0" collapsed="false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customFormat="false" ht="15.75" hidden="false" customHeight="false" outlineLevel="0" collapsed="false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customFormat="false" ht="15.75" hidden="false" customHeight="false" outlineLevel="0" collapsed="false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customFormat="false" ht="15.75" hidden="false" customHeight="false" outlineLevel="0" collapsed="false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customFormat="false" ht="15.75" hidden="false" customHeight="false" outlineLevel="0" collapsed="false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customFormat="false" ht="15.75" hidden="false" customHeight="false" outlineLevel="0" collapsed="false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customFormat="false" ht="15.75" hidden="false" customHeight="false" outlineLevel="0" collapsed="false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customFormat="false" ht="15.75" hidden="false" customHeight="false" outlineLevel="0" collapsed="false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customFormat="false" ht="15.75" hidden="false" customHeight="false" outlineLevel="0" collapsed="false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customFormat="false" ht="15.75" hidden="false" customHeight="false" outlineLevel="0" collapsed="false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customFormat="false" ht="15.75" hidden="false" customHeight="false" outlineLevel="0" collapsed="false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customFormat="false" ht="15.75" hidden="false" customHeight="false" outlineLevel="0" collapsed="false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customFormat="false" ht="15.75" hidden="false" customHeight="false" outlineLevel="0" collapsed="false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customFormat="false" ht="15.75" hidden="false" customHeight="false" outlineLevel="0" collapsed="false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customFormat="false" ht="15.75" hidden="false" customHeight="false" outlineLevel="0" collapsed="false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customFormat="false" ht="15.75" hidden="false" customHeight="false" outlineLevel="0" collapsed="false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customFormat="false" ht="15.75" hidden="false" customHeight="false" outlineLevel="0" collapsed="false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customFormat="false" ht="15.75" hidden="false" customHeight="false" outlineLevel="0" collapsed="false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customFormat="false" ht="15.75" hidden="false" customHeight="false" outlineLevel="0" collapsed="false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customFormat="false" ht="15.75" hidden="false" customHeight="false" outlineLevel="0" collapsed="false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customFormat="false" ht="15.75" hidden="false" customHeight="false" outlineLevel="0" collapsed="false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customFormat="false" ht="15.75" hidden="false" customHeight="false" outlineLevel="0" collapsed="false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customFormat="false" ht="15.75" hidden="false" customHeight="false" outlineLevel="0" collapsed="false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customFormat="false" ht="15.75" hidden="false" customHeight="false" outlineLevel="0" collapsed="false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customFormat="false" ht="15.75" hidden="false" customHeight="false" outlineLevel="0" collapsed="false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customFormat="false" ht="15.75" hidden="false" customHeight="false" outlineLevel="0" collapsed="false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customFormat="false" ht="15.75" hidden="false" customHeight="false" outlineLevel="0" collapsed="false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customFormat="false" ht="15.75" hidden="false" customHeight="false" outlineLevel="0" collapsed="false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customFormat="false" ht="15.75" hidden="false" customHeight="false" outlineLevel="0" collapsed="false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customFormat="false" ht="15.75" hidden="false" customHeight="false" outlineLevel="0" collapsed="false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customFormat="false" ht="15.75" hidden="false" customHeight="false" outlineLevel="0" collapsed="false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customFormat="false" ht="15.75" hidden="false" customHeight="false" outlineLevel="0" collapsed="false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customFormat="false" ht="15.75" hidden="false" customHeight="false" outlineLevel="0" collapsed="false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customFormat="false" ht="15.75" hidden="false" customHeight="false" outlineLevel="0" collapsed="false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customFormat="false" ht="15.75" hidden="false" customHeight="false" outlineLevel="0" collapsed="false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customFormat="false" ht="15.75" hidden="false" customHeight="false" outlineLevel="0" collapsed="false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customFormat="false" ht="15.75" hidden="false" customHeight="false" outlineLevel="0" collapsed="false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customFormat="false" ht="15.75" hidden="false" customHeight="false" outlineLevel="0" collapsed="false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customFormat="false" ht="15.75" hidden="false" customHeight="false" outlineLevel="0" collapsed="false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customFormat="false" ht="15.75" hidden="false" customHeight="false" outlineLevel="0" collapsed="false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customFormat="false" ht="15.75" hidden="false" customHeight="false" outlineLevel="0" collapsed="false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customFormat="false" ht="15.75" hidden="false" customHeight="false" outlineLevel="0" collapsed="false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customFormat="false" ht="15.75" hidden="false" customHeight="false" outlineLevel="0" collapsed="false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customFormat="false" ht="15.75" hidden="false" customHeight="false" outlineLevel="0" collapsed="false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customFormat="false" ht="15.75" hidden="false" customHeight="false" outlineLevel="0" collapsed="false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customFormat="false" ht="15.75" hidden="false" customHeight="false" outlineLevel="0" collapsed="false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customFormat="false" ht="15.75" hidden="false" customHeight="false" outlineLevel="0" collapsed="false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customFormat="false" ht="15.75" hidden="false" customHeight="false" outlineLevel="0" collapsed="false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customFormat="false" ht="15.75" hidden="false" customHeight="false" outlineLevel="0" collapsed="false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customFormat="false" ht="15.75" hidden="false" customHeight="false" outlineLevel="0" collapsed="false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customFormat="false" ht="15.75" hidden="false" customHeight="false" outlineLevel="0" collapsed="false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customFormat="false" ht="15.75" hidden="false" customHeight="false" outlineLevel="0" collapsed="false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customFormat="false" ht="15.75" hidden="false" customHeight="false" outlineLevel="0" collapsed="false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customFormat="false" ht="15.75" hidden="false" customHeight="false" outlineLevel="0" collapsed="false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customFormat="false" ht="15.75" hidden="false" customHeight="false" outlineLevel="0" collapsed="false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customFormat="false" ht="15.75" hidden="false" customHeight="false" outlineLevel="0" collapsed="false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customFormat="false" ht="15.75" hidden="false" customHeight="false" outlineLevel="0" collapsed="false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customFormat="false" ht="15.75" hidden="false" customHeight="false" outlineLevel="0" collapsed="false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customFormat="false" ht="15.75" hidden="false" customHeight="false" outlineLevel="0" collapsed="false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customFormat="false" ht="15.75" hidden="false" customHeight="false" outlineLevel="0" collapsed="false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customFormat="false" ht="15.75" hidden="false" customHeight="false" outlineLevel="0" collapsed="false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customFormat="false" ht="15.75" hidden="false" customHeight="false" outlineLevel="0" collapsed="false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customFormat="false" ht="15.75" hidden="false" customHeight="false" outlineLevel="0" collapsed="false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customFormat="false" ht="15.75" hidden="false" customHeight="false" outlineLevel="0" collapsed="false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customFormat="false" ht="15.75" hidden="false" customHeight="false" outlineLevel="0" collapsed="false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customFormat="false" ht="15.75" hidden="false" customHeight="false" outlineLevel="0" collapsed="false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customFormat="false" ht="15.75" hidden="false" customHeight="false" outlineLevel="0" collapsed="false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customFormat="false" ht="15.75" hidden="false" customHeight="false" outlineLevel="0" collapsed="false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customFormat="false" ht="15.75" hidden="false" customHeight="false" outlineLevel="0" collapsed="false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customFormat="false" ht="15.75" hidden="false" customHeight="false" outlineLevel="0" collapsed="false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customFormat="false" ht="15.75" hidden="false" customHeight="false" outlineLevel="0" collapsed="false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customFormat="false" ht="15.75" hidden="false" customHeight="false" outlineLevel="0" collapsed="false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customFormat="false" ht="15.75" hidden="false" customHeight="false" outlineLevel="0" collapsed="false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customFormat="false" ht="15.75" hidden="false" customHeight="false" outlineLevel="0" collapsed="false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customFormat="false" ht="15.75" hidden="false" customHeight="false" outlineLevel="0" collapsed="false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customFormat="false" ht="15.75" hidden="false" customHeight="false" outlineLevel="0" collapsed="false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customFormat="false" ht="15.75" hidden="false" customHeight="false" outlineLevel="0" collapsed="false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customFormat="false" ht="15.75" hidden="false" customHeight="false" outlineLevel="0" collapsed="false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customFormat="false" ht="15.75" hidden="false" customHeight="false" outlineLevel="0" collapsed="false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customFormat="false" ht="15.75" hidden="false" customHeight="false" outlineLevel="0" collapsed="false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customFormat="false" ht="15.75" hidden="false" customHeight="false" outlineLevel="0" collapsed="false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customFormat="false" ht="15.75" hidden="false" customHeight="false" outlineLevel="0" collapsed="false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customFormat="false" ht="15.75" hidden="false" customHeight="false" outlineLevel="0" collapsed="false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customFormat="false" ht="15.75" hidden="false" customHeight="false" outlineLevel="0" collapsed="false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customFormat="false" ht="15.75" hidden="false" customHeight="false" outlineLevel="0" collapsed="false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customFormat="false" ht="15.75" hidden="false" customHeight="false" outlineLevel="0" collapsed="false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customFormat="false" ht="15.75" hidden="false" customHeight="false" outlineLevel="0" collapsed="false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customFormat="false" ht="15.75" hidden="false" customHeight="false" outlineLevel="0" collapsed="false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customFormat="false" ht="15.75" hidden="false" customHeight="false" outlineLevel="0" collapsed="false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customFormat="false" ht="15.75" hidden="false" customHeight="false" outlineLevel="0" collapsed="false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customFormat="false" ht="15.75" hidden="false" customHeight="false" outlineLevel="0" collapsed="false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customFormat="false" ht="15.75" hidden="false" customHeight="false" outlineLevel="0" collapsed="false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customFormat="false" ht="15.75" hidden="false" customHeight="false" outlineLevel="0" collapsed="false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customFormat="false" ht="15.75" hidden="false" customHeight="false" outlineLevel="0" collapsed="false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customFormat="false" ht="15.75" hidden="false" customHeight="false" outlineLevel="0" collapsed="false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customFormat="false" ht="15.75" hidden="false" customHeight="false" outlineLevel="0" collapsed="false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customFormat="false" ht="15.75" hidden="false" customHeight="false" outlineLevel="0" collapsed="false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customFormat="false" ht="15.75" hidden="false" customHeight="false" outlineLevel="0" collapsed="false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customFormat="false" ht="15.75" hidden="false" customHeight="false" outlineLevel="0" collapsed="false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customFormat="false" ht="15.75" hidden="false" customHeight="false" outlineLevel="0" collapsed="false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customFormat="false" ht="15.75" hidden="false" customHeight="false" outlineLevel="0" collapsed="false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customFormat="false" ht="15.75" hidden="false" customHeight="false" outlineLevel="0" collapsed="false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customFormat="false" ht="15.75" hidden="false" customHeight="false" outlineLevel="0" collapsed="false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customFormat="false" ht="15.75" hidden="false" customHeight="false" outlineLevel="0" collapsed="false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customFormat="false" ht="15.75" hidden="false" customHeight="false" outlineLevel="0" collapsed="false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customFormat="false" ht="15.75" hidden="false" customHeight="false" outlineLevel="0" collapsed="false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customFormat="false" ht="15.75" hidden="false" customHeight="false" outlineLevel="0" collapsed="false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customFormat="false" ht="15.75" hidden="false" customHeight="false" outlineLevel="0" collapsed="false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customFormat="false" ht="15.75" hidden="false" customHeight="false" outlineLevel="0" collapsed="false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customFormat="false" ht="15.75" hidden="false" customHeight="false" outlineLevel="0" collapsed="false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customFormat="false" ht="15.75" hidden="false" customHeight="false" outlineLevel="0" collapsed="false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customFormat="false" ht="15.75" hidden="false" customHeight="false" outlineLevel="0" collapsed="false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customFormat="false" ht="15.75" hidden="false" customHeight="false" outlineLevel="0" collapsed="false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customFormat="false" ht="15.75" hidden="false" customHeight="false" outlineLevel="0" collapsed="false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customFormat="false" ht="15.75" hidden="false" customHeight="false" outlineLevel="0" collapsed="false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customFormat="false" ht="15.75" hidden="false" customHeight="false" outlineLevel="0" collapsed="false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customFormat="false" ht="15.75" hidden="false" customHeight="false" outlineLevel="0" collapsed="false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customFormat="false" ht="15.75" hidden="false" customHeight="false" outlineLevel="0" collapsed="false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customFormat="false" ht="15.75" hidden="false" customHeight="false" outlineLevel="0" collapsed="false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customFormat="false" ht="15.75" hidden="false" customHeight="false" outlineLevel="0" collapsed="false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customFormat="false" ht="15.75" hidden="false" customHeight="false" outlineLevel="0" collapsed="false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customFormat="false" ht="15.75" hidden="false" customHeight="false" outlineLevel="0" collapsed="false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customFormat="false" ht="15.75" hidden="false" customHeight="false" outlineLevel="0" collapsed="false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customFormat="false" ht="15.75" hidden="false" customHeight="false" outlineLevel="0" collapsed="false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customFormat="false" ht="15.75" hidden="false" customHeight="false" outlineLevel="0" collapsed="false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customFormat="false" ht="15.75" hidden="false" customHeight="false" outlineLevel="0" collapsed="false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customFormat="false" ht="15.75" hidden="false" customHeight="false" outlineLevel="0" collapsed="false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customFormat="false" ht="15.75" hidden="false" customHeight="false" outlineLevel="0" collapsed="false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customFormat="false" ht="15.75" hidden="false" customHeight="false" outlineLevel="0" collapsed="false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customFormat="false" ht="15.75" hidden="false" customHeight="false" outlineLevel="0" collapsed="false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customFormat="false" ht="15.75" hidden="false" customHeight="false" outlineLevel="0" collapsed="false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customFormat="false" ht="15.75" hidden="false" customHeight="false" outlineLevel="0" collapsed="false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customFormat="false" ht="15.75" hidden="false" customHeight="false" outlineLevel="0" collapsed="false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customFormat="false" ht="15.75" hidden="false" customHeight="false" outlineLevel="0" collapsed="false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customFormat="false" ht="15.75" hidden="false" customHeight="false" outlineLevel="0" collapsed="false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customFormat="false" ht="15.75" hidden="false" customHeight="false" outlineLevel="0" collapsed="false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customFormat="false" ht="15.75" hidden="false" customHeight="false" outlineLevel="0" collapsed="false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customFormat="false" ht="15.75" hidden="false" customHeight="false" outlineLevel="0" collapsed="false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customFormat="false" ht="15.75" hidden="false" customHeight="false" outlineLevel="0" collapsed="false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customFormat="false" ht="15.75" hidden="false" customHeight="false" outlineLevel="0" collapsed="false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customFormat="false" ht="15.75" hidden="false" customHeight="false" outlineLevel="0" collapsed="false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customFormat="false" ht="15.75" hidden="false" customHeight="false" outlineLevel="0" collapsed="false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customFormat="false" ht="15.75" hidden="false" customHeight="false" outlineLevel="0" collapsed="false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customFormat="false" ht="15.75" hidden="false" customHeight="false" outlineLevel="0" collapsed="false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customFormat="false" ht="15.75" hidden="false" customHeight="false" outlineLevel="0" collapsed="false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customFormat="false" ht="15.75" hidden="false" customHeight="false" outlineLevel="0" collapsed="false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customFormat="false" ht="15.75" hidden="false" customHeight="false" outlineLevel="0" collapsed="false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customFormat="false" ht="15.75" hidden="false" customHeight="false" outlineLevel="0" collapsed="false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customFormat="false" ht="15.75" hidden="false" customHeight="false" outlineLevel="0" collapsed="false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customFormat="false" ht="15.75" hidden="false" customHeight="false" outlineLevel="0" collapsed="false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customFormat="false" ht="15.75" hidden="false" customHeight="false" outlineLevel="0" collapsed="false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customFormat="false" ht="15.75" hidden="false" customHeight="false" outlineLevel="0" collapsed="false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customFormat="false" ht="15.75" hidden="false" customHeight="false" outlineLevel="0" collapsed="false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customFormat="false" ht="15.75" hidden="false" customHeight="false" outlineLevel="0" collapsed="false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customFormat="false" ht="15.75" hidden="false" customHeight="false" outlineLevel="0" collapsed="false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customFormat="false" ht="15.75" hidden="false" customHeight="false" outlineLevel="0" collapsed="false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customFormat="false" ht="15.75" hidden="false" customHeight="false" outlineLevel="0" collapsed="false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customFormat="false" ht="15.75" hidden="false" customHeight="false" outlineLevel="0" collapsed="false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customFormat="false" ht="15.75" hidden="false" customHeight="false" outlineLevel="0" collapsed="false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customFormat="false" ht="15.75" hidden="false" customHeight="false" outlineLevel="0" collapsed="false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customFormat="false" ht="15.75" hidden="false" customHeight="false" outlineLevel="0" collapsed="false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customFormat="false" ht="15.75" hidden="false" customHeight="false" outlineLevel="0" collapsed="false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customFormat="false" ht="15.75" hidden="false" customHeight="false" outlineLevel="0" collapsed="false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customFormat="false" ht="15.75" hidden="false" customHeight="false" outlineLevel="0" collapsed="false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customFormat="false" ht="15.75" hidden="false" customHeight="false" outlineLevel="0" collapsed="false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customFormat="false" ht="15.75" hidden="false" customHeight="false" outlineLevel="0" collapsed="false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customFormat="false" ht="15.75" hidden="false" customHeight="false" outlineLevel="0" collapsed="false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customFormat="false" ht="15.75" hidden="false" customHeight="false" outlineLevel="0" collapsed="false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customFormat="false" ht="15.75" hidden="false" customHeight="false" outlineLevel="0" collapsed="false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customFormat="false" ht="15.75" hidden="false" customHeight="false" outlineLevel="0" collapsed="false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customFormat="false" ht="15.75" hidden="false" customHeight="false" outlineLevel="0" collapsed="false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customFormat="false" ht="15.75" hidden="false" customHeight="false" outlineLevel="0" collapsed="false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customFormat="false" ht="15.75" hidden="false" customHeight="false" outlineLevel="0" collapsed="false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customFormat="false" ht="15.75" hidden="false" customHeight="false" outlineLevel="0" collapsed="false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customFormat="false" ht="15.75" hidden="false" customHeight="false" outlineLevel="0" collapsed="false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customFormat="false" ht="15.75" hidden="false" customHeight="false" outlineLevel="0" collapsed="false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customFormat="false" ht="15.75" hidden="false" customHeight="false" outlineLevel="0" collapsed="false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customFormat="false" ht="15.75" hidden="false" customHeight="false" outlineLevel="0" collapsed="false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customFormat="false" ht="15.75" hidden="false" customHeight="false" outlineLevel="0" collapsed="false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customFormat="false" ht="15.75" hidden="false" customHeight="false" outlineLevel="0" collapsed="false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customFormat="false" ht="15.75" hidden="false" customHeight="false" outlineLevel="0" collapsed="false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customFormat="false" ht="15.75" hidden="false" customHeight="false" outlineLevel="0" collapsed="false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customFormat="false" ht="15.75" hidden="false" customHeight="false" outlineLevel="0" collapsed="false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customFormat="false" ht="15.75" hidden="false" customHeight="false" outlineLevel="0" collapsed="false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customFormat="false" ht="15.75" hidden="false" customHeight="false" outlineLevel="0" collapsed="false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customFormat="false" ht="15.75" hidden="false" customHeight="false" outlineLevel="0" collapsed="false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customFormat="false" ht="15.75" hidden="false" customHeight="false" outlineLevel="0" collapsed="false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customFormat="false" ht="15.75" hidden="false" customHeight="false" outlineLevel="0" collapsed="false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customFormat="false" ht="15.75" hidden="false" customHeight="false" outlineLevel="0" collapsed="false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customFormat="false" ht="15.75" hidden="false" customHeight="false" outlineLevel="0" collapsed="false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customFormat="false" ht="15.75" hidden="false" customHeight="false" outlineLevel="0" collapsed="false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customFormat="false" ht="15.75" hidden="false" customHeight="false" outlineLevel="0" collapsed="false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customFormat="false" ht="15.75" hidden="false" customHeight="false" outlineLevel="0" collapsed="false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customFormat="false" ht="15.75" hidden="false" customHeight="false" outlineLevel="0" collapsed="false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customFormat="false" ht="15.75" hidden="false" customHeight="false" outlineLevel="0" collapsed="false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customFormat="false" ht="15.75" hidden="false" customHeight="false" outlineLevel="0" collapsed="false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customFormat="false" ht="15.75" hidden="false" customHeight="false" outlineLevel="0" collapsed="false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customFormat="false" ht="15.75" hidden="false" customHeight="false" outlineLevel="0" collapsed="false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customFormat="false" ht="15.75" hidden="false" customHeight="false" outlineLevel="0" collapsed="false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customFormat="false" ht="15.75" hidden="false" customHeight="false" outlineLevel="0" collapsed="false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customFormat="false" ht="15.75" hidden="false" customHeight="false" outlineLevel="0" collapsed="false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customFormat="false" ht="15.75" hidden="false" customHeight="false" outlineLevel="0" collapsed="false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customFormat="false" ht="15.75" hidden="false" customHeight="false" outlineLevel="0" collapsed="false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customFormat="false" ht="15.75" hidden="false" customHeight="false" outlineLevel="0" collapsed="false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customFormat="false" ht="15.75" hidden="false" customHeight="false" outlineLevel="0" collapsed="false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customFormat="false" ht="15.75" hidden="false" customHeight="false" outlineLevel="0" collapsed="false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customFormat="false" ht="15.75" hidden="false" customHeight="false" outlineLevel="0" collapsed="false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customFormat="false" ht="15.75" hidden="false" customHeight="false" outlineLevel="0" collapsed="false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customFormat="false" ht="15.75" hidden="false" customHeight="false" outlineLevel="0" collapsed="false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customFormat="false" ht="15.75" hidden="false" customHeight="false" outlineLevel="0" collapsed="false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customFormat="false" ht="15.75" hidden="false" customHeight="false" outlineLevel="0" collapsed="false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customFormat="false" ht="15.75" hidden="false" customHeight="false" outlineLevel="0" collapsed="false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customFormat="false" ht="15.75" hidden="false" customHeight="false" outlineLevel="0" collapsed="false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customFormat="false" ht="15.75" hidden="false" customHeight="false" outlineLevel="0" collapsed="false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customFormat="false" ht="15.75" hidden="false" customHeight="false" outlineLevel="0" collapsed="false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customFormat="false" ht="15.75" hidden="false" customHeight="false" outlineLevel="0" collapsed="false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customFormat="false" ht="15.75" hidden="false" customHeight="false" outlineLevel="0" collapsed="false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customFormat="false" ht="15.75" hidden="false" customHeight="false" outlineLevel="0" collapsed="false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customFormat="false" ht="15.75" hidden="false" customHeight="false" outlineLevel="0" collapsed="false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customFormat="false" ht="15.75" hidden="false" customHeight="false" outlineLevel="0" collapsed="false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customFormat="false" ht="15.75" hidden="false" customHeight="false" outlineLevel="0" collapsed="false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customFormat="false" ht="15.75" hidden="false" customHeight="false" outlineLevel="0" collapsed="false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customFormat="false" ht="15.75" hidden="false" customHeight="false" outlineLevel="0" collapsed="false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customFormat="false" ht="15.75" hidden="false" customHeight="false" outlineLevel="0" collapsed="false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customFormat="false" ht="15.75" hidden="false" customHeight="false" outlineLevel="0" collapsed="false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customFormat="false" ht="15.75" hidden="false" customHeight="false" outlineLevel="0" collapsed="false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customFormat="false" ht="15.75" hidden="false" customHeight="false" outlineLevel="0" collapsed="false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customFormat="false" ht="15.75" hidden="false" customHeight="false" outlineLevel="0" collapsed="false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customFormat="false" ht="15.75" hidden="false" customHeight="false" outlineLevel="0" collapsed="false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customFormat="false" ht="15.75" hidden="false" customHeight="false" outlineLevel="0" collapsed="false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customFormat="false" ht="15.75" hidden="false" customHeight="false" outlineLevel="0" collapsed="false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customFormat="false" ht="15.75" hidden="false" customHeight="false" outlineLevel="0" collapsed="false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customFormat="false" ht="15.75" hidden="false" customHeight="false" outlineLevel="0" collapsed="false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customFormat="false" ht="15.75" hidden="false" customHeight="false" outlineLevel="0" collapsed="false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customFormat="false" ht="15.75" hidden="false" customHeight="false" outlineLevel="0" collapsed="false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customFormat="false" ht="15.75" hidden="false" customHeight="false" outlineLevel="0" collapsed="false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customFormat="false" ht="15.75" hidden="false" customHeight="false" outlineLevel="0" collapsed="false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customFormat="false" ht="15.75" hidden="false" customHeight="false" outlineLevel="0" collapsed="false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customFormat="false" ht="15.75" hidden="false" customHeight="false" outlineLevel="0" collapsed="false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customFormat="false" ht="15.75" hidden="false" customHeight="false" outlineLevel="0" collapsed="false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customFormat="false" ht="15.75" hidden="false" customHeight="false" outlineLevel="0" collapsed="false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customFormat="false" ht="15.75" hidden="false" customHeight="false" outlineLevel="0" collapsed="false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customFormat="false" ht="15.75" hidden="false" customHeight="false" outlineLevel="0" collapsed="false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customFormat="false" ht="15.75" hidden="false" customHeight="false" outlineLevel="0" collapsed="false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customFormat="false" ht="15.75" hidden="false" customHeight="false" outlineLevel="0" collapsed="false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customFormat="false" ht="15.75" hidden="false" customHeight="false" outlineLevel="0" collapsed="false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customFormat="false" ht="15.75" hidden="false" customHeight="false" outlineLevel="0" collapsed="false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customFormat="false" ht="15.75" hidden="false" customHeight="false" outlineLevel="0" collapsed="false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customFormat="false" ht="15.75" hidden="false" customHeight="false" outlineLevel="0" collapsed="false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customFormat="false" ht="15.75" hidden="false" customHeight="false" outlineLevel="0" collapsed="false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customFormat="false" ht="15.75" hidden="false" customHeight="false" outlineLevel="0" collapsed="false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customFormat="false" ht="15.75" hidden="false" customHeight="false" outlineLevel="0" collapsed="false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customFormat="false" ht="15.75" hidden="false" customHeight="false" outlineLevel="0" collapsed="false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customFormat="false" ht="15.75" hidden="false" customHeight="false" outlineLevel="0" collapsed="false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customFormat="false" ht="15.75" hidden="false" customHeight="false" outlineLevel="0" collapsed="false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customFormat="false" ht="15.75" hidden="false" customHeight="false" outlineLevel="0" collapsed="false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customFormat="false" ht="15.75" hidden="false" customHeight="false" outlineLevel="0" collapsed="false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customFormat="false" ht="15.75" hidden="false" customHeight="false" outlineLevel="0" collapsed="false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customFormat="false" ht="15.75" hidden="false" customHeight="false" outlineLevel="0" collapsed="false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customFormat="false" ht="15.75" hidden="false" customHeight="false" outlineLevel="0" collapsed="false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customFormat="false" ht="15.75" hidden="false" customHeight="false" outlineLevel="0" collapsed="false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customFormat="false" ht="15.75" hidden="false" customHeight="false" outlineLevel="0" collapsed="false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customFormat="false" ht="15.75" hidden="false" customHeight="false" outlineLevel="0" collapsed="false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customFormat="false" ht="15.75" hidden="false" customHeight="false" outlineLevel="0" collapsed="false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customFormat="false" ht="15.75" hidden="false" customHeight="false" outlineLevel="0" collapsed="false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customFormat="false" ht="15.75" hidden="false" customHeight="false" outlineLevel="0" collapsed="false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customFormat="false" ht="15.75" hidden="false" customHeight="false" outlineLevel="0" collapsed="false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customFormat="false" ht="15.75" hidden="false" customHeight="false" outlineLevel="0" collapsed="false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customFormat="false" ht="15.75" hidden="false" customHeight="false" outlineLevel="0" collapsed="false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customFormat="false" ht="15.75" hidden="false" customHeight="false" outlineLevel="0" collapsed="false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customFormat="false" ht="15.75" hidden="false" customHeight="false" outlineLevel="0" collapsed="false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customFormat="false" ht="15.75" hidden="false" customHeight="false" outlineLevel="0" collapsed="false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customFormat="false" ht="15.75" hidden="false" customHeight="false" outlineLevel="0" collapsed="false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customFormat="false" ht="15.75" hidden="false" customHeight="false" outlineLevel="0" collapsed="false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customFormat="false" ht="15.75" hidden="false" customHeight="false" outlineLevel="0" collapsed="false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customFormat="false" ht="15.75" hidden="false" customHeight="false" outlineLevel="0" collapsed="false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customFormat="false" ht="15.75" hidden="false" customHeight="false" outlineLevel="0" collapsed="false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customFormat="false" ht="15.75" hidden="false" customHeight="false" outlineLevel="0" collapsed="false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customFormat="false" ht="15.75" hidden="false" customHeight="false" outlineLevel="0" collapsed="false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customFormat="false" ht="15.75" hidden="false" customHeight="false" outlineLevel="0" collapsed="false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customFormat="false" ht="15.75" hidden="false" customHeight="false" outlineLevel="0" collapsed="false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customFormat="false" ht="15.75" hidden="false" customHeight="false" outlineLevel="0" collapsed="false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customFormat="false" ht="15.75" hidden="false" customHeight="false" outlineLevel="0" collapsed="false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customFormat="false" ht="15.75" hidden="false" customHeight="false" outlineLevel="0" collapsed="false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customFormat="false" ht="15.75" hidden="false" customHeight="false" outlineLevel="0" collapsed="false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customFormat="false" ht="15.75" hidden="false" customHeight="false" outlineLevel="0" collapsed="false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customFormat="false" ht="15.75" hidden="false" customHeight="false" outlineLevel="0" collapsed="false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customFormat="false" ht="15.75" hidden="false" customHeight="false" outlineLevel="0" collapsed="false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customFormat="false" ht="15.75" hidden="false" customHeight="false" outlineLevel="0" collapsed="false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customFormat="false" ht="15.75" hidden="false" customHeight="false" outlineLevel="0" collapsed="false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customFormat="false" ht="15.75" hidden="false" customHeight="false" outlineLevel="0" collapsed="false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customFormat="false" ht="15.75" hidden="false" customHeight="false" outlineLevel="0" collapsed="false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customFormat="false" ht="15.75" hidden="false" customHeight="false" outlineLevel="0" collapsed="false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customFormat="false" ht="15.75" hidden="false" customHeight="false" outlineLevel="0" collapsed="false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customFormat="false" ht="15.75" hidden="false" customHeight="false" outlineLevel="0" collapsed="false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customFormat="false" ht="15.75" hidden="false" customHeight="false" outlineLevel="0" collapsed="false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customFormat="false" ht="15.75" hidden="false" customHeight="false" outlineLevel="0" collapsed="false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customFormat="false" ht="15.75" hidden="false" customHeight="false" outlineLevel="0" collapsed="false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customFormat="false" ht="15.75" hidden="false" customHeight="false" outlineLevel="0" collapsed="false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customFormat="false" ht="15.75" hidden="false" customHeight="false" outlineLevel="0" collapsed="false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customFormat="false" ht="15.75" hidden="false" customHeight="false" outlineLevel="0" collapsed="false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customFormat="false" ht="15.75" hidden="false" customHeight="false" outlineLevel="0" collapsed="false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customFormat="false" ht="15.75" hidden="false" customHeight="false" outlineLevel="0" collapsed="false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customFormat="false" ht="15.75" hidden="false" customHeight="false" outlineLevel="0" collapsed="false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customFormat="false" ht="15.75" hidden="false" customHeight="false" outlineLevel="0" collapsed="false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33"/>
      <c r="B1" s="138"/>
      <c r="C1" s="133"/>
      <c r="D1" s="133"/>
      <c r="E1" s="139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customFormat="false" ht="15.75" hidden="false" customHeight="false" outlineLevel="0" collapsed="false">
      <c r="A2" s="133"/>
      <c r="B2" s="133"/>
      <c r="C2" s="133"/>
      <c r="D2" s="133"/>
      <c r="E2" s="139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</row>
    <row r="3" customFormat="false" ht="15.75" hidden="false" customHeight="false" outlineLevel="0" collapsed="false">
      <c r="A3" s="133"/>
      <c r="B3" s="133"/>
      <c r="C3" s="133"/>
      <c r="D3" s="133"/>
      <c r="E3" s="139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</row>
    <row r="4" customFormat="false" ht="15.75" hidden="false" customHeight="false" outlineLevel="0" collapsed="false">
      <c r="A4" s="133"/>
      <c r="B4" s="133"/>
      <c r="C4" s="133"/>
      <c r="D4" s="133"/>
      <c r="E4" s="139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</row>
    <row r="5" customFormat="false" ht="15.75" hidden="false" customHeight="false" outlineLevel="0" collapsed="false">
      <c r="A5" s="133"/>
      <c r="B5" s="133"/>
      <c r="C5" s="133"/>
      <c r="D5" s="133"/>
      <c r="E5" s="139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</row>
    <row r="6" customFormat="false" ht="15.75" hidden="false" customHeight="false" outlineLevel="0" collapsed="false">
      <c r="A6" s="133"/>
      <c r="B6" s="133"/>
      <c r="C6" s="133"/>
      <c r="D6" s="133"/>
      <c r="E6" s="139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customFormat="false" ht="15.75" hidden="false" customHeight="false" outlineLevel="0" collapsed="false">
      <c r="A7" s="133"/>
      <c r="B7" s="133"/>
      <c r="C7" s="133"/>
      <c r="D7" s="133"/>
      <c r="E7" s="139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</row>
    <row r="8" customFormat="false" ht="15.75" hidden="false" customHeight="false" outlineLevel="0" collapsed="false">
      <c r="A8" s="133"/>
      <c r="B8" s="133"/>
      <c r="C8" s="133"/>
      <c r="D8" s="133"/>
      <c r="E8" s="139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</row>
    <row r="9" customFormat="false" ht="15.75" hidden="false" customHeight="false" outlineLevel="0" collapsed="false">
      <c r="A9" s="133"/>
      <c r="B9" s="133"/>
      <c r="C9" s="133"/>
      <c r="D9" s="133"/>
      <c r="E9" s="139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</row>
    <row r="10" customFormat="false" ht="15.75" hidden="false" customHeight="false" outlineLevel="0" collapsed="false">
      <c r="A10" s="133"/>
      <c r="B10" s="133"/>
      <c r="C10" s="133"/>
      <c r="D10" s="133"/>
      <c r="E10" s="139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 customFormat="false" ht="15.75" hidden="false" customHeight="false" outlineLevel="0" collapsed="false">
      <c r="A11" s="133"/>
      <c r="B11" s="133"/>
      <c r="C11" s="133"/>
      <c r="D11" s="133"/>
      <c r="E11" s="139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</row>
    <row r="12" customFormat="false" ht="15.75" hidden="false" customHeight="false" outlineLevel="0" collapsed="false">
      <c r="A12" s="133"/>
      <c r="B12" s="133"/>
      <c r="C12" s="133"/>
      <c r="D12" s="133"/>
      <c r="E12" s="139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</row>
    <row r="13" customFormat="false" ht="15.75" hidden="false" customHeight="false" outlineLevel="0" collapsed="false">
      <c r="A13" s="133"/>
      <c r="B13" s="133"/>
      <c r="C13" s="133"/>
      <c r="D13" s="133"/>
      <c r="E13" s="139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</row>
    <row r="14" customFormat="false" ht="15.75" hidden="false" customHeight="false" outlineLevel="0" collapsed="false">
      <c r="A14" s="133"/>
      <c r="B14" s="133"/>
      <c r="C14" s="133"/>
      <c r="D14" s="133"/>
      <c r="E14" s="139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</row>
    <row r="15" customFormat="false" ht="15.75" hidden="false" customHeight="false" outlineLevel="0" collapsed="false">
      <c r="A15" s="133"/>
      <c r="B15" s="133"/>
      <c r="C15" s="133"/>
      <c r="D15" s="133"/>
      <c r="E15" s="139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</row>
    <row r="16" customFormat="false" ht="15.75" hidden="false" customHeight="false" outlineLevel="0" collapsed="false">
      <c r="A16" s="133"/>
      <c r="B16" s="133"/>
      <c r="C16" s="133"/>
      <c r="D16" s="133"/>
      <c r="E16" s="139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 customFormat="false" ht="15.75" hidden="false" customHeight="false" outlineLevel="0" collapsed="false">
      <c r="A17" s="133"/>
      <c r="B17" s="133"/>
      <c r="C17" s="133"/>
      <c r="D17" s="133"/>
      <c r="E17" s="139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</row>
    <row r="18" customFormat="false" ht="15.75" hidden="false" customHeight="false" outlineLevel="0" collapsed="false">
      <c r="A18" s="133"/>
      <c r="B18" s="133"/>
      <c r="C18" s="133"/>
      <c r="D18" s="133"/>
      <c r="E18" s="139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</row>
    <row r="19" customFormat="false" ht="15.75" hidden="false" customHeight="false" outlineLevel="0" collapsed="false">
      <c r="A19" s="133"/>
      <c r="B19" s="133"/>
      <c r="C19" s="133"/>
      <c r="D19" s="133"/>
      <c r="E19" s="139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</row>
    <row r="20" customFormat="false" ht="15.75" hidden="false" customHeight="false" outlineLevel="0" collapsed="false">
      <c r="A20" s="133"/>
      <c r="B20" s="133"/>
      <c r="C20" s="133"/>
      <c r="D20" s="133"/>
      <c r="E20" s="139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</row>
    <row r="21" customFormat="false" ht="15.75" hidden="false" customHeight="false" outlineLevel="0" collapsed="false">
      <c r="A21" s="133" t="str">
        <f aca="false">IF(ISBLANK(B21),"",B21&amp;"|"&amp;C21)</f>
        <v/>
      </c>
      <c r="B21" s="133"/>
      <c r="C21" s="133"/>
      <c r="D21" s="133"/>
      <c r="E21" s="139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customFormat="false" ht="15.75" hidden="false" customHeight="false" outlineLevel="0" collapsed="false">
      <c r="A22" s="133" t="str">
        <f aca="false">IF(ISBLANK(B22),"",B22&amp;"|"&amp;C22)</f>
        <v/>
      </c>
      <c r="B22" s="133"/>
      <c r="C22" s="133"/>
      <c r="D22" s="133"/>
      <c r="E22" s="139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</row>
    <row r="23" customFormat="false" ht="15.75" hidden="false" customHeight="false" outlineLevel="0" collapsed="false">
      <c r="A23" s="133" t="str">
        <f aca="false">IF(ISBLANK(B23),"",B23&amp;"|"&amp;C23)</f>
        <v/>
      </c>
      <c r="B23" s="133"/>
      <c r="C23" s="133"/>
      <c r="D23" s="133"/>
      <c r="E23" s="139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</row>
    <row r="24" customFormat="false" ht="15.75" hidden="false" customHeight="false" outlineLevel="0" collapsed="false">
      <c r="A24" s="133" t="str">
        <f aca="false">IF(ISBLANK(B24),"",B24&amp;"|"&amp;C24)</f>
        <v/>
      </c>
      <c r="B24" s="133"/>
      <c r="C24" s="133"/>
      <c r="D24" s="133"/>
      <c r="E24" s="139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</row>
    <row r="25" customFormat="false" ht="15.75" hidden="false" customHeight="false" outlineLevel="0" collapsed="false">
      <c r="A25" s="133" t="str">
        <f aca="false">IF(ISBLANK(B25),"",B25&amp;"|"&amp;C25)</f>
        <v/>
      </c>
      <c r="B25" s="133"/>
      <c r="C25" s="133"/>
      <c r="D25" s="133"/>
      <c r="E25" s="139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</row>
    <row r="26" customFormat="false" ht="15.75" hidden="false" customHeight="false" outlineLevel="0" collapsed="false">
      <c r="A26" s="133" t="str">
        <f aca="false">IF(ISBLANK(B26),"",B26&amp;"|"&amp;C26)</f>
        <v/>
      </c>
      <c r="B26" s="133"/>
      <c r="C26" s="133"/>
      <c r="D26" s="133"/>
      <c r="E26" s="139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</row>
    <row r="27" customFormat="false" ht="15.75" hidden="false" customHeight="false" outlineLevel="0" collapsed="false">
      <c r="A27" s="133" t="str">
        <f aca="false">IF(ISBLANK(B27),"",B27&amp;"|"&amp;C27)</f>
        <v/>
      </c>
      <c r="B27" s="133"/>
      <c r="C27" s="133"/>
      <c r="D27" s="133"/>
      <c r="E27" s="139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</row>
    <row r="28" customFormat="false" ht="15.75" hidden="false" customHeight="false" outlineLevel="0" collapsed="false">
      <c r="A28" s="133" t="str">
        <f aca="false">IF(ISBLANK(B28),"",B28&amp;"|"&amp;C28)</f>
        <v/>
      </c>
      <c r="B28" s="133"/>
      <c r="C28" s="133"/>
      <c r="D28" s="133"/>
      <c r="E28" s="139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</row>
    <row r="29" customFormat="false" ht="15.75" hidden="false" customHeight="false" outlineLevel="0" collapsed="false">
      <c r="A29" s="133" t="str">
        <f aca="false">IF(ISBLANK(B29),"",B29&amp;"|"&amp;C29)</f>
        <v/>
      </c>
      <c r="B29" s="133"/>
      <c r="C29" s="133"/>
      <c r="D29" s="133"/>
      <c r="E29" s="139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</row>
    <row r="30" customFormat="false" ht="15.75" hidden="false" customHeight="false" outlineLevel="0" collapsed="false">
      <c r="A30" s="133" t="str">
        <f aca="false">IF(ISBLANK(B30),"",B30&amp;"|"&amp;C30)</f>
        <v/>
      </c>
      <c r="B30" s="133"/>
      <c r="C30" s="133"/>
      <c r="D30" s="133"/>
      <c r="E30" s="139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 customFormat="false" ht="15.75" hidden="false" customHeight="false" outlineLevel="0" collapsed="false">
      <c r="A31" s="133" t="str">
        <f aca="false">IF(ISBLANK(B31),"",B31&amp;"|"&amp;C31)</f>
        <v/>
      </c>
      <c r="B31" s="133"/>
      <c r="C31" s="133"/>
      <c r="D31" s="133"/>
      <c r="E31" s="139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</row>
    <row r="32" customFormat="false" ht="15.75" hidden="false" customHeight="false" outlineLevel="0" collapsed="false">
      <c r="A32" s="133" t="str">
        <f aca="false">IF(ISBLANK(B32),"",B32&amp;"|"&amp;C32)</f>
        <v/>
      </c>
      <c r="B32" s="133"/>
      <c r="C32" s="133"/>
      <c r="D32" s="133"/>
      <c r="E32" s="139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</row>
    <row r="33" customFormat="false" ht="15.75" hidden="false" customHeight="false" outlineLevel="0" collapsed="false">
      <c r="A33" s="133" t="str">
        <f aca="false">IF(ISBLANK(B33),"",B33&amp;"|"&amp;C33)</f>
        <v/>
      </c>
      <c r="B33" s="133"/>
      <c r="C33" s="133"/>
      <c r="D33" s="133"/>
      <c r="E33" s="139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 customFormat="false" ht="15.75" hidden="false" customHeight="false" outlineLevel="0" collapsed="false">
      <c r="A34" s="133" t="str">
        <f aca="false">IF(ISBLANK(B34),"",B34&amp;"|"&amp;C34)</f>
        <v/>
      </c>
      <c r="B34" s="133"/>
      <c r="C34" s="133"/>
      <c r="D34" s="133"/>
      <c r="E34" s="139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</row>
    <row r="35" customFormat="false" ht="15.75" hidden="false" customHeight="false" outlineLevel="0" collapsed="false">
      <c r="A35" s="133" t="str">
        <f aca="false">IF(ISBLANK(B35),"",B35&amp;"|"&amp;C35)</f>
        <v/>
      </c>
      <c r="B35" s="133"/>
      <c r="C35" s="133"/>
      <c r="D35" s="133"/>
      <c r="E35" s="139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</row>
    <row r="36" customFormat="false" ht="15.75" hidden="false" customHeight="false" outlineLevel="0" collapsed="false">
      <c r="A36" s="133" t="str">
        <f aca="false">IF(ISBLANK(B36),"",B36&amp;"|"&amp;C36)</f>
        <v/>
      </c>
      <c r="B36" s="133"/>
      <c r="C36" s="133"/>
      <c r="D36" s="133"/>
      <c r="E36" s="139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</row>
    <row r="37" customFormat="false" ht="15.75" hidden="false" customHeight="false" outlineLevel="0" collapsed="false">
      <c r="A37" s="133" t="str">
        <f aca="false">IF(ISBLANK(B37),"",B37&amp;"|"&amp;C37)</f>
        <v/>
      </c>
      <c r="B37" s="133"/>
      <c r="C37" s="133"/>
      <c r="D37" s="133"/>
      <c r="E37" s="139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</row>
    <row r="38" customFormat="false" ht="15.75" hidden="false" customHeight="false" outlineLevel="0" collapsed="false">
      <c r="A38" s="133" t="str">
        <f aca="false">IF(ISBLANK(B38),"",B38&amp;"|"&amp;C38)</f>
        <v/>
      </c>
      <c r="B38" s="133"/>
      <c r="C38" s="133"/>
      <c r="D38" s="133"/>
      <c r="E38" s="139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</row>
    <row r="39" customFormat="false" ht="15.75" hidden="false" customHeight="false" outlineLevel="0" collapsed="false">
      <c r="A39" s="133" t="str">
        <f aca="false">IF(ISBLANK(B39),"",B39&amp;"|"&amp;C39)</f>
        <v/>
      </c>
      <c r="B39" s="133"/>
      <c r="C39" s="133"/>
      <c r="D39" s="133"/>
      <c r="E39" s="139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</row>
    <row r="40" customFormat="false" ht="15.75" hidden="false" customHeight="false" outlineLevel="0" collapsed="false">
      <c r="A40" s="133" t="str">
        <f aca="false">IF(ISBLANK(B40),"",B40&amp;"|"&amp;C40)</f>
        <v/>
      </c>
      <c r="B40" s="133"/>
      <c r="C40" s="133"/>
      <c r="D40" s="133"/>
      <c r="E40" s="139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</row>
    <row r="41" customFormat="false" ht="15.75" hidden="false" customHeight="false" outlineLevel="0" collapsed="false">
      <c r="A41" s="133" t="str">
        <f aca="false">IF(ISBLANK(B41),"",B41&amp;"|"&amp;C41)</f>
        <v/>
      </c>
      <c r="B41" s="133"/>
      <c r="C41" s="133"/>
      <c r="D41" s="133"/>
      <c r="E41" s="139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</row>
    <row r="42" customFormat="false" ht="15.75" hidden="false" customHeight="false" outlineLevel="0" collapsed="false">
      <c r="A42" s="133" t="str">
        <f aca="false">IF(ISBLANK(B42),"",B42&amp;"|"&amp;C42)</f>
        <v/>
      </c>
      <c r="B42" s="133"/>
      <c r="C42" s="133"/>
      <c r="D42" s="133"/>
      <c r="E42" s="139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</row>
    <row r="43" customFormat="false" ht="15.75" hidden="false" customHeight="false" outlineLevel="0" collapsed="false">
      <c r="A43" s="133" t="str">
        <f aca="false">IF(ISBLANK(B43),"",B43&amp;"|"&amp;C43)</f>
        <v/>
      </c>
      <c r="B43" s="133"/>
      <c r="C43" s="133"/>
      <c r="D43" s="133"/>
      <c r="E43" s="139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</row>
    <row r="44" customFormat="false" ht="15.75" hidden="false" customHeight="false" outlineLevel="0" collapsed="false">
      <c r="A44" s="133" t="str">
        <f aca="false">IF(ISBLANK(B44),"",B44&amp;"|"&amp;C44)</f>
        <v/>
      </c>
      <c r="B44" s="133"/>
      <c r="C44" s="133"/>
      <c r="D44" s="133"/>
      <c r="E44" s="139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</row>
    <row r="45" customFormat="false" ht="15.75" hidden="false" customHeight="false" outlineLevel="0" collapsed="false">
      <c r="A45" s="133" t="str">
        <f aca="false">IF(ISBLANK(B45),"",B45&amp;"|"&amp;C45)</f>
        <v/>
      </c>
      <c r="B45" s="133"/>
      <c r="C45" s="133"/>
      <c r="D45" s="133"/>
      <c r="E45" s="139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</row>
    <row r="46" customFormat="false" ht="15.75" hidden="false" customHeight="false" outlineLevel="0" collapsed="false">
      <c r="A46" s="133" t="str">
        <f aca="false">IF(ISBLANK(B46),"",B46&amp;"|"&amp;C46)</f>
        <v/>
      </c>
      <c r="B46" s="133"/>
      <c r="C46" s="133"/>
      <c r="D46" s="133"/>
      <c r="E46" s="139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</row>
    <row r="47" customFormat="false" ht="15.75" hidden="false" customHeight="false" outlineLevel="0" collapsed="false">
      <c r="A47" s="133" t="str">
        <f aca="false">IF(ISBLANK(B47),"",B47&amp;"|"&amp;C47)</f>
        <v/>
      </c>
      <c r="B47" s="133"/>
      <c r="C47" s="133"/>
      <c r="D47" s="133"/>
      <c r="E47" s="139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</row>
    <row r="48" customFormat="false" ht="15.75" hidden="false" customHeight="false" outlineLevel="0" collapsed="false">
      <c r="A48" s="133" t="str">
        <f aca="false">IF(ISBLANK(B48),"",B48&amp;"|"&amp;C48)</f>
        <v/>
      </c>
      <c r="B48" s="133"/>
      <c r="C48" s="133"/>
      <c r="D48" s="133"/>
      <c r="E48" s="139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</row>
    <row r="49" customFormat="false" ht="15.75" hidden="false" customHeight="false" outlineLevel="0" collapsed="false">
      <c r="A49" s="133" t="str">
        <f aca="false">IF(ISBLANK(B49),"",B49&amp;"|"&amp;C49)</f>
        <v/>
      </c>
      <c r="B49" s="133"/>
      <c r="C49" s="133"/>
      <c r="D49" s="133"/>
      <c r="E49" s="139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</row>
    <row r="50" customFormat="false" ht="15.75" hidden="false" customHeight="false" outlineLevel="0" collapsed="false">
      <c r="A50" s="133" t="str">
        <f aca="false">IF(ISBLANK(B50),"",B50&amp;"|"&amp;C50)</f>
        <v/>
      </c>
      <c r="B50" s="133"/>
      <c r="C50" s="133"/>
      <c r="D50" s="133"/>
      <c r="E50" s="139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</row>
    <row r="51" customFormat="false" ht="15.75" hidden="false" customHeight="false" outlineLevel="0" collapsed="false">
      <c r="A51" s="133" t="str">
        <f aca="false">IF(ISBLANK(B51),"",B51&amp;"|"&amp;C51)</f>
        <v/>
      </c>
      <c r="B51" s="133"/>
      <c r="C51" s="133"/>
      <c r="D51" s="133"/>
      <c r="E51" s="139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</row>
    <row r="52" customFormat="false" ht="15.75" hidden="false" customHeight="false" outlineLevel="0" collapsed="false">
      <c r="A52" s="133" t="str">
        <f aca="false">IF(ISBLANK(B52),"",B52&amp;"|"&amp;C52)</f>
        <v/>
      </c>
      <c r="B52" s="133"/>
      <c r="C52" s="133"/>
      <c r="D52" s="133"/>
      <c r="E52" s="139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</row>
    <row r="53" customFormat="false" ht="15.75" hidden="false" customHeight="false" outlineLevel="0" collapsed="false">
      <c r="A53" s="133" t="str">
        <f aca="false">IF(ISBLANK(B53),"",B53&amp;"|"&amp;C53)</f>
        <v/>
      </c>
      <c r="B53" s="133"/>
      <c r="C53" s="133"/>
      <c r="D53" s="133"/>
      <c r="E53" s="139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</row>
    <row r="54" customFormat="false" ht="15.75" hidden="false" customHeight="false" outlineLevel="0" collapsed="false">
      <c r="A54" s="133" t="str">
        <f aca="false">IF(ISBLANK(B54),"",B54&amp;"|"&amp;C54)</f>
        <v/>
      </c>
      <c r="B54" s="133"/>
      <c r="C54" s="133"/>
      <c r="D54" s="133"/>
      <c r="E54" s="139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</row>
    <row r="55" customFormat="false" ht="15.75" hidden="false" customHeight="false" outlineLevel="0" collapsed="false">
      <c r="A55" s="133" t="str">
        <f aca="false">IF(ISBLANK(B55),"",B55&amp;"|"&amp;C55)</f>
        <v/>
      </c>
      <c r="B55" s="133"/>
      <c r="C55" s="133"/>
      <c r="D55" s="133"/>
      <c r="E55" s="139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</row>
    <row r="56" customFormat="false" ht="15.75" hidden="false" customHeight="false" outlineLevel="0" collapsed="false">
      <c r="A56" s="133" t="str">
        <f aca="false">IF(ISBLANK(B56),"",B56&amp;"|"&amp;C56)</f>
        <v/>
      </c>
      <c r="B56" s="133"/>
      <c r="C56" s="133"/>
      <c r="D56" s="133"/>
      <c r="E56" s="139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</row>
    <row r="57" customFormat="false" ht="15.75" hidden="false" customHeight="false" outlineLevel="0" collapsed="false">
      <c r="A57" s="133" t="str">
        <f aca="false">IF(ISBLANK(B57),"",B57&amp;"|"&amp;C57)</f>
        <v/>
      </c>
      <c r="B57" s="133"/>
      <c r="C57" s="133"/>
      <c r="D57" s="133"/>
      <c r="E57" s="139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</row>
    <row r="58" customFormat="false" ht="15.75" hidden="false" customHeight="false" outlineLevel="0" collapsed="false">
      <c r="A58" s="133" t="str">
        <f aca="false">IF(ISBLANK(B58),"",B58&amp;"|"&amp;C58)</f>
        <v/>
      </c>
      <c r="B58" s="133"/>
      <c r="C58" s="133"/>
      <c r="D58" s="133"/>
      <c r="E58" s="139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</row>
    <row r="59" customFormat="false" ht="15.75" hidden="false" customHeight="false" outlineLevel="0" collapsed="false">
      <c r="A59" s="133" t="str">
        <f aca="false">IF(ISBLANK(B59),"",B59&amp;"|"&amp;C59)</f>
        <v/>
      </c>
      <c r="B59" s="133"/>
      <c r="C59" s="133"/>
      <c r="D59" s="133"/>
      <c r="E59" s="139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</row>
    <row r="60" customFormat="false" ht="15.75" hidden="false" customHeight="false" outlineLevel="0" collapsed="false">
      <c r="A60" s="133" t="str">
        <f aca="false">IF(ISBLANK(B60),"",B60&amp;"|"&amp;C60)</f>
        <v/>
      </c>
      <c r="B60" s="133"/>
      <c r="C60" s="133"/>
      <c r="D60" s="133"/>
      <c r="E60" s="139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</row>
    <row r="61" customFormat="false" ht="15.75" hidden="false" customHeight="false" outlineLevel="0" collapsed="false">
      <c r="A61" s="133" t="str">
        <f aca="false">IF(ISBLANK(B61),"",B61&amp;"|"&amp;C61)</f>
        <v/>
      </c>
      <c r="B61" s="133"/>
      <c r="C61" s="133"/>
      <c r="D61" s="133"/>
      <c r="E61" s="139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</row>
    <row r="62" customFormat="false" ht="15.75" hidden="false" customHeight="false" outlineLevel="0" collapsed="false">
      <c r="A62" s="133" t="str">
        <f aca="false">IF(ISBLANK(B62),"",B62&amp;"|"&amp;C62)</f>
        <v/>
      </c>
      <c r="B62" s="133"/>
      <c r="C62" s="133"/>
      <c r="D62" s="133"/>
      <c r="E62" s="139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</row>
    <row r="63" customFormat="false" ht="15.75" hidden="false" customHeight="false" outlineLevel="0" collapsed="false">
      <c r="A63" s="133" t="str">
        <f aca="false">IF(ISBLANK(B63),"",B63&amp;"|"&amp;C63)</f>
        <v/>
      </c>
      <c r="B63" s="133"/>
      <c r="C63" s="133"/>
      <c r="D63" s="133"/>
      <c r="E63" s="139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</row>
    <row r="64" customFormat="false" ht="15.75" hidden="false" customHeight="false" outlineLevel="0" collapsed="false">
      <c r="A64" s="133" t="str">
        <f aca="false">IF(ISBLANK(B64),"",B64&amp;"|"&amp;C64)</f>
        <v/>
      </c>
      <c r="B64" s="133"/>
      <c r="C64" s="133"/>
      <c r="D64" s="133"/>
      <c r="E64" s="139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</row>
    <row r="65" customFormat="false" ht="15.75" hidden="false" customHeight="false" outlineLevel="0" collapsed="false">
      <c r="A65" s="133" t="str">
        <f aca="false">IF(ISBLANK(B65),"",B65&amp;"|"&amp;C65)</f>
        <v/>
      </c>
      <c r="B65" s="133"/>
      <c r="C65" s="133"/>
      <c r="D65" s="133"/>
      <c r="E65" s="139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</row>
    <row r="66" customFormat="false" ht="15.75" hidden="false" customHeight="false" outlineLevel="0" collapsed="false">
      <c r="A66" s="133" t="str">
        <f aca="false">IF(ISBLANK(B66),"",B66&amp;"|"&amp;C66)</f>
        <v/>
      </c>
      <c r="B66" s="133"/>
      <c r="C66" s="133"/>
      <c r="D66" s="133"/>
      <c r="E66" s="139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</row>
    <row r="67" customFormat="false" ht="15.75" hidden="false" customHeight="false" outlineLevel="0" collapsed="false">
      <c r="A67" s="133" t="str">
        <f aca="false">IF(ISBLANK(B67),"",B67&amp;"|"&amp;C67)</f>
        <v/>
      </c>
      <c r="B67" s="133"/>
      <c r="C67" s="133"/>
      <c r="D67" s="133"/>
      <c r="E67" s="139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</row>
    <row r="68" customFormat="false" ht="15.75" hidden="false" customHeight="false" outlineLevel="0" collapsed="false">
      <c r="A68" s="133" t="str">
        <f aca="false">IF(ISBLANK(B68),"",B68&amp;"|"&amp;C68)</f>
        <v/>
      </c>
      <c r="B68" s="133"/>
      <c r="C68" s="133"/>
      <c r="D68" s="133"/>
      <c r="E68" s="139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</row>
    <row r="69" customFormat="false" ht="15.75" hidden="false" customHeight="false" outlineLevel="0" collapsed="false">
      <c r="A69" s="133" t="str">
        <f aca="false">IF(ISBLANK(B69),"",B69&amp;"|"&amp;C69)</f>
        <v/>
      </c>
      <c r="B69" s="133"/>
      <c r="C69" s="133"/>
      <c r="D69" s="133"/>
      <c r="E69" s="139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</row>
    <row r="70" customFormat="false" ht="15.75" hidden="false" customHeight="false" outlineLevel="0" collapsed="false">
      <c r="A70" s="133" t="str">
        <f aca="false">IF(ISBLANK(B70),"",B70&amp;"|"&amp;C70)</f>
        <v/>
      </c>
      <c r="B70" s="133"/>
      <c r="C70" s="133"/>
      <c r="D70" s="133"/>
      <c r="E70" s="139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</row>
    <row r="71" customFormat="false" ht="15.75" hidden="false" customHeight="false" outlineLevel="0" collapsed="false">
      <c r="A71" s="133" t="str">
        <f aca="false">IF(ISBLANK(B71),"",B71&amp;"|"&amp;C71)</f>
        <v/>
      </c>
      <c r="B71" s="133"/>
      <c r="C71" s="133"/>
      <c r="D71" s="133"/>
      <c r="E71" s="139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</row>
    <row r="72" customFormat="false" ht="15.75" hidden="false" customHeight="false" outlineLevel="0" collapsed="false">
      <c r="A72" s="133" t="str">
        <f aca="false">IF(ISBLANK(B72),"",B72&amp;"|"&amp;C72)</f>
        <v/>
      </c>
      <c r="B72" s="133"/>
      <c r="C72" s="133"/>
      <c r="D72" s="133"/>
      <c r="E72" s="139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</row>
    <row r="73" customFormat="false" ht="15.75" hidden="false" customHeight="false" outlineLevel="0" collapsed="false">
      <c r="A73" s="133" t="str">
        <f aca="false">IF(ISBLANK(B73),"",B73&amp;"|"&amp;C73)</f>
        <v/>
      </c>
      <c r="B73" s="133"/>
      <c r="C73" s="133"/>
      <c r="D73" s="133"/>
      <c r="E73" s="139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</row>
    <row r="74" customFormat="false" ht="15.75" hidden="false" customHeight="false" outlineLevel="0" collapsed="false">
      <c r="A74" s="133" t="str">
        <f aca="false">IF(ISBLANK(B74),"",B74&amp;"|"&amp;C74)</f>
        <v/>
      </c>
      <c r="B74" s="133"/>
      <c r="C74" s="133"/>
      <c r="D74" s="133"/>
      <c r="E74" s="139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</row>
    <row r="75" customFormat="false" ht="15.75" hidden="false" customHeight="false" outlineLevel="0" collapsed="false">
      <c r="A75" s="133" t="str">
        <f aca="false">IF(ISBLANK(B75),"",B75&amp;"|"&amp;C75)</f>
        <v/>
      </c>
      <c r="B75" s="133"/>
      <c r="C75" s="133"/>
      <c r="D75" s="133"/>
      <c r="E75" s="139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</row>
    <row r="76" customFormat="false" ht="15.75" hidden="false" customHeight="false" outlineLevel="0" collapsed="false">
      <c r="A76" s="133" t="str">
        <f aca="false">IF(ISBLANK(B76),"",B76&amp;"|"&amp;C76)</f>
        <v/>
      </c>
      <c r="B76" s="133"/>
      <c r="C76" s="133"/>
      <c r="D76" s="133"/>
      <c r="E76" s="139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</row>
    <row r="77" customFormat="false" ht="15.75" hidden="false" customHeight="false" outlineLevel="0" collapsed="false">
      <c r="A77" s="133" t="str">
        <f aca="false">IF(ISBLANK(B77),"",B77&amp;"|"&amp;C77)</f>
        <v/>
      </c>
      <c r="B77" s="133"/>
      <c r="C77" s="133"/>
      <c r="D77" s="133"/>
      <c r="E77" s="139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</row>
    <row r="78" customFormat="false" ht="15.75" hidden="false" customHeight="false" outlineLevel="0" collapsed="false">
      <c r="A78" s="133" t="str">
        <f aca="false">IF(ISBLANK(B78),"",B78&amp;"|"&amp;C78)</f>
        <v/>
      </c>
      <c r="B78" s="133"/>
      <c r="C78" s="133"/>
      <c r="D78" s="133"/>
      <c r="E78" s="139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</row>
    <row r="79" customFormat="false" ht="15.75" hidden="false" customHeight="false" outlineLevel="0" collapsed="false">
      <c r="A79" s="133" t="str">
        <f aca="false">IF(ISBLANK(B79),"",B79&amp;"|"&amp;C79)</f>
        <v/>
      </c>
      <c r="B79" s="133"/>
      <c r="C79" s="133"/>
      <c r="D79" s="133"/>
      <c r="E79" s="139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</row>
    <row r="80" customFormat="false" ht="15.75" hidden="false" customHeight="false" outlineLevel="0" collapsed="false">
      <c r="A80" s="133" t="str">
        <f aca="false">IF(ISBLANK(B80),"",B80&amp;"|"&amp;C80)</f>
        <v/>
      </c>
      <c r="B80" s="133"/>
      <c r="C80" s="133"/>
      <c r="D80" s="133"/>
      <c r="E80" s="139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</row>
    <row r="81" customFormat="false" ht="15.75" hidden="false" customHeight="false" outlineLevel="0" collapsed="false">
      <c r="A81" s="133" t="str">
        <f aca="false">IF(ISBLANK(B81),"",B81&amp;"|"&amp;C81)</f>
        <v/>
      </c>
      <c r="B81" s="133"/>
      <c r="C81" s="133"/>
      <c r="D81" s="133"/>
      <c r="E81" s="139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</row>
    <row r="82" customFormat="false" ht="15.75" hidden="false" customHeight="false" outlineLevel="0" collapsed="false">
      <c r="A82" s="133" t="str">
        <f aca="false">IF(ISBLANK(B82),"",B82&amp;"|"&amp;C82)</f>
        <v/>
      </c>
      <c r="B82" s="133"/>
      <c r="C82" s="133"/>
      <c r="D82" s="133"/>
      <c r="E82" s="139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</row>
    <row r="83" customFormat="false" ht="15.75" hidden="false" customHeight="false" outlineLevel="0" collapsed="false">
      <c r="A83" s="133" t="str">
        <f aca="false">IF(ISBLANK(B83),"",B83&amp;"|"&amp;C83)</f>
        <v/>
      </c>
      <c r="B83" s="133"/>
      <c r="C83" s="133"/>
      <c r="D83" s="133"/>
      <c r="E83" s="139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</row>
    <row r="84" customFormat="false" ht="15.75" hidden="false" customHeight="false" outlineLevel="0" collapsed="false">
      <c r="A84" s="133" t="str">
        <f aca="false">IF(ISBLANK(B84),"",B84&amp;"|"&amp;C84)</f>
        <v/>
      </c>
      <c r="B84" s="133"/>
      <c r="C84" s="133"/>
      <c r="D84" s="133"/>
      <c r="E84" s="139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</row>
    <row r="85" customFormat="false" ht="15.75" hidden="false" customHeight="false" outlineLevel="0" collapsed="false">
      <c r="A85" s="133" t="str">
        <f aca="false">IF(ISBLANK(B85),"",B85&amp;"|"&amp;C85)</f>
        <v/>
      </c>
      <c r="B85" s="133"/>
      <c r="C85" s="133"/>
      <c r="D85" s="133"/>
      <c r="E85" s="139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</row>
    <row r="86" customFormat="false" ht="15.75" hidden="false" customHeight="false" outlineLevel="0" collapsed="false">
      <c r="A86" s="133" t="str">
        <f aca="false">IF(ISBLANK(B86),"",B86&amp;"|"&amp;C86)</f>
        <v/>
      </c>
      <c r="B86" s="133"/>
      <c r="C86" s="133"/>
      <c r="D86" s="133"/>
      <c r="E86" s="139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</row>
    <row r="87" customFormat="false" ht="15.75" hidden="false" customHeight="false" outlineLevel="0" collapsed="false">
      <c r="A87" s="133" t="str">
        <f aca="false">IF(ISBLANK(B87),"",B87&amp;"|"&amp;C87)</f>
        <v/>
      </c>
      <c r="B87" s="133"/>
      <c r="C87" s="133"/>
      <c r="D87" s="133"/>
      <c r="E87" s="139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</row>
    <row r="88" customFormat="false" ht="15.75" hidden="false" customHeight="false" outlineLevel="0" collapsed="false">
      <c r="A88" s="133" t="str">
        <f aca="false">IF(ISBLANK(B88),"",B88&amp;"|"&amp;C88)</f>
        <v/>
      </c>
      <c r="B88" s="133"/>
      <c r="C88" s="133"/>
      <c r="D88" s="133"/>
      <c r="E88" s="139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</row>
    <row r="89" customFormat="false" ht="15.75" hidden="false" customHeight="false" outlineLevel="0" collapsed="false">
      <c r="A89" s="133" t="str">
        <f aca="false">IF(ISBLANK(B89),"",B89&amp;"|"&amp;C89)</f>
        <v/>
      </c>
      <c r="B89" s="133"/>
      <c r="C89" s="133"/>
      <c r="D89" s="133"/>
      <c r="E89" s="139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</row>
    <row r="90" customFormat="false" ht="15.75" hidden="false" customHeight="false" outlineLevel="0" collapsed="false">
      <c r="A90" s="133" t="str">
        <f aca="false">IF(ISBLANK(B90),"",B90&amp;"|"&amp;C90)</f>
        <v/>
      </c>
      <c r="B90" s="133"/>
      <c r="C90" s="133"/>
      <c r="D90" s="133"/>
      <c r="E90" s="139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</row>
    <row r="91" customFormat="false" ht="15.75" hidden="false" customHeight="false" outlineLevel="0" collapsed="false">
      <c r="A91" s="133" t="str">
        <f aca="false">IF(ISBLANK(B91),"",B91&amp;"|"&amp;C91)</f>
        <v/>
      </c>
      <c r="B91" s="133"/>
      <c r="C91" s="133"/>
      <c r="D91" s="133"/>
      <c r="E91" s="139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</row>
    <row r="92" customFormat="false" ht="15.75" hidden="false" customHeight="false" outlineLevel="0" collapsed="false">
      <c r="A92" s="133" t="str">
        <f aca="false">IF(ISBLANK(B92),"",B92&amp;"|"&amp;C92)</f>
        <v/>
      </c>
      <c r="B92" s="133"/>
      <c r="C92" s="133"/>
      <c r="D92" s="133"/>
      <c r="E92" s="139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</row>
    <row r="93" customFormat="false" ht="15.75" hidden="false" customHeight="false" outlineLevel="0" collapsed="false">
      <c r="A93" s="133" t="str">
        <f aca="false">IF(ISBLANK(B93),"",B93&amp;"|"&amp;C93)</f>
        <v/>
      </c>
      <c r="B93" s="133"/>
      <c r="C93" s="133"/>
      <c r="D93" s="133"/>
      <c r="E93" s="139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</row>
    <row r="94" customFormat="false" ht="15.75" hidden="false" customHeight="false" outlineLevel="0" collapsed="false">
      <c r="A94" s="133" t="str">
        <f aca="false">IF(ISBLANK(B94),"",B94&amp;"|"&amp;C94)</f>
        <v/>
      </c>
      <c r="B94" s="133"/>
      <c r="C94" s="133"/>
      <c r="D94" s="133"/>
      <c r="E94" s="139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</row>
    <row r="95" customFormat="false" ht="15.75" hidden="false" customHeight="false" outlineLevel="0" collapsed="false">
      <c r="A95" s="133" t="str">
        <f aca="false">IF(ISBLANK(B95),"",B95&amp;"|"&amp;C95)</f>
        <v/>
      </c>
      <c r="B95" s="133"/>
      <c r="C95" s="133"/>
      <c r="D95" s="133"/>
      <c r="E95" s="139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</row>
    <row r="96" customFormat="false" ht="15.75" hidden="false" customHeight="false" outlineLevel="0" collapsed="false">
      <c r="A96" s="133" t="str">
        <f aca="false">IF(ISBLANK(B96),"",B96&amp;"|"&amp;C96)</f>
        <v/>
      </c>
      <c r="B96" s="133"/>
      <c r="C96" s="133"/>
      <c r="D96" s="133"/>
      <c r="E96" s="139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</row>
    <row r="97" customFormat="false" ht="15.75" hidden="false" customHeight="false" outlineLevel="0" collapsed="false">
      <c r="A97" s="133" t="str">
        <f aca="false">IF(ISBLANK(B97),"",B97&amp;"|"&amp;C97)</f>
        <v/>
      </c>
      <c r="B97" s="133"/>
      <c r="C97" s="133"/>
      <c r="D97" s="133"/>
      <c r="E97" s="139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</row>
    <row r="98" customFormat="false" ht="15.75" hidden="false" customHeight="false" outlineLevel="0" collapsed="false">
      <c r="A98" s="133" t="str">
        <f aca="false">IF(ISBLANK(B98),"",B98&amp;"|"&amp;C98)</f>
        <v/>
      </c>
      <c r="B98" s="133"/>
      <c r="C98" s="133"/>
      <c r="D98" s="133"/>
      <c r="E98" s="139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</row>
    <row r="99" customFormat="false" ht="15.75" hidden="false" customHeight="false" outlineLevel="0" collapsed="false">
      <c r="A99" s="133" t="str">
        <f aca="false">IF(ISBLANK(B99),"",B99&amp;"|"&amp;C99)</f>
        <v/>
      </c>
      <c r="B99" s="133"/>
      <c r="C99" s="133"/>
      <c r="D99" s="133"/>
      <c r="E99" s="139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</row>
    <row r="100" customFormat="false" ht="15.75" hidden="false" customHeight="false" outlineLevel="0" collapsed="false">
      <c r="A100" s="133" t="str">
        <f aca="false">IF(ISBLANK(B100),"",B100&amp;"|"&amp;C100)</f>
        <v/>
      </c>
      <c r="B100" s="133"/>
      <c r="C100" s="133"/>
      <c r="D100" s="133"/>
      <c r="E100" s="139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</row>
    <row r="101" customFormat="false" ht="15.75" hidden="false" customHeight="false" outlineLevel="0" collapsed="false">
      <c r="A101" s="133" t="str">
        <f aca="false">IF(ISBLANK(B101),"",B101&amp;"|"&amp;C101)</f>
        <v/>
      </c>
      <c r="B101" s="133"/>
      <c r="C101" s="133"/>
      <c r="D101" s="133"/>
      <c r="E101" s="139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</row>
    <row r="102" customFormat="false" ht="15.75" hidden="false" customHeight="false" outlineLevel="0" collapsed="false">
      <c r="A102" s="133" t="str">
        <f aca="false">IF(ISBLANK(B102),"",B102&amp;"|"&amp;C102)</f>
        <v/>
      </c>
      <c r="B102" s="133"/>
      <c r="C102" s="133"/>
      <c r="D102" s="133"/>
      <c r="E102" s="139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</row>
    <row r="103" customFormat="false" ht="15.75" hidden="false" customHeight="false" outlineLevel="0" collapsed="false">
      <c r="A103" s="133" t="str">
        <f aca="false">IF(ISBLANK(B103),"",B103&amp;"|"&amp;C103)</f>
        <v/>
      </c>
      <c r="B103" s="133"/>
      <c r="C103" s="133"/>
      <c r="D103" s="133"/>
      <c r="E103" s="139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</row>
    <row r="104" customFormat="false" ht="15.75" hidden="false" customHeight="false" outlineLevel="0" collapsed="false">
      <c r="A104" s="133" t="str">
        <f aca="false">IF(ISBLANK(B104),"",B104&amp;"|"&amp;C104)</f>
        <v/>
      </c>
      <c r="B104" s="133"/>
      <c r="C104" s="133"/>
      <c r="D104" s="133"/>
      <c r="E104" s="139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</row>
    <row r="105" customFormat="false" ht="15.75" hidden="false" customHeight="false" outlineLevel="0" collapsed="false">
      <c r="A105" s="133" t="str">
        <f aca="false">IF(ISBLANK(B105),"",B105&amp;"|"&amp;C105)</f>
        <v/>
      </c>
      <c r="B105" s="133"/>
      <c r="C105" s="133"/>
      <c r="D105" s="133"/>
      <c r="E105" s="139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</row>
    <row r="106" customFormat="false" ht="15.75" hidden="false" customHeight="false" outlineLevel="0" collapsed="false">
      <c r="A106" s="133" t="str">
        <f aca="false">IF(ISBLANK(B106),"",B106&amp;"|"&amp;C106)</f>
        <v/>
      </c>
      <c r="B106" s="133"/>
      <c r="C106" s="133"/>
      <c r="D106" s="133"/>
      <c r="E106" s="139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</row>
    <row r="107" customFormat="false" ht="15.75" hidden="false" customHeight="false" outlineLevel="0" collapsed="false">
      <c r="A107" s="133" t="str">
        <f aca="false">IF(ISBLANK(B107),"",B107&amp;"|"&amp;C107)</f>
        <v/>
      </c>
      <c r="B107" s="133"/>
      <c r="C107" s="133"/>
      <c r="D107" s="133"/>
      <c r="E107" s="139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</row>
    <row r="108" customFormat="false" ht="15.75" hidden="false" customHeight="false" outlineLevel="0" collapsed="false">
      <c r="A108" s="133" t="str">
        <f aca="false">IF(ISBLANK(B108),"",B108&amp;"|"&amp;C108)</f>
        <v/>
      </c>
      <c r="B108" s="133"/>
      <c r="C108" s="133"/>
      <c r="D108" s="133"/>
      <c r="E108" s="139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</row>
    <row r="109" customFormat="false" ht="15.75" hidden="false" customHeight="false" outlineLevel="0" collapsed="false">
      <c r="A109" s="133" t="str">
        <f aca="false">IF(ISBLANK(B109),"",B109&amp;"|"&amp;C109)</f>
        <v/>
      </c>
      <c r="B109" s="133"/>
      <c r="C109" s="133"/>
      <c r="D109" s="133"/>
      <c r="E109" s="139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</row>
    <row r="110" customFormat="false" ht="15.75" hidden="false" customHeight="false" outlineLevel="0" collapsed="false">
      <c r="A110" s="133" t="str">
        <f aca="false">IF(ISBLANK(B110),"",B110&amp;"|"&amp;C110)</f>
        <v/>
      </c>
      <c r="B110" s="133"/>
      <c r="C110" s="133"/>
      <c r="D110" s="133"/>
      <c r="E110" s="139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</row>
    <row r="111" customFormat="false" ht="15.75" hidden="false" customHeight="false" outlineLevel="0" collapsed="false">
      <c r="A111" s="133" t="str">
        <f aca="false">IF(ISBLANK(B111),"",B111&amp;"|"&amp;C111)</f>
        <v/>
      </c>
      <c r="B111" s="133"/>
      <c r="C111" s="133"/>
      <c r="D111" s="133"/>
      <c r="E111" s="139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</row>
    <row r="112" customFormat="false" ht="15.75" hidden="false" customHeight="false" outlineLevel="0" collapsed="false">
      <c r="A112" s="133" t="str">
        <f aca="false">IF(ISBLANK(B112),"",B112&amp;"|"&amp;C112)</f>
        <v/>
      </c>
      <c r="B112" s="133"/>
      <c r="C112" s="133"/>
      <c r="D112" s="133"/>
      <c r="E112" s="139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</row>
    <row r="113" customFormat="false" ht="15.75" hidden="false" customHeight="false" outlineLevel="0" collapsed="false">
      <c r="A113" s="133" t="str">
        <f aca="false">IF(ISBLANK(B113),"",B113&amp;"|"&amp;C113)</f>
        <v/>
      </c>
      <c r="B113" s="133"/>
      <c r="C113" s="133"/>
      <c r="D113" s="133"/>
      <c r="E113" s="139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</row>
    <row r="114" customFormat="false" ht="15.75" hidden="false" customHeight="false" outlineLevel="0" collapsed="false">
      <c r="A114" s="133" t="str">
        <f aca="false">IF(ISBLANK(B114),"",B114&amp;"|"&amp;C114)</f>
        <v/>
      </c>
      <c r="B114" s="133"/>
      <c r="C114" s="133"/>
      <c r="D114" s="133"/>
      <c r="E114" s="139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</row>
    <row r="115" customFormat="false" ht="15.75" hidden="false" customHeight="false" outlineLevel="0" collapsed="false">
      <c r="A115" s="133" t="str">
        <f aca="false">IF(ISBLANK(B115),"",B115&amp;"|"&amp;C115)</f>
        <v/>
      </c>
      <c r="B115" s="133"/>
      <c r="C115" s="133"/>
      <c r="D115" s="133"/>
      <c r="E115" s="139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</row>
    <row r="116" customFormat="false" ht="15.75" hidden="false" customHeight="false" outlineLevel="0" collapsed="false">
      <c r="A116" s="133" t="str">
        <f aca="false">IF(ISBLANK(B116),"",B116&amp;"|"&amp;C116)</f>
        <v/>
      </c>
      <c r="B116" s="133"/>
      <c r="C116" s="133"/>
      <c r="D116" s="133"/>
      <c r="E116" s="139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</row>
    <row r="117" customFormat="false" ht="15.75" hidden="false" customHeight="false" outlineLevel="0" collapsed="false">
      <c r="A117" s="133" t="str">
        <f aca="false">IF(ISBLANK(B117),"",B117&amp;"|"&amp;C117)</f>
        <v/>
      </c>
      <c r="B117" s="133"/>
      <c r="C117" s="133"/>
      <c r="D117" s="133"/>
      <c r="E117" s="139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</row>
    <row r="118" customFormat="false" ht="15.75" hidden="false" customHeight="false" outlineLevel="0" collapsed="false">
      <c r="A118" s="133" t="str">
        <f aca="false">IF(ISBLANK(B118),"",B118&amp;"|"&amp;C118)</f>
        <v/>
      </c>
      <c r="B118" s="133"/>
      <c r="C118" s="133"/>
      <c r="D118" s="133"/>
      <c r="E118" s="139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</row>
    <row r="119" customFormat="false" ht="15.75" hidden="false" customHeight="false" outlineLevel="0" collapsed="false">
      <c r="A119" s="133" t="str">
        <f aca="false">IF(ISBLANK(B119),"",B119&amp;"|"&amp;C119)</f>
        <v/>
      </c>
      <c r="B119" s="133"/>
      <c r="C119" s="133"/>
      <c r="D119" s="133"/>
      <c r="E119" s="139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</row>
    <row r="120" customFormat="false" ht="15.75" hidden="false" customHeight="false" outlineLevel="0" collapsed="false">
      <c r="A120" s="133" t="str">
        <f aca="false">IF(ISBLANK(B120),"",B120&amp;"|"&amp;C120)</f>
        <v/>
      </c>
      <c r="B120" s="133"/>
      <c r="C120" s="133"/>
      <c r="D120" s="133"/>
      <c r="E120" s="139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</row>
    <row r="121" customFormat="false" ht="15.75" hidden="false" customHeight="false" outlineLevel="0" collapsed="false">
      <c r="A121" s="133" t="str">
        <f aca="false">IF(ISBLANK(B121),"",B121&amp;"|"&amp;C121)</f>
        <v/>
      </c>
      <c r="B121" s="133"/>
      <c r="C121" s="133"/>
      <c r="D121" s="133"/>
      <c r="E121" s="139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</row>
    <row r="122" customFormat="false" ht="15.75" hidden="false" customHeight="false" outlineLevel="0" collapsed="false">
      <c r="A122" s="133" t="str">
        <f aca="false">IF(ISBLANK(B122),"",B122&amp;"|"&amp;C122)</f>
        <v/>
      </c>
      <c r="B122" s="133"/>
      <c r="C122" s="133"/>
      <c r="D122" s="133"/>
      <c r="E122" s="139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</row>
    <row r="123" customFormat="false" ht="15.75" hidden="false" customHeight="false" outlineLevel="0" collapsed="false">
      <c r="A123" s="133" t="str">
        <f aca="false">IF(ISBLANK(B123),"",B123&amp;"|"&amp;C123)</f>
        <v/>
      </c>
      <c r="B123" s="133"/>
      <c r="C123" s="133"/>
      <c r="D123" s="133"/>
      <c r="E123" s="139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</row>
    <row r="124" customFormat="false" ht="15.75" hidden="false" customHeight="false" outlineLevel="0" collapsed="false">
      <c r="A124" s="133" t="str">
        <f aca="false">IF(ISBLANK(B124),"",B124&amp;"|"&amp;C124)</f>
        <v/>
      </c>
      <c r="B124" s="133"/>
      <c r="C124" s="133"/>
      <c r="D124" s="133"/>
      <c r="E124" s="139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</row>
    <row r="125" customFormat="false" ht="15.75" hidden="false" customHeight="false" outlineLevel="0" collapsed="false">
      <c r="A125" s="133" t="str">
        <f aca="false">IF(ISBLANK(B125),"",B125&amp;"|"&amp;C125)</f>
        <v/>
      </c>
      <c r="B125" s="133"/>
      <c r="C125" s="133"/>
      <c r="D125" s="133"/>
      <c r="E125" s="139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</row>
    <row r="126" customFormat="false" ht="15.75" hidden="false" customHeight="false" outlineLevel="0" collapsed="false">
      <c r="A126" s="133" t="str">
        <f aca="false">IF(ISBLANK(B126),"",B126&amp;"|"&amp;C126)</f>
        <v/>
      </c>
      <c r="B126" s="133"/>
      <c r="C126" s="133"/>
      <c r="D126" s="133"/>
      <c r="E126" s="139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</row>
    <row r="127" customFormat="false" ht="15.75" hidden="false" customHeight="false" outlineLevel="0" collapsed="false">
      <c r="A127" s="133" t="str">
        <f aca="false">IF(ISBLANK(B127),"",B127&amp;"|"&amp;C127)</f>
        <v/>
      </c>
      <c r="B127" s="133"/>
      <c r="C127" s="133"/>
      <c r="D127" s="133"/>
      <c r="E127" s="139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</row>
    <row r="128" customFormat="false" ht="15.75" hidden="false" customHeight="false" outlineLevel="0" collapsed="false">
      <c r="A128" s="133" t="str">
        <f aca="false">IF(ISBLANK(B128),"",B128&amp;"|"&amp;C128)</f>
        <v/>
      </c>
      <c r="B128" s="133"/>
      <c r="C128" s="133"/>
      <c r="D128" s="133"/>
      <c r="E128" s="139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</row>
    <row r="129" customFormat="false" ht="15.75" hidden="false" customHeight="false" outlineLevel="0" collapsed="false">
      <c r="A129" s="133" t="str">
        <f aca="false">IF(ISBLANK(B129),"",B129&amp;"|"&amp;C129)</f>
        <v/>
      </c>
      <c r="B129" s="133"/>
      <c r="C129" s="133"/>
      <c r="D129" s="133"/>
      <c r="E129" s="139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</row>
    <row r="130" customFormat="false" ht="15.75" hidden="false" customHeight="false" outlineLevel="0" collapsed="false">
      <c r="A130" s="133" t="str">
        <f aca="false">IF(ISBLANK(B130),"",B130&amp;"|"&amp;C130)</f>
        <v/>
      </c>
      <c r="B130" s="133"/>
      <c r="C130" s="133"/>
      <c r="D130" s="133"/>
      <c r="E130" s="139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</row>
    <row r="131" customFormat="false" ht="15.75" hidden="false" customHeight="false" outlineLevel="0" collapsed="false">
      <c r="A131" s="133" t="str">
        <f aca="false">IF(ISBLANK(B131),"",B131&amp;"|"&amp;C131)</f>
        <v/>
      </c>
      <c r="B131" s="133"/>
      <c r="C131" s="133"/>
      <c r="D131" s="133"/>
      <c r="E131" s="139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</row>
    <row r="132" customFormat="false" ht="15.75" hidden="false" customHeight="false" outlineLevel="0" collapsed="false">
      <c r="A132" s="133" t="str">
        <f aca="false">IF(ISBLANK(B132),"",B132&amp;"|"&amp;C132)</f>
        <v/>
      </c>
      <c r="B132" s="133"/>
      <c r="C132" s="133"/>
      <c r="D132" s="133"/>
      <c r="E132" s="139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</row>
    <row r="133" customFormat="false" ht="15.75" hidden="false" customHeight="false" outlineLevel="0" collapsed="false">
      <c r="A133" s="133" t="str">
        <f aca="false">IF(ISBLANK(B133),"",B133&amp;"|"&amp;C133)</f>
        <v/>
      </c>
      <c r="B133" s="133"/>
      <c r="C133" s="133"/>
      <c r="D133" s="133"/>
      <c r="E133" s="139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</row>
    <row r="134" customFormat="false" ht="15.75" hidden="false" customHeight="false" outlineLevel="0" collapsed="false">
      <c r="A134" s="133" t="str">
        <f aca="false">IF(ISBLANK(B134),"",B134&amp;"|"&amp;C134)</f>
        <v/>
      </c>
      <c r="B134" s="133"/>
      <c r="C134" s="133"/>
      <c r="D134" s="133"/>
      <c r="E134" s="139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</row>
    <row r="135" customFormat="false" ht="15.75" hidden="false" customHeight="false" outlineLevel="0" collapsed="false">
      <c r="A135" s="133" t="str">
        <f aca="false">IF(ISBLANK(B135),"",B135&amp;"|"&amp;C135)</f>
        <v/>
      </c>
      <c r="B135" s="133"/>
      <c r="C135" s="133"/>
      <c r="D135" s="133"/>
      <c r="E135" s="139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</row>
    <row r="136" customFormat="false" ht="15.75" hidden="false" customHeight="false" outlineLevel="0" collapsed="false">
      <c r="A136" s="133" t="str">
        <f aca="false">IF(ISBLANK(B136),"",B136&amp;"|"&amp;C136)</f>
        <v/>
      </c>
      <c r="B136" s="133"/>
      <c r="C136" s="133"/>
      <c r="D136" s="133"/>
      <c r="E136" s="139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</row>
    <row r="137" customFormat="false" ht="15.75" hidden="false" customHeight="false" outlineLevel="0" collapsed="false">
      <c r="A137" s="133" t="str">
        <f aca="false">IF(ISBLANK(B137),"",B137&amp;"|"&amp;C137)</f>
        <v/>
      </c>
      <c r="B137" s="133"/>
      <c r="C137" s="133"/>
      <c r="D137" s="133"/>
      <c r="E137" s="139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</row>
    <row r="138" customFormat="false" ht="15.75" hidden="false" customHeight="false" outlineLevel="0" collapsed="false">
      <c r="A138" s="133" t="str">
        <f aca="false">IF(ISBLANK(B138),"",B138&amp;"|"&amp;C138)</f>
        <v/>
      </c>
      <c r="B138" s="133"/>
      <c r="C138" s="133"/>
      <c r="D138" s="133"/>
      <c r="E138" s="139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</row>
    <row r="139" customFormat="false" ht="15.75" hidden="false" customHeight="false" outlineLevel="0" collapsed="false">
      <c r="A139" s="133" t="str">
        <f aca="false">IF(ISBLANK(B139),"",B139&amp;"|"&amp;C139)</f>
        <v/>
      </c>
      <c r="B139" s="133"/>
      <c r="C139" s="133"/>
      <c r="D139" s="133"/>
      <c r="E139" s="139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</row>
    <row r="140" customFormat="false" ht="15.75" hidden="false" customHeight="false" outlineLevel="0" collapsed="false">
      <c r="A140" s="133" t="str">
        <f aca="false">IF(ISBLANK(B140),"",B140&amp;"|"&amp;C140)</f>
        <v/>
      </c>
      <c r="B140" s="133"/>
      <c r="C140" s="133"/>
      <c r="D140" s="133"/>
      <c r="E140" s="139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</row>
    <row r="141" customFormat="false" ht="15.75" hidden="false" customHeight="false" outlineLevel="0" collapsed="false">
      <c r="A141" s="133" t="str">
        <f aca="false">IF(ISBLANK(B141),"",B141&amp;"|"&amp;C141)</f>
        <v/>
      </c>
      <c r="B141" s="133"/>
      <c r="C141" s="133"/>
      <c r="D141" s="133"/>
      <c r="E141" s="139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</row>
    <row r="142" customFormat="false" ht="15.75" hidden="false" customHeight="false" outlineLevel="0" collapsed="false">
      <c r="A142" s="133" t="str">
        <f aca="false">IF(ISBLANK(B142),"",B142&amp;"|"&amp;C142)</f>
        <v/>
      </c>
      <c r="B142" s="133"/>
      <c r="C142" s="133"/>
      <c r="D142" s="133"/>
      <c r="E142" s="139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</row>
    <row r="143" customFormat="false" ht="15.75" hidden="false" customHeight="false" outlineLevel="0" collapsed="false">
      <c r="A143" s="133" t="str">
        <f aca="false">IF(ISBLANK(B143),"",B143&amp;"|"&amp;C143)</f>
        <v/>
      </c>
      <c r="B143" s="133"/>
      <c r="C143" s="133"/>
      <c r="D143" s="133"/>
      <c r="E143" s="139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</row>
    <row r="144" customFormat="false" ht="15.75" hidden="false" customHeight="false" outlineLevel="0" collapsed="false">
      <c r="A144" s="133" t="str">
        <f aca="false">IF(ISBLANK(B144),"",B144&amp;"|"&amp;C144)</f>
        <v/>
      </c>
      <c r="B144" s="133"/>
      <c r="C144" s="133"/>
      <c r="D144" s="133"/>
      <c r="E144" s="139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</row>
    <row r="145" customFormat="false" ht="15.75" hidden="false" customHeight="false" outlineLevel="0" collapsed="false">
      <c r="A145" s="133" t="str">
        <f aca="false">IF(ISBLANK(B145),"",B145&amp;"|"&amp;C145)</f>
        <v/>
      </c>
      <c r="B145" s="133"/>
      <c r="C145" s="133"/>
      <c r="D145" s="133"/>
      <c r="E145" s="139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</row>
    <row r="146" customFormat="false" ht="15.75" hidden="false" customHeight="false" outlineLevel="0" collapsed="false">
      <c r="A146" s="133" t="str">
        <f aca="false">IF(ISBLANK(B146),"",B146&amp;"|"&amp;C146)</f>
        <v/>
      </c>
      <c r="B146" s="133"/>
      <c r="C146" s="133"/>
      <c r="D146" s="133"/>
      <c r="E146" s="139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</row>
    <row r="147" customFormat="false" ht="15.75" hidden="false" customHeight="false" outlineLevel="0" collapsed="false">
      <c r="A147" s="133" t="str">
        <f aca="false">IF(ISBLANK(B147),"",B147&amp;"|"&amp;C147)</f>
        <v/>
      </c>
      <c r="B147" s="133"/>
      <c r="C147" s="133"/>
      <c r="D147" s="133"/>
      <c r="E147" s="139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</row>
    <row r="148" customFormat="false" ht="15.75" hidden="false" customHeight="false" outlineLevel="0" collapsed="false">
      <c r="A148" s="133" t="str">
        <f aca="false">IF(ISBLANK(B148),"",B148&amp;"|"&amp;C148)</f>
        <v/>
      </c>
      <c r="B148" s="133"/>
      <c r="C148" s="133"/>
      <c r="D148" s="133"/>
      <c r="E148" s="139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</row>
    <row r="149" customFormat="false" ht="15.75" hidden="false" customHeight="false" outlineLevel="0" collapsed="false">
      <c r="A149" s="133" t="str">
        <f aca="false">IF(ISBLANK(B149),"",B149&amp;"|"&amp;C149)</f>
        <v/>
      </c>
      <c r="B149" s="133"/>
      <c r="C149" s="133"/>
      <c r="D149" s="133"/>
      <c r="E149" s="139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</row>
    <row r="150" customFormat="false" ht="15.75" hidden="false" customHeight="false" outlineLevel="0" collapsed="false">
      <c r="A150" s="133" t="str">
        <f aca="false">IF(ISBLANK(B150),"",B150&amp;"|"&amp;C150)</f>
        <v/>
      </c>
      <c r="B150" s="133"/>
      <c r="C150" s="133"/>
      <c r="D150" s="133"/>
      <c r="E150" s="139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</row>
    <row r="151" customFormat="false" ht="15.75" hidden="false" customHeight="false" outlineLevel="0" collapsed="false">
      <c r="A151" s="133" t="str">
        <f aca="false">IF(ISBLANK(B151),"",B151&amp;"|"&amp;C151)</f>
        <v/>
      </c>
      <c r="B151" s="133"/>
      <c r="C151" s="133"/>
      <c r="D151" s="133"/>
      <c r="E151" s="139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</row>
    <row r="152" customFormat="false" ht="15.75" hidden="false" customHeight="false" outlineLevel="0" collapsed="false">
      <c r="A152" s="133" t="str">
        <f aca="false">IF(ISBLANK(B152),"",B152&amp;"|"&amp;C152)</f>
        <v/>
      </c>
      <c r="B152" s="133"/>
      <c r="C152" s="133"/>
      <c r="D152" s="133"/>
      <c r="E152" s="139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</row>
    <row r="153" customFormat="false" ht="15.75" hidden="false" customHeight="false" outlineLevel="0" collapsed="false">
      <c r="A153" s="133" t="str">
        <f aca="false">IF(ISBLANK(B153),"",B153&amp;"|"&amp;C153)</f>
        <v/>
      </c>
      <c r="B153" s="133"/>
      <c r="C153" s="133"/>
      <c r="D153" s="133"/>
      <c r="E153" s="139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</row>
    <row r="154" customFormat="false" ht="15.75" hidden="false" customHeight="false" outlineLevel="0" collapsed="false">
      <c r="A154" s="133" t="str">
        <f aca="false">IF(ISBLANK(B154),"",B154&amp;"|"&amp;C154)</f>
        <v/>
      </c>
      <c r="B154" s="133"/>
      <c r="C154" s="133"/>
      <c r="D154" s="133"/>
      <c r="E154" s="139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</row>
    <row r="155" customFormat="false" ht="15.75" hidden="false" customHeight="false" outlineLevel="0" collapsed="false">
      <c r="A155" s="133" t="str">
        <f aca="false">IF(ISBLANK(B155),"",B155&amp;"|"&amp;C155)</f>
        <v/>
      </c>
      <c r="B155" s="133"/>
      <c r="C155" s="133"/>
      <c r="D155" s="133"/>
      <c r="E155" s="139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</row>
    <row r="156" customFormat="false" ht="15.75" hidden="false" customHeight="false" outlineLevel="0" collapsed="false">
      <c r="A156" s="133" t="str">
        <f aca="false">IF(ISBLANK(B156),"",B156&amp;"|"&amp;C156)</f>
        <v/>
      </c>
      <c r="B156" s="133"/>
      <c r="C156" s="133"/>
      <c r="D156" s="133"/>
      <c r="E156" s="139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</row>
    <row r="157" customFormat="false" ht="15.75" hidden="false" customHeight="false" outlineLevel="0" collapsed="false">
      <c r="A157" s="133" t="str">
        <f aca="false">IF(ISBLANK(B157),"",B157&amp;"|"&amp;C157)</f>
        <v/>
      </c>
      <c r="B157" s="133"/>
      <c r="C157" s="133"/>
      <c r="D157" s="133"/>
      <c r="E157" s="139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</row>
    <row r="158" customFormat="false" ht="15.75" hidden="false" customHeight="false" outlineLevel="0" collapsed="false">
      <c r="A158" s="133" t="str">
        <f aca="false">IF(ISBLANK(B158),"",B158&amp;"|"&amp;C158)</f>
        <v/>
      </c>
      <c r="B158" s="133"/>
      <c r="C158" s="133"/>
      <c r="D158" s="133"/>
      <c r="E158" s="139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</row>
    <row r="159" customFormat="false" ht="15.75" hidden="false" customHeight="false" outlineLevel="0" collapsed="false">
      <c r="A159" s="133" t="str">
        <f aca="false">IF(ISBLANK(B159),"",B159&amp;"|"&amp;C159)</f>
        <v/>
      </c>
      <c r="B159" s="133"/>
      <c r="C159" s="133"/>
      <c r="D159" s="133"/>
      <c r="E159" s="139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</row>
    <row r="160" customFormat="false" ht="15.75" hidden="false" customHeight="false" outlineLevel="0" collapsed="false">
      <c r="A160" s="133" t="str">
        <f aca="false">IF(ISBLANK(B160),"",B160&amp;"|"&amp;C160)</f>
        <v/>
      </c>
      <c r="B160" s="133"/>
      <c r="C160" s="133"/>
      <c r="D160" s="133"/>
      <c r="E160" s="139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</row>
    <row r="161" customFormat="false" ht="15.75" hidden="false" customHeight="false" outlineLevel="0" collapsed="false">
      <c r="A161" s="133" t="str">
        <f aca="false">IF(ISBLANK(B161),"",B161&amp;"|"&amp;C161)</f>
        <v/>
      </c>
      <c r="B161" s="133"/>
      <c r="C161" s="133"/>
      <c r="D161" s="133"/>
      <c r="E161" s="139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</row>
    <row r="162" customFormat="false" ht="15.75" hidden="false" customHeight="false" outlineLevel="0" collapsed="false">
      <c r="A162" s="133" t="str">
        <f aca="false">IF(ISBLANK(B162),"",B162&amp;"|"&amp;C162)</f>
        <v/>
      </c>
      <c r="B162" s="133"/>
      <c r="C162" s="133"/>
      <c r="D162" s="133"/>
      <c r="E162" s="139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</row>
    <row r="163" customFormat="false" ht="15.75" hidden="false" customHeight="false" outlineLevel="0" collapsed="false">
      <c r="A163" s="133" t="str">
        <f aca="false">IF(ISBLANK(B163),"",B163&amp;"|"&amp;C163)</f>
        <v/>
      </c>
      <c r="B163" s="133"/>
      <c r="C163" s="133"/>
      <c r="D163" s="133"/>
      <c r="E163" s="139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</row>
    <row r="164" customFormat="false" ht="15.75" hidden="false" customHeight="false" outlineLevel="0" collapsed="false">
      <c r="A164" s="133" t="str">
        <f aca="false">IF(ISBLANK(B164),"",B164&amp;"|"&amp;C164)</f>
        <v/>
      </c>
      <c r="B164" s="133"/>
      <c r="C164" s="133"/>
      <c r="D164" s="133"/>
      <c r="E164" s="139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</row>
    <row r="165" customFormat="false" ht="15.75" hidden="false" customHeight="false" outlineLevel="0" collapsed="false">
      <c r="A165" s="133" t="str">
        <f aca="false">IF(ISBLANK(B165),"",B165&amp;"|"&amp;C165)</f>
        <v/>
      </c>
      <c r="B165" s="133"/>
      <c r="C165" s="133"/>
      <c r="D165" s="133"/>
      <c r="E165" s="139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</row>
    <row r="166" customFormat="false" ht="15.75" hidden="false" customHeight="false" outlineLevel="0" collapsed="false">
      <c r="A166" s="133" t="str">
        <f aca="false">IF(ISBLANK(B166),"",B166&amp;"|"&amp;C166)</f>
        <v/>
      </c>
      <c r="B166" s="133"/>
      <c r="C166" s="133"/>
      <c r="D166" s="133"/>
      <c r="E166" s="139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</row>
    <row r="167" customFormat="false" ht="15.75" hidden="false" customHeight="false" outlineLevel="0" collapsed="false">
      <c r="A167" s="133" t="str">
        <f aca="false">IF(ISBLANK(B167),"",B167&amp;"|"&amp;C167)</f>
        <v/>
      </c>
      <c r="B167" s="133"/>
      <c r="C167" s="133"/>
      <c r="D167" s="133"/>
      <c r="E167" s="139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</row>
    <row r="168" customFormat="false" ht="15.75" hidden="false" customHeight="false" outlineLevel="0" collapsed="false">
      <c r="A168" s="133" t="str">
        <f aca="false">IF(ISBLANK(B168),"",B168&amp;"|"&amp;C168)</f>
        <v/>
      </c>
      <c r="B168" s="133"/>
      <c r="C168" s="133"/>
      <c r="D168" s="133"/>
      <c r="E168" s="139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</row>
    <row r="169" customFormat="false" ht="15.75" hidden="false" customHeight="false" outlineLevel="0" collapsed="false">
      <c r="A169" s="133" t="str">
        <f aca="false">IF(ISBLANK(B169),"",B169&amp;"|"&amp;C169)</f>
        <v/>
      </c>
      <c r="B169" s="133"/>
      <c r="C169" s="133"/>
      <c r="D169" s="133"/>
      <c r="E169" s="139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</row>
    <row r="170" customFormat="false" ht="15.75" hidden="false" customHeight="false" outlineLevel="0" collapsed="false">
      <c r="A170" s="133" t="str">
        <f aca="false">IF(ISBLANK(B170),"",B170&amp;"|"&amp;C170)</f>
        <v/>
      </c>
      <c r="B170" s="133"/>
      <c r="C170" s="133"/>
      <c r="D170" s="133"/>
      <c r="E170" s="139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</row>
    <row r="171" customFormat="false" ht="15.75" hidden="false" customHeight="false" outlineLevel="0" collapsed="false">
      <c r="A171" s="133" t="str">
        <f aca="false">IF(ISBLANK(B171),"",B171&amp;"|"&amp;C171)</f>
        <v/>
      </c>
      <c r="B171" s="133"/>
      <c r="C171" s="133"/>
      <c r="D171" s="133"/>
      <c r="E171" s="139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</row>
    <row r="172" customFormat="false" ht="15.75" hidden="false" customHeight="false" outlineLevel="0" collapsed="false">
      <c r="A172" s="133" t="str">
        <f aca="false">IF(ISBLANK(B172),"",B172&amp;"|"&amp;C172)</f>
        <v/>
      </c>
      <c r="B172" s="133"/>
      <c r="C172" s="133"/>
      <c r="D172" s="133"/>
      <c r="E172" s="139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</row>
    <row r="173" customFormat="false" ht="15.75" hidden="false" customHeight="false" outlineLevel="0" collapsed="false">
      <c r="A173" s="133" t="str">
        <f aca="false">IF(ISBLANK(B173),"",B173&amp;"|"&amp;C173)</f>
        <v/>
      </c>
      <c r="B173" s="133"/>
      <c r="C173" s="133"/>
      <c r="D173" s="133"/>
      <c r="E173" s="139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</row>
    <row r="174" customFormat="false" ht="15.75" hidden="false" customHeight="false" outlineLevel="0" collapsed="false">
      <c r="A174" s="133" t="str">
        <f aca="false">IF(ISBLANK(B174),"",B174&amp;"|"&amp;C174)</f>
        <v/>
      </c>
      <c r="B174" s="133"/>
      <c r="C174" s="133"/>
      <c r="D174" s="133"/>
      <c r="E174" s="139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</row>
    <row r="175" customFormat="false" ht="15.75" hidden="false" customHeight="false" outlineLevel="0" collapsed="false">
      <c r="A175" s="133" t="str">
        <f aca="false">IF(ISBLANK(B175),"",B175&amp;"|"&amp;C175)</f>
        <v/>
      </c>
      <c r="B175" s="133"/>
      <c r="C175" s="133"/>
      <c r="D175" s="133"/>
      <c r="E175" s="139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</row>
    <row r="176" customFormat="false" ht="15.75" hidden="false" customHeight="false" outlineLevel="0" collapsed="false">
      <c r="A176" s="133" t="str">
        <f aca="false">IF(ISBLANK(B176),"",B176&amp;"|"&amp;C176)</f>
        <v/>
      </c>
      <c r="B176" s="133"/>
      <c r="C176" s="133"/>
      <c r="D176" s="133"/>
      <c r="E176" s="139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</row>
    <row r="177" customFormat="false" ht="15.75" hidden="false" customHeight="false" outlineLevel="0" collapsed="false">
      <c r="A177" s="133" t="str">
        <f aca="false">IF(ISBLANK(B177),"",B177&amp;"|"&amp;C177)</f>
        <v/>
      </c>
      <c r="B177" s="133"/>
      <c r="C177" s="133"/>
      <c r="D177" s="133"/>
      <c r="E177" s="139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</row>
    <row r="178" customFormat="false" ht="15.75" hidden="false" customHeight="false" outlineLevel="0" collapsed="false">
      <c r="A178" s="133" t="str">
        <f aca="false">IF(ISBLANK(B178),"",B178&amp;"|"&amp;C178)</f>
        <v/>
      </c>
      <c r="B178" s="133"/>
      <c r="C178" s="133"/>
      <c r="D178" s="133"/>
      <c r="E178" s="139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</row>
    <row r="179" customFormat="false" ht="15.75" hidden="false" customHeight="false" outlineLevel="0" collapsed="false">
      <c r="A179" s="133" t="str">
        <f aca="false">IF(ISBLANK(B179),"",B179&amp;"|"&amp;C179)</f>
        <v/>
      </c>
      <c r="B179" s="133"/>
      <c r="C179" s="133"/>
      <c r="D179" s="133"/>
      <c r="E179" s="139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</row>
    <row r="180" customFormat="false" ht="15.75" hidden="false" customHeight="false" outlineLevel="0" collapsed="false">
      <c r="A180" s="133" t="str">
        <f aca="false">IF(ISBLANK(B180),"",B180&amp;"|"&amp;C180)</f>
        <v/>
      </c>
      <c r="B180" s="133"/>
      <c r="C180" s="133"/>
      <c r="D180" s="133"/>
      <c r="E180" s="139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</row>
    <row r="181" customFormat="false" ht="15.75" hidden="false" customHeight="false" outlineLevel="0" collapsed="false">
      <c r="A181" s="133" t="str">
        <f aca="false">IF(ISBLANK(B181),"",B181&amp;"|"&amp;C181)</f>
        <v/>
      </c>
      <c r="B181" s="133"/>
      <c r="C181" s="133"/>
      <c r="D181" s="133"/>
      <c r="E181" s="139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</row>
    <row r="182" customFormat="false" ht="15.75" hidden="false" customHeight="false" outlineLevel="0" collapsed="false">
      <c r="A182" s="133" t="str">
        <f aca="false">IF(ISBLANK(B182),"",B182&amp;"|"&amp;C182)</f>
        <v/>
      </c>
      <c r="B182" s="133"/>
      <c r="C182" s="133"/>
      <c r="D182" s="133"/>
      <c r="E182" s="139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</row>
    <row r="183" customFormat="false" ht="15.75" hidden="false" customHeight="false" outlineLevel="0" collapsed="false">
      <c r="A183" s="133" t="str">
        <f aca="false">IF(ISBLANK(B183),"",B183&amp;"|"&amp;C183)</f>
        <v/>
      </c>
      <c r="B183" s="133"/>
      <c r="C183" s="133"/>
      <c r="D183" s="133"/>
      <c r="E183" s="139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</row>
    <row r="184" customFormat="false" ht="15.75" hidden="false" customHeight="false" outlineLevel="0" collapsed="false">
      <c r="A184" s="133" t="str">
        <f aca="false">IF(ISBLANK(B184),"",B184&amp;"|"&amp;C184)</f>
        <v/>
      </c>
      <c r="B184" s="133"/>
      <c r="C184" s="133"/>
      <c r="D184" s="133"/>
      <c r="E184" s="139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</row>
    <row r="185" customFormat="false" ht="15.75" hidden="false" customHeight="false" outlineLevel="0" collapsed="false">
      <c r="A185" s="133" t="str">
        <f aca="false">IF(ISBLANK(B185),"",B185&amp;"|"&amp;C185)</f>
        <v/>
      </c>
      <c r="B185" s="133"/>
      <c r="C185" s="133"/>
      <c r="D185" s="133"/>
      <c r="E185" s="139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</row>
    <row r="186" customFormat="false" ht="15.75" hidden="false" customHeight="false" outlineLevel="0" collapsed="false">
      <c r="A186" s="133" t="str">
        <f aca="false">IF(ISBLANK(B186),"",B186&amp;"|"&amp;C186)</f>
        <v/>
      </c>
      <c r="B186" s="133"/>
      <c r="C186" s="133"/>
      <c r="D186" s="133"/>
      <c r="E186" s="139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</row>
    <row r="187" customFormat="false" ht="15.75" hidden="false" customHeight="false" outlineLevel="0" collapsed="false">
      <c r="A187" s="133" t="str">
        <f aca="false">IF(ISBLANK(B187),"",B187&amp;"|"&amp;C187)</f>
        <v/>
      </c>
      <c r="B187" s="133"/>
      <c r="C187" s="133"/>
      <c r="D187" s="133"/>
      <c r="E187" s="139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</row>
    <row r="188" customFormat="false" ht="15.75" hidden="false" customHeight="false" outlineLevel="0" collapsed="false">
      <c r="A188" s="133" t="str">
        <f aca="false">IF(ISBLANK(B188),"",B188&amp;"|"&amp;C188)</f>
        <v/>
      </c>
      <c r="B188" s="133"/>
      <c r="C188" s="133"/>
      <c r="D188" s="133"/>
      <c r="E188" s="139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</row>
    <row r="189" customFormat="false" ht="15.75" hidden="false" customHeight="false" outlineLevel="0" collapsed="false">
      <c r="A189" s="133" t="str">
        <f aca="false">IF(ISBLANK(B189),"",B189&amp;"|"&amp;C189)</f>
        <v/>
      </c>
      <c r="B189" s="133"/>
      <c r="C189" s="133"/>
      <c r="D189" s="133"/>
      <c r="E189" s="139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</row>
    <row r="190" customFormat="false" ht="15.75" hidden="false" customHeight="false" outlineLevel="0" collapsed="false">
      <c r="A190" s="133" t="str">
        <f aca="false">IF(ISBLANK(B190),"",B190&amp;"|"&amp;C190)</f>
        <v/>
      </c>
      <c r="B190" s="133"/>
      <c r="C190" s="133"/>
      <c r="D190" s="133"/>
      <c r="E190" s="139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</row>
    <row r="191" customFormat="false" ht="15.75" hidden="false" customHeight="false" outlineLevel="0" collapsed="false">
      <c r="A191" s="133" t="str">
        <f aca="false">IF(ISBLANK(B191),"",B191&amp;"|"&amp;C191)</f>
        <v/>
      </c>
      <c r="B191" s="133"/>
      <c r="C191" s="133"/>
      <c r="D191" s="133"/>
      <c r="E191" s="139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</row>
    <row r="192" customFormat="false" ht="15.75" hidden="false" customHeight="false" outlineLevel="0" collapsed="false">
      <c r="A192" s="133" t="str">
        <f aca="false">IF(ISBLANK(B192),"",B192&amp;"|"&amp;C192)</f>
        <v/>
      </c>
      <c r="B192" s="133"/>
      <c r="C192" s="133"/>
      <c r="D192" s="133"/>
      <c r="E192" s="139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</row>
    <row r="193" customFormat="false" ht="15.75" hidden="false" customHeight="false" outlineLevel="0" collapsed="false">
      <c r="A193" s="133" t="str">
        <f aca="false">IF(ISBLANK(B193),"",B193&amp;"|"&amp;C193)</f>
        <v/>
      </c>
      <c r="B193" s="133"/>
      <c r="C193" s="133"/>
      <c r="D193" s="133"/>
      <c r="E193" s="139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</row>
    <row r="194" customFormat="false" ht="15.75" hidden="false" customHeight="false" outlineLevel="0" collapsed="false">
      <c r="A194" s="133" t="str">
        <f aca="false">IF(ISBLANK(B194),"",B194&amp;"|"&amp;C194)</f>
        <v/>
      </c>
      <c r="B194" s="133"/>
      <c r="C194" s="133"/>
      <c r="D194" s="133"/>
      <c r="E194" s="139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</row>
    <row r="195" customFormat="false" ht="15.75" hidden="false" customHeight="false" outlineLevel="0" collapsed="false">
      <c r="A195" s="133" t="str">
        <f aca="false">IF(ISBLANK(B195),"",B195&amp;"|"&amp;C195)</f>
        <v/>
      </c>
      <c r="B195" s="133"/>
      <c r="C195" s="133"/>
      <c r="D195" s="133"/>
      <c r="E195" s="139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</row>
    <row r="196" customFormat="false" ht="15.75" hidden="false" customHeight="false" outlineLevel="0" collapsed="false">
      <c r="A196" s="133" t="str">
        <f aca="false">IF(ISBLANK(B196),"",B196&amp;"|"&amp;C196)</f>
        <v/>
      </c>
      <c r="B196" s="133"/>
      <c r="C196" s="133"/>
      <c r="D196" s="133"/>
      <c r="E196" s="139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</row>
    <row r="197" customFormat="false" ht="15.75" hidden="false" customHeight="false" outlineLevel="0" collapsed="false">
      <c r="A197" s="133" t="str">
        <f aca="false">IF(ISBLANK(B197),"",B197&amp;"|"&amp;C197)</f>
        <v/>
      </c>
      <c r="B197" s="133"/>
      <c r="C197" s="133"/>
      <c r="D197" s="133"/>
      <c r="E197" s="139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</row>
    <row r="198" customFormat="false" ht="15.75" hidden="false" customHeight="false" outlineLevel="0" collapsed="false">
      <c r="A198" s="133" t="str">
        <f aca="false">IF(ISBLANK(B198),"",B198&amp;"|"&amp;C198)</f>
        <v/>
      </c>
      <c r="B198" s="133"/>
      <c r="C198" s="133"/>
      <c r="D198" s="133"/>
      <c r="E198" s="139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</row>
    <row r="199" customFormat="false" ht="15.75" hidden="false" customHeight="false" outlineLevel="0" collapsed="false">
      <c r="A199" s="133" t="str">
        <f aca="false">IF(ISBLANK(B199),"",B199&amp;"|"&amp;C199)</f>
        <v/>
      </c>
      <c r="B199" s="133"/>
      <c r="C199" s="133"/>
      <c r="D199" s="133"/>
      <c r="E199" s="139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</row>
    <row r="200" customFormat="false" ht="15.75" hidden="false" customHeight="false" outlineLevel="0" collapsed="false">
      <c r="A200" s="133" t="str">
        <f aca="false">IF(ISBLANK(B200),"",B200&amp;"|"&amp;C200)</f>
        <v/>
      </c>
      <c r="B200" s="133"/>
      <c r="C200" s="133"/>
      <c r="D200" s="133"/>
      <c r="E200" s="139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</row>
    <row r="201" customFormat="false" ht="15.75" hidden="false" customHeight="false" outlineLevel="0" collapsed="false">
      <c r="A201" s="133" t="str">
        <f aca="false">IF(ISBLANK(B201),"",B201&amp;"|"&amp;C201)</f>
        <v/>
      </c>
      <c r="B201" s="133"/>
      <c r="C201" s="133"/>
      <c r="D201" s="133"/>
      <c r="E201" s="139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</row>
    <row r="202" customFormat="false" ht="15.75" hidden="false" customHeight="false" outlineLevel="0" collapsed="false">
      <c r="A202" s="133" t="str">
        <f aca="false">IF(ISBLANK(B202),"",B202&amp;"|"&amp;C202)</f>
        <v/>
      </c>
      <c r="B202" s="133"/>
      <c r="C202" s="133"/>
      <c r="D202" s="133"/>
      <c r="E202" s="139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</row>
    <row r="203" customFormat="false" ht="15.75" hidden="false" customHeight="false" outlineLevel="0" collapsed="false">
      <c r="A203" s="133" t="str">
        <f aca="false">IF(ISBLANK(B203),"",B203&amp;"|"&amp;C203)</f>
        <v/>
      </c>
      <c r="B203" s="133"/>
      <c r="C203" s="133"/>
      <c r="D203" s="133"/>
      <c r="E203" s="139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</row>
    <row r="204" customFormat="false" ht="15.75" hidden="false" customHeight="false" outlineLevel="0" collapsed="false">
      <c r="A204" s="133" t="str">
        <f aca="false">IF(ISBLANK(B204),"",B204&amp;"|"&amp;C204)</f>
        <v/>
      </c>
      <c r="B204" s="133"/>
      <c r="C204" s="133"/>
      <c r="D204" s="133"/>
      <c r="E204" s="139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</row>
    <row r="205" customFormat="false" ht="15.75" hidden="false" customHeight="false" outlineLevel="0" collapsed="false">
      <c r="A205" s="133" t="str">
        <f aca="false">IF(ISBLANK(B205),"",B205&amp;"|"&amp;C205)</f>
        <v/>
      </c>
      <c r="B205" s="133"/>
      <c r="C205" s="133"/>
      <c r="D205" s="133"/>
      <c r="E205" s="139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</row>
    <row r="206" customFormat="false" ht="15.75" hidden="false" customHeight="false" outlineLevel="0" collapsed="false">
      <c r="A206" s="133" t="str">
        <f aca="false">IF(ISBLANK(B206),"",B206&amp;"|"&amp;C206)</f>
        <v/>
      </c>
      <c r="B206" s="133"/>
      <c r="C206" s="133"/>
      <c r="D206" s="133"/>
      <c r="E206" s="139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</row>
    <row r="207" customFormat="false" ht="15.75" hidden="false" customHeight="false" outlineLevel="0" collapsed="false">
      <c r="A207" s="133" t="str">
        <f aca="false">IF(ISBLANK(B207),"",B207&amp;"|"&amp;C207)</f>
        <v/>
      </c>
      <c r="B207" s="133"/>
      <c r="C207" s="133"/>
      <c r="D207" s="133"/>
      <c r="E207" s="139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</row>
    <row r="208" customFormat="false" ht="15.75" hidden="false" customHeight="false" outlineLevel="0" collapsed="false">
      <c r="A208" s="133" t="str">
        <f aca="false">IF(ISBLANK(B208),"",B208&amp;"|"&amp;C208)</f>
        <v/>
      </c>
      <c r="B208" s="133"/>
      <c r="C208" s="133"/>
      <c r="D208" s="133"/>
      <c r="E208" s="139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</row>
    <row r="209" customFormat="false" ht="15.75" hidden="false" customHeight="false" outlineLevel="0" collapsed="false">
      <c r="A209" s="133" t="str">
        <f aca="false">IF(ISBLANK(B209),"",B209&amp;"|"&amp;C209)</f>
        <v/>
      </c>
      <c r="B209" s="133"/>
      <c r="C209" s="133"/>
      <c r="D209" s="133"/>
      <c r="E209" s="139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</row>
    <row r="210" customFormat="false" ht="15.75" hidden="false" customHeight="false" outlineLevel="0" collapsed="false">
      <c r="A210" s="133" t="str">
        <f aca="false">IF(ISBLANK(B210),"",B210&amp;"|"&amp;C210)</f>
        <v/>
      </c>
      <c r="B210" s="133"/>
      <c r="C210" s="133"/>
      <c r="D210" s="133"/>
      <c r="E210" s="139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</row>
    <row r="211" customFormat="false" ht="15.75" hidden="false" customHeight="false" outlineLevel="0" collapsed="false">
      <c r="A211" s="133" t="str">
        <f aca="false">IF(ISBLANK(B211),"",B211&amp;"|"&amp;C211)</f>
        <v/>
      </c>
      <c r="B211" s="133"/>
      <c r="C211" s="133"/>
      <c r="D211" s="133"/>
      <c r="E211" s="139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</row>
    <row r="212" customFormat="false" ht="15.75" hidden="false" customHeight="false" outlineLevel="0" collapsed="false">
      <c r="A212" s="133" t="str">
        <f aca="false">IF(ISBLANK(B212),"",B212&amp;"|"&amp;C212)</f>
        <v/>
      </c>
      <c r="B212" s="133"/>
      <c r="C212" s="133"/>
      <c r="D212" s="133"/>
      <c r="E212" s="139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</row>
    <row r="213" customFormat="false" ht="15.75" hidden="false" customHeight="false" outlineLevel="0" collapsed="false">
      <c r="A213" s="133" t="str">
        <f aca="false">IF(ISBLANK(B213),"",B213&amp;"|"&amp;C213)</f>
        <v/>
      </c>
      <c r="B213" s="133"/>
      <c r="C213" s="133"/>
      <c r="D213" s="133"/>
      <c r="E213" s="139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</row>
    <row r="214" customFormat="false" ht="15.75" hidden="false" customHeight="false" outlineLevel="0" collapsed="false">
      <c r="A214" s="133" t="str">
        <f aca="false">IF(ISBLANK(B214),"",B214&amp;"|"&amp;C214)</f>
        <v/>
      </c>
      <c r="B214" s="133"/>
      <c r="C214" s="133"/>
      <c r="D214" s="133"/>
      <c r="E214" s="139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</row>
    <row r="215" customFormat="false" ht="15.75" hidden="false" customHeight="false" outlineLevel="0" collapsed="false">
      <c r="A215" s="133" t="str">
        <f aca="false">IF(ISBLANK(B215),"",B215&amp;"|"&amp;C215)</f>
        <v/>
      </c>
      <c r="B215" s="133"/>
      <c r="C215" s="133"/>
      <c r="D215" s="133"/>
      <c r="E215" s="139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</row>
    <row r="216" customFormat="false" ht="15.75" hidden="false" customHeight="false" outlineLevel="0" collapsed="false">
      <c r="A216" s="133" t="str">
        <f aca="false">IF(ISBLANK(B216),"",B216&amp;"|"&amp;C216)</f>
        <v/>
      </c>
      <c r="B216" s="133"/>
      <c r="C216" s="133"/>
      <c r="D216" s="133"/>
      <c r="E216" s="139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</row>
    <row r="217" customFormat="false" ht="15.75" hidden="false" customHeight="false" outlineLevel="0" collapsed="false">
      <c r="A217" s="133" t="str">
        <f aca="false">IF(ISBLANK(B217),"",B217&amp;"|"&amp;C217)</f>
        <v/>
      </c>
      <c r="B217" s="133"/>
      <c r="C217" s="133"/>
      <c r="D217" s="133"/>
      <c r="E217" s="139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</row>
    <row r="218" customFormat="false" ht="15.75" hidden="false" customHeight="false" outlineLevel="0" collapsed="false">
      <c r="A218" s="133" t="str">
        <f aca="false">IF(ISBLANK(B218),"",B218&amp;"|"&amp;C218)</f>
        <v/>
      </c>
      <c r="B218" s="133"/>
      <c r="C218" s="133"/>
      <c r="D218" s="133"/>
      <c r="E218" s="139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</row>
    <row r="219" customFormat="false" ht="15.75" hidden="false" customHeight="false" outlineLevel="0" collapsed="false">
      <c r="A219" s="133" t="str">
        <f aca="false">IF(ISBLANK(B219),"",B219&amp;"|"&amp;C219)</f>
        <v/>
      </c>
      <c r="B219" s="133"/>
      <c r="C219" s="133"/>
      <c r="D219" s="133"/>
      <c r="E219" s="139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</row>
    <row r="220" customFormat="false" ht="15.75" hidden="false" customHeight="false" outlineLevel="0" collapsed="false">
      <c r="A220" s="133" t="str">
        <f aca="false">IF(ISBLANK(B220),"",B220&amp;"|"&amp;C220)</f>
        <v/>
      </c>
      <c r="B220" s="133"/>
      <c r="C220" s="133"/>
      <c r="D220" s="133"/>
      <c r="E220" s="139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</row>
    <row r="221" customFormat="false" ht="15.75" hidden="false" customHeight="false" outlineLevel="0" collapsed="false">
      <c r="A221" s="133" t="str">
        <f aca="false">IF(ISBLANK(B221),"",B221&amp;"|"&amp;C221)</f>
        <v/>
      </c>
      <c r="B221" s="133"/>
      <c r="C221" s="133"/>
      <c r="D221" s="133"/>
      <c r="E221" s="139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</row>
    <row r="222" customFormat="false" ht="15.75" hidden="false" customHeight="false" outlineLevel="0" collapsed="false">
      <c r="A222" s="133" t="str">
        <f aca="false">IF(ISBLANK(B222),"",B222&amp;"|"&amp;C222)</f>
        <v/>
      </c>
      <c r="B222" s="133"/>
      <c r="C222" s="133"/>
      <c r="D222" s="133"/>
      <c r="E222" s="139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</row>
    <row r="223" customFormat="false" ht="15.75" hidden="false" customHeight="false" outlineLevel="0" collapsed="false">
      <c r="A223" s="133" t="str">
        <f aca="false">IF(ISBLANK(B223),"",B223&amp;"|"&amp;C223)</f>
        <v/>
      </c>
      <c r="B223" s="133"/>
      <c r="C223" s="133"/>
      <c r="D223" s="133"/>
      <c r="E223" s="139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</row>
    <row r="224" customFormat="false" ht="15.75" hidden="false" customHeight="false" outlineLevel="0" collapsed="false">
      <c r="A224" s="133" t="str">
        <f aca="false">IF(ISBLANK(B224),"",B224&amp;"|"&amp;C224)</f>
        <v/>
      </c>
      <c r="B224" s="133"/>
      <c r="C224" s="133"/>
      <c r="D224" s="133"/>
      <c r="E224" s="139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</row>
    <row r="225" customFormat="false" ht="15.75" hidden="false" customHeight="false" outlineLevel="0" collapsed="false">
      <c r="A225" s="133" t="str">
        <f aca="false">IF(ISBLANK(B225),"",B225&amp;"|"&amp;C225)</f>
        <v/>
      </c>
      <c r="B225" s="133"/>
      <c r="C225" s="133"/>
      <c r="D225" s="133"/>
      <c r="E225" s="139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</row>
    <row r="226" customFormat="false" ht="15.75" hidden="false" customHeight="false" outlineLevel="0" collapsed="false">
      <c r="A226" s="133" t="str">
        <f aca="false">IF(ISBLANK(B226),"",B226&amp;"|"&amp;C226)</f>
        <v/>
      </c>
      <c r="B226" s="133"/>
      <c r="C226" s="133"/>
      <c r="D226" s="133"/>
      <c r="E226" s="139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</row>
    <row r="227" customFormat="false" ht="15.75" hidden="false" customHeight="false" outlineLevel="0" collapsed="false">
      <c r="A227" s="133" t="str">
        <f aca="false">IF(ISBLANK(B227),"",B227&amp;"|"&amp;C227)</f>
        <v/>
      </c>
      <c r="B227" s="133"/>
      <c r="C227" s="133"/>
      <c r="D227" s="133"/>
      <c r="E227" s="139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</row>
    <row r="228" customFormat="false" ht="15.75" hidden="false" customHeight="false" outlineLevel="0" collapsed="false">
      <c r="A228" s="133" t="str">
        <f aca="false">IF(ISBLANK(B228),"",B228&amp;"|"&amp;C228)</f>
        <v/>
      </c>
      <c r="B228" s="133"/>
      <c r="C228" s="133"/>
      <c r="D228" s="133"/>
      <c r="E228" s="139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</row>
    <row r="229" customFormat="false" ht="15.75" hidden="false" customHeight="false" outlineLevel="0" collapsed="false">
      <c r="A229" s="133" t="str">
        <f aca="false">IF(ISBLANK(B229),"",B229&amp;"|"&amp;C229)</f>
        <v/>
      </c>
      <c r="B229" s="133"/>
      <c r="C229" s="133"/>
      <c r="D229" s="133"/>
      <c r="E229" s="139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</row>
    <row r="230" customFormat="false" ht="15.75" hidden="false" customHeight="false" outlineLevel="0" collapsed="false">
      <c r="A230" s="133" t="str">
        <f aca="false">IF(ISBLANK(B230),"",B230&amp;"|"&amp;C230)</f>
        <v/>
      </c>
      <c r="B230" s="133"/>
      <c r="C230" s="133"/>
      <c r="D230" s="133"/>
      <c r="E230" s="139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</row>
    <row r="231" customFormat="false" ht="15.75" hidden="false" customHeight="false" outlineLevel="0" collapsed="false">
      <c r="A231" s="133" t="str">
        <f aca="false">IF(ISBLANK(B231),"",B231&amp;"|"&amp;C231)</f>
        <v/>
      </c>
      <c r="B231" s="133"/>
      <c r="C231" s="133"/>
      <c r="D231" s="133"/>
      <c r="E231" s="139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</row>
    <row r="232" customFormat="false" ht="15.75" hidden="false" customHeight="false" outlineLevel="0" collapsed="false">
      <c r="A232" s="133" t="str">
        <f aca="false">IF(ISBLANK(B232),"",B232&amp;"|"&amp;C232)</f>
        <v/>
      </c>
      <c r="B232" s="133"/>
      <c r="C232" s="133"/>
      <c r="D232" s="133"/>
      <c r="E232" s="139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</row>
    <row r="233" customFormat="false" ht="15.75" hidden="false" customHeight="false" outlineLevel="0" collapsed="false">
      <c r="A233" s="133" t="str">
        <f aca="false">IF(ISBLANK(B233),"",B233&amp;"|"&amp;C233)</f>
        <v/>
      </c>
      <c r="B233" s="133"/>
      <c r="C233" s="133"/>
      <c r="D233" s="133"/>
      <c r="E233" s="139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</row>
    <row r="234" customFormat="false" ht="15.75" hidden="false" customHeight="false" outlineLevel="0" collapsed="false">
      <c r="A234" s="133" t="str">
        <f aca="false">IF(ISBLANK(B234),"",B234&amp;"|"&amp;C234)</f>
        <v/>
      </c>
      <c r="B234" s="133"/>
      <c r="C234" s="133"/>
      <c r="D234" s="133"/>
      <c r="E234" s="139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</row>
    <row r="235" customFormat="false" ht="15.75" hidden="false" customHeight="false" outlineLevel="0" collapsed="false">
      <c r="A235" s="133" t="str">
        <f aca="false">IF(ISBLANK(B235),"",B235&amp;"|"&amp;C235)</f>
        <v/>
      </c>
      <c r="B235" s="133"/>
      <c r="C235" s="133"/>
      <c r="D235" s="133"/>
      <c r="E235" s="139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</row>
    <row r="236" customFormat="false" ht="15.75" hidden="false" customHeight="false" outlineLevel="0" collapsed="false">
      <c r="A236" s="133" t="str">
        <f aca="false">IF(ISBLANK(B236),"",B236&amp;"|"&amp;C236)</f>
        <v/>
      </c>
      <c r="B236" s="133"/>
      <c r="C236" s="133"/>
      <c r="D236" s="133"/>
      <c r="E236" s="139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</row>
    <row r="237" customFormat="false" ht="15.75" hidden="false" customHeight="false" outlineLevel="0" collapsed="false">
      <c r="A237" s="133" t="str">
        <f aca="false">IF(ISBLANK(B237),"",B237&amp;"|"&amp;C237)</f>
        <v/>
      </c>
      <c r="B237" s="133"/>
      <c r="C237" s="133"/>
      <c r="D237" s="133"/>
      <c r="E237" s="139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</row>
    <row r="238" customFormat="false" ht="15.75" hidden="false" customHeight="false" outlineLevel="0" collapsed="false">
      <c r="A238" s="133" t="str">
        <f aca="false">IF(ISBLANK(B238),"",B238&amp;"|"&amp;C238)</f>
        <v/>
      </c>
      <c r="B238" s="133"/>
      <c r="C238" s="133"/>
      <c r="D238" s="133"/>
      <c r="E238" s="139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</row>
    <row r="239" customFormat="false" ht="15.75" hidden="false" customHeight="false" outlineLevel="0" collapsed="false">
      <c r="A239" s="133" t="str">
        <f aca="false">IF(ISBLANK(B239),"",B239&amp;"|"&amp;C239)</f>
        <v/>
      </c>
      <c r="B239" s="133"/>
      <c r="C239" s="133"/>
      <c r="D239" s="133"/>
      <c r="E239" s="139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</row>
    <row r="240" customFormat="false" ht="15.75" hidden="false" customHeight="false" outlineLevel="0" collapsed="false">
      <c r="A240" s="133" t="str">
        <f aca="false">IF(ISBLANK(B240),"",B240&amp;"|"&amp;C240)</f>
        <v/>
      </c>
      <c r="B240" s="133"/>
      <c r="C240" s="133"/>
      <c r="D240" s="133"/>
      <c r="E240" s="139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</row>
    <row r="241" customFormat="false" ht="15.75" hidden="false" customHeight="false" outlineLevel="0" collapsed="false">
      <c r="A241" s="133" t="str">
        <f aca="false">IF(ISBLANK(B241),"",B241&amp;"|"&amp;C241)</f>
        <v/>
      </c>
      <c r="B241" s="133"/>
      <c r="C241" s="133"/>
      <c r="D241" s="133"/>
      <c r="E241" s="139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</row>
    <row r="242" customFormat="false" ht="15.75" hidden="false" customHeight="false" outlineLevel="0" collapsed="false">
      <c r="A242" s="133" t="str">
        <f aca="false">IF(ISBLANK(B242),"",B242&amp;"|"&amp;C242)</f>
        <v/>
      </c>
      <c r="B242" s="133"/>
      <c r="C242" s="133"/>
      <c r="D242" s="133"/>
      <c r="E242" s="139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</row>
    <row r="243" customFormat="false" ht="15.75" hidden="false" customHeight="false" outlineLevel="0" collapsed="false">
      <c r="A243" s="133" t="str">
        <f aca="false">IF(ISBLANK(B243),"",B243&amp;"|"&amp;C243)</f>
        <v/>
      </c>
      <c r="B243" s="133"/>
      <c r="C243" s="133"/>
      <c r="D243" s="133"/>
      <c r="E243" s="139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</row>
    <row r="244" customFormat="false" ht="15.75" hidden="false" customHeight="false" outlineLevel="0" collapsed="false">
      <c r="A244" s="133" t="str">
        <f aca="false">IF(ISBLANK(B244),"",B244&amp;"|"&amp;C244)</f>
        <v/>
      </c>
      <c r="B244" s="133"/>
      <c r="C244" s="133"/>
      <c r="D244" s="133"/>
      <c r="E244" s="139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</row>
    <row r="245" customFormat="false" ht="15.75" hidden="false" customHeight="false" outlineLevel="0" collapsed="false">
      <c r="A245" s="133" t="str">
        <f aca="false">IF(ISBLANK(B245),"",B245&amp;"|"&amp;C245)</f>
        <v/>
      </c>
      <c r="B245" s="133"/>
      <c r="C245" s="133"/>
      <c r="D245" s="133"/>
      <c r="E245" s="139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</row>
    <row r="246" customFormat="false" ht="15.75" hidden="false" customHeight="false" outlineLevel="0" collapsed="false">
      <c r="A246" s="133" t="str">
        <f aca="false">IF(ISBLANK(B246),"",B246&amp;"|"&amp;C246)</f>
        <v/>
      </c>
      <c r="B246" s="133"/>
      <c r="C246" s="133"/>
      <c r="D246" s="133"/>
      <c r="E246" s="139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</row>
    <row r="247" customFormat="false" ht="15.75" hidden="false" customHeight="false" outlineLevel="0" collapsed="false">
      <c r="A247" s="133" t="str">
        <f aca="false">IF(ISBLANK(B247),"",B247&amp;"|"&amp;C247)</f>
        <v/>
      </c>
      <c r="B247" s="133"/>
      <c r="C247" s="133"/>
      <c r="D247" s="133"/>
      <c r="E247" s="139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</row>
    <row r="248" customFormat="false" ht="15.75" hidden="false" customHeight="false" outlineLevel="0" collapsed="false">
      <c r="A248" s="133" t="str">
        <f aca="false">IF(ISBLANK(B248),"",B248&amp;"|"&amp;C248)</f>
        <v/>
      </c>
      <c r="B248" s="133"/>
      <c r="C248" s="133"/>
      <c r="D248" s="133"/>
      <c r="E248" s="139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</row>
    <row r="249" customFormat="false" ht="15.75" hidden="false" customHeight="false" outlineLevel="0" collapsed="false">
      <c r="A249" s="133" t="str">
        <f aca="false">IF(ISBLANK(B249),"",B249&amp;"|"&amp;C249)</f>
        <v/>
      </c>
      <c r="B249" s="133"/>
      <c r="C249" s="133"/>
      <c r="D249" s="133"/>
      <c r="E249" s="139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</row>
    <row r="250" customFormat="false" ht="15.75" hidden="false" customHeight="false" outlineLevel="0" collapsed="false">
      <c r="A250" s="133" t="str">
        <f aca="false">IF(ISBLANK(B250),"",B250&amp;"|"&amp;C250)</f>
        <v/>
      </c>
      <c r="B250" s="133"/>
      <c r="C250" s="133"/>
      <c r="D250" s="133"/>
      <c r="E250" s="139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</row>
    <row r="251" customFormat="false" ht="15.75" hidden="false" customHeight="false" outlineLevel="0" collapsed="false">
      <c r="A251" s="133" t="str">
        <f aca="false">IF(ISBLANK(B251),"",B251&amp;"|"&amp;C251)</f>
        <v/>
      </c>
      <c r="B251" s="133"/>
      <c r="C251" s="133"/>
      <c r="D251" s="133"/>
      <c r="E251" s="139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</row>
    <row r="252" customFormat="false" ht="15.75" hidden="false" customHeight="false" outlineLevel="0" collapsed="false">
      <c r="A252" s="133" t="str">
        <f aca="false">IF(ISBLANK(B252),"",B252&amp;"|"&amp;C252)</f>
        <v/>
      </c>
      <c r="B252" s="133"/>
      <c r="C252" s="133"/>
      <c r="D252" s="133"/>
      <c r="E252" s="139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</row>
    <row r="253" customFormat="false" ht="15.75" hidden="false" customHeight="false" outlineLevel="0" collapsed="false">
      <c r="A253" s="133" t="str">
        <f aca="false">IF(ISBLANK(B253),"",B253&amp;"|"&amp;C253)</f>
        <v/>
      </c>
      <c r="B253" s="133"/>
      <c r="C253" s="133"/>
      <c r="D253" s="133"/>
      <c r="E253" s="139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</row>
    <row r="254" customFormat="false" ht="15.75" hidden="false" customHeight="false" outlineLevel="0" collapsed="false">
      <c r="A254" s="133" t="str">
        <f aca="false">IF(ISBLANK(B254),"",B254&amp;"|"&amp;C254)</f>
        <v/>
      </c>
      <c r="B254" s="133"/>
      <c r="C254" s="133"/>
      <c r="D254" s="133"/>
      <c r="E254" s="139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</row>
    <row r="255" customFormat="false" ht="15.75" hidden="false" customHeight="false" outlineLevel="0" collapsed="false">
      <c r="A255" s="133" t="str">
        <f aca="false">IF(ISBLANK(B255),"",B255&amp;"|"&amp;C255)</f>
        <v/>
      </c>
      <c r="B255" s="133"/>
      <c r="C255" s="133"/>
      <c r="D255" s="133"/>
      <c r="E255" s="139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</row>
    <row r="256" customFormat="false" ht="15.75" hidden="false" customHeight="false" outlineLevel="0" collapsed="false">
      <c r="A256" s="133" t="str">
        <f aca="false">IF(ISBLANK(B256),"",B256&amp;"|"&amp;C256)</f>
        <v/>
      </c>
      <c r="B256" s="133"/>
      <c r="C256" s="133"/>
      <c r="D256" s="133"/>
      <c r="E256" s="139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</row>
    <row r="257" customFormat="false" ht="15.75" hidden="false" customHeight="false" outlineLevel="0" collapsed="false">
      <c r="A257" s="133" t="str">
        <f aca="false">IF(ISBLANK(B257),"",B257&amp;"|"&amp;C257)</f>
        <v/>
      </c>
      <c r="B257" s="133"/>
      <c r="C257" s="133"/>
      <c r="D257" s="133"/>
      <c r="E257" s="139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</row>
    <row r="258" customFormat="false" ht="15.75" hidden="false" customHeight="false" outlineLevel="0" collapsed="false">
      <c r="A258" s="133" t="str">
        <f aca="false">IF(ISBLANK(B258),"",B258&amp;"|"&amp;C258)</f>
        <v/>
      </c>
      <c r="B258" s="133"/>
      <c r="C258" s="133"/>
      <c r="D258" s="133"/>
      <c r="E258" s="139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</row>
    <row r="259" customFormat="false" ht="15.75" hidden="false" customHeight="false" outlineLevel="0" collapsed="false">
      <c r="A259" s="133" t="str">
        <f aca="false">IF(ISBLANK(B259),"",B259&amp;"|"&amp;C259)</f>
        <v/>
      </c>
      <c r="B259" s="133"/>
      <c r="C259" s="133"/>
      <c r="D259" s="133"/>
      <c r="E259" s="139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</row>
    <row r="260" customFormat="false" ht="15.75" hidden="false" customHeight="false" outlineLevel="0" collapsed="false">
      <c r="A260" s="133" t="str">
        <f aca="false">IF(ISBLANK(B260),"",B260&amp;"|"&amp;C260)</f>
        <v/>
      </c>
      <c r="B260" s="133"/>
      <c r="C260" s="133"/>
      <c r="D260" s="133"/>
      <c r="E260" s="139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</row>
    <row r="261" customFormat="false" ht="15.75" hidden="false" customHeight="false" outlineLevel="0" collapsed="false">
      <c r="A261" s="133" t="str">
        <f aca="false">IF(ISBLANK(B261),"",B261&amp;"|"&amp;C261)</f>
        <v/>
      </c>
      <c r="B261" s="133"/>
      <c r="C261" s="133"/>
      <c r="D261" s="133"/>
      <c r="E261" s="139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</row>
    <row r="262" customFormat="false" ht="15.75" hidden="false" customHeight="false" outlineLevel="0" collapsed="false">
      <c r="A262" s="133" t="str">
        <f aca="false">IF(ISBLANK(B262),"",B262&amp;"|"&amp;C262)</f>
        <v/>
      </c>
      <c r="B262" s="133"/>
      <c r="C262" s="133"/>
      <c r="D262" s="133"/>
      <c r="E262" s="139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</row>
    <row r="263" customFormat="false" ht="15.75" hidden="false" customHeight="false" outlineLevel="0" collapsed="false">
      <c r="A263" s="133" t="str">
        <f aca="false">IF(ISBLANK(B263),"",B263&amp;"|"&amp;C263)</f>
        <v/>
      </c>
      <c r="B263" s="133"/>
      <c r="C263" s="133"/>
      <c r="D263" s="133"/>
      <c r="E263" s="139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</row>
    <row r="264" customFormat="false" ht="15.75" hidden="false" customHeight="false" outlineLevel="0" collapsed="false">
      <c r="A264" s="133" t="str">
        <f aca="false">IF(ISBLANK(B264),"",B264&amp;"|"&amp;C264)</f>
        <v/>
      </c>
      <c r="B264" s="133"/>
      <c r="C264" s="133"/>
      <c r="D264" s="133"/>
      <c r="E264" s="139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</row>
    <row r="265" customFormat="false" ht="15.75" hidden="false" customHeight="false" outlineLevel="0" collapsed="false">
      <c r="A265" s="133" t="str">
        <f aca="false">IF(ISBLANK(B265),"",B265&amp;"|"&amp;C265)</f>
        <v/>
      </c>
      <c r="B265" s="133"/>
      <c r="C265" s="133"/>
      <c r="D265" s="133"/>
      <c r="E265" s="139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</row>
    <row r="266" customFormat="false" ht="15.75" hidden="false" customHeight="false" outlineLevel="0" collapsed="false">
      <c r="A266" s="133" t="str">
        <f aca="false">IF(ISBLANK(B266),"",B266&amp;"|"&amp;C266)</f>
        <v/>
      </c>
      <c r="B266" s="133"/>
      <c r="C266" s="133"/>
      <c r="D266" s="133"/>
      <c r="E266" s="139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</row>
    <row r="267" customFormat="false" ht="15.75" hidden="false" customHeight="false" outlineLevel="0" collapsed="false">
      <c r="A267" s="133" t="str">
        <f aca="false">IF(ISBLANK(B267),"",B267&amp;"|"&amp;C267)</f>
        <v/>
      </c>
      <c r="B267" s="133"/>
      <c r="C267" s="133"/>
      <c r="D267" s="133"/>
      <c r="E267" s="139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</row>
    <row r="268" customFormat="false" ht="15.75" hidden="false" customHeight="false" outlineLevel="0" collapsed="false">
      <c r="A268" s="133" t="str">
        <f aca="false">IF(ISBLANK(B268),"",B268&amp;"|"&amp;C268)</f>
        <v/>
      </c>
      <c r="B268" s="133"/>
      <c r="C268" s="133"/>
      <c r="D268" s="133"/>
      <c r="E268" s="139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</row>
    <row r="269" customFormat="false" ht="15.75" hidden="false" customHeight="false" outlineLevel="0" collapsed="false">
      <c r="A269" s="133" t="str">
        <f aca="false">IF(ISBLANK(B269),"",B269&amp;"|"&amp;C269)</f>
        <v/>
      </c>
      <c r="B269" s="133"/>
      <c r="C269" s="133"/>
      <c r="D269" s="133"/>
      <c r="E269" s="139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</row>
    <row r="270" customFormat="false" ht="15.75" hidden="false" customHeight="false" outlineLevel="0" collapsed="false">
      <c r="A270" s="133" t="str">
        <f aca="false">IF(ISBLANK(B270),"",B270&amp;"|"&amp;C270)</f>
        <v/>
      </c>
      <c r="B270" s="133"/>
      <c r="C270" s="133"/>
      <c r="D270" s="133"/>
      <c r="E270" s="139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</row>
    <row r="271" customFormat="false" ht="15.75" hidden="false" customHeight="false" outlineLevel="0" collapsed="false">
      <c r="A271" s="133" t="str">
        <f aca="false">IF(ISBLANK(B271),"",B271&amp;"|"&amp;C271)</f>
        <v/>
      </c>
      <c r="B271" s="133"/>
      <c r="C271" s="133"/>
      <c r="D271" s="133"/>
      <c r="E271" s="139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</row>
    <row r="272" customFormat="false" ht="15.75" hidden="false" customHeight="false" outlineLevel="0" collapsed="false">
      <c r="A272" s="133" t="str">
        <f aca="false">IF(ISBLANK(B272),"",B272&amp;"|"&amp;C272)</f>
        <v/>
      </c>
      <c r="B272" s="133"/>
      <c r="C272" s="133"/>
      <c r="D272" s="133"/>
      <c r="E272" s="139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</row>
    <row r="273" customFormat="false" ht="15.75" hidden="false" customHeight="false" outlineLevel="0" collapsed="false">
      <c r="A273" s="133" t="str">
        <f aca="false">IF(ISBLANK(B273),"",B273&amp;"|"&amp;C273)</f>
        <v/>
      </c>
      <c r="B273" s="133"/>
      <c r="C273" s="133"/>
      <c r="D273" s="133"/>
      <c r="E273" s="139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</row>
    <row r="274" customFormat="false" ht="15.75" hidden="false" customHeight="false" outlineLevel="0" collapsed="false">
      <c r="A274" s="133" t="str">
        <f aca="false">IF(ISBLANK(B274),"",B274&amp;"|"&amp;C274)</f>
        <v/>
      </c>
      <c r="B274" s="133"/>
      <c r="C274" s="133"/>
      <c r="D274" s="133"/>
      <c r="E274" s="139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</row>
    <row r="275" customFormat="false" ht="15.75" hidden="false" customHeight="false" outlineLevel="0" collapsed="false">
      <c r="A275" s="133" t="str">
        <f aca="false">IF(ISBLANK(B275),"",B275&amp;"|"&amp;C275)</f>
        <v/>
      </c>
      <c r="B275" s="133"/>
      <c r="C275" s="133"/>
      <c r="D275" s="133"/>
      <c r="E275" s="139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</row>
    <row r="276" customFormat="false" ht="15.75" hidden="false" customHeight="false" outlineLevel="0" collapsed="false">
      <c r="A276" s="133" t="str">
        <f aca="false">IF(ISBLANK(B276),"",B276&amp;"|"&amp;C276)</f>
        <v/>
      </c>
      <c r="B276" s="133"/>
      <c r="C276" s="133"/>
      <c r="D276" s="133"/>
      <c r="E276" s="139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</row>
    <row r="277" customFormat="false" ht="15.75" hidden="false" customHeight="false" outlineLevel="0" collapsed="false">
      <c r="A277" s="133" t="str">
        <f aca="false">IF(ISBLANK(B277),"",B277&amp;"|"&amp;C277)</f>
        <v/>
      </c>
      <c r="B277" s="133"/>
      <c r="C277" s="133"/>
      <c r="D277" s="133"/>
      <c r="E277" s="139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</row>
    <row r="278" customFormat="false" ht="15.75" hidden="false" customHeight="false" outlineLevel="0" collapsed="false">
      <c r="A278" s="133" t="str">
        <f aca="false">IF(ISBLANK(B278),"",B278&amp;"|"&amp;C278)</f>
        <v/>
      </c>
      <c r="B278" s="133"/>
      <c r="C278" s="133"/>
      <c r="D278" s="133"/>
      <c r="E278" s="139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</row>
    <row r="279" customFormat="false" ht="15.75" hidden="false" customHeight="false" outlineLevel="0" collapsed="false">
      <c r="A279" s="133" t="str">
        <f aca="false">IF(ISBLANK(B279),"",B279&amp;"|"&amp;C279)</f>
        <v/>
      </c>
      <c r="B279" s="133"/>
      <c r="C279" s="133"/>
      <c r="D279" s="133"/>
      <c r="E279" s="139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</row>
    <row r="280" customFormat="false" ht="15.75" hidden="false" customHeight="false" outlineLevel="0" collapsed="false">
      <c r="A280" s="133" t="str">
        <f aca="false">IF(ISBLANK(B280),"",B280&amp;"|"&amp;C280)</f>
        <v/>
      </c>
      <c r="B280" s="133"/>
      <c r="C280" s="133"/>
      <c r="D280" s="133"/>
      <c r="E280" s="139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</row>
    <row r="281" customFormat="false" ht="15.75" hidden="false" customHeight="false" outlineLevel="0" collapsed="false">
      <c r="A281" s="133" t="str">
        <f aca="false">IF(ISBLANK(B281),"",B281&amp;"|"&amp;C281)</f>
        <v/>
      </c>
      <c r="B281" s="133"/>
      <c r="C281" s="133"/>
      <c r="D281" s="133"/>
      <c r="E281" s="139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</row>
    <row r="282" customFormat="false" ht="15.75" hidden="false" customHeight="false" outlineLevel="0" collapsed="false">
      <c r="A282" s="133" t="str">
        <f aca="false">IF(ISBLANK(B282),"",B282&amp;"|"&amp;C282)</f>
        <v/>
      </c>
      <c r="B282" s="133"/>
      <c r="C282" s="133"/>
      <c r="D282" s="133"/>
      <c r="E282" s="139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</row>
    <row r="283" customFormat="false" ht="15.75" hidden="false" customHeight="false" outlineLevel="0" collapsed="false">
      <c r="A283" s="133" t="str">
        <f aca="false">IF(ISBLANK(B283),"",B283&amp;"|"&amp;C283)</f>
        <v/>
      </c>
      <c r="B283" s="133"/>
      <c r="C283" s="133"/>
      <c r="D283" s="133"/>
      <c r="E283" s="139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</row>
    <row r="284" customFormat="false" ht="15.75" hidden="false" customHeight="false" outlineLevel="0" collapsed="false">
      <c r="A284" s="133" t="str">
        <f aca="false">IF(ISBLANK(B284),"",B284&amp;"|"&amp;C284)</f>
        <v/>
      </c>
      <c r="B284" s="133"/>
      <c r="C284" s="133"/>
      <c r="D284" s="133"/>
      <c r="E284" s="139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</row>
    <row r="285" customFormat="false" ht="15.75" hidden="false" customHeight="false" outlineLevel="0" collapsed="false">
      <c r="A285" s="133" t="str">
        <f aca="false">IF(ISBLANK(B285),"",B285&amp;"|"&amp;C285)</f>
        <v/>
      </c>
      <c r="B285" s="133"/>
      <c r="C285" s="133"/>
      <c r="D285" s="133"/>
      <c r="E285" s="139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</row>
    <row r="286" customFormat="false" ht="15.75" hidden="false" customHeight="false" outlineLevel="0" collapsed="false">
      <c r="A286" s="133" t="str">
        <f aca="false">IF(ISBLANK(B286),"",B286&amp;"|"&amp;C286)</f>
        <v/>
      </c>
      <c r="B286" s="133"/>
      <c r="C286" s="133"/>
      <c r="D286" s="133"/>
      <c r="E286" s="139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</row>
    <row r="287" customFormat="false" ht="15.75" hidden="false" customHeight="false" outlineLevel="0" collapsed="false">
      <c r="A287" s="133" t="str">
        <f aca="false">IF(ISBLANK(B287),"",B287&amp;"|"&amp;C287)</f>
        <v/>
      </c>
      <c r="B287" s="133"/>
      <c r="C287" s="133"/>
      <c r="D287" s="133"/>
      <c r="E287" s="139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</row>
    <row r="288" customFormat="false" ht="15.75" hidden="false" customHeight="false" outlineLevel="0" collapsed="false">
      <c r="A288" s="133" t="str">
        <f aca="false">IF(ISBLANK(B288),"",B288&amp;"|"&amp;C288)</f>
        <v/>
      </c>
      <c r="B288" s="133"/>
      <c r="C288" s="133"/>
      <c r="D288" s="133"/>
      <c r="E288" s="139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</row>
    <row r="289" customFormat="false" ht="15.75" hidden="false" customHeight="false" outlineLevel="0" collapsed="false">
      <c r="A289" s="133" t="str">
        <f aca="false">IF(ISBLANK(B289),"",B289&amp;"|"&amp;C289)</f>
        <v/>
      </c>
      <c r="B289" s="133"/>
      <c r="C289" s="133"/>
      <c r="D289" s="133"/>
      <c r="E289" s="139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</row>
    <row r="290" customFormat="false" ht="15.75" hidden="false" customHeight="false" outlineLevel="0" collapsed="false">
      <c r="A290" s="133" t="str">
        <f aca="false">IF(ISBLANK(B290),"",B290&amp;"|"&amp;C290)</f>
        <v/>
      </c>
      <c r="B290" s="133"/>
      <c r="C290" s="133"/>
      <c r="D290" s="133"/>
      <c r="E290" s="139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</row>
    <row r="291" customFormat="false" ht="15.75" hidden="false" customHeight="false" outlineLevel="0" collapsed="false">
      <c r="A291" s="133" t="str">
        <f aca="false">IF(ISBLANK(B291),"",B291&amp;"|"&amp;C291)</f>
        <v/>
      </c>
      <c r="B291" s="133"/>
      <c r="C291" s="133"/>
      <c r="D291" s="133"/>
      <c r="E291" s="139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</row>
    <row r="292" customFormat="false" ht="15.75" hidden="false" customHeight="false" outlineLevel="0" collapsed="false">
      <c r="A292" s="133" t="str">
        <f aca="false">IF(ISBLANK(B292),"",B292&amp;"|"&amp;C292)</f>
        <v/>
      </c>
      <c r="B292" s="133"/>
      <c r="C292" s="133"/>
      <c r="D292" s="133"/>
      <c r="E292" s="139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</row>
    <row r="293" customFormat="false" ht="15.75" hidden="false" customHeight="false" outlineLevel="0" collapsed="false">
      <c r="A293" s="133" t="str">
        <f aca="false">IF(ISBLANK(B293),"",B293&amp;"|"&amp;C293)</f>
        <v/>
      </c>
      <c r="B293" s="133"/>
      <c r="C293" s="133"/>
      <c r="D293" s="133"/>
      <c r="E293" s="139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</row>
    <row r="294" customFormat="false" ht="15.75" hidden="false" customHeight="false" outlineLevel="0" collapsed="false">
      <c r="A294" s="133" t="str">
        <f aca="false">IF(ISBLANK(B294),"",B294&amp;"|"&amp;C294)</f>
        <v/>
      </c>
      <c r="B294" s="133"/>
      <c r="C294" s="133"/>
      <c r="D294" s="133"/>
      <c r="E294" s="139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</row>
    <row r="295" customFormat="false" ht="15.75" hidden="false" customHeight="false" outlineLevel="0" collapsed="false">
      <c r="A295" s="133" t="str">
        <f aca="false">IF(ISBLANK(B295),"",B295&amp;"|"&amp;C295)</f>
        <v/>
      </c>
      <c r="B295" s="133"/>
      <c r="C295" s="133"/>
      <c r="D295" s="133"/>
      <c r="E295" s="139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</row>
    <row r="296" customFormat="false" ht="15.75" hidden="false" customHeight="false" outlineLevel="0" collapsed="false">
      <c r="A296" s="133" t="str">
        <f aca="false">IF(ISBLANK(B296),"",B296&amp;"|"&amp;C296)</f>
        <v/>
      </c>
      <c r="B296" s="133"/>
      <c r="C296" s="133"/>
      <c r="D296" s="133"/>
      <c r="E296" s="139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</row>
    <row r="297" customFormat="false" ht="15.75" hidden="false" customHeight="false" outlineLevel="0" collapsed="false">
      <c r="A297" s="133" t="str">
        <f aca="false">IF(ISBLANK(B297),"",B297&amp;"|"&amp;C297)</f>
        <v/>
      </c>
      <c r="B297" s="133"/>
      <c r="C297" s="133"/>
      <c r="D297" s="133"/>
      <c r="E297" s="139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</row>
    <row r="298" customFormat="false" ht="15.75" hidden="false" customHeight="false" outlineLevel="0" collapsed="false">
      <c r="A298" s="133" t="str">
        <f aca="false">IF(ISBLANK(B298),"",B298&amp;"|"&amp;C298)</f>
        <v/>
      </c>
      <c r="B298" s="133"/>
      <c r="C298" s="133"/>
      <c r="D298" s="133"/>
      <c r="E298" s="139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</row>
    <row r="299" customFormat="false" ht="15.75" hidden="false" customHeight="false" outlineLevel="0" collapsed="false">
      <c r="A299" s="133" t="str">
        <f aca="false">IF(ISBLANK(B299),"",B299&amp;"|"&amp;C299)</f>
        <v/>
      </c>
      <c r="B299" s="133"/>
      <c r="C299" s="133"/>
      <c r="D299" s="133"/>
      <c r="E299" s="139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</row>
    <row r="300" customFormat="false" ht="15.75" hidden="false" customHeight="false" outlineLevel="0" collapsed="false">
      <c r="A300" s="133" t="str">
        <f aca="false">IF(ISBLANK(B300),"",B300&amp;"|"&amp;C300)</f>
        <v/>
      </c>
      <c r="B300" s="133"/>
      <c r="C300" s="133"/>
      <c r="D300" s="133"/>
      <c r="E300" s="139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</row>
    <row r="301" customFormat="false" ht="15.75" hidden="false" customHeight="false" outlineLevel="0" collapsed="false">
      <c r="A301" s="133" t="str">
        <f aca="false">IF(ISBLANK(B301),"",B301&amp;"|"&amp;C301)</f>
        <v/>
      </c>
      <c r="B301" s="133"/>
      <c r="C301" s="133"/>
      <c r="D301" s="133"/>
      <c r="E301" s="139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</row>
    <row r="302" customFormat="false" ht="15.75" hidden="false" customHeight="false" outlineLevel="0" collapsed="false">
      <c r="A302" s="133" t="str">
        <f aca="false">IF(ISBLANK(B302),"",B302&amp;"|"&amp;C302)</f>
        <v/>
      </c>
      <c r="B302" s="133"/>
      <c r="C302" s="133"/>
      <c r="D302" s="133"/>
      <c r="E302" s="139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</row>
    <row r="303" customFormat="false" ht="15.75" hidden="false" customHeight="false" outlineLevel="0" collapsed="false">
      <c r="A303" s="133" t="str">
        <f aca="false">IF(ISBLANK(B303),"",B303&amp;"|"&amp;C303)</f>
        <v/>
      </c>
      <c r="B303" s="133"/>
      <c r="C303" s="133"/>
      <c r="D303" s="133"/>
      <c r="E303" s="139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</row>
    <row r="304" customFormat="false" ht="15.75" hidden="false" customHeight="false" outlineLevel="0" collapsed="false">
      <c r="A304" s="133" t="str">
        <f aca="false">IF(ISBLANK(B304),"",B304&amp;"|"&amp;C304)</f>
        <v/>
      </c>
      <c r="B304" s="133"/>
      <c r="C304" s="133"/>
      <c r="D304" s="133"/>
      <c r="E304" s="139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</row>
    <row r="305" customFormat="false" ht="15.75" hidden="false" customHeight="false" outlineLevel="0" collapsed="false">
      <c r="A305" s="133" t="str">
        <f aca="false">IF(ISBLANK(B305),"",B305&amp;"|"&amp;C305)</f>
        <v/>
      </c>
      <c r="B305" s="133"/>
      <c r="C305" s="133"/>
      <c r="D305" s="133"/>
      <c r="E305" s="139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</row>
    <row r="306" customFormat="false" ht="15.75" hidden="false" customHeight="false" outlineLevel="0" collapsed="false">
      <c r="A306" s="133" t="str">
        <f aca="false">IF(ISBLANK(B306),"",B306&amp;"|"&amp;C306)</f>
        <v/>
      </c>
      <c r="B306" s="133"/>
      <c r="C306" s="133"/>
      <c r="D306" s="133"/>
      <c r="E306" s="139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</row>
    <row r="307" customFormat="false" ht="15.75" hidden="false" customHeight="false" outlineLevel="0" collapsed="false">
      <c r="A307" s="133" t="str">
        <f aca="false">IF(ISBLANK(B307),"",B307&amp;"|"&amp;C307)</f>
        <v/>
      </c>
      <c r="B307" s="133"/>
      <c r="C307" s="133"/>
      <c r="D307" s="133"/>
      <c r="E307" s="139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</row>
    <row r="308" customFormat="false" ht="15.75" hidden="false" customHeight="false" outlineLevel="0" collapsed="false">
      <c r="A308" s="133" t="str">
        <f aca="false">IF(ISBLANK(B308),"",B308&amp;"|"&amp;C308)</f>
        <v/>
      </c>
      <c r="B308" s="133"/>
      <c r="C308" s="133"/>
      <c r="D308" s="133"/>
      <c r="E308" s="139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</row>
    <row r="309" customFormat="false" ht="15.75" hidden="false" customHeight="false" outlineLevel="0" collapsed="false">
      <c r="A309" s="133" t="str">
        <f aca="false">IF(ISBLANK(B309),"",B309&amp;"|"&amp;C309)</f>
        <v/>
      </c>
      <c r="B309" s="133"/>
      <c r="C309" s="133"/>
      <c r="D309" s="133"/>
      <c r="E309" s="139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</row>
    <row r="310" customFormat="false" ht="15.75" hidden="false" customHeight="false" outlineLevel="0" collapsed="false">
      <c r="A310" s="133" t="str">
        <f aca="false">IF(ISBLANK(B310),"",B310&amp;"|"&amp;C310)</f>
        <v/>
      </c>
      <c r="B310" s="133"/>
      <c r="C310" s="133"/>
      <c r="D310" s="133"/>
      <c r="E310" s="139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</row>
    <row r="311" customFormat="false" ht="15.75" hidden="false" customHeight="false" outlineLevel="0" collapsed="false">
      <c r="A311" s="133" t="str">
        <f aca="false">IF(ISBLANK(B311),"",B311&amp;"|"&amp;C311)</f>
        <v/>
      </c>
      <c r="B311" s="133"/>
      <c r="C311" s="133"/>
      <c r="D311" s="133"/>
      <c r="E311" s="139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</row>
    <row r="312" customFormat="false" ht="15.75" hidden="false" customHeight="false" outlineLevel="0" collapsed="false">
      <c r="A312" s="133" t="str">
        <f aca="false">IF(ISBLANK(B312),"",B312&amp;"|"&amp;C312)</f>
        <v/>
      </c>
      <c r="B312" s="133"/>
      <c r="C312" s="133"/>
      <c r="D312" s="133"/>
      <c r="E312" s="139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</row>
    <row r="313" customFormat="false" ht="15.75" hidden="false" customHeight="false" outlineLevel="0" collapsed="false">
      <c r="A313" s="133" t="str">
        <f aca="false">IF(ISBLANK(B313),"",B313&amp;"|"&amp;C313)</f>
        <v/>
      </c>
      <c r="B313" s="133"/>
      <c r="C313" s="133"/>
      <c r="D313" s="133"/>
      <c r="E313" s="139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</row>
    <row r="314" customFormat="false" ht="15.75" hidden="false" customHeight="false" outlineLevel="0" collapsed="false">
      <c r="A314" s="133" t="str">
        <f aca="false">IF(ISBLANK(B314),"",B314&amp;"|"&amp;C314)</f>
        <v/>
      </c>
      <c r="B314" s="133"/>
      <c r="C314" s="133"/>
      <c r="D314" s="133"/>
      <c r="E314" s="139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</row>
    <row r="315" customFormat="false" ht="15.75" hidden="false" customHeight="false" outlineLevel="0" collapsed="false">
      <c r="A315" s="133" t="str">
        <f aca="false">IF(ISBLANK(B315),"",B315&amp;"|"&amp;C315)</f>
        <v/>
      </c>
      <c r="B315" s="133"/>
      <c r="C315" s="133"/>
      <c r="D315" s="133"/>
      <c r="E315" s="139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</row>
    <row r="316" customFormat="false" ht="15.75" hidden="false" customHeight="false" outlineLevel="0" collapsed="false">
      <c r="A316" s="133" t="str">
        <f aca="false">IF(ISBLANK(B316),"",B316&amp;"|"&amp;C316)</f>
        <v/>
      </c>
      <c r="B316" s="133"/>
      <c r="C316" s="133"/>
      <c r="D316" s="133"/>
      <c r="E316" s="139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</row>
    <row r="317" customFormat="false" ht="15.75" hidden="false" customHeight="false" outlineLevel="0" collapsed="false">
      <c r="A317" s="133" t="str">
        <f aca="false">IF(ISBLANK(B317),"",B317&amp;"|"&amp;C317)</f>
        <v/>
      </c>
      <c r="B317" s="133"/>
      <c r="C317" s="133"/>
      <c r="D317" s="133"/>
      <c r="E317" s="139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</row>
    <row r="318" customFormat="false" ht="15.75" hidden="false" customHeight="false" outlineLevel="0" collapsed="false">
      <c r="A318" s="133" t="str">
        <f aca="false">IF(ISBLANK(B318),"",B318&amp;"|"&amp;C318)</f>
        <v/>
      </c>
      <c r="B318" s="133"/>
      <c r="C318" s="133"/>
      <c r="D318" s="133"/>
      <c r="E318" s="139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</row>
    <row r="319" customFormat="false" ht="15.75" hidden="false" customHeight="false" outlineLevel="0" collapsed="false">
      <c r="A319" s="133" t="str">
        <f aca="false">IF(ISBLANK(B319),"",B319&amp;"|"&amp;C319)</f>
        <v/>
      </c>
      <c r="B319" s="133"/>
      <c r="C319" s="133"/>
      <c r="D319" s="133"/>
      <c r="E319" s="139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</row>
    <row r="320" customFormat="false" ht="15.75" hidden="false" customHeight="false" outlineLevel="0" collapsed="false">
      <c r="A320" s="133" t="str">
        <f aca="false">IF(ISBLANK(B320),"",B320&amp;"|"&amp;C320)</f>
        <v/>
      </c>
      <c r="B320" s="133"/>
      <c r="C320" s="133"/>
      <c r="D320" s="133"/>
      <c r="E320" s="139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</row>
    <row r="321" customFormat="false" ht="15.75" hidden="false" customHeight="false" outlineLevel="0" collapsed="false">
      <c r="A321" s="133" t="str">
        <f aca="false">IF(ISBLANK(B321),"",B321&amp;"|"&amp;C321)</f>
        <v/>
      </c>
      <c r="B321" s="133"/>
      <c r="C321" s="133"/>
      <c r="D321" s="133"/>
      <c r="E321" s="139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</row>
    <row r="322" customFormat="false" ht="15.75" hidden="false" customHeight="false" outlineLevel="0" collapsed="false">
      <c r="A322" s="133" t="str">
        <f aca="false">IF(ISBLANK(B322),"",B322&amp;"|"&amp;C322)</f>
        <v/>
      </c>
      <c r="B322" s="133"/>
      <c r="C322" s="133"/>
      <c r="D322" s="133"/>
      <c r="E322" s="139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</row>
    <row r="323" customFormat="false" ht="15.75" hidden="false" customHeight="false" outlineLevel="0" collapsed="false">
      <c r="A323" s="133" t="str">
        <f aca="false">IF(ISBLANK(B323),"",B323&amp;"|"&amp;C323)</f>
        <v/>
      </c>
      <c r="B323" s="133"/>
      <c r="C323" s="133"/>
      <c r="D323" s="133"/>
      <c r="E323" s="139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</row>
    <row r="324" customFormat="false" ht="15.75" hidden="false" customHeight="false" outlineLevel="0" collapsed="false">
      <c r="A324" s="133" t="str">
        <f aca="false">IF(ISBLANK(B324),"",B324&amp;"|"&amp;C324)</f>
        <v/>
      </c>
      <c r="B324" s="133"/>
      <c r="C324" s="133"/>
      <c r="D324" s="133"/>
      <c r="E324" s="139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</row>
    <row r="325" customFormat="false" ht="15.75" hidden="false" customHeight="false" outlineLevel="0" collapsed="false">
      <c r="A325" s="133" t="str">
        <f aca="false">IF(ISBLANK(B325),"",B325&amp;"|"&amp;C325)</f>
        <v/>
      </c>
      <c r="B325" s="133"/>
      <c r="C325" s="133"/>
      <c r="D325" s="133"/>
      <c r="E325" s="139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</row>
    <row r="326" customFormat="false" ht="15.75" hidden="false" customHeight="false" outlineLevel="0" collapsed="false">
      <c r="A326" s="133" t="str">
        <f aca="false">IF(ISBLANK(B326),"",B326&amp;"|"&amp;C326)</f>
        <v/>
      </c>
      <c r="B326" s="133"/>
      <c r="C326" s="133"/>
      <c r="D326" s="133"/>
      <c r="E326" s="139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</row>
    <row r="327" customFormat="false" ht="15.75" hidden="false" customHeight="false" outlineLevel="0" collapsed="false">
      <c r="A327" s="133" t="str">
        <f aca="false">IF(ISBLANK(B327),"",B327&amp;"|"&amp;C327)</f>
        <v/>
      </c>
      <c r="B327" s="133"/>
      <c r="C327" s="133"/>
      <c r="D327" s="133"/>
      <c r="E327" s="139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</row>
    <row r="328" customFormat="false" ht="15.75" hidden="false" customHeight="false" outlineLevel="0" collapsed="false">
      <c r="A328" s="133" t="str">
        <f aca="false">IF(ISBLANK(B328),"",B328&amp;"|"&amp;C328)</f>
        <v/>
      </c>
      <c r="B328" s="133"/>
      <c r="C328" s="133"/>
      <c r="D328" s="133"/>
      <c r="E328" s="139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</row>
    <row r="329" customFormat="false" ht="15.75" hidden="false" customHeight="false" outlineLevel="0" collapsed="false">
      <c r="A329" s="133" t="str">
        <f aca="false">IF(ISBLANK(B329),"",B329&amp;"|"&amp;C329)</f>
        <v/>
      </c>
      <c r="B329" s="133"/>
      <c r="C329" s="133"/>
      <c r="D329" s="133"/>
      <c r="E329" s="139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</row>
    <row r="330" customFormat="false" ht="15.75" hidden="false" customHeight="false" outlineLevel="0" collapsed="false">
      <c r="A330" s="133" t="str">
        <f aca="false">IF(ISBLANK(B330),"",B330&amp;"|"&amp;C330)</f>
        <v/>
      </c>
      <c r="B330" s="133"/>
      <c r="C330" s="133"/>
      <c r="D330" s="133"/>
      <c r="E330" s="139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</row>
    <row r="331" customFormat="false" ht="15.75" hidden="false" customHeight="false" outlineLevel="0" collapsed="false">
      <c r="A331" s="133" t="str">
        <f aca="false">IF(ISBLANK(B331),"",B331&amp;"|"&amp;C331)</f>
        <v/>
      </c>
      <c r="B331" s="133"/>
      <c r="C331" s="133"/>
      <c r="D331" s="133"/>
      <c r="E331" s="139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</row>
    <row r="332" customFormat="false" ht="15.75" hidden="false" customHeight="false" outlineLevel="0" collapsed="false">
      <c r="A332" s="133" t="str">
        <f aca="false">IF(ISBLANK(B332),"",B332&amp;"|"&amp;C332)</f>
        <v/>
      </c>
      <c r="B332" s="133"/>
      <c r="C332" s="133"/>
      <c r="D332" s="133"/>
      <c r="E332" s="139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</row>
    <row r="333" customFormat="false" ht="15.75" hidden="false" customHeight="false" outlineLevel="0" collapsed="false">
      <c r="A333" s="133" t="str">
        <f aca="false">IF(ISBLANK(B333),"",B333&amp;"|"&amp;C333)</f>
        <v/>
      </c>
      <c r="B333" s="133"/>
      <c r="C333" s="133"/>
      <c r="D333" s="133"/>
      <c r="E333" s="139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</row>
    <row r="334" customFormat="false" ht="15.75" hidden="false" customHeight="false" outlineLevel="0" collapsed="false">
      <c r="A334" s="133" t="str">
        <f aca="false">IF(ISBLANK(B334),"",B334&amp;"|"&amp;C334)</f>
        <v/>
      </c>
      <c r="B334" s="133"/>
      <c r="C334" s="133"/>
      <c r="D334" s="133"/>
      <c r="E334" s="139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</row>
    <row r="335" customFormat="false" ht="15.75" hidden="false" customHeight="false" outlineLevel="0" collapsed="false">
      <c r="A335" s="133" t="str">
        <f aca="false">IF(ISBLANK(B335),"",B335&amp;"|"&amp;C335)</f>
        <v/>
      </c>
      <c r="B335" s="133"/>
      <c r="C335" s="133"/>
      <c r="D335" s="133"/>
      <c r="E335" s="139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</row>
    <row r="336" customFormat="false" ht="15.75" hidden="false" customHeight="false" outlineLevel="0" collapsed="false">
      <c r="A336" s="133" t="str">
        <f aca="false">IF(ISBLANK(B336),"",B336&amp;"|"&amp;C336)</f>
        <v/>
      </c>
      <c r="B336" s="133"/>
      <c r="C336" s="133"/>
      <c r="D336" s="133"/>
      <c r="E336" s="139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</row>
    <row r="337" customFormat="false" ht="15.75" hidden="false" customHeight="false" outlineLevel="0" collapsed="false">
      <c r="A337" s="133" t="str">
        <f aca="false">IF(ISBLANK(B337),"",B337&amp;"|"&amp;C337)</f>
        <v/>
      </c>
      <c r="B337" s="133"/>
      <c r="C337" s="133"/>
      <c r="D337" s="133"/>
      <c r="E337" s="139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</row>
    <row r="338" customFormat="false" ht="15.75" hidden="false" customHeight="false" outlineLevel="0" collapsed="false">
      <c r="A338" s="133" t="str">
        <f aca="false">IF(ISBLANK(B338),"",B338&amp;"|"&amp;C338)</f>
        <v/>
      </c>
      <c r="B338" s="133"/>
      <c r="C338" s="133"/>
      <c r="D338" s="133"/>
      <c r="E338" s="139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</row>
    <row r="339" customFormat="false" ht="15.75" hidden="false" customHeight="false" outlineLevel="0" collapsed="false">
      <c r="A339" s="133" t="str">
        <f aca="false">IF(ISBLANK(B339),"",B339&amp;"|"&amp;C339)</f>
        <v/>
      </c>
      <c r="B339" s="133"/>
      <c r="C339" s="133"/>
      <c r="D339" s="133"/>
      <c r="E339" s="139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</row>
    <row r="340" customFormat="false" ht="15.75" hidden="false" customHeight="false" outlineLevel="0" collapsed="false">
      <c r="A340" s="133" t="str">
        <f aca="false">IF(ISBLANK(B340),"",B340&amp;"|"&amp;C340)</f>
        <v/>
      </c>
      <c r="B340" s="133"/>
      <c r="C340" s="133"/>
      <c r="D340" s="133"/>
      <c r="E340" s="139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</row>
    <row r="341" customFormat="false" ht="15.75" hidden="false" customHeight="false" outlineLevel="0" collapsed="false">
      <c r="A341" s="133" t="str">
        <f aca="false">IF(ISBLANK(B341),"",B341&amp;"|"&amp;C341)</f>
        <v/>
      </c>
      <c r="B341" s="133"/>
      <c r="C341" s="133"/>
      <c r="D341" s="133"/>
      <c r="E341" s="139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</row>
    <row r="342" customFormat="false" ht="15.75" hidden="false" customHeight="false" outlineLevel="0" collapsed="false">
      <c r="A342" s="133" t="str">
        <f aca="false">IF(ISBLANK(B342),"",B342&amp;"|"&amp;C342)</f>
        <v/>
      </c>
      <c r="B342" s="133"/>
      <c r="C342" s="133"/>
      <c r="D342" s="133"/>
      <c r="E342" s="139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</row>
    <row r="343" customFormat="false" ht="15.75" hidden="false" customHeight="false" outlineLevel="0" collapsed="false">
      <c r="A343" s="133" t="str">
        <f aca="false">IF(ISBLANK(B343),"",B343&amp;"|"&amp;C343)</f>
        <v/>
      </c>
      <c r="B343" s="133"/>
      <c r="C343" s="133"/>
      <c r="D343" s="133"/>
      <c r="E343" s="139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</row>
    <row r="344" customFormat="false" ht="15.75" hidden="false" customHeight="false" outlineLevel="0" collapsed="false">
      <c r="A344" s="133" t="str">
        <f aca="false">IF(ISBLANK(B344),"",B344&amp;"|"&amp;C344)</f>
        <v/>
      </c>
      <c r="B344" s="133"/>
      <c r="C344" s="133"/>
      <c r="D344" s="133"/>
      <c r="E344" s="139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</row>
    <row r="345" customFormat="false" ht="15.75" hidden="false" customHeight="false" outlineLevel="0" collapsed="false">
      <c r="A345" s="133" t="str">
        <f aca="false">IF(ISBLANK(B345),"",B345&amp;"|"&amp;C345)</f>
        <v/>
      </c>
      <c r="B345" s="133"/>
      <c r="C345" s="133"/>
      <c r="D345" s="133"/>
      <c r="E345" s="139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</row>
    <row r="346" customFormat="false" ht="15.75" hidden="false" customHeight="false" outlineLevel="0" collapsed="false">
      <c r="A346" s="133" t="str">
        <f aca="false">IF(ISBLANK(B346),"",B346&amp;"|"&amp;C346)</f>
        <v/>
      </c>
      <c r="B346" s="133"/>
      <c r="C346" s="133"/>
      <c r="D346" s="133"/>
      <c r="E346" s="139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</row>
    <row r="347" customFormat="false" ht="15.75" hidden="false" customHeight="false" outlineLevel="0" collapsed="false">
      <c r="A347" s="133" t="str">
        <f aca="false">IF(ISBLANK(B347),"",B347&amp;"|"&amp;C347)</f>
        <v/>
      </c>
      <c r="B347" s="133"/>
      <c r="C347" s="133"/>
      <c r="D347" s="133"/>
      <c r="E347" s="139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</row>
    <row r="348" customFormat="false" ht="15.75" hidden="false" customHeight="false" outlineLevel="0" collapsed="false">
      <c r="A348" s="133" t="str">
        <f aca="false">IF(ISBLANK(B348),"",B348&amp;"|"&amp;C348)</f>
        <v/>
      </c>
      <c r="B348" s="133"/>
      <c r="C348" s="133"/>
      <c r="D348" s="133"/>
      <c r="E348" s="139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</row>
    <row r="349" customFormat="false" ht="15.75" hidden="false" customHeight="false" outlineLevel="0" collapsed="false">
      <c r="A349" s="133" t="str">
        <f aca="false">IF(ISBLANK(B349),"",B349&amp;"|"&amp;C349)</f>
        <v/>
      </c>
      <c r="B349" s="133"/>
      <c r="C349" s="133"/>
      <c r="D349" s="133"/>
      <c r="E349" s="139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</row>
    <row r="350" customFormat="false" ht="15.75" hidden="false" customHeight="false" outlineLevel="0" collapsed="false">
      <c r="A350" s="133" t="str">
        <f aca="false">IF(ISBLANK(B350),"",B350&amp;"|"&amp;C350)</f>
        <v/>
      </c>
      <c r="B350" s="133"/>
      <c r="C350" s="133"/>
      <c r="D350" s="133"/>
      <c r="E350" s="139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</row>
    <row r="351" customFormat="false" ht="15.75" hidden="false" customHeight="false" outlineLevel="0" collapsed="false">
      <c r="A351" s="133" t="str">
        <f aca="false">IF(ISBLANK(B351),"",B351&amp;"|"&amp;C351)</f>
        <v/>
      </c>
      <c r="B351" s="133"/>
      <c r="C351" s="133"/>
      <c r="D351" s="133"/>
      <c r="E351" s="139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</row>
    <row r="352" customFormat="false" ht="15.75" hidden="false" customHeight="false" outlineLevel="0" collapsed="false">
      <c r="A352" s="133" t="str">
        <f aca="false">IF(ISBLANK(B352),"",B352&amp;"|"&amp;C352)</f>
        <v/>
      </c>
      <c r="B352" s="133"/>
      <c r="C352" s="133"/>
      <c r="D352" s="133"/>
      <c r="E352" s="139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</row>
    <row r="353" customFormat="false" ht="15.75" hidden="false" customHeight="false" outlineLevel="0" collapsed="false">
      <c r="A353" s="133" t="str">
        <f aca="false">IF(ISBLANK(B353),"",B353&amp;"|"&amp;C353)</f>
        <v/>
      </c>
      <c r="B353" s="133"/>
      <c r="C353" s="133"/>
      <c r="D353" s="133"/>
      <c r="E353" s="139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</row>
    <row r="354" customFormat="false" ht="15.75" hidden="false" customHeight="false" outlineLevel="0" collapsed="false">
      <c r="A354" s="133" t="str">
        <f aca="false">IF(ISBLANK(B354),"",B354&amp;"|"&amp;C354)</f>
        <v/>
      </c>
      <c r="B354" s="133"/>
      <c r="C354" s="133"/>
      <c r="D354" s="133"/>
      <c r="E354" s="139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</row>
    <row r="355" customFormat="false" ht="15.75" hidden="false" customHeight="false" outlineLevel="0" collapsed="false">
      <c r="A355" s="133" t="str">
        <f aca="false">IF(ISBLANK(B355),"",B355&amp;"|"&amp;C355)</f>
        <v/>
      </c>
      <c r="B355" s="133"/>
      <c r="C355" s="133"/>
      <c r="D355" s="133"/>
      <c r="E355" s="139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</row>
    <row r="356" customFormat="false" ht="15.75" hidden="false" customHeight="false" outlineLevel="0" collapsed="false">
      <c r="A356" s="133" t="str">
        <f aca="false">IF(ISBLANK(B356),"",B356&amp;"|"&amp;C356)</f>
        <v/>
      </c>
      <c r="B356" s="133"/>
      <c r="C356" s="133"/>
      <c r="D356" s="133"/>
      <c r="E356" s="139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</row>
    <row r="357" customFormat="false" ht="15.75" hidden="false" customHeight="false" outlineLevel="0" collapsed="false">
      <c r="A357" s="133" t="str">
        <f aca="false">IF(ISBLANK(B357),"",B357&amp;"|"&amp;C357)</f>
        <v/>
      </c>
      <c r="B357" s="133"/>
      <c r="C357" s="133"/>
      <c r="D357" s="133"/>
      <c r="E357" s="139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</row>
    <row r="358" customFormat="false" ht="15.75" hidden="false" customHeight="false" outlineLevel="0" collapsed="false">
      <c r="A358" s="133" t="str">
        <f aca="false">IF(ISBLANK(B358),"",B358&amp;"|"&amp;C358)</f>
        <v/>
      </c>
      <c r="B358" s="133"/>
      <c r="C358" s="133"/>
      <c r="D358" s="133"/>
      <c r="E358" s="139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</row>
    <row r="359" customFormat="false" ht="15.75" hidden="false" customHeight="false" outlineLevel="0" collapsed="false">
      <c r="A359" s="133" t="str">
        <f aca="false">IF(ISBLANK(B359),"",B359&amp;"|"&amp;C359)</f>
        <v/>
      </c>
      <c r="B359" s="133"/>
      <c r="C359" s="133"/>
      <c r="D359" s="133"/>
      <c r="E359" s="139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</row>
    <row r="360" customFormat="false" ht="15.75" hidden="false" customHeight="false" outlineLevel="0" collapsed="false">
      <c r="A360" s="133" t="str">
        <f aca="false">IF(ISBLANK(B360),"",B360&amp;"|"&amp;C360)</f>
        <v/>
      </c>
      <c r="B360" s="133"/>
      <c r="C360" s="133"/>
      <c r="D360" s="133"/>
      <c r="E360" s="139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</row>
    <row r="361" customFormat="false" ht="15.75" hidden="false" customHeight="false" outlineLevel="0" collapsed="false">
      <c r="A361" s="133" t="str">
        <f aca="false">IF(ISBLANK(B361),"",B361&amp;"|"&amp;C361)</f>
        <v/>
      </c>
      <c r="B361" s="133"/>
      <c r="C361" s="133"/>
      <c r="D361" s="133"/>
      <c r="E361" s="139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</row>
    <row r="362" customFormat="false" ht="15.75" hidden="false" customHeight="false" outlineLevel="0" collapsed="false">
      <c r="A362" s="133" t="str">
        <f aca="false">IF(ISBLANK(B362),"",B362&amp;"|"&amp;C362)</f>
        <v/>
      </c>
      <c r="B362" s="133"/>
      <c r="C362" s="133"/>
      <c r="D362" s="133"/>
      <c r="E362" s="139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</row>
    <row r="363" customFormat="false" ht="15.75" hidden="false" customHeight="false" outlineLevel="0" collapsed="false">
      <c r="A363" s="133" t="str">
        <f aca="false">IF(ISBLANK(B363),"",B363&amp;"|"&amp;C363)</f>
        <v/>
      </c>
      <c r="B363" s="133"/>
      <c r="C363" s="133"/>
      <c r="D363" s="133"/>
      <c r="E363" s="139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</row>
    <row r="364" customFormat="false" ht="15.75" hidden="false" customHeight="false" outlineLevel="0" collapsed="false">
      <c r="A364" s="133" t="str">
        <f aca="false">IF(ISBLANK(B364),"",B364&amp;"|"&amp;C364)</f>
        <v/>
      </c>
      <c r="B364" s="133"/>
      <c r="C364" s="133"/>
      <c r="D364" s="133"/>
      <c r="E364" s="139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</row>
    <row r="365" customFormat="false" ht="15.75" hidden="false" customHeight="false" outlineLevel="0" collapsed="false">
      <c r="A365" s="133" t="str">
        <f aca="false">IF(ISBLANK(B365),"",B365&amp;"|"&amp;C365)</f>
        <v/>
      </c>
      <c r="B365" s="133"/>
      <c r="C365" s="133"/>
      <c r="D365" s="133"/>
      <c r="E365" s="139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</row>
    <row r="366" customFormat="false" ht="15.75" hidden="false" customHeight="false" outlineLevel="0" collapsed="false">
      <c r="A366" s="133" t="str">
        <f aca="false">IF(ISBLANK(B366),"",B366&amp;"|"&amp;C366)</f>
        <v/>
      </c>
      <c r="B366" s="133"/>
      <c r="C366" s="133"/>
      <c r="D366" s="133"/>
      <c r="E366" s="139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</row>
    <row r="367" customFormat="false" ht="15.75" hidden="false" customHeight="false" outlineLevel="0" collapsed="false">
      <c r="A367" s="133" t="str">
        <f aca="false">IF(ISBLANK(B367),"",B367&amp;"|"&amp;C367)</f>
        <v/>
      </c>
      <c r="B367" s="133"/>
      <c r="C367" s="133"/>
      <c r="D367" s="133"/>
      <c r="E367" s="139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</row>
    <row r="368" customFormat="false" ht="15.75" hidden="false" customHeight="false" outlineLevel="0" collapsed="false">
      <c r="A368" s="133" t="str">
        <f aca="false">IF(ISBLANK(B368),"",B368&amp;"|"&amp;C368)</f>
        <v/>
      </c>
      <c r="B368" s="133"/>
      <c r="C368" s="133"/>
      <c r="D368" s="133"/>
      <c r="E368" s="139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</row>
    <row r="369" customFormat="false" ht="15.75" hidden="false" customHeight="false" outlineLevel="0" collapsed="false">
      <c r="A369" s="133" t="str">
        <f aca="false">IF(ISBLANK(B369),"",B369&amp;"|"&amp;C369)</f>
        <v/>
      </c>
      <c r="B369" s="133"/>
      <c r="C369" s="133"/>
      <c r="D369" s="133"/>
      <c r="E369" s="139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</row>
    <row r="370" customFormat="false" ht="15.75" hidden="false" customHeight="false" outlineLevel="0" collapsed="false">
      <c r="A370" s="133" t="str">
        <f aca="false">IF(ISBLANK(B370),"",B370&amp;"|"&amp;C370)</f>
        <v/>
      </c>
      <c r="B370" s="133"/>
      <c r="C370" s="133"/>
      <c r="D370" s="133"/>
      <c r="E370" s="139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</row>
    <row r="371" customFormat="false" ht="15.75" hidden="false" customHeight="false" outlineLevel="0" collapsed="false">
      <c r="A371" s="133" t="str">
        <f aca="false">IF(ISBLANK(B371),"",B371&amp;"|"&amp;C371)</f>
        <v/>
      </c>
      <c r="B371" s="133"/>
      <c r="C371" s="133"/>
      <c r="D371" s="133"/>
      <c r="E371" s="139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</row>
    <row r="372" customFormat="false" ht="15.75" hidden="false" customHeight="false" outlineLevel="0" collapsed="false">
      <c r="A372" s="133" t="str">
        <f aca="false">IF(ISBLANK(B372),"",B372&amp;"|"&amp;C372)</f>
        <v/>
      </c>
      <c r="B372" s="133"/>
      <c r="C372" s="133"/>
      <c r="D372" s="133"/>
      <c r="E372" s="139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</row>
    <row r="373" customFormat="false" ht="15.75" hidden="false" customHeight="false" outlineLevel="0" collapsed="false">
      <c r="A373" s="133" t="str">
        <f aca="false">IF(ISBLANK(B373),"",B373&amp;"|"&amp;C373)</f>
        <v/>
      </c>
      <c r="B373" s="133"/>
      <c r="C373" s="133"/>
      <c r="D373" s="133"/>
      <c r="E373" s="139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</row>
    <row r="374" customFormat="false" ht="15.75" hidden="false" customHeight="false" outlineLevel="0" collapsed="false">
      <c r="A374" s="133" t="str">
        <f aca="false">IF(ISBLANK(B374),"",B374&amp;"|"&amp;C374)</f>
        <v/>
      </c>
      <c r="B374" s="133"/>
      <c r="C374" s="133"/>
      <c r="D374" s="133"/>
      <c r="E374" s="139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</row>
    <row r="375" customFormat="false" ht="15.75" hidden="false" customHeight="false" outlineLevel="0" collapsed="false">
      <c r="A375" s="133" t="str">
        <f aca="false">IF(ISBLANK(B375),"",B375&amp;"|"&amp;C375)</f>
        <v/>
      </c>
      <c r="B375" s="133"/>
      <c r="C375" s="133"/>
      <c r="D375" s="133"/>
      <c r="E375" s="139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</row>
    <row r="376" customFormat="false" ht="15.75" hidden="false" customHeight="false" outlineLevel="0" collapsed="false">
      <c r="A376" s="133" t="str">
        <f aca="false">IF(ISBLANK(B376),"",B376&amp;"|"&amp;C376)</f>
        <v/>
      </c>
      <c r="B376" s="133"/>
      <c r="C376" s="133"/>
      <c r="D376" s="133"/>
      <c r="E376" s="139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</row>
    <row r="377" customFormat="false" ht="15.75" hidden="false" customHeight="false" outlineLevel="0" collapsed="false">
      <c r="A377" s="133" t="str">
        <f aca="false">IF(ISBLANK(B377),"",B377&amp;"|"&amp;C377)</f>
        <v/>
      </c>
      <c r="B377" s="133"/>
      <c r="C377" s="133"/>
      <c r="D377" s="133"/>
      <c r="E377" s="139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</row>
    <row r="378" customFormat="false" ht="15.75" hidden="false" customHeight="false" outlineLevel="0" collapsed="false">
      <c r="A378" s="133" t="str">
        <f aca="false">IF(ISBLANK(B378),"",B378&amp;"|"&amp;C378)</f>
        <v/>
      </c>
      <c r="B378" s="133"/>
      <c r="C378" s="133"/>
      <c r="D378" s="133"/>
      <c r="E378" s="139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</row>
    <row r="379" customFormat="false" ht="15.75" hidden="false" customHeight="false" outlineLevel="0" collapsed="false">
      <c r="A379" s="133" t="str">
        <f aca="false">IF(ISBLANK(B379),"",B379&amp;"|"&amp;C379)</f>
        <v/>
      </c>
      <c r="B379" s="133"/>
      <c r="C379" s="133"/>
      <c r="D379" s="133"/>
      <c r="E379" s="139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</row>
    <row r="380" customFormat="false" ht="15.75" hidden="false" customHeight="false" outlineLevel="0" collapsed="false">
      <c r="A380" s="133" t="str">
        <f aca="false">IF(ISBLANK(B380),"",B380&amp;"|"&amp;C380)</f>
        <v/>
      </c>
      <c r="B380" s="133"/>
      <c r="C380" s="133"/>
      <c r="D380" s="133"/>
      <c r="E380" s="139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</row>
    <row r="381" customFormat="false" ht="15.75" hidden="false" customHeight="false" outlineLevel="0" collapsed="false">
      <c r="A381" s="133" t="str">
        <f aca="false">IF(ISBLANK(B381),"",B381&amp;"|"&amp;C381)</f>
        <v/>
      </c>
      <c r="B381" s="133"/>
      <c r="C381" s="133"/>
      <c r="D381" s="133"/>
      <c r="E381" s="139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</row>
    <row r="382" customFormat="false" ht="15.75" hidden="false" customHeight="false" outlineLevel="0" collapsed="false">
      <c r="A382" s="133" t="str">
        <f aca="false">IF(ISBLANK(B382),"",B382&amp;"|"&amp;C382)</f>
        <v/>
      </c>
      <c r="B382" s="133"/>
      <c r="C382" s="133"/>
      <c r="D382" s="133"/>
      <c r="E382" s="139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</row>
    <row r="383" customFormat="false" ht="15.75" hidden="false" customHeight="false" outlineLevel="0" collapsed="false">
      <c r="A383" s="133" t="str">
        <f aca="false">IF(ISBLANK(B383),"",B383&amp;"|"&amp;C383)</f>
        <v/>
      </c>
      <c r="B383" s="133"/>
      <c r="C383" s="133"/>
      <c r="D383" s="133"/>
      <c r="E383" s="139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</row>
    <row r="384" customFormat="false" ht="15.75" hidden="false" customHeight="false" outlineLevel="0" collapsed="false">
      <c r="A384" s="133" t="str">
        <f aca="false">IF(ISBLANK(B384),"",B384&amp;"|"&amp;C384)</f>
        <v/>
      </c>
      <c r="B384" s="133"/>
      <c r="C384" s="133"/>
      <c r="D384" s="133"/>
      <c r="E384" s="139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</row>
    <row r="385" customFormat="false" ht="15.75" hidden="false" customHeight="false" outlineLevel="0" collapsed="false">
      <c r="A385" s="133" t="str">
        <f aca="false">IF(ISBLANK(B385),"",B385&amp;"|"&amp;C385)</f>
        <v/>
      </c>
      <c r="B385" s="133"/>
      <c r="C385" s="133"/>
      <c r="D385" s="133"/>
      <c r="E385" s="139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</row>
    <row r="386" customFormat="false" ht="15.75" hidden="false" customHeight="false" outlineLevel="0" collapsed="false">
      <c r="A386" s="133" t="str">
        <f aca="false">IF(ISBLANK(B386),"",B386&amp;"|"&amp;C386)</f>
        <v/>
      </c>
      <c r="B386" s="133"/>
      <c r="C386" s="133"/>
      <c r="D386" s="133"/>
      <c r="E386" s="139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</row>
    <row r="387" customFormat="false" ht="15.75" hidden="false" customHeight="false" outlineLevel="0" collapsed="false">
      <c r="A387" s="133" t="str">
        <f aca="false">IF(ISBLANK(B387),"",B387&amp;"|"&amp;C387)</f>
        <v/>
      </c>
      <c r="B387" s="133"/>
      <c r="C387" s="133"/>
      <c r="D387" s="133"/>
      <c r="E387" s="139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</row>
    <row r="388" customFormat="false" ht="15.75" hidden="false" customHeight="false" outlineLevel="0" collapsed="false">
      <c r="A388" s="133" t="str">
        <f aca="false">IF(ISBLANK(B388),"",B388&amp;"|"&amp;C388)</f>
        <v/>
      </c>
      <c r="B388" s="133"/>
      <c r="C388" s="133"/>
      <c r="D388" s="133"/>
      <c r="E388" s="139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</row>
    <row r="389" customFormat="false" ht="15.75" hidden="false" customHeight="false" outlineLevel="0" collapsed="false">
      <c r="A389" s="133" t="str">
        <f aca="false">IF(ISBLANK(B389),"",B389&amp;"|"&amp;C389)</f>
        <v/>
      </c>
      <c r="B389" s="133"/>
      <c r="C389" s="133"/>
      <c r="D389" s="133"/>
      <c r="E389" s="139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</row>
    <row r="390" customFormat="false" ht="15.75" hidden="false" customHeight="false" outlineLevel="0" collapsed="false">
      <c r="A390" s="133" t="str">
        <f aca="false">IF(ISBLANK(B390),"",B390&amp;"|"&amp;C390)</f>
        <v/>
      </c>
      <c r="B390" s="133"/>
      <c r="C390" s="133"/>
      <c r="D390" s="133"/>
      <c r="E390" s="139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</row>
    <row r="391" customFormat="false" ht="15.75" hidden="false" customHeight="false" outlineLevel="0" collapsed="false">
      <c r="A391" s="133" t="str">
        <f aca="false">IF(ISBLANK(B391),"",B391&amp;"|"&amp;C391)</f>
        <v/>
      </c>
      <c r="B391" s="133"/>
      <c r="C391" s="133"/>
      <c r="D391" s="133"/>
      <c r="E391" s="139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</row>
    <row r="392" customFormat="false" ht="15.75" hidden="false" customHeight="false" outlineLevel="0" collapsed="false">
      <c r="A392" s="133" t="str">
        <f aca="false">IF(ISBLANK(B392),"",B392&amp;"|"&amp;C392)</f>
        <v/>
      </c>
      <c r="B392" s="133"/>
      <c r="C392" s="133"/>
      <c r="D392" s="133"/>
      <c r="E392" s="139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</row>
    <row r="393" customFormat="false" ht="15.75" hidden="false" customHeight="false" outlineLevel="0" collapsed="false">
      <c r="A393" s="133" t="str">
        <f aca="false">IF(ISBLANK(B393),"",B393&amp;"|"&amp;C393)</f>
        <v/>
      </c>
      <c r="B393" s="133"/>
      <c r="C393" s="133"/>
      <c r="D393" s="133"/>
      <c r="E393" s="139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</row>
    <row r="394" customFormat="false" ht="15.75" hidden="false" customHeight="false" outlineLevel="0" collapsed="false">
      <c r="A394" s="133" t="str">
        <f aca="false">IF(ISBLANK(B394),"",B394&amp;"|"&amp;C394)</f>
        <v/>
      </c>
      <c r="B394" s="133"/>
      <c r="C394" s="133"/>
      <c r="D394" s="133"/>
      <c r="E394" s="139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</row>
    <row r="395" customFormat="false" ht="15.75" hidden="false" customHeight="false" outlineLevel="0" collapsed="false">
      <c r="A395" s="133" t="str">
        <f aca="false">IF(ISBLANK(B395),"",B395&amp;"|"&amp;C395)</f>
        <v/>
      </c>
      <c r="B395" s="133"/>
      <c r="C395" s="133"/>
      <c r="D395" s="133"/>
      <c r="E395" s="139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</row>
    <row r="396" customFormat="false" ht="15.75" hidden="false" customHeight="false" outlineLevel="0" collapsed="false">
      <c r="A396" s="133" t="str">
        <f aca="false">IF(ISBLANK(B396),"",B396&amp;"|"&amp;C396)</f>
        <v/>
      </c>
      <c r="B396" s="133"/>
      <c r="C396" s="133"/>
      <c r="D396" s="133"/>
      <c r="E396" s="139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</row>
    <row r="397" customFormat="false" ht="15.75" hidden="false" customHeight="false" outlineLevel="0" collapsed="false">
      <c r="A397" s="133" t="str">
        <f aca="false">IF(ISBLANK(B397),"",B397&amp;"|"&amp;C397)</f>
        <v/>
      </c>
      <c r="B397" s="133"/>
      <c r="C397" s="133"/>
      <c r="D397" s="133"/>
      <c r="E397" s="139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</row>
    <row r="398" customFormat="false" ht="15.75" hidden="false" customHeight="false" outlineLevel="0" collapsed="false">
      <c r="A398" s="133" t="str">
        <f aca="false">IF(ISBLANK(B398),"",B398&amp;"|"&amp;C398)</f>
        <v/>
      </c>
      <c r="B398" s="133"/>
      <c r="C398" s="133"/>
      <c r="D398" s="133"/>
      <c r="E398" s="139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</row>
    <row r="399" customFormat="false" ht="15.75" hidden="false" customHeight="false" outlineLevel="0" collapsed="false">
      <c r="A399" s="133" t="str">
        <f aca="false">IF(ISBLANK(B399),"",B399&amp;"|"&amp;C399)</f>
        <v/>
      </c>
      <c r="B399" s="133"/>
      <c r="C399" s="133"/>
      <c r="D399" s="133"/>
      <c r="E399" s="139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</row>
    <row r="400" customFormat="false" ht="15.75" hidden="false" customHeight="false" outlineLevel="0" collapsed="false">
      <c r="A400" s="133" t="str">
        <f aca="false">IF(ISBLANK(B400),"",B400&amp;"|"&amp;C400)</f>
        <v/>
      </c>
      <c r="B400" s="133"/>
      <c r="C400" s="133"/>
      <c r="D400" s="133"/>
      <c r="E400" s="139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</row>
    <row r="401" customFormat="false" ht="15.75" hidden="false" customHeight="false" outlineLevel="0" collapsed="false">
      <c r="A401" s="133" t="str">
        <f aca="false">IF(ISBLANK(B401),"",B401&amp;"|"&amp;C401)</f>
        <v/>
      </c>
      <c r="B401" s="133"/>
      <c r="C401" s="133"/>
      <c r="D401" s="133"/>
      <c r="E401" s="139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</row>
    <row r="402" customFormat="false" ht="15.75" hidden="false" customHeight="false" outlineLevel="0" collapsed="false">
      <c r="A402" s="133" t="str">
        <f aca="false">IF(ISBLANK(B402),"",B402&amp;"|"&amp;C402)</f>
        <v/>
      </c>
      <c r="B402" s="133"/>
      <c r="C402" s="133"/>
      <c r="D402" s="133"/>
      <c r="E402" s="139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</row>
    <row r="403" customFormat="false" ht="15.75" hidden="false" customHeight="false" outlineLevel="0" collapsed="false">
      <c r="A403" s="133" t="str">
        <f aca="false">IF(ISBLANK(B403),"",B403&amp;"|"&amp;C403)</f>
        <v/>
      </c>
      <c r="B403" s="133"/>
      <c r="C403" s="133"/>
      <c r="D403" s="133"/>
      <c r="E403" s="139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</row>
    <row r="404" customFormat="false" ht="15.75" hidden="false" customHeight="false" outlineLevel="0" collapsed="false">
      <c r="A404" s="133" t="str">
        <f aca="false">IF(ISBLANK(B404),"",B404&amp;"|"&amp;C404)</f>
        <v/>
      </c>
      <c r="B404" s="133"/>
      <c r="C404" s="133"/>
      <c r="D404" s="133"/>
      <c r="E404" s="139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</row>
    <row r="405" customFormat="false" ht="15.75" hidden="false" customHeight="false" outlineLevel="0" collapsed="false">
      <c r="A405" s="133" t="str">
        <f aca="false">IF(ISBLANK(B405),"",B405&amp;"|"&amp;C405)</f>
        <v/>
      </c>
      <c r="B405" s="133"/>
      <c r="C405" s="133"/>
      <c r="D405" s="133"/>
      <c r="E405" s="139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</row>
    <row r="406" customFormat="false" ht="15.75" hidden="false" customHeight="false" outlineLevel="0" collapsed="false">
      <c r="A406" s="133" t="str">
        <f aca="false">IF(ISBLANK(B406),"",B406&amp;"|"&amp;C406)</f>
        <v/>
      </c>
      <c r="B406" s="133"/>
      <c r="C406" s="133"/>
      <c r="D406" s="133"/>
      <c r="E406" s="139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</row>
    <row r="407" customFormat="false" ht="15.75" hidden="false" customHeight="false" outlineLevel="0" collapsed="false">
      <c r="A407" s="133" t="str">
        <f aca="false">IF(ISBLANK(B407),"",B407&amp;"|"&amp;C407)</f>
        <v/>
      </c>
      <c r="B407" s="133"/>
      <c r="C407" s="133"/>
      <c r="D407" s="133"/>
      <c r="E407" s="139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</row>
    <row r="408" customFormat="false" ht="15.75" hidden="false" customHeight="false" outlineLevel="0" collapsed="false">
      <c r="A408" s="133" t="str">
        <f aca="false">IF(ISBLANK(B408),"",B408&amp;"|"&amp;C408)</f>
        <v/>
      </c>
      <c r="B408" s="133"/>
      <c r="C408" s="133"/>
      <c r="D408" s="133"/>
      <c r="E408" s="139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</row>
    <row r="409" customFormat="false" ht="15.75" hidden="false" customHeight="false" outlineLevel="0" collapsed="false">
      <c r="A409" s="133" t="str">
        <f aca="false">IF(ISBLANK(B409),"",B409&amp;"|"&amp;C409)</f>
        <v/>
      </c>
      <c r="B409" s="133"/>
      <c r="C409" s="133"/>
      <c r="D409" s="133"/>
      <c r="E409" s="139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</row>
    <row r="410" customFormat="false" ht="15.75" hidden="false" customHeight="false" outlineLevel="0" collapsed="false">
      <c r="A410" s="133" t="str">
        <f aca="false">IF(ISBLANK(B410),"",B410&amp;"|"&amp;C410)</f>
        <v/>
      </c>
      <c r="B410" s="133"/>
      <c r="C410" s="133"/>
      <c r="D410" s="133"/>
      <c r="E410" s="139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</row>
    <row r="411" customFormat="false" ht="15.75" hidden="false" customHeight="false" outlineLevel="0" collapsed="false">
      <c r="A411" s="133" t="str">
        <f aca="false">IF(ISBLANK(B411),"",B411&amp;"|"&amp;C411)</f>
        <v/>
      </c>
      <c r="B411" s="133"/>
      <c r="C411" s="133"/>
      <c r="D411" s="133"/>
      <c r="E411" s="139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</row>
    <row r="412" customFormat="false" ht="15.75" hidden="false" customHeight="false" outlineLevel="0" collapsed="false">
      <c r="A412" s="133" t="str">
        <f aca="false">IF(ISBLANK(B412),"",B412&amp;"|"&amp;C412)</f>
        <v/>
      </c>
      <c r="B412" s="133"/>
      <c r="C412" s="133"/>
      <c r="D412" s="133"/>
      <c r="E412" s="139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</row>
    <row r="413" customFormat="false" ht="15.75" hidden="false" customHeight="false" outlineLevel="0" collapsed="false">
      <c r="A413" s="133" t="str">
        <f aca="false">IF(ISBLANK(B413),"",B413&amp;"|"&amp;C413)</f>
        <v/>
      </c>
      <c r="B413" s="133"/>
      <c r="C413" s="133"/>
      <c r="D413" s="133"/>
      <c r="E413" s="139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</row>
    <row r="414" customFormat="false" ht="15.75" hidden="false" customHeight="false" outlineLevel="0" collapsed="false">
      <c r="A414" s="133" t="str">
        <f aca="false">IF(ISBLANK(B414),"",B414&amp;"|"&amp;C414)</f>
        <v/>
      </c>
      <c r="B414" s="133"/>
      <c r="C414" s="133"/>
      <c r="D414" s="133"/>
      <c r="E414" s="139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</row>
    <row r="415" customFormat="false" ht="15.75" hidden="false" customHeight="false" outlineLevel="0" collapsed="false">
      <c r="A415" s="133" t="str">
        <f aca="false">IF(ISBLANK(B415),"",B415&amp;"|"&amp;C415)</f>
        <v/>
      </c>
      <c r="B415" s="133"/>
      <c r="C415" s="133"/>
      <c r="D415" s="133"/>
      <c r="E415" s="139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</row>
    <row r="416" customFormat="false" ht="15.75" hidden="false" customHeight="false" outlineLevel="0" collapsed="false">
      <c r="A416" s="133" t="str">
        <f aca="false">IF(ISBLANK(B416),"",B416&amp;"|"&amp;C416)</f>
        <v/>
      </c>
      <c r="B416" s="133"/>
      <c r="C416" s="133"/>
      <c r="D416" s="133"/>
      <c r="E416" s="139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</row>
    <row r="417" customFormat="false" ht="15.75" hidden="false" customHeight="false" outlineLevel="0" collapsed="false">
      <c r="A417" s="133" t="str">
        <f aca="false">IF(ISBLANK(B417),"",B417&amp;"|"&amp;C417)</f>
        <v/>
      </c>
      <c r="B417" s="133"/>
      <c r="C417" s="133"/>
      <c r="D417" s="133"/>
      <c r="E417" s="139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</row>
    <row r="418" customFormat="false" ht="15.75" hidden="false" customHeight="false" outlineLevel="0" collapsed="false">
      <c r="A418" s="133" t="str">
        <f aca="false">IF(ISBLANK(B418),"",B418&amp;"|"&amp;C418)</f>
        <v/>
      </c>
      <c r="B418" s="133"/>
      <c r="C418" s="133"/>
      <c r="D418" s="133"/>
      <c r="E418" s="139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</row>
    <row r="419" customFormat="false" ht="15.75" hidden="false" customHeight="false" outlineLevel="0" collapsed="false">
      <c r="A419" s="133" t="str">
        <f aca="false">IF(ISBLANK(B419),"",B419&amp;"|"&amp;C419)</f>
        <v/>
      </c>
      <c r="B419" s="133"/>
      <c r="C419" s="133"/>
      <c r="D419" s="133"/>
      <c r="E419" s="139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</row>
    <row r="420" customFormat="false" ht="15.75" hidden="false" customHeight="false" outlineLevel="0" collapsed="false">
      <c r="A420" s="133" t="str">
        <f aca="false">IF(ISBLANK(B420),"",B420&amp;"|"&amp;C420)</f>
        <v/>
      </c>
      <c r="B420" s="133"/>
      <c r="C420" s="133"/>
      <c r="D420" s="133"/>
      <c r="E420" s="139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</row>
    <row r="421" customFormat="false" ht="15.75" hidden="false" customHeight="false" outlineLevel="0" collapsed="false">
      <c r="A421" s="133" t="str">
        <f aca="false">IF(ISBLANK(B421),"",B421&amp;"|"&amp;C421)</f>
        <v/>
      </c>
      <c r="B421" s="133"/>
      <c r="C421" s="133"/>
      <c r="D421" s="133"/>
      <c r="E421" s="139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</row>
    <row r="422" customFormat="false" ht="15.75" hidden="false" customHeight="false" outlineLevel="0" collapsed="false">
      <c r="A422" s="133" t="str">
        <f aca="false">IF(ISBLANK(B422),"",B422&amp;"|"&amp;C422)</f>
        <v/>
      </c>
      <c r="B422" s="133"/>
      <c r="C422" s="133"/>
      <c r="D422" s="133"/>
      <c r="E422" s="139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</row>
    <row r="423" customFormat="false" ht="15.75" hidden="false" customHeight="false" outlineLevel="0" collapsed="false">
      <c r="A423" s="133" t="str">
        <f aca="false">IF(ISBLANK(B423),"",B423&amp;"|"&amp;C423)</f>
        <v/>
      </c>
      <c r="B423" s="133"/>
      <c r="C423" s="133"/>
      <c r="D423" s="133"/>
      <c r="E423" s="139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</row>
    <row r="424" customFormat="false" ht="15.75" hidden="false" customHeight="false" outlineLevel="0" collapsed="false">
      <c r="A424" s="133" t="str">
        <f aca="false">IF(ISBLANK(B424),"",B424&amp;"|"&amp;C424)</f>
        <v/>
      </c>
      <c r="B424" s="133"/>
      <c r="C424" s="133"/>
      <c r="D424" s="133"/>
      <c r="E424" s="139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</row>
    <row r="425" customFormat="false" ht="15.75" hidden="false" customHeight="false" outlineLevel="0" collapsed="false">
      <c r="A425" s="133" t="str">
        <f aca="false">IF(ISBLANK(B425),"",B425&amp;"|"&amp;C425)</f>
        <v/>
      </c>
      <c r="B425" s="133"/>
      <c r="C425" s="133"/>
      <c r="D425" s="133"/>
      <c r="E425" s="139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</row>
    <row r="426" customFormat="false" ht="15.75" hidden="false" customHeight="false" outlineLevel="0" collapsed="false">
      <c r="A426" s="133" t="str">
        <f aca="false">IF(ISBLANK(B426),"",B426&amp;"|"&amp;C426)</f>
        <v/>
      </c>
      <c r="B426" s="133"/>
      <c r="C426" s="133"/>
      <c r="D426" s="133"/>
      <c r="E426" s="139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</row>
    <row r="427" customFormat="false" ht="15.75" hidden="false" customHeight="false" outlineLevel="0" collapsed="false">
      <c r="A427" s="133" t="str">
        <f aca="false">IF(ISBLANK(B427),"",B427&amp;"|"&amp;C427)</f>
        <v/>
      </c>
      <c r="B427" s="133"/>
      <c r="C427" s="133"/>
      <c r="D427" s="133"/>
      <c r="E427" s="139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</row>
    <row r="428" customFormat="false" ht="15.75" hidden="false" customHeight="false" outlineLevel="0" collapsed="false">
      <c r="A428" s="133" t="str">
        <f aca="false">IF(ISBLANK(B428),"",B428&amp;"|"&amp;C428)</f>
        <v/>
      </c>
      <c r="B428" s="133"/>
      <c r="C428" s="133"/>
      <c r="D428" s="133"/>
      <c r="E428" s="139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</row>
    <row r="429" customFormat="false" ht="15.75" hidden="false" customHeight="false" outlineLevel="0" collapsed="false">
      <c r="A429" s="133" t="str">
        <f aca="false">IF(ISBLANK(B429),"",B429&amp;"|"&amp;C429)</f>
        <v/>
      </c>
      <c r="B429" s="133"/>
      <c r="C429" s="133"/>
      <c r="D429" s="133"/>
      <c r="E429" s="139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</row>
    <row r="430" customFormat="false" ht="15.75" hidden="false" customHeight="false" outlineLevel="0" collapsed="false">
      <c r="A430" s="133" t="str">
        <f aca="false">IF(ISBLANK(B430),"",B430&amp;"|"&amp;C430)</f>
        <v/>
      </c>
      <c r="B430" s="133"/>
      <c r="C430" s="133"/>
      <c r="D430" s="133"/>
      <c r="E430" s="139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</row>
    <row r="431" customFormat="false" ht="15.75" hidden="false" customHeight="false" outlineLevel="0" collapsed="false">
      <c r="A431" s="133" t="str">
        <f aca="false">IF(ISBLANK(B431),"",B431&amp;"|"&amp;C431)</f>
        <v/>
      </c>
      <c r="B431" s="133"/>
      <c r="C431" s="133"/>
      <c r="D431" s="133"/>
      <c r="E431" s="139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</row>
    <row r="432" customFormat="false" ht="15.75" hidden="false" customHeight="false" outlineLevel="0" collapsed="false">
      <c r="A432" s="133" t="str">
        <f aca="false">IF(ISBLANK(B432),"",B432&amp;"|"&amp;C432)</f>
        <v/>
      </c>
      <c r="B432" s="133"/>
      <c r="C432" s="133"/>
      <c r="D432" s="133"/>
      <c r="E432" s="139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</row>
    <row r="433" customFormat="false" ht="15.75" hidden="false" customHeight="false" outlineLevel="0" collapsed="false">
      <c r="A433" s="133" t="str">
        <f aca="false">IF(ISBLANK(B433),"",B433&amp;"|"&amp;C433)</f>
        <v/>
      </c>
      <c r="B433" s="133"/>
      <c r="C433" s="133"/>
      <c r="D433" s="133"/>
      <c r="E433" s="139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</row>
    <row r="434" customFormat="false" ht="15.75" hidden="false" customHeight="false" outlineLevel="0" collapsed="false">
      <c r="A434" s="133" t="str">
        <f aca="false">IF(ISBLANK(B434),"",B434&amp;"|"&amp;C434)</f>
        <v/>
      </c>
      <c r="B434" s="133"/>
      <c r="C434" s="133"/>
      <c r="D434" s="133"/>
      <c r="E434" s="139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</row>
    <row r="435" customFormat="false" ht="15.75" hidden="false" customHeight="false" outlineLevel="0" collapsed="false">
      <c r="A435" s="133" t="str">
        <f aca="false">IF(ISBLANK(B435),"",B435&amp;"|"&amp;C435)</f>
        <v/>
      </c>
      <c r="B435" s="133"/>
      <c r="C435" s="133"/>
      <c r="D435" s="133"/>
      <c r="E435" s="139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</row>
    <row r="436" customFormat="false" ht="15.75" hidden="false" customHeight="false" outlineLevel="0" collapsed="false">
      <c r="A436" s="133" t="str">
        <f aca="false">IF(ISBLANK(B436),"",B436&amp;"|"&amp;C436)</f>
        <v/>
      </c>
      <c r="B436" s="133"/>
      <c r="C436" s="133"/>
      <c r="D436" s="133"/>
      <c r="E436" s="139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</row>
    <row r="437" customFormat="false" ht="15.75" hidden="false" customHeight="false" outlineLevel="0" collapsed="false">
      <c r="A437" s="133" t="str">
        <f aca="false">IF(ISBLANK(B437),"",B437&amp;"|"&amp;C437)</f>
        <v/>
      </c>
      <c r="B437" s="133"/>
      <c r="C437" s="133"/>
      <c r="D437" s="133"/>
      <c r="E437" s="139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</row>
    <row r="438" customFormat="false" ht="15.75" hidden="false" customHeight="false" outlineLevel="0" collapsed="false">
      <c r="A438" s="133" t="str">
        <f aca="false">IF(ISBLANK(B438),"",B438&amp;"|"&amp;C438)</f>
        <v/>
      </c>
      <c r="B438" s="133"/>
      <c r="C438" s="133"/>
      <c r="D438" s="133"/>
      <c r="E438" s="139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</row>
    <row r="439" customFormat="false" ht="15.75" hidden="false" customHeight="false" outlineLevel="0" collapsed="false">
      <c r="A439" s="133" t="str">
        <f aca="false">IF(ISBLANK(B439),"",B439&amp;"|"&amp;C439)</f>
        <v/>
      </c>
      <c r="B439" s="133"/>
      <c r="C439" s="133"/>
      <c r="D439" s="133"/>
      <c r="E439" s="139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</row>
    <row r="440" customFormat="false" ht="15.75" hidden="false" customHeight="false" outlineLevel="0" collapsed="false">
      <c r="A440" s="133" t="str">
        <f aca="false">IF(ISBLANK(B440),"",B440&amp;"|"&amp;C440)</f>
        <v/>
      </c>
      <c r="B440" s="133"/>
      <c r="C440" s="133"/>
      <c r="D440" s="133"/>
      <c r="E440" s="139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</row>
    <row r="441" customFormat="false" ht="15.75" hidden="false" customHeight="false" outlineLevel="0" collapsed="false">
      <c r="A441" s="133" t="str">
        <f aca="false">IF(ISBLANK(B441),"",B441&amp;"|"&amp;C441)</f>
        <v/>
      </c>
      <c r="B441" s="133"/>
      <c r="C441" s="133"/>
      <c r="D441" s="133"/>
      <c r="E441" s="139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</row>
    <row r="442" customFormat="false" ht="15.75" hidden="false" customHeight="false" outlineLevel="0" collapsed="false">
      <c r="A442" s="133" t="str">
        <f aca="false">IF(ISBLANK(B442),"",B442&amp;"|"&amp;C442)</f>
        <v/>
      </c>
      <c r="B442" s="133"/>
      <c r="C442" s="133"/>
      <c r="D442" s="133"/>
      <c r="E442" s="139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</row>
    <row r="443" customFormat="false" ht="15.75" hidden="false" customHeight="false" outlineLevel="0" collapsed="false">
      <c r="A443" s="133" t="str">
        <f aca="false">IF(ISBLANK(B443),"",B443&amp;"|"&amp;C443)</f>
        <v/>
      </c>
      <c r="B443" s="133"/>
      <c r="C443" s="133"/>
      <c r="D443" s="133"/>
      <c r="E443" s="139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</row>
    <row r="444" customFormat="false" ht="15.75" hidden="false" customHeight="false" outlineLevel="0" collapsed="false">
      <c r="A444" s="133" t="str">
        <f aca="false">IF(ISBLANK(B444),"",B444&amp;"|"&amp;C444)</f>
        <v/>
      </c>
      <c r="B444" s="133"/>
      <c r="C444" s="133"/>
      <c r="D444" s="133"/>
      <c r="E444" s="139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</row>
    <row r="445" customFormat="false" ht="15.75" hidden="false" customHeight="false" outlineLevel="0" collapsed="false">
      <c r="A445" s="133" t="str">
        <f aca="false">IF(ISBLANK(B445),"",B445&amp;"|"&amp;C445)</f>
        <v/>
      </c>
      <c r="B445" s="133"/>
      <c r="C445" s="133"/>
      <c r="D445" s="133"/>
      <c r="E445" s="139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</row>
    <row r="446" customFormat="false" ht="15.75" hidden="false" customHeight="false" outlineLevel="0" collapsed="false">
      <c r="A446" s="133" t="str">
        <f aca="false">IF(ISBLANK(B446),"",B446&amp;"|"&amp;C446)</f>
        <v/>
      </c>
      <c r="B446" s="133"/>
      <c r="C446" s="133"/>
      <c r="D446" s="133"/>
      <c r="E446" s="139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</row>
    <row r="447" customFormat="false" ht="15.75" hidden="false" customHeight="false" outlineLevel="0" collapsed="false">
      <c r="A447" s="133" t="str">
        <f aca="false">IF(ISBLANK(B447),"",B447&amp;"|"&amp;C447)</f>
        <v/>
      </c>
      <c r="B447" s="133"/>
      <c r="C447" s="133"/>
      <c r="D447" s="133"/>
      <c r="E447" s="139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</row>
    <row r="448" customFormat="false" ht="15.75" hidden="false" customHeight="false" outlineLevel="0" collapsed="false">
      <c r="A448" s="133" t="str">
        <f aca="false">IF(ISBLANK(B448),"",B448&amp;"|"&amp;C448)</f>
        <v/>
      </c>
      <c r="B448" s="133"/>
      <c r="C448" s="133"/>
      <c r="D448" s="133"/>
      <c r="E448" s="139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</row>
    <row r="449" customFormat="false" ht="15.75" hidden="false" customHeight="false" outlineLevel="0" collapsed="false">
      <c r="A449" s="133" t="str">
        <f aca="false">IF(ISBLANK(B449),"",B449&amp;"|"&amp;C449)</f>
        <v/>
      </c>
      <c r="B449" s="133"/>
      <c r="C449" s="133"/>
      <c r="D449" s="133"/>
      <c r="E449" s="139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</row>
    <row r="450" customFormat="false" ht="15.75" hidden="false" customHeight="false" outlineLevel="0" collapsed="false">
      <c r="A450" s="133" t="str">
        <f aca="false">IF(ISBLANK(B450),"",B450&amp;"|"&amp;C450)</f>
        <v/>
      </c>
      <c r="B450" s="133"/>
      <c r="C450" s="133"/>
      <c r="D450" s="133"/>
      <c r="E450" s="139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</row>
    <row r="451" customFormat="false" ht="15.75" hidden="false" customHeight="false" outlineLevel="0" collapsed="false">
      <c r="A451" s="133" t="str">
        <f aca="false">IF(ISBLANK(B451),"",B451&amp;"|"&amp;C451)</f>
        <v/>
      </c>
      <c r="B451" s="133"/>
      <c r="C451" s="133"/>
      <c r="D451" s="133"/>
      <c r="E451" s="139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</row>
    <row r="452" customFormat="false" ht="15.75" hidden="false" customHeight="false" outlineLevel="0" collapsed="false">
      <c r="A452" s="133" t="str">
        <f aca="false">IF(ISBLANK(B452),"",B452&amp;"|"&amp;C452)</f>
        <v/>
      </c>
      <c r="B452" s="133"/>
      <c r="C452" s="133"/>
      <c r="D452" s="133"/>
      <c r="E452" s="139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</row>
    <row r="453" customFormat="false" ht="15.75" hidden="false" customHeight="false" outlineLevel="0" collapsed="false">
      <c r="A453" s="133" t="str">
        <f aca="false">IF(ISBLANK(B453),"",B453&amp;"|"&amp;C453)</f>
        <v/>
      </c>
      <c r="B453" s="133"/>
      <c r="C453" s="133"/>
      <c r="D453" s="133"/>
      <c r="E453" s="139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</row>
    <row r="454" customFormat="false" ht="15.75" hidden="false" customHeight="false" outlineLevel="0" collapsed="false">
      <c r="A454" s="133" t="str">
        <f aca="false">IF(ISBLANK(B454),"",B454&amp;"|"&amp;C454)</f>
        <v/>
      </c>
      <c r="B454" s="133"/>
      <c r="C454" s="133"/>
      <c r="D454" s="133"/>
      <c r="E454" s="139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</row>
    <row r="455" customFormat="false" ht="15.75" hidden="false" customHeight="false" outlineLevel="0" collapsed="false">
      <c r="A455" s="133" t="str">
        <f aca="false">IF(ISBLANK(B455),"",B455&amp;"|"&amp;C455)</f>
        <v/>
      </c>
      <c r="B455" s="133"/>
      <c r="C455" s="133"/>
      <c r="D455" s="133"/>
      <c r="E455" s="139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</row>
    <row r="456" customFormat="false" ht="15.75" hidden="false" customHeight="false" outlineLevel="0" collapsed="false">
      <c r="A456" s="133" t="str">
        <f aca="false">IF(ISBLANK(B456),"",B456&amp;"|"&amp;C456)</f>
        <v/>
      </c>
      <c r="B456" s="133"/>
      <c r="C456" s="133"/>
      <c r="D456" s="133"/>
      <c r="E456" s="139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</row>
    <row r="457" customFormat="false" ht="15.75" hidden="false" customHeight="false" outlineLevel="0" collapsed="false">
      <c r="A457" s="133" t="str">
        <f aca="false">IF(ISBLANK(B457),"",B457&amp;"|"&amp;C457)</f>
        <v/>
      </c>
      <c r="B457" s="133"/>
      <c r="C457" s="133"/>
      <c r="D457" s="133"/>
      <c r="E457" s="139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</row>
    <row r="458" customFormat="false" ht="15.75" hidden="false" customHeight="false" outlineLevel="0" collapsed="false">
      <c r="A458" s="133" t="str">
        <f aca="false">IF(ISBLANK(B458),"",B458&amp;"|"&amp;C458)</f>
        <v/>
      </c>
      <c r="B458" s="133"/>
      <c r="C458" s="133"/>
      <c r="D458" s="133"/>
      <c r="E458" s="139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</row>
    <row r="459" customFormat="false" ht="15.75" hidden="false" customHeight="false" outlineLevel="0" collapsed="false">
      <c r="A459" s="133" t="str">
        <f aca="false">IF(ISBLANK(B459),"",B459&amp;"|"&amp;C459)</f>
        <v/>
      </c>
      <c r="B459" s="133"/>
      <c r="C459" s="133"/>
      <c r="D459" s="133"/>
      <c r="E459" s="139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</row>
    <row r="460" customFormat="false" ht="15.75" hidden="false" customHeight="false" outlineLevel="0" collapsed="false">
      <c r="A460" s="133" t="str">
        <f aca="false">IF(ISBLANK(B460),"",B460&amp;"|"&amp;C460)</f>
        <v/>
      </c>
      <c r="B460" s="133"/>
      <c r="C460" s="133"/>
      <c r="D460" s="133"/>
      <c r="E460" s="139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</row>
    <row r="461" customFormat="false" ht="15.75" hidden="false" customHeight="false" outlineLevel="0" collapsed="false">
      <c r="A461" s="133" t="str">
        <f aca="false">IF(ISBLANK(B461),"",B461&amp;"|"&amp;C461)</f>
        <v/>
      </c>
      <c r="B461" s="133"/>
      <c r="C461" s="133"/>
      <c r="D461" s="133"/>
      <c r="E461" s="139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</row>
    <row r="462" customFormat="false" ht="15.75" hidden="false" customHeight="false" outlineLevel="0" collapsed="false">
      <c r="A462" s="133" t="str">
        <f aca="false">IF(ISBLANK(B462),"",B462&amp;"|"&amp;C462)</f>
        <v/>
      </c>
      <c r="B462" s="133"/>
      <c r="C462" s="133"/>
      <c r="D462" s="133"/>
      <c r="E462" s="139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</row>
    <row r="463" customFormat="false" ht="15.75" hidden="false" customHeight="false" outlineLevel="0" collapsed="false">
      <c r="A463" s="133" t="str">
        <f aca="false">IF(ISBLANK(B463),"",B463&amp;"|"&amp;C463)</f>
        <v/>
      </c>
      <c r="B463" s="133"/>
      <c r="C463" s="133"/>
      <c r="D463" s="133"/>
      <c r="E463" s="139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</row>
    <row r="464" customFormat="false" ht="15.75" hidden="false" customHeight="false" outlineLevel="0" collapsed="false">
      <c r="A464" s="133" t="str">
        <f aca="false">IF(ISBLANK(B464),"",B464&amp;"|"&amp;C464)</f>
        <v/>
      </c>
      <c r="B464" s="133"/>
      <c r="C464" s="133"/>
      <c r="D464" s="133"/>
      <c r="E464" s="139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</row>
    <row r="465" customFormat="false" ht="15.75" hidden="false" customHeight="false" outlineLevel="0" collapsed="false">
      <c r="A465" s="133" t="str">
        <f aca="false">IF(ISBLANK(B465),"",B465&amp;"|"&amp;C465)</f>
        <v/>
      </c>
      <c r="B465" s="133"/>
      <c r="C465" s="133"/>
      <c r="D465" s="133"/>
      <c r="E465" s="139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</row>
    <row r="466" customFormat="false" ht="15.75" hidden="false" customHeight="false" outlineLevel="0" collapsed="false">
      <c r="A466" s="133" t="str">
        <f aca="false">IF(ISBLANK(B466),"",B466&amp;"|"&amp;C466)</f>
        <v/>
      </c>
      <c r="B466" s="133"/>
      <c r="C466" s="133"/>
      <c r="D466" s="133"/>
      <c r="E466" s="139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</row>
    <row r="467" customFormat="false" ht="15.75" hidden="false" customHeight="false" outlineLevel="0" collapsed="false">
      <c r="A467" s="133" t="str">
        <f aca="false">IF(ISBLANK(B467),"",B467&amp;"|"&amp;C467)</f>
        <v/>
      </c>
      <c r="B467" s="133"/>
      <c r="C467" s="133"/>
      <c r="D467" s="133"/>
      <c r="E467" s="139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</row>
    <row r="468" customFormat="false" ht="15.75" hidden="false" customHeight="false" outlineLevel="0" collapsed="false">
      <c r="A468" s="133" t="str">
        <f aca="false">IF(ISBLANK(B468),"",B468&amp;"|"&amp;C468)</f>
        <v/>
      </c>
      <c r="B468" s="133"/>
      <c r="C468" s="133"/>
      <c r="D468" s="133"/>
      <c r="E468" s="139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</row>
    <row r="469" customFormat="false" ht="15.75" hidden="false" customHeight="false" outlineLevel="0" collapsed="false">
      <c r="A469" s="133" t="str">
        <f aca="false">IF(ISBLANK(B469),"",B469&amp;"|"&amp;C469)</f>
        <v/>
      </c>
      <c r="B469" s="133"/>
      <c r="C469" s="133"/>
      <c r="D469" s="133"/>
      <c r="E469" s="139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</row>
    <row r="470" customFormat="false" ht="15.75" hidden="false" customHeight="false" outlineLevel="0" collapsed="false">
      <c r="A470" s="133" t="str">
        <f aca="false">IF(ISBLANK(B470),"",B470&amp;"|"&amp;C470)</f>
        <v/>
      </c>
      <c r="B470" s="133"/>
      <c r="C470" s="133"/>
      <c r="D470" s="133"/>
      <c r="E470" s="139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</row>
    <row r="471" customFormat="false" ht="15.75" hidden="false" customHeight="false" outlineLevel="0" collapsed="false">
      <c r="A471" s="133" t="str">
        <f aca="false">IF(ISBLANK(B471),"",B471&amp;"|"&amp;C471)</f>
        <v/>
      </c>
      <c r="B471" s="133"/>
      <c r="C471" s="133"/>
      <c r="D471" s="133"/>
      <c r="E471" s="139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</row>
    <row r="472" customFormat="false" ht="15.75" hidden="false" customHeight="false" outlineLevel="0" collapsed="false">
      <c r="A472" s="133" t="str">
        <f aca="false">IF(ISBLANK(B472),"",B472&amp;"|"&amp;C472)</f>
        <v/>
      </c>
      <c r="B472" s="133"/>
      <c r="C472" s="133"/>
      <c r="D472" s="133"/>
      <c r="E472" s="139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</row>
    <row r="473" customFormat="false" ht="15.75" hidden="false" customHeight="false" outlineLevel="0" collapsed="false">
      <c r="A473" s="133" t="str">
        <f aca="false">IF(ISBLANK(B473),"",B473&amp;"|"&amp;C473)</f>
        <v/>
      </c>
      <c r="B473" s="133"/>
      <c r="C473" s="133"/>
      <c r="D473" s="133"/>
      <c r="E473" s="139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</row>
    <row r="474" customFormat="false" ht="15.75" hidden="false" customHeight="false" outlineLevel="0" collapsed="false">
      <c r="A474" s="133" t="str">
        <f aca="false">IF(ISBLANK(B474),"",B474&amp;"|"&amp;C474)</f>
        <v/>
      </c>
      <c r="B474" s="133"/>
      <c r="C474" s="133"/>
      <c r="D474" s="133"/>
      <c r="E474" s="139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</row>
    <row r="475" customFormat="false" ht="15.75" hidden="false" customHeight="false" outlineLevel="0" collapsed="false">
      <c r="A475" s="133" t="str">
        <f aca="false">IF(ISBLANK(B475),"",B475&amp;"|"&amp;C475)</f>
        <v/>
      </c>
      <c r="B475" s="133"/>
      <c r="C475" s="133"/>
      <c r="D475" s="133"/>
      <c r="E475" s="139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</row>
    <row r="476" customFormat="false" ht="15.75" hidden="false" customHeight="false" outlineLevel="0" collapsed="false">
      <c r="A476" s="133" t="str">
        <f aca="false">IF(ISBLANK(B476),"",B476&amp;"|"&amp;C476)</f>
        <v/>
      </c>
      <c r="B476" s="133"/>
      <c r="C476" s="133"/>
      <c r="D476" s="133"/>
      <c r="E476" s="139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</row>
    <row r="477" customFormat="false" ht="15.75" hidden="false" customHeight="false" outlineLevel="0" collapsed="false">
      <c r="A477" s="133" t="str">
        <f aca="false">IF(ISBLANK(B477),"",B477&amp;"|"&amp;C477)</f>
        <v/>
      </c>
      <c r="B477" s="133"/>
      <c r="C477" s="133"/>
      <c r="D477" s="133"/>
      <c r="E477" s="139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</row>
    <row r="478" customFormat="false" ht="15.75" hidden="false" customHeight="false" outlineLevel="0" collapsed="false">
      <c r="A478" s="133" t="str">
        <f aca="false">IF(ISBLANK(B478),"",B478&amp;"|"&amp;C478)</f>
        <v/>
      </c>
      <c r="B478" s="133"/>
      <c r="C478" s="133"/>
      <c r="D478" s="133"/>
      <c r="E478" s="139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</row>
    <row r="479" customFormat="false" ht="15.75" hidden="false" customHeight="false" outlineLevel="0" collapsed="false">
      <c r="A479" s="133" t="str">
        <f aca="false">IF(ISBLANK(B479),"",B479&amp;"|"&amp;C479)</f>
        <v/>
      </c>
      <c r="B479" s="133"/>
      <c r="C479" s="133"/>
      <c r="D479" s="133"/>
      <c r="E479" s="139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</row>
    <row r="480" customFormat="false" ht="15.75" hidden="false" customHeight="false" outlineLevel="0" collapsed="false">
      <c r="A480" s="133" t="str">
        <f aca="false">IF(ISBLANK(B480),"",B480&amp;"|"&amp;C480)</f>
        <v/>
      </c>
      <c r="B480" s="133"/>
      <c r="C480" s="133"/>
      <c r="D480" s="133"/>
      <c r="E480" s="139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</row>
    <row r="481" customFormat="false" ht="15.75" hidden="false" customHeight="false" outlineLevel="0" collapsed="false">
      <c r="A481" s="133" t="str">
        <f aca="false">IF(ISBLANK(B481),"",B481&amp;"|"&amp;C481)</f>
        <v/>
      </c>
      <c r="B481" s="133"/>
      <c r="C481" s="133"/>
      <c r="D481" s="133"/>
      <c r="E481" s="139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</row>
    <row r="482" customFormat="false" ht="15.75" hidden="false" customHeight="false" outlineLevel="0" collapsed="false">
      <c r="A482" s="133" t="str">
        <f aca="false">IF(ISBLANK(B482),"",B482&amp;"|"&amp;C482)</f>
        <v/>
      </c>
      <c r="B482" s="133"/>
      <c r="C482" s="133"/>
      <c r="D482" s="133"/>
      <c r="E482" s="139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</row>
    <row r="483" customFormat="false" ht="15.75" hidden="false" customHeight="false" outlineLevel="0" collapsed="false">
      <c r="A483" s="133" t="str">
        <f aca="false">IF(ISBLANK(B483),"",B483&amp;"|"&amp;C483)</f>
        <v/>
      </c>
      <c r="B483" s="133"/>
      <c r="C483" s="133"/>
      <c r="D483" s="133"/>
      <c r="E483" s="139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</row>
    <row r="484" customFormat="false" ht="15.75" hidden="false" customHeight="false" outlineLevel="0" collapsed="false">
      <c r="A484" s="133" t="str">
        <f aca="false">IF(ISBLANK(B484),"",B484&amp;"|"&amp;C484)</f>
        <v/>
      </c>
      <c r="B484" s="133"/>
      <c r="C484" s="133"/>
      <c r="D484" s="133"/>
      <c r="E484" s="139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</row>
    <row r="485" customFormat="false" ht="15.75" hidden="false" customHeight="false" outlineLevel="0" collapsed="false">
      <c r="A485" s="133" t="str">
        <f aca="false">IF(ISBLANK(B485),"",B485&amp;"|"&amp;C485)</f>
        <v/>
      </c>
      <c r="B485" s="133"/>
      <c r="C485" s="133"/>
      <c r="D485" s="133"/>
      <c r="E485" s="139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</row>
    <row r="486" customFormat="false" ht="15.75" hidden="false" customHeight="false" outlineLevel="0" collapsed="false">
      <c r="A486" s="133" t="str">
        <f aca="false">IF(ISBLANK(B486),"",B486&amp;"|"&amp;C486)</f>
        <v/>
      </c>
      <c r="B486" s="133"/>
      <c r="C486" s="133"/>
      <c r="D486" s="133"/>
      <c r="E486" s="139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</row>
    <row r="487" customFormat="false" ht="15.75" hidden="false" customHeight="false" outlineLevel="0" collapsed="false">
      <c r="A487" s="133" t="str">
        <f aca="false">IF(ISBLANK(B487),"",B487&amp;"|"&amp;C487)</f>
        <v/>
      </c>
      <c r="B487" s="133"/>
      <c r="C487" s="133"/>
      <c r="D487" s="133"/>
      <c r="E487" s="139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</row>
    <row r="488" customFormat="false" ht="15.75" hidden="false" customHeight="false" outlineLevel="0" collapsed="false">
      <c r="A488" s="133" t="str">
        <f aca="false">IF(ISBLANK(B488),"",B488&amp;"|"&amp;C488)</f>
        <v/>
      </c>
      <c r="B488" s="133"/>
      <c r="C488" s="133"/>
      <c r="D488" s="133"/>
      <c r="E488" s="139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</row>
    <row r="489" customFormat="false" ht="15.75" hidden="false" customHeight="false" outlineLevel="0" collapsed="false">
      <c r="A489" s="133" t="str">
        <f aca="false">IF(ISBLANK(B489),"",B489&amp;"|"&amp;C489)</f>
        <v/>
      </c>
      <c r="B489" s="133"/>
      <c r="C489" s="133"/>
      <c r="D489" s="133"/>
      <c r="E489" s="139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</row>
    <row r="490" customFormat="false" ht="15.75" hidden="false" customHeight="false" outlineLevel="0" collapsed="false">
      <c r="A490" s="133" t="str">
        <f aca="false">IF(ISBLANK(B490),"",B490&amp;"|"&amp;C490)</f>
        <v/>
      </c>
      <c r="B490" s="133"/>
      <c r="C490" s="133"/>
      <c r="D490" s="133"/>
      <c r="E490" s="139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</row>
    <row r="491" customFormat="false" ht="15.75" hidden="false" customHeight="false" outlineLevel="0" collapsed="false">
      <c r="A491" s="133" t="str">
        <f aca="false">IF(ISBLANK(B491),"",B491&amp;"|"&amp;C491)</f>
        <v/>
      </c>
      <c r="B491" s="133"/>
      <c r="C491" s="133"/>
      <c r="D491" s="133"/>
      <c r="E491" s="139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</row>
    <row r="492" customFormat="false" ht="15.75" hidden="false" customHeight="false" outlineLevel="0" collapsed="false">
      <c r="A492" s="133" t="str">
        <f aca="false">IF(ISBLANK(B492),"",B492&amp;"|"&amp;C492)</f>
        <v/>
      </c>
      <c r="B492" s="133"/>
      <c r="C492" s="133"/>
      <c r="D492" s="133"/>
      <c r="E492" s="139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</row>
    <row r="493" customFormat="false" ht="15.75" hidden="false" customHeight="false" outlineLevel="0" collapsed="false">
      <c r="A493" s="133" t="str">
        <f aca="false">IF(ISBLANK(B493),"",B493&amp;"|"&amp;C493)</f>
        <v/>
      </c>
      <c r="B493" s="133"/>
      <c r="C493" s="133"/>
      <c r="D493" s="133"/>
      <c r="E493" s="139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</row>
    <row r="494" customFormat="false" ht="15.75" hidden="false" customHeight="false" outlineLevel="0" collapsed="false">
      <c r="A494" s="133" t="str">
        <f aca="false">IF(ISBLANK(B494),"",B494&amp;"|"&amp;C494)</f>
        <v/>
      </c>
      <c r="B494" s="133"/>
      <c r="C494" s="133"/>
      <c r="D494" s="133"/>
      <c r="E494" s="139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</row>
    <row r="495" customFormat="false" ht="15.75" hidden="false" customHeight="false" outlineLevel="0" collapsed="false">
      <c r="A495" s="133" t="str">
        <f aca="false">IF(ISBLANK(B495),"",B495&amp;"|"&amp;C495)</f>
        <v/>
      </c>
      <c r="B495" s="133"/>
      <c r="C495" s="133"/>
      <c r="D495" s="133"/>
      <c r="E495" s="139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</row>
    <row r="496" customFormat="false" ht="15.75" hidden="false" customHeight="false" outlineLevel="0" collapsed="false">
      <c r="A496" s="133" t="str">
        <f aca="false">IF(ISBLANK(B496),"",B496&amp;"|"&amp;C496)</f>
        <v/>
      </c>
      <c r="B496" s="133"/>
      <c r="C496" s="133"/>
      <c r="D496" s="133"/>
      <c r="E496" s="139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</row>
    <row r="497" customFormat="false" ht="15.75" hidden="false" customHeight="false" outlineLevel="0" collapsed="false">
      <c r="A497" s="133" t="str">
        <f aca="false">IF(ISBLANK(B497),"",B497&amp;"|"&amp;C497)</f>
        <v/>
      </c>
      <c r="B497" s="133"/>
      <c r="C497" s="133"/>
      <c r="D497" s="133"/>
      <c r="E497" s="139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</row>
    <row r="498" customFormat="false" ht="15.75" hidden="false" customHeight="false" outlineLevel="0" collapsed="false">
      <c r="A498" s="133" t="str">
        <f aca="false">IF(ISBLANK(B498),"",B498&amp;"|"&amp;C498)</f>
        <v/>
      </c>
      <c r="B498" s="133"/>
      <c r="C498" s="133"/>
      <c r="D498" s="133"/>
      <c r="E498" s="139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</row>
    <row r="499" customFormat="false" ht="15.75" hidden="false" customHeight="false" outlineLevel="0" collapsed="false">
      <c r="A499" s="133" t="str">
        <f aca="false">IF(ISBLANK(B499),"",B499&amp;"|"&amp;C499)</f>
        <v/>
      </c>
      <c r="B499" s="133"/>
      <c r="C499" s="133"/>
      <c r="D499" s="133"/>
      <c r="E499" s="139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</row>
    <row r="500" customFormat="false" ht="15.75" hidden="false" customHeight="false" outlineLevel="0" collapsed="false">
      <c r="A500" s="133" t="str">
        <f aca="false">IF(ISBLANK(B500),"",B500&amp;"|"&amp;C500)</f>
        <v/>
      </c>
      <c r="B500" s="133"/>
      <c r="C500" s="133"/>
      <c r="D500" s="133"/>
      <c r="E500" s="139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</row>
    <row r="501" customFormat="false" ht="15.75" hidden="false" customHeight="false" outlineLevel="0" collapsed="false">
      <c r="A501" s="133" t="str">
        <f aca="false">IF(ISBLANK(B501),"",B501&amp;"|"&amp;C501)</f>
        <v/>
      </c>
      <c r="B501" s="133"/>
      <c r="C501" s="133"/>
      <c r="D501" s="133"/>
      <c r="E501" s="139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</row>
    <row r="502" customFormat="false" ht="15.75" hidden="false" customHeight="false" outlineLevel="0" collapsed="false">
      <c r="A502" s="133" t="str">
        <f aca="false">IF(ISBLANK(B502),"",B502&amp;"|"&amp;C502)</f>
        <v/>
      </c>
      <c r="B502" s="133"/>
      <c r="C502" s="133"/>
      <c r="D502" s="133"/>
      <c r="E502" s="139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</row>
    <row r="503" customFormat="false" ht="15.75" hidden="false" customHeight="false" outlineLevel="0" collapsed="false">
      <c r="A503" s="133" t="str">
        <f aca="false">IF(ISBLANK(B503),"",B503&amp;"|"&amp;C503)</f>
        <v/>
      </c>
      <c r="B503" s="133"/>
      <c r="C503" s="133"/>
      <c r="D503" s="133"/>
      <c r="E503" s="139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</row>
    <row r="504" customFormat="false" ht="15.75" hidden="false" customHeight="false" outlineLevel="0" collapsed="false">
      <c r="A504" s="133" t="str">
        <f aca="false">IF(ISBLANK(B504),"",B504&amp;"|"&amp;C504)</f>
        <v/>
      </c>
      <c r="B504" s="133"/>
      <c r="C504" s="133"/>
      <c r="D504" s="133"/>
      <c r="E504" s="139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</row>
    <row r="505" customFormat="false" ht="15.75" hidden="false" customHeight="false" outlineLevel="0" collapsed="false">
      <c r="A505" s="133" t="str">
        <f aca="false">IF(ISBLANK(B505),"",B505&amp;"|"&amp;C505)</f>
        <v/>
      </c>
      <c r="B505" s="133"/>
      <c r="C505" s="133"/>
      <c r="D505" s="133"/>
      <c r="E505" s="139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</row>
    <row r="506" customFormat="false" ht="15.75" hidden="false" customHeight="false" outlineLevel="0" collapsed="false">
      <c r="A506" s="133" t="str">
        <f aca="false">IF(ISBLANK(B506),"",B506&amp;"|"&amp;C506)</f>
        <v/>
      </c>
      <c r="B506" s="133"/>
      <c r="C506" s="133"/>
      <c r="D506" s="133"/>
      <c r="E506" s="139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</row>
    <row r="507" customFormat="false" ht="15.75" hidden="false" customHeight="false" outlineLevel="0" collapsed="false">
      <c r="A507" s="133" t="str">
        <f aca="false">IF(ISBLANK(B507),"",B507&amp;"|"&amp;C507)</f>
        <v/>
      </c>
      <c r="B507" s="133"/>
      <c r="C507" s="133"/>
      <c r="D507" s="133"/>
      <c r="E507" s="139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</row>
    <row r="508" customFormat="false" ht="15.75" hidden="false" customHeight="false" outlineLevel="0" collapsed="false">
      <c r="A508" s="133" t="str">
        <f aca="false">IF(ISBLANK(B508),"",B508&amp;"|"&amp;C508)</f>
        <v/>
      </c>
      <c r="B508" s="133"/>
      <c r="C508" s="133"/>
      <c r="D508" s="133"/>
      <c r="E508" s="139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</row>
    <row r="509" customFormat="false" ht="15.75" hidden="false" customHeight="false" outlineLevel="0" collapsed="false">
      <c r="A509" s="133" t="str">
        <f aca="false">IF(ISBLANK(B509),"",B509&amp;"|"&amp;C509)</f>
        <v/>
      </c>
      <c r="B509" s="133"/>
      <c r="C509" s="133"/>
      <c r="D509" s="133"/>
      <c r="E509" s="139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</row>
    <row r="510" customFormat="false" ht="15.75" hidden="false" customHeight="false" outlineLevel="0" collapsed="false">
      <c r="A510" s="133" t="str">
        <f aca="false">IF(ISBLANK(B510),"",B510&amp;"|"&amp;C510)</f>
        <v/>
      </c>
      <c r="B510" s="133"/>
      <c r="C510" s="133"/>
      <c r="D510" s="133"/>
      <c r="E510" s="139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</row>
    <row r="511" customFormat="false" ht="15.75" hidden="false" customHeight="false" outlineLevel="0" collapsed="false">
      <c r="A511" s="133" t="str">
        <f aca="false">IF(ISBLANK(B511),"",B511&amp;"|"&amp;C511)</f>
        <v/>
      </c>
      <c r="B511" s="133"/>
      <c r="C511" s="133"/>
      <c r="D511" s="133"/>
      <c r="E511" s="139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</row>
    <row r="512" customFormat="false" ht="15.75" hidden="false" customHeight="false" outlineLevel="0" collapsed="false">
      <c r="A512" s="133" t="str">
        <f aca="false">IF(ISBLANK(B512),"",B512&amp;"|"&amp;C512)</f>
        <v/>
      </c>
      <c r="B512" s="133"/>
      <c r="C512" s="133"/>
      <c r="D512" s="133"/>
      <c r="E512" s="139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</row>
    <row r="513" customFormat="false" ht="15.75" hidden="false" customHeight="false" outlineLevel="0" collapsed="false">
      <c r="A513" s="133" t="str">
        <f aca="false">IF(ISBLANK(B513),"",B513&amp;"|"&amp;C513)</f>
        <v/>
      </c>
      <c r="B513" s="133"/>
      <c r="C513" s="133"/>
      <c r="D513" s="133"/>
      <c r="E513" s="139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</row>
    <row r="514" customFormat="false" ht="15.75" hidden="false" customHeight="false" outlineLevel="0" collapsed="false">
      <c r="A514" s="133" t="str">
        <f aca="false">IF(ISBLANK(B514),"",B514&amp;"|"&amp;C514)</f>
        <v/>
      </c>
      <c r="B514" s="133"/>
      <c r="C514" s="133"/>
      <c r="D514" s="133"/>
      <c r="E514" s="139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</row>
    <row r="515" customFormat="false" ht="15.75" hidden="false" customHeight="false" outlineLevel="0" collapsed="false">
      <c r="A515" s="133" t="str">
        <f aca="false">IF(ISBLANK(B515),"",B515&amp;"|"&amp;C515)</f>
        <v/>
      </c>
      <c r="B515" s="133"/>
      <c r="C515" s="133"/>
      <c r="D515" s="133"/>
      <c r="E515" s="139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</row>
    <row r="516" customFormat="false" ht="15.75" hidden="false" customHeight="false" outlineLevel="0" collapsed="false">
      <c r="A516" s="133" t="str">
        <f aca="false">IF(ISBLANK(B516),"",B516&amp;"|"&amp;C516)</f>
        <v/>
      </c>
      <c r="B516" s="133"/>
      <c r="C516" s="133"/>
      <c r="D516" s="133"/>
      <c r="E516" s="139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</row>
    <row r="517" customFormat="false" ht="15.75" hidden="false" customHeight="false" outlineLevel="0" collapsed="false">
      <c r="A517" s="133" t="str">
        <f aca="false">IF(ISBLANK(B517),"",B517&amp;"|"&amp;C517)</f>
        <v/>
      </c>
      <c r="B517" s="133"/>
      <c r="C517" s="133"/>
      <c r="D517" s="133"/>
      <c r="E517" s="139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</row>
    <row r="518" customFormat="false" ht="15.75" hidden="false" customHeight="false" outlineLevel="0" collapsed="false">
      <c r="A518" s="133" t="str">
        <f aca="false">IF(ISBLANK(B518),"",B518&amp;"|"&amp;C518)</f>
        <v/>
      </c>
      <c r="B518" s="133"/>
      <c r="C518" s="133"/>
      <c r="D518" s="133"/>
      <c r="E518" s="139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</row>
    <row r="519" customFormat="false" ht="15.75" hidden="false" customHeight="false" outlineLevel="0" collapsed="false">
      <c r="A519" s="133" t="str">
        <f aca="false">IF(ISBLANK(B519),"",B519&amp;"|"&amp;C519)</f>
        <v/>
      </c>
      <c r="B519" s="133"/>
      <c r="C519" s="133"/>
      <c r="D519" s="133"/>
      <c r="E519" s="139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</row>
    <row r="520" customFormat="false" ht="15.75" hidden="false" customHeight="false" outlineLevel="0" collapsed="false">
      <c r="A520" s="133" t="str">
        <f aca="false">IF(ISBLANK(B520),"",B520&amp;"|"&amp;C520)</f>
        <v/>
      </c>
      <c r="B520" s="133"/>
      <c r="C520" s="133"/>
      <c r="D520" s="133"/>
      <c r="E520" s="139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</row>
    <row r="521" customFormat="false" ht="15.75" hidden="false" customHeight="false" outlineLevel="0" collapsed="false">
      <c r="A521" s="133" t="str">
        <f aca="false">IF(ISBLANK(B521),"",B521&amp;"|"&amp;C521)</f>
        <v/>
      </c>
      <c r="B521" s="133"/>
      <c r="C521" s="133"/>
      <c r="D521" s="133"/>
      <c r="E521" s="139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</row>
    <row r="522" customFormat="false" ht="15.75" hidden="false" customHeight="false" outlineLevel="0" collapsed="false">
      <c r="A522" s="133" t="str">
        <f aca="false">IF(ISBLANK(B522),"",B522&amp;"|"&amp;C522)</f>
        <v/>
      </c>
      <c r="B522" s="133"/>
      <c r="C522" s="133"/>
      <c r="D522" s="133"/>
      <c r="E522" s="139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</row>
    <row r="523" customFormat="false" ht="15.75" hidden="false" customHeight="false" outlineLevel="0" collapsed="false">
      <c r="A523" s="133" t="str">
        <f aca="false">IF(ISBLANK(B523),"",B523&amp;"|"&amp;C523)</f>
        <v/>
      </c>
      <c r="B523" s="133"/>
      <c r="C523" s="133"/>
      <c r="D523" s="133"/>
      <c r="E523" s="139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</row>
    <row r="524" customFormat="false" ht="15.75" hidden="false" customHeight="false" outlineLevel="0" collapsed="false">
      <c r="A524" s="133" t="str">
        <f aca="false">IF(ISBLANK(B524),"",B524&amp;"|"&amp;C524)</f>
        <v/>
      </c>
      <c r="B524" s="133"/>
      <c r="C524" s="133"/>
      <c r="D524" s="133"/>
      <c r="E524" s="139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</row>
    <row r="525" customFormat="false" ht="15.75" hidden="false" customHeight="false" outlineLevel="0" collapsed="false">
      <c r="A525" s="133" t="str">
        <f aca="false">IF(ISBLANK(B525),"",B525&amp;"|"&amp;C525)</f>
        <v/>
      </c>
      <c r="B525" s="133"/>
      <c r="C525" s="133"/>
      <c r="D525" s="133"/>
      <c r="E525" s="139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</row>
    <row r="526" customFormat="false" ht="15.75" hidden="false" customHeight="false" outlineLevel="0" collapsed="false">
      <c r="A526" s="133" t="str">
        <f aca="false">IF(ISBLANK(B526),"",B526&amp;"|"&amp;C526)</f>
        <v/>
      </c>
      <c r="B526" s="133"/>
      <c r="C526" s="133"/>
      <c r="D526" s="133"/>
      <c r="E526" s="139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</row>
    <row r="527" customFormat="false" ht="15.75" hidden="false" customHeight="false" outlineLevel="0" collapsed="false">
      <c r="A527" s="133" t="str">
        <f aca="false">IF(ISBLANK(B527),"",B527&amp;"|"&amp;C527)</f>
        <v/>
      </c>
      <c r="B527" s="133"/>
      <c r="C527" s="133"/>
      <c r="D527" s="133"/>
      <c r="E527" s="139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</row>
    <row r="528" customFormat="false" ht="15.75" hidden="false" customHeight="false" outlineLevel="0" collapsed="false">
      <c r="A528" s="133" t="str">
        <f aca="false">IF(ISBLANK(B528),"",B528&amp;"|"&amp;C528)</f>
        <v/>
      </c>
      <c r="B528" s="133"/>
      <c r="C528" s="133"/>
      <c r="D528" s="133"/>
      <c r="E528" s="139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</row>
    <row r="529" customFormat="false" ht="15.75" hidden="false" customHeight="false" outlineLevel="0" collapsed="false">
      <c r="A529" s="133" t="str">
        <f aca="false">IF(ISBLANK(B529),"",B529&amp;"|"&amp;C529)</f>
        <v/>
      </c>
      <c r="B529" s="133"/>
      <c r="C529" s="133"/>
      <c r="D529" s="133"/>
      <c r="E529" s="139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</row>
    <row r="530" customFormat="false" ht="15.75" hidden="false" customHeight="false" outlineLevel="0" collapsed="false">
      <c r="A530" s="133" t="str">
        <f aca="false">IF(ISBLANK(B530),"",B530&amp;"|"&amp;C530)</f>
        <v/>
      </c>
      <c r="B530" s="133"/>
      <c r="C530" s="133"/>
      <c r="D530" s="133"/>
      <c r="E530" s="139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</row>
    <row r="531" customFormat="false" ht="15.75" hidden="false" customHeight="false" outlineLevel="0" collapsed="false">
      <c r="A531" s="133" t="str">
        <f aca="false">IF(ISBLANK(B531),"",B531&amp;"|"&amp;C531)</f>
        <v/>
      </c>
      <c r="B531" s="133"/>
      <c r="C531" s="133"/>
      <c r="D531" s="133"/>
      <c r="E531" s="139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</row>
    <row r="532" customFormat="false" ht="15.75" hidden="false" customHeight="false" outlineLevel="0" collapsed="false">
      <c r="A532" s="133" t="str">
        <f aca="false">IF(ISBLANK(B532),"",B532&amp;"|"&amp;C532)</f>
        <v/>
      </c>
      <c r="B532" s="133"/>
      <c r="C532" s="133"/>
      <c r="D532" s="133"/>
      <c r="E532" s="139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</row>
    <row r="533" customFormat="false" ht="15.75" hidden="false" customHeight="false" outlineLevel="0" collapsed="false">
      <c r="A533" s="133" t="str">
        <f aca="false">IF(ISBLANK(B533),"",B533&amp;"|"&amp;C533)</f>
        <v/>
      </c>
      <c r="B533" s="133"/>
      <c r="C533" s="133"/>
      <c r="D533" s="133"/>
      <c r="E533" s="139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</row>
    <row r="534" customFormat="false" ht="15.75" hidden="false" customHeight="false" outlineLevel="0" collapsed="false">
      <c r="A534" s="133" t="str">
        <f aca="false">IF(ISBLANK(B534),"",B534&amp;"|"&amp;C534)</f>
        <v/>
      </c>
      <c r="B534" s="133"/>
      <c r="C534" s="133"/>
      <c r="D534" s="133"/>
      <c r="E534" s="139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</row>
    <row r="535" customFormat="false" ht="15.75" hidden="false" customHeight="false" outlineLevel="0" collapsed="false">
      <c r="A535" s="133" t="str">
        <f aca="false">IF(ISBLANK(B535),"",B535&amp;"|"&amp;C535)</f>
        <v/>
      </c>
      <c r="B535" s="133"/>
      <c r="C535" s="133"/>
      <c r="D535" s="133"/>
      <c r="E535" s="139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</row>
    <row r="536" customFormat="false" ht="15.75" hidden="false" customHeight="false" outlineLevel="0" collapsed="false">
      <c r="A536" s="133" t="str">
        <f aca="false">IF(ISBLANK(B536),"",B536&amp;"|"&amp;C536)</f>
        <v/>
      </c>
      <c r="B536" s="133"/>
      <c r="C536" s="133"/>
      <c r="D536" s="133"/>
      <c r="E536" s="139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</row>
    <row r="537" customFormat="false" ht="15.75" hidden="false" customHeight="false" outlineLevel="0" collapsed="false">
      <c r="A537" s="133" t="str">
        <f aca="false">IF(ISBLANK(B537),"",B537&amp;"|"&amp;C537)</f>
        <v/>
      </c>
      <c r="B537" s="133"/>
      <c r="C537" s="133"/>
      <c r="D537" s="133"/>
      <c r="E537" s="139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</row>
    <row r="538" customFormat="false" ht="15.75" hidden="false" customHeight="false" outlineLevel="0" collapsed="false">
      <c r="A538" s="133" t="str">
        <f aca="false">IF(ISBLANK(B538),"",B538&amp;"|"&amp;C538)</f>
        <v/>
      </c>
      <c r="B538" s="133"/>
      <c r="C538" s="133"/>
      <c r="D538" s="133"/>
      <c r="E538" s="139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</row>
    <row r="539" customFormat="false" ht="15.75" hidden="false" customHeight="false" outlineLevel="0" collapsed="false">
      <c r="A539" s="133" t="str">
        <f aca="false">IF(ISBLANK(B539),"",B539&amp;"|"&amp;C539)</f>
        <v/>
      </c>
      <c r="B539" s="133"/>
      <c r="C539" s="133"/>
      <c r="D539" s="133"/>
      <c r="E539" s="139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</row>
    <row r="540" customFormat="false" ht="15.75" hidden="false" customHeight="false" outlineLevel="0" collapsed="false">
      <c r="A540" s="133" t="str">
        <f aca="false">IF(ISBLANK(B540),"",B540&amp;"|"&amp;C540)</f>
        <v/>
      </c>
      <c r="B540" s="133"/>
      <c r="C540" s="133"/>
      <c r="D540" s="133"/>
      <c r="E540" s="139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</row>
    <row r="541" customFormat="false" ht="15.75" hidden="false" customHeight="false" outlineLevel="0" collapsed="false">
      <c r="A541" s="133" t="str">
        <f aca="false">IF(ISBLANK(B541),"",B541&amp;"|"&amp;C541)</f>
        <v/>
      </c>
      <c r="B541" s="133"/>
      <c r="C541" s="133"/>
      <c r="D541" s="133"/>
      <c r="E541" s="139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</row>
    <row r="542" customFormat="false" ht="15.75" hidden="false" customHeight="false" outlineLevel="0" collapsed="false">
      <c r="A542" s="133" t="str">
        <f aca="false">IF(ISBLANK(B542),"",B542&amp;"|"&amp;C542)</f>
        <v/>
      </c>
      <c r="B542" s="133"/>
      <c r="C542" s="133"/>
      <c r="D542" s="133"/>
      <c r="E542" s="139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</row>
    <row r="543" customFormat="false" ht="15.75" hidden="false" customHeight="false" outlineLevel="0" collapsed="false">
      <c r="A543" s="133" t="str">
        <f aca="false">IF(ISBLANK(B543),"",B543&amp;"|"&amp;C543)</f>
        <v/>
      </c>
      <c r="B543" s="133"/>
      <c r="C543" s="133"/>
      <c r="D543" s="133"/>
      <c r="E543" s="139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</row>
    <row r="544" customFormat="false" ht="15.75" hidden="false" customHeight="false" outlineLevel="0" collapsed="false">
      <c r="A544" s="133" t="str">
        <f aca="false">IF(ISBLANK(B544),"",B544&amp;"|"&amp;C544)</f>
        <v/>
      </c>
      <c r="B544" s="133"/>
      <c r="C544" s="133"/>
      <c r="D544" s="133"/>
      <c r="E544" s="139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</row>
    <row r="545" customFormat="false" ht="15.75" hidden="false" customHeight="false" outlineLevel="0" collapsed="false">
      <c r="A545" s="133" t="str">
        <f aca="false">IF(ISBLANK(B545),"",B545&amp;"|"&amp;C545)</f>
        <v/>
      </c>
      <c r="B545" s="133"/>
      <c r="C545" s="133"/>
      <c r="D545" s="133"/>
      <c r="E545" s="139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</row>
    <row r="546" customFormat="false" ht="15.75" hidden="false" customHeight="false" outlineLevel="0" collapsed="false">
      <c r="A546" s="133" t="str">
        <f aca="false">IF(ISBLANK(B546),"",B546&amp;"|"&amp;C546)</f>
        <v/>
      </c>
      <c r="B546" s="133"/>
      <c r="C546" s="133"/>
      <c r="D546" s="133"/>
      <c r="E546" s="139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</row>
    <row r="547" customFormat="false" ht="15.75" hidden="false" customHeight="false" outlineLevel="0" collapsed="false">
      <c r="A547" s="133" t="str">
        <f aca="false">IF(ISBLANK(B547),"",B547&amp;"|"&amp;C547)</f>
        <v/>
      </c>
      <c r="B547" s="133"/>
      <c r="C547" s="133"/>
      <c r="D547" s="133"/>
      <c r="E547" s="139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</row>
    <row r="548" customFormat="false" ht="15.75" hidden="false" customHeight="false" outlineLevel="0" collapsed="false">
      <c r="A548" s="133" t="str">
        <f aca="false">IF(ISBLANK(B548),"",B548&amp;"|"&amp;C548)</f>
        <v/>
      </c>
      <c r="B548" s="133"/>
      <c r="C548" s="133"/>
      <c r="D548" s="133"/>
      <c r="E548" s="139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</row>
    <row r="549" customFormat="false" ht="15.75" hidden="false" customHeight="false" outlineLevel="0" collapsed="false">
      <c r="A549" s="133" t="str">
        <f aca="false">IF(ISBLANK(B549),"",B549&amp;"|"&amp;C549)</f>
        <v/>
      </c>
      <c r="B549" s="133"/>
      <c r="C549" s="133"/>
      <c r="D549" s="133"/>
      <c r="E549" s="139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</row>
    <row r="550" customFormat="false" ht="15.75" hidden="false" customHeight="false" outlineLevel="0" collapsed="false">
      <c r="A550" s="133" t="str">
        <f aca="false">IF(ISBLANK(B550),"",B550&amp;"|"&amp;C550)</f>
        <v/>
      </c>
      <c r="B550" s="133"/>
      <c r="C550" s="133"/>
      <c r="D550" s="133"/>
      <c r="E550" s="139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</row>
    <row r="551" customFormat="false" ht="15.75" hidden="false" customHeight="false" outlineLevel="0" collapsed="false">
      <c r="A551" s="133" t="str">
        <f aca="false">IF(ISBLANK(B551),"",B551&amp;"|"&amp;C551)</f>
        <v/>
      </c>
      <c r="B551" s="133"/>
      <c r="C551" s="133"/>
      <c r="D551" s="133"/>
      <c r="E551" s="139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</row>
    <row r="552" customFormat="false" ht="15.75" hidden="false" customHeight="false" outlineLevel="0" collapsed="false">
      <c r="A552" s="133" t="str">
        <f aca="false">IF(ISBLANK(B552),"",B552&amp;"|"&amp;C552)</f>
        <v/>
      </c>
      <c r="B552" s="133"/>
      <c r="C552" s="133"/>
      <c r="D552" s="133"/>
      <c r="E552" s="139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</row>
    <row r="553" customFormat="false" ht="15.75" hidden="false" customHeight="false" outlineLevel="0" collapsed="false">
      <c r="A553" s="133" t="str">
        <f aca="false">IF(ISBLANK(B553),"",B553&amp;"|"&amp;C553)</f>
        <v/>
      </c>
      <c r="B553" s="133"/>
      <c r="C553" s="133"/>
      <c r="D553" s="133"/>
      <c r="E553" s="139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</row>
    <row r="554" customFormat="false" ht="15.75" hidden="false" customHeight="false" outlineLevel="0" collapsed="false">
      <c r="A554" s="133" t="str">
        <f aca="false">IF(ISBLANK(B554),"",B554&amp;"|"&amp;C554)</f>
        <v/>
      </c>
      <c r="B554" s="133"/>
      <c r="C554" s="133"/>
      <c r="D554" s="133"/>
      <c r="E554" s="139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</row>
    <row r="555" customFormat="false" ht="15.75" hidden="false" customHeight="false" outlineLevel="0" collapsed="false">
      <c r="A555" s="133" t="str">
        <f aca="false">IF(ISBLANK(B555),"",B555&amp;"|"&amp;C555)</f>
        <v/>
      </c>
      <c r="B555" s="133"/>
      <c r="C555" s="133"/>
      <c r="D555" s="133"/>
      <c r="E555" s="139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</row>
    <row r="556" customFormat="false" ht="15.75" hidden="false" customHeight="false" outlineLevel="0" collapsed="false">
      <c r="A556" s="133" t="str">
        <f aca="false">IF(ISBLANK(B556),"",B556&amp;"|"&amp;C556)</f>
        <v/>
      </c>
      <c r="B556" s="133"/>
      <c r="C556" s="133"/>
      <c r="D556" s="133"/>
      <c r="E556" s="139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</row>
    <row r="557" customFormat="false" ht="15.75" hidden="false" customHeight="false" outlineLevel="0" collapsed="false">
      <c r="A557" s="133" t="str">
        <f aca="false">IF(ISBLANK(B557),"",B557&amp;"|"&amp;C557)</f>
        <v/>
      </c>
      <c r="B557" s="133"/>
      <c r="C557" s="133"/>
      <c r="D557" s="133"/>
      <c r="E557" s="139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</row>
    <row r="558" customFormat="false" ht="15.75" hidden="false" customHeight="false" outlineLevel="0" collapsed="false">
      <c r="A558" s="133" t="str">
        <f aca="false">IF(ISBLANK(B558),"",B558&amp;"|"&amp;C558)</f>
        <v/>
      </c>
      <c r="B558" s="133"/>
      <c r="C558" s="133"/>
      <c r="D558" s="133"/>
      <c r="E558" s="139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</row>
    <row r="559" customFormat="false" ht="15.75" hidden="false" customHeight="false" outlineLevel="0" collapsed="false">
      <c r="A559" s="133" t="str">
        <f aca="false">IF(ISBLANK(B559),"",B559&amp;"|"&amp;C559)</f>
        <v/>
      </c>
      <c r="B559" s="133"/>
      <c r="C559" s="133"/>
      <c r="D559" s="133"/>
      <c r="E559" s="139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</row>
    <row r="560" customFormat="false" ht="15.75" hidden="false" customHeight="false" outlineLevel="0" collapsed="false">
      <c r="A560" s="133" t="str">
        <f aca="false">IF(ISBLANK(B560),"",B560&amp;"|"&amp;C560)</f>
        <v/>
      </c>
      <c r="B560" s="133"/>
      <c r="C560" s="133"/>
      <c r="D560" s="133"/>
      <c r="E560" s="139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</row>
    <row r="561" customFormat="false" ht="15.75" hidden="false" customHeight="false" outlineLevel="0" collapsed="false">
      <c r="A561" s="133" t="str">
        <f aca="false">IF(ISBLANK(B561),"",B561&amp;"|"&amp;C561)</f>
        <v/>
      </c>
      <c r="B561" s="133"/>
      <c r="C561" s="133"/>
      <c r="D561" s="133"/>
      <c r="E561" s="139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</row>
    <row r="562" customFormat="false" ht="15.75" hidden="false" customHeight="false" outlineLevel="0" collapsed="false">
      <c r="A562" s="133" t="str">
        <f aca="false">IF(ISBLANK(B562),"",B562&amp;"|"&amp;C562)</f>
        <v/>
      </c>
      <c r="B562" s="133"/>
      <c r="C562" s="133"/>
      <c r="D562" s="133"/>
      <c r="E562" s="139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</row>
    <row r="563" customFormat="false" ht="15.75" hidden="false" customHeight="false" outlineLevel="0" collapsed="false">
      <c r="A563" s="133" t="str">
        <f aca="false">IF(ISBLANK(B563),"",B563&amp;"|"&amp;C563)</f>
        <v/>
      </c>
      <c r="B563" s="133"/>
      <c r="C563" s="133"/>
      <c r="D563" s="133"/>
      <c r="E563" s="139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</row>
    <row r="564" customFormat="false" ht="15.75" hidden="false" customHeight="false" outlineLevel="0" collapsed="false">
      <c r="A564" s="133" t="str">
        <f aca="false">IF(ISBLANK(B564),"",B564&amp;"|"&amp;C564)</f>
        <v/>
      </c>
      <c r="B564" s="133"/>
      <c r="C564" s="133"/>
      <c r="D564" s="133"/>
      <c r="E564" s="139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</row>
    <row r="565" customFormat="false" ht="15.75" hidden="false" customHeight="false" outlineLevel="0" collapsed="false">
      <c r="A565" s="133" t="str">
        <f aca="false">IF(ISBLANK(B565),"",B565&amp;"|"&amp;C565)</f>
        <v/>
      </c>
      <c r="B565" s="133"/>
      <c r="C565" s="133"/>
      <c r="D565" s="133"/>
      <c r="E565" s="139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</row>
    <row r="566" customFormat="false" ht="15.75" hidden="false" customHeight="false" outlineLevel="0" collapsed="false">
      <c r="A566" s="133" t="str">
        <f aca="false">IF(ISBLANK(B566),"",B566&amp;"|"&amp;C566)</f>
        <v/>
      </c>
      <c r="B566" s="133"/>
      <c r="C566" s="133"/>
      <c r="D566" s="133"/>
      <c r="E566" s="139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</row>
    <row r="567" customFormat="false" ht="15.75" hidden="false" customHeight="false" outlineLevel="0" collapsed="false">
      <c r="A567" s="133" t="str">
        <f aca="false">IF(ISBLANK(B567),"",B567&amp;"|"&amp;C567)</f>
        <v/>
      </c>
      <c r="B567" s="133"/>
      <c r="C567" s="133"/>
      <c r="D567" s="133"/>
      <c r="E567" s="139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</row>
    <row r="568" customFormat="false" ht="15.75" hidden="false" customHeight="false" outlineLevel="0" collapsed="false">
      <c r="A568" s="133" t="str">
        <f aca="false">IF(ISBLANK(B568),"",B568&amp;"|"&amp;C568)</f>
        <v/>
      </c>
      <c r="B568" s="133"/>
      <c r="C568" s="133"/>
      <c r="D568" s="133"/>
      <c r="E568" s="139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</row>
    <row r="569" customFormat="false" ht="15.75" hidden="false" customHeight="false" outlineLevel="0" collapsed="false">
      <c r="A569" s="133" t="str">
        <f aca="false">IF(ISBLANK(B569),"",B569&amp;"|"&amp;C569)</f>
        <v/>
      </c>
      <c r="B569" s="133"/>
      <c r="C569" s="133"/>
      <c r="D569" s="133"/>
      <c r="E569" s="139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</row>
    <row r="570" customFormat="false" ht="15.75" hidden="false" customHeight="false" outlineLevel="0" collapsed="false">
      <c r="A570" s="133" t="str">
        <f aca="false">IF(ISBLANK(B570),"",B570&amp;"|"&amp;C570)</f>
        <v/>
      </c>
      <c r="B570" s="133"/>
      <c r="C570" s="133"/>
      <c r="D570" s="133"/>
      <c r="E570" s="139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</row>
    <row r="571" customFormat="false" ht="15.75" hidden="false" customHeight="false" outlineLevel="0" collapsed="false">
      <c r="A571" s="133" t="str">
        <f aca="false">IF(ISBLANK(B571),"",B571&amp;"|"&amp;C571)</f>
        <v/>
      </c>
      <c r="B571" s="133"/>
      <c r="C571" s="133"/>
      <c r="D571" s="133"/>
      <c r="E571" s="139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</row>
    <row r="572" customFormat="false" ht="15.75" hidden="false" customHeight="false" outlineLevel="0" collapsed="false">
      <c r="A572" s="133" t="str">
        <f aca="false">IF(ISBLANK(B572),"",B572&amp;"|"&amp;C572)</f>
        <v/>
      </c>
      <c r="B572" s="133"/>
      <c r="C572" s="133"/>
      <c r="D572" s="133"/>
      <c r="E572" s="139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</row>
    <row r="573" customFormat="false" ht="15.75" hidden="false" customHeight="false" outlineLevel="0" collapsed="false">
      <c r="A573" s="133" t="str">
        <f aca="false">IF(ISBLANK(B573),"",B573&amp;"|"&amp;C573)</f>
        <v/>
      </c>
      <c r="B573" s="133"/>
      <c r="C573" s="133"/>
      <c r="D573" s="133"/>
      <c r="E573" s="139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</row>
    <row r="574" customFormat="false" ht="15.75" hidden="false" customHeight="false" outlineLevel="0" collapsed="false">
      <c r="A574" s="133" t="str">
        <f aca="false">IF(ISBLANK(B574),"",B574&amp;"|"&amp;C574)</f>
        <v/>
      </c>
      <c r="B574" s="133"/>
      <c r="C574" s="133"/>
      <c r="D574" s="133"/>
      <c r="E574" s="139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</row>
    <row r="575" customFormat="false" ht="15.75" hidden="false" customHeight="false" outlineLevel="0" collapsed="false">
      <c r="A575" s="133" t="str">
        <f aca="false">IF(ISBLANK(B575),"",B575&amp;"|"&amp;C575)</f>
        <v/>
      </c>
      <c r="B575" s="133"/>
      <c r="C575" s="133"/>
      <c r="D575" s="133"/>
      <c r="E575" s="139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</row>
    <row r="576" customFormat="false" ht="15.75" hidden="false" customHeight="false" outlineLevel="0" collapsed="false">
      <c r="A576" s="133" t="str">
        <f aca="false">IF(ISBLANK(B576),"",B576&amp;"|"&amp;C576)</f>
        <v/>
      </c>
      <c r="B576" s="133"/>
      <c r="C576" s="133"/>
      <c r="D576" s="133"/>
      <c r="E576" s="139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</row>
    <row r="577" customFormat="false" ht="15.75" hidden="false" customHeight="false" outlineLevel="0" collapsed="false">
      <c r="A577" s="133" t="str">
        <f aca="false">IF(ISBLANK(B577),"",B577&amp;"|"&amp;C577)</f>
        <v/>
      </c>
      <c r="B577" s="133"/>
      <c r="C577" s="133"/>
      <c r="D577" s="133"/>
      <c r="E577" s="139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</row>
    <row r="578" customFormat="false" ht="15.75" hidden="false" customHeight="false" outlineLevel="0" collapsed="false">
      <c r="A578" s="133" t="str">
        <f aca="false">IF(ISBLANK(B578),"",B578&amp;"|"&amp;C578)</f>
        <v/>
      </c>
      <c r="B578" s="133"/>
      <c r="C578" s="133"/>
      <c r="D578" s="133"/>
      <c r="E578" s="139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</row>
    <row r="579" customFormat="false" ht="15.75" hidden="false" customHeight="false" outlineLevel="0" collapsed="false">
      <c r="A579" s="133" t="str">
        <f aca="false">IF(ISBLANK(B579),"",B579&amp;"|"&amp;C579)</f>
        <v/>
      </c>
      <c r="B579" s="133"/>
      <c r="C579" s="133"/>
      <c r="D579" s="133"/>
      <c r="E579" s="139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</row>
    <row r="580" customFormat="false" ht="15.75" hidden="false" customHeight="false" outlineLevel="0" collapsed="false">
      <c r="A580" s="133" t="str">
        <f aca="false">IF(ISBLANK(B580),"",B580&amp;"|"&amp;C580)</f>
        <v/>
      </c>
      <c r="B580" s="133"/>
      <c r="C580" s="133"/>
      <c r="D580" s="133"/>
      <c r="E580" s="139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</row>
    <row r="581" customFormat="false" ht="15.75" hidden="false" customHeight="false" outlineLevel="0" collapsed="false">
      <c r="A581" s="133" t="str">
        <f aca="false">IF(ISBLANK(B581),"",B581&amp;"|"&amp;C581)</f>
        <v/>
      </c>
      <c r="B581" s="133"/>
      <c r="C581" s="133"/>
      <c r="D581" s="133"/>
      <c r="E581" s="139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</row>
    <row r="582" customFormat="false" ht="15.75" hidden="false" customHeight="false" outlineLevel="0" collapsed="false">
      <c r="A582" s="133" t="str">
        <f aca="false">IF(ISBLANK(B582),"",B582&amp;"|"&amp;C582)</f>
        <v/>
      </c>
      <c r="B582" s="133"/>
      <c r="C582" s="133"/>
      <c r="D582" s="133"/>
      <c r="E582" s="139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</row>
    <row r="583" customFormat="false" ht="15.75" hidden="false" customHeight="false" outlineLevel="0" collapsed="false">
      <c r="A583" s="133" t="str">
        <f aca="false">IF(ISBLANK(B583),"",B583&amp;"|"&amp;C583)</f>
        <v/>
      </c>
      <c r="B583" s="133"/>
      <c r="C583" s="133"/>
      <c r="D583" s="133"/>
      <c r="E583" s="139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</row>
    <row r="584" customFormat="false" ht="15.75" hidden="false" customHeight="false" outlineLevel="0" collapsed="false">
      <c r="A584" s="133" t="str">
        <f aca="false">IF(ISBLANK(B584),"",B584&amp;"|"&amp;C584)</f>
        <v/>
      </c>
      <c r="B584" s="133"/>
      <c r="C584" s="133"/>
      <c r="D584" s="133"/>
      <c r="E584" s="139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</row>
    <row r="585" customFormat="false" ht="15.75" hidden="false" customHeight="false" outlineLevel="0" collapsed="false">
      <c r="A585" s="133" t="str">
        <f aca="false">IF(ISBLANK(B585),"",B585&amp;"|"&amp;C585)</f>
        <v/>
      </c>
      <c r="B585" s="133"/>
      <c r="C585" s="133"/>
      <c r="D585" s="133"/>
      <c r="E585" s="139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</row>
    <row r="586" customFormat="false" ht="15.75" hidden="false" customHeight="false" outlineLevel="0" collapsed="false">
      <c r="A586" s="133" t="str">
        <f aca="false">IF(ISBLANK(B586),"",B586&amp;"|"&amp;C586)</f>
        <v/>
      </c>
      <c r="B586" s="133"/>
      <c r="C586" s="133"/>
      <c r="D586" s="133"/>
      <c r="E586" s="139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</row>
    <row r="587" customFormat="false" ht="15.75" hidden="false" customHeight="false" outlineLevel="0" collapsed="false">
      <c r="A587" s="133" t="str">
        <f aca="false">IF(ISBLANK(B587),"",B587&amp;"|"&amp;C587)</f>
        <v/>
      </c>
      <c r="B587" s="133"/>
      <c r="C587" s="133"/>
      <c r="D587" s="133"/>
      <c r="E587" s="139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</row>
    <row r="588" customFormat="false" ht="15.75" hidden="false" customHeight="false" outlineLevel="0" collapsed="false">
      <c r="A588" s="133" t="str">
        <f aca="false">IF(ISBLANK(B588),"",B588&amp;"|"&amp;C588)</f>
        <v/>
      </c>
      <c r="B588" s="133"/>
      <c r="C588" s="133"/>
      <c r="D588" s="133"/>
      <c r="E588" s="139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</row>
    <row r="589" customFormat="false" ht="15.75" hidden="false" customHeight="false" outlineLevel="0" collapsed="false">
      <c r="A589" s="133" t="str">
        <f aca="false">IF(ISBLANK(B589),"",B589&amp;"|"&amp;C589)</f>
        <v/>
      </c>
      <c r="B589" s="133"/>
      <c r="C589" s="133"/>
      <c r="D589" s="133"/>
      <c r="E589" s="139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</row>
    <row r="590" customFormat="false" ht="15.75" hidden="false" customHeight="false" outlineLevel="0" collapsed="false">
      <c r="A590" s="133" t="str">
        <f aca="false">IF(ISBLANK(B590),"",B590&amp;"|"&amp;C590)</f>
        <v/>
      </c>
      <c r="B590" s="133"/>
      <c r="C590" s="133"/>
      <c r="D590" s="133"/>
      <c r="E590" s="139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</row>
    <row r="591" customFormat="false" ht="15.75" hidden="false" customHeight="false" outlineLevel="0" collapsed="false">
      <c r="A591" s="133" t="str">
        <f aca="false">IF(ISBLANK(B591),"",B591&amp;"|"&amp;C591)</f>
        <v/>
      </c>
      <c r="B591" s="133"/>
      <c r="C591" s="133"/>
      <c r="D591" s="133"/>
      <c r="E591" s="139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</row>
    <row r="592" customFormat="false" ht="15.75" hidden="false" customHeight="false" outlineLevel="0" collapsed="false">
      <c r="A592" s="133" t="str">
        <f aca="false">IF(ISBLANK(B592),"",B592&amp;"|"&amp;C592)</f>
        <v/>
      </c>
      <c r="B592" s="133"/>
      <c r="C592" s="133"/>
      <c r="D592" s="133"/>
      <c r="E592" s="139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</row>
    <row r="593" customFormat="false" ht="15.75" hidden="false" customHeight="false" outlineLevel="0" collapsed="false">
      <c r="A593" s="133" t="str">
        <f aca="false">IF(ISBLANK(B593),"",B593&amp;"|"&amp;C593)</f>
        <v/>
      </c>
      <c r="B593" s="133"/>
      <c r="C593" s="133"/>
      <c r="D593" s="133"/>
      <c r="E593" s="139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</row>
    <row r="594" customFormat="false" ht="15.75" hidden="false" customHeight="false" outlineLevel="0" collapsed="false">
      <c r="A594" s="133" t="str">
        <f aca="false">IF(ISBLANK(B594),"",B594&amp;"|"&amp;C594)</f>
        <v/>
      </c>
      <c r="B594" s="133"/>
      <c r="C594" s="133"/>
      <c r="D594" s="133"/>
      <c r="E594" s="139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</row>
    <row r="595" customFormat="false" ht="15.75" hidden="false" customHeight="false" outlineLevel="0" collapsed="false">
      <c r="A595" s="133" t="str">
        <f aca="false">IF(ISBLANK(B595),"",B595&amp;"|"&amp;C595)</f>
        <v/>
      </c>
      <c r="B595" s="133"/>
      <c r="C595" s="133"/>
      <c r="D595" s="133"/>
      <c r="E595" s="139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</row>
    <row r="596" customFormat="false" ht="15.75" hidden="false" customHeight="false" outlineLevel="0" collapsed="false">
      <c r="A596" s="133" t="str">
        <f aca="false">IF(ISBLANK(B596),"",B596&amp;"|"&amp;C596)</f>
        <v/>
      </c>
      <c r="B596" s="133"/>
      <c r="C596" s="133"/>
      <c r="D596" s="133"/>
      <c r="E596" s="139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</row>
    <row r="597" customFormat="false" ht="15.75" hidden="false" customHeight="false" outlineLevel="0" collapsed="false">
      <c r="A597" s="133" t="str">
        <f aca="false">IF(ISBLANK(B597),"",B597&amp;"|"&amp;C597)</f>
        <v/>
      </c>
      <c r="B597" s="133"/>
      <c r="C597" s="133"/>
      <c r="D597" s="133"/>
      <c r="E597" s="139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</row>
    <row r="598" customFormat="false" ht="15.75" hidden="false" customHeight="false" outlineLevel="0" collapsed="false">
      <c r="A598" s="133" t="str">
        <f aca="false">IF(ISBLANK(B598),"",B598&amp;"|"&amp;C598)</f>
        <v/>
      </c>
      <c r="B598" s="133"/>
      <c r="C598" s="133"/>
      <c r="D598" s="133"/>
      <c r="E598" s="139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</row>
    <row r="599" customFormat="false" ht="15.75" hidden="false" customHeight="false" outlineLevel="0" collapsed="false">
      <c r="A599" s="133" t="str">
        <f aca="false">IF(ISBLANK(B599),"",B599&amp;"|"&amp;C599)</f>
        <v/>
      </c>
      <c r="B599" s="133"/>
      <c r="C599" s="133"/>
      <c r="D599" s="133"/>
      <c r="E599" s="139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</row>
    <row r="600" customFormat="false" ht="15.75" hidden="false" customHeight="false" outlineLevel="0" collapsed="false">
      <c r="A600" s="133" t="str">
        <f aca="false">IF(ISBLANK(B600),"",B600&amp;"|"&amp;C600)</f>
        <v/>
      </c>
      <c r="B600" s="133"/>
      <c r="C600" s="133"/>
      <c r="D600" s="133"/>
      <c r="E600" s="139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</row>
    <row r="601" customFormat="false" ht="15.75" hidden="false" customHeight="false" outlineLevel="0" collapsed="false">
      <c r="A601" s="133" t="str">
        <f aca="false">IF(ISBLANK(B601),"",B601&amp;"|"&amp;C601)</f>
        <v/>
      </c>
      <c r="B601" s="133"/>
      <c r="C601" s="133"/>
      <c r="D601" s="133"/>
      <c r="E601" s="139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</row>
    <row r="602" customFormat="false" ht="15.75" hidden="false" customHeight="false" outlineLevel="0" collapsed="false">
      <c r="A602" s="133" t="str">
        <f aca="false">IF(ISBLANK(B602),"",B602&amp;"|"&amp;C602)</f>
        <v/>
      </c>
      <c r="B602" s="133"/>
      <c r="C602" s="133"/>
      <c r="D602" s="133"/>
      <c r="E602" s="139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</row>
    <row r="603" customFormat="false" ht="15.75" hidden="false" customHeight="false" outlineLevel="0" collapsed="false">
      <c r="A603" s="133" t="str">
        <f aca="false">IF(ISBLANK(B603),"",B603&amp;"|"&amp;C603)</f>
        <v/>
      </c>
      <c r="B603" s="133"/>
      <c r="C603" s="133"/>
      <c r="D603" s="133"/>
      <c r="E603" s="139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</row>
    <row r="604" customFormat="false" ht="15.75" hidden="false" customHeight="false" outlineLevel="0" collapsed="false">
      <c r="A604" s="133" t="str">
        <f aca="false">IF(ISBLANK(B604),"",B604&amp;"|"&amp;C604)</f>
        <v/>
      </c>
      <c r="B604" s="133"/>
      <c r="C604" s="133"/>
      <c r="D604" s="133"/>
      <c r="E604" s="139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</row>
    <row r="605" customFormat="false" ht="15.75" hidden="false" customHeight="false" outlineLevel="0" collapsed="false">
      <c r="A605" s="133" t="str">
        <f aca="false">IF(ISBLANK(B605),"",B605&amp;"|"&amp;C605)</f>
        <v/>
      </c>
      <c r="B605" s="133"/>
      <c r="C605" s="133"/>
      <c r="D605" s="133"/>
      <c r="E605" s="139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</row>
    <row r="606" customFormat="false" ht="15.75" hidden="false" customHeight="false" outlineLevel="0" collapsed="false">
      <c r="A606" s="133" t="str">
        <f aca="false">IF(ISBLANK(B606),"",B606&amp;"|"&amp;C606)</f>
        <v/>
      </c>
      <c r="B606" s="133"/>
      <c r="C606" s="133"/>
      <c r="D606" s="133"/>
      <c r="E606" s="139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</row>
    <row r="607" customFormat="false" ht="15.75" hidden="false" customHeight="false" outlineLevel="0" collapsed="false">
      <c r="A607" s="133" t="str">
        <f aca="false">IF(ISBLANK(B607),"",B607&amp;"|"&amp;C607)</f>
        <v/>
      </c>
      <c r="B607" s="133"/>
      <c r="C607" s="133"/>
      <c r="D607" s="133"/>
      <c r="E607" s="139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</row>
    <row r="608" customFormat="false" ht="15.75" hidden="false" customHeight="false" outlineLevel="0" collapsed="false">
      <c r="A608" s="133" t="str">
        <f aca="false">IF(ISBLANK(B608),"",B608&amp;"|"&amp;C608)</f>
        <v/>
      </c>
      <c r="B608" s="133"/>
      <c r="C608" s="133"/>
      <c r="D608" s="133"/>
      <c r="E608" s="139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</row>
    <row r="609" customFormat="false" ht="15.75" hidden="false" customHeight="false" outlineLevel="0" collapsed="false">
      <c r="A609" s="133" t="str">
        <f aca="false">IF(ISBLANK(B609),"",B609&amp;"|"&amp;C609)</f>
        <v/>
      </c>
      <c r="B609" s="133"/>
      <c r="C609" s="133"/>
      <c r="D609" s="133"/>
      <c r="E609" s="139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</row>
    <row r="610" customFormat="false" ht="15.75" hidden="false" customHeight="false" outlineLevel="0" collapsed="false">
      <c r="A610" s="133" t="str">
        <f aca="false">IF(ISBLANK(B610),"",B610&amp;"|"&amp;C610)</f>
        <v/>
      </c>
      <c r="B610" s="133"/>
      <c r="C610" s="133"/>
      <c r="D610" s="133"/>
      <c r="E610" s="139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</row>
    <row r="611" customFormat="false" ht="15.75" hidden="false" customHeight="false" outlineLevel="0" collapsed="false">
      <c r="A611" s="133" t="str">
        <f aca="false">IF(ISBLANK(B611),"",B611&amp;"|"&amp;C611)</f>
        <v/>
      </c>
      <c r="B611" s="133"/>
      <c r="C611" s="133"/>
      <c r="D611" s="133"/>
      <c r="E611" s="139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</row>
    <row r="612" customFormat="false" ht="15.75" hidden="false" customHeight="false" outlineLevel="0" collapsed="false">
      <c r="A612" s="133" t="str">
        <f aca="false">IF(ISBLANK(B612),"",B612&amp;"|"&amp;C612)</f>
        <v/>
      </c>
      <c r="B612" s="133"/>
      <c r="C612" s="133"/>
      <c r="D612" s="133"/>
      <c r="E612" s="139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</row>
    <row r="613" customFormat="false" ht="15.75" hidden="false" customHeight="false" outlineLevel="0" collapsed="false">
      <c r="A613" s="133" t="str">
        <f aca="false">IF(ISBLANK(B613),"",B613&amp;"|"&amp;C613)</f>
        <v/>
      </c>
      <c r="B613" s="133"/>
      <c r="C613" s="133"/>
      <c r="D613" s="133"/>
      <c r="E613" s="139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</row>
    <row r="614" customFormat="false" ht="15.75" hidden="false" customHeight="false" outlineLevel="0" collapsed="false">
      <c r="A614" s="133" t="str">
        <f aca="false">IF(ISBLANK(B614),"",B614&amp;"|"&amp;C614)</f>
        <v/>
      </c>
      <c r="B614" s="133"/>
      <c r="C614" s="133"/>
      <c r="D614" s="133"/>
      <c r="E614" s="139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</row>
    <row r="615" customFormat="false" ht="15.75" hidden="false" customHeight="false" outlineLevel="0" collapsed="false">
      <c r="A615" s="133" t="str">
        <f aca="false">IF(ISBLANK(B615),"",B615&amp;"|"&amp;C615)</f>
        <v/>
      </c>
      <c r="B615" s="133"/>
      <c r="C615" s="133"/>
      <c r="D615" s="133"/>
      <c r="E615" s="139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</row>
    <row r="616" customFormat="false" ht="15.75" hidden="false" customHeight="false" outlineLevel="0" collapsed="false">
      <c r="A616" s="133" t="str">
        <f aca="false">IF(ISBLANK(B616),"",B616&amp;"|"&amp;C616)</f>
        <v/>
      </c>
      <c r="B616" s="133"/>
      <c r="C616" s="133"/>
      <c r="D616" s="133"/>
      <c r="E616" s="139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</row>
    <row r="617" customFormat="false" ht="15.75" hidden="false" customHeight="false" outlineLevel="0" collapsed="false">
      <c r="A617" s="133" t="str">
        <f aca="false">IF(ISBLANK(B617),"",B617&amp;"|"&amp;C617)</f>
        <v/>
      </c>
      <c r="B617" s="133"/>
      <c r="C617" s="133"/>
      <c r="D617" s="133"/>
      <c r="E617" s="139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</row>
    <row r="618" customFormat="false" ht="15.75" hidden="false" customHeight="false" outlineLevel="0" collapsed="false">
      <c r="A618" s="133" t="str">
        <f aca="false">IF(ISBLANK(B618),"",B618&amp;"|"&amp;C618)</f>
        <v/>
      </c>
      <c r="B618" s="133"/>
      <c r="C618" s="133"/>
      <c r="D618" s="133"/>
      <c r="E618" s="139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</row>
    <row r="619" customFormat="false" ht="15.75" hidden="false" customHeight="false" outlineLevel="0" collapsed="false">
      <c r="A619" s="133" t="str">
        <f aca="false">IF(ISBLANK(B619),"",B619&amp;"|"&amp;C619)</f>
        <v/>
      </c>
      <c r="B619" s="133"/>
      <c r="C619" s="133"/>
      <c r="D619" s="133"/>
      <c r="E619" s="139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</row>
    <row r="620" customFormat="false" ht="15.75" hidden="false" customHeight="false" outlineLevel="0" collapsed="false">
      <c r="A620" s="133" t="str">
        <f aca="false">IF(ISBLANK(B620),"",B620&amp;"|"&amp;C620)</f>
        <v/>
      </c>
      <c r="B620" s="133"/>
      <c r="C620" s="133"/>
      <c r="D620" s="133"/>
      <c r="E620" s="139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</row>
    <row r="621" customFormat="false" ht="15.75" hidden="false" customHeight="false" outlineLevel="0" collapsed="false">
      <c r="A621" s="133" t="str">
        <f aca="false">IF(ISBLANK(B621),"",B621&amp;"|"&amp;C621)</f>
        <v/>
      </c>
      <c r="B621" s="133"/>
      <c r="C621" s="133"/>
      <c r="D621" s="133"/>
      <c r="E621" s="139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</row>
    <row r="622" customFormat="false" ht="15.75" hidden="false" customHeight="false" outlineLevel="0" collapsed="false">
      <c r="A622" s="133" t="str">
        <f aca="false">IF(ISBLANK(B622),"",B622&amp;"|"&amp;C622)</f>
        <v/>
      </c>
      <c r="B622" s="133"/>
      <c r="C622" s="133"/>
      <c r="D622" s="133"/>
      <c r="E622" s="139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</row>
    <row r="623" customFormat="false" ht="15.75" hidden="false" customHeight="false" outlineLevel="0" collapsed="false">
      <c r="A623" s="133" t="str">
        <f aca="false">IF(ISBLANK(B623),"",B623&amp;"|"&amp;C623)</f>
        <v/>
      </c>
      <c r="B623" s="133"/>
      <c r="C623" s="133"/>
      <c r="D623" s="133"/>
      <c r="E623" s="139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</row>
    <row r="624" customFormat="false" ht="15.75" hidden="false" customHeight="false" outlineLevel="0" collapsed="false">
      <c r="A624" s="133" t="str">
        <f aca="false">IF(ISBLANK(B624),"",B624&amp;"|"&amp;C624)</f>
        <v/>
      </c>
      <c r="B624" s="133"/>
      <c r="C624" s="133"/>
      <c r="D624" s="133"/>
      <c r="E624" s="139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</row>
    <row r="625" customFormat="false" ht="15.75" hidden="false" customHeight="false" outlineLevel="0" collapsed="false">
      <c r="A625" s="133" t="str">
        <f aca="false">IF(ISBLANK(B625),"",B625&amp;"|"&amp;C625)</f>
        <v/>
      </c>
      <c r="B625" s="133"/>
      <c r="C625" s="133"/>
      <c r="D625" s="133"/>
      <c r="E625" s="139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</row>
    <row r="626" customFormat="false" ht="15.75" hidden="false" customHeight="false" outlineLevel="0" collapsed="false">
      <c r="A626" s="133" t="str">
        <f aca="false">IF(ISBLANK(B626),"",B626&amp;"|"&amp;C626)</f>
        <v/>
      </c>
      <c r="B626" s="133"/>
      <c r="C626" s="133"/>
      <c r="D626" s="133"/>
      <c r="E626" s="139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</row>
    <row r="627" customFormat="false" ht="15.75" hidden="false" customHeight="false" outlineLevel="0" collapsed="false">
      <c r="A627" s="133" t="str">
        <f aca="false">IF(ISBLANK(B627),"",B627&amp;"|"&amp;C627)</f>
        <v/>
      </c>
      <c r="B627" s="133"/>
      <c r="C627" s="133"/>
      <c r="D627" s="133"/>
      <c r="E627" s="139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</row>
    <row r="628" customFormat="false" ht="15.75" hidden="false" customHeight="false" outlineLevel="0" collapsed="false">
      <c r="A628" s="133" t="str">
        <f aca="false">IF(ISBLANK(B628),"",B628&amp;"|"&amp;C628)</f>
        <v/>
      </c>
      <c r="B628" s="133"/>
      <c r="C628" s="133"/>
      <c r="D628" s="133"/>
      <c r="E628" s="139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</row>
    <row r="629" customFormat="false" ht="15.75" hidden="false" customHeight="false" outlineLevel="0" collapsed="false">
      <c r="A629" s="133" t="str">
        <f aca="false">IF(ISBLANK(B629),"",B629&amp;"|"&amp;C629)</f>
        <v/>
      </c>
      <c r="B629" s="133"/>
      <c r="C629" s="133"/>
      <c r="D629" s="133"/>
      <c r="E629" s="139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</row>
    <row r="630" customFormat="false" ht="15.75" hidden="false" customHeight="false" outlineLevel="0" collapsed="false">
      <c r="A630" s="133" t="str">
        <f aca="false">IF(ISBLANK(B630),"",B630&amp;"|"&amp;C630)</f>
        <v/>
      </c>
      <c r="B630" s="133"/>
      <c r="C630" s="133"/>
      <c r="D630" s="133"/>
      <c r="E630" s="139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</row>
    <row r="631" customFormat="false" ht="15.75" hidden="false" customHeight="false" outlineLevel="0" collapsed="false">
      <c r="A631" s="133" t="str">
        <f aca="false">IF(ISBLANK(B631),"",B631&amp;"|"&amp;C631)</f>
        <v/>
      </c>
      <c r="B631" s="133"/>
      <c r="C631" s="133"/>
      <c r="D631" s="133"/>
      <c r="E631" s="139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</row>
    <row r="632" customFormat="false" ht="15.75" hidden="false" customHeight="false" outlineLevel="0" collapsed="false">
      <c r="A632" s="133" t="str">
        <f aca="false">IF(ISBLANK(B632),"",B632&amp;"|"&amp;C632)</f>
        <v/>
      </c>
      <c r="B632" s="133"/>
      <c r="C632" s="133"/>
      <c r="D632" s="133"/>
      <c r="E632" s="139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</row>
    <row r="633" customFormat="false" ht="15.75" hidden="false" customHeight="false" outlineLevel="0" collapsed="false">
      <c r="A633" s="133" t="str">
        <f aca="false">IF(ISBLANK(B633),"",B633&amp;"|"&amp;C633)</f>
        <v/>
      </c>
      <c r="B633" s="133"/>
      <c r="C633" s="133"/>
      <c r="D633" s="133"/>
      <c r="E633" s="139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</row>
    <row r="634" customFormat="false" ht="15.75" hidden="false" customHeight="false" outlineLevel="0" collapsed="false">
      <c r="A634" s="133" t="str">
        <f aca="false">IF(ISBLANK(B634),"",B634&amp;"|"&amp;C634)</f>
        <v/>
      </c>
      <c r="B634" s="133"/>
      <c r="C634" s="133"/>
      <c r="D634" s="133"/>
      <c r="E634" s="139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</row>
    <row r="635" customFormat="false" ht="15.75" hidden="false" customHeight="false" outlineLevel="0" collapsed="false">
      <c r="A635" s="133" t="str">
        <f aca="false">IF(ISBLANK(B635),"",B635&amp;"|"&amp;C635)</f>
        <v/>
      </c>
      <c r="B635" s="133"/>
      <c r="C635" s="133"/>
      <c r="D635" s="133"/>
      <c r="E635" s="139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</row>
    <row r="636" customFormat="false" ht="15.75" hidden="false" customHeight="false" outlineLevel="0" collapsed="false">
      <c r="A636" s="133" t="str">
        <f aca="false">IF(ISBLANK(B636),"",B636&amp;"|"&amp;C636)</f>
        <v/>
      </c>
      <c r="B636" s="133"/>
      <c r="C636" s="133"/>
      <c r="D636" s="133"/>
      <c r="E636" s="139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</row>
    <row r="637" customFormat="false" ht="15.75" hidden="false" customHeight="false" outlineLevel="0" collapsed="false">
      <c r="A637" s="133" t="str">
        <f aca="false">IF(ISBLANK(B637),"",B637&amp;"|"&amp;C637)</f>
        <v/>
      </c>
      <c r="B637" s="133"/>
      <c r="C637" s="133"/>
      <c r="D637" s="133"/>
      <c r="E637" s="139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</row>
    <row r="638" customFormat="false" ht="15.75" hidden="false" customHeight="false" outlineLevel="0" collapsed="false">
      <c r="A638" s="133" t="str">
        <f aca="false">IF(ISBLANK(B638),"",B638&amp;"|"&amp;C638)</f>
        <v/>
      </c>
      <c r="B638" s="133"/>
      <c r="C638" s="133"/>
      <c r="D638" s="133"/>
      <c r="E638" s="139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</row>
    <row r="639" customFormat="false" ht="15.75" hidden="false" customHeight="false" outlineLevel="0" collapsed="false">
      <c r="A639" s="133" t="str">
        <f aca="false">IF(ISBLANK(B639),"",B639&amp;"|"&amp;C639)</f>
        <v/>
      </c>
      <c r="B639" s="133"/>
      <c r="C639" s="133"/>
      <c r="D639" s="133"/>
      <c r="E639" s="139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</row>
    <row r="640" customFormat="false" ht="15.75" hidden="false" customHeight="false" outlineLevel="0" collapsed="false">
      <c r="A640" s="133" t="str">
        <f aca="false">IF(ISBLANK(B640),"",B640&amp;"|"&amp;C640)</f>
        <v/>
      </c>
      <c r="B640" s="133"/>
      <c r="C640" s="133"/>
      <c r="D640" s="133"/>
      <c r="E640" s="139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</row>
    <row r="641" customFormat="false" ht="15.75" hidden="false" customHeight="false" outlineLevel="0" collapsed="false">
      <c r="A641" s="133" t="str">
        <f aca="false">IF(ISBLANK(B641),"",B641&amp;"|"&amp;C641)</f>
        <v/>
      </c>
      <c r="B641" s="133"/>
      <c r="C641" s="133"/>
      <c r="D641" s="133"/>
      <c r="E641" s="139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</row>
    <row r="642" customFormat="false" ht="15.75" hidden="false" customHeight="false" outlineLevel="0" collapsed="false">
      <c r="A642" s="133" t="str">
        <f aca="false">IF(ISBLANK(B642),"",B642&amp;"|"&amp;C642)</f>
        <v/>
      </c>
      <c r="B642" s="133"/>
      <c r="C642" s="133"/>
      <c r="D642" s="133"/>
      <c r="E642" s="139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</row>
    <row r="643" customFormat="false" ht="15.75" hidden="false" customHeight="false" outlineLevel="0" collapsed="false">
      <c r="A643" s="133" t="str">
        <f aca="false">IF(ISBLANK(B643),"",B643&amp;"|"&amp;C643)</f>
        <v/>
      </c>
      <c r="B643" s="133"/>
      <c r="C643" s="133"/>
      <c r="D643" s="133"/>
      <c r="E643" s="139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</row>
    <row r="644" customFormat="false" ht="15.75" hidden="false" customHeight="false" outlineLevel="0" collapsed="false">
      <c r="A644" s="133" t="str">
        <f aca="false">IF(ISBLANK(B644),"",B644&amp;"|"&amp;C644)</f>
        <v/>
      </c>
      <c r="B644" s="133"/>
      <c r="C644" s="133"/>
      <c r="D644" s="133"/>
      <c r="E644" s="139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</row>
    <row r="645" customFormat="false" ht="15.75" hidden="false" customHeight="false" outlineLevel="0" collapsed="false">
      <c r="A645" s="133" t="str">
        <f aca="false">IF(ISBLANK(B645),"",B645&amp;"|"&amp;C645)</f>
        <v/>
      </c>
      <c r="B645" s="133"/>
      <c r="C645" s="133"/>
      <c r="D645" s="133"/>
      <c r="E645" s="139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</row>
    <row r="646" customFormat="false" ht="15.75" hidden="false" customHeight="false" outlineLevel="0" collapsed="false">
      <c r="A646" s="133" t="str">
        <f aca="false">IF(ISBLANK(B646),"",B646&amp;"|"&amp;C646)</f>
        <v/>
      </c>
      <c r="B646" s="133"/>
      <c r="C646" s="133"/>
      <c r="D646" s="133"/>
      <c r="E646" s="139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</row>
    <row r="647" customFormat="false" ht="15.75" hidden="false" customHeight="false" outlineLevel="0" collapsed="false">
      <c r="A647" s="133" t="str">
        <f aca="false">IF(ISBLANK(B647),"",B647&amp;"|"&amp;C647)</f>
        <v/>
      </c>
      <c r="B647" s="133"/>
      <c r="C647" s="133"/>
      <c r="D647" s="133"/>
      <c r="E647" s="139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</row>
    <row r="648" customFormat="false" ht="15.75" hidden="false" customHeight="false" outlineLevel="0" collapsed="false">
      <c r="A648" s="133" t="str">
        <f aca="false">IF(ISBLANK(B648),"",B648&amp;"|"&amp;C648)</f>
        <v/>
      </c>
      <c r="B648" s="133"/>
      <c r="C648" s="133"/>
      <c r="D648" s="133"/>
      <c r="E648" s="139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</row>
    <row r="649" customFormat="false" ht="15.75" hidden="false" customHeight="false" outlineLevel="0" collapsed="false">
      <c r="A649" s="133" t="str">
        <f aca="false">IF(ISBLANK(B649),"",B649&amp;"|"&amp;C649)</f>
        <v/>
      </c>
      <c r="B649" s="133"/>
      <c r="C649" s="133"/>
      <c r="D649" s="133"/>
      <c r="E649" s="139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</row>
    <row r="650" customFormat="false" ht="15.75" hidden="false" customHeight="false" outlineLevel="0" collapsed="false">
      <c r="A650" s="133" t="str">
        <f aca="false">IF(ISBLANK(B650),"",B650&amp;"|"&amp;C650)</f>
        <v/>
      </c>
      <c r="B650" s="133"/>
      <c r="C650" s="133"/>
      <c r="D650" s="133"/>
      <c r="E650" s="139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</row>
    <row r="651" customFormat="false" ht="15.75" hidden="false" customHeight="false" outlineLevel="0" collapsed="false">
      <c r="A651" s="133" t="str">
        <f aca="false">IF(ISBLANK(B651),"",B651&amp;"|"&amp;C651)</f>
        <v/>
      </c>
      <c r="B651" s="133"/>
      <c r="C651" s="133"/>
      <c r="D651" s="133"/>
      <c r="E651" s="139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</row>
    <row r="652" customFormat="false" ht="15.75" hidden="false" customHeight="false" outlineLevel="0" collapsed="false">
      <c r="A652" s="133" t="str">
        <f aca="false">IF(ISBLANK(B652),"",B652&amp;"|"&amp;C652)</f>
        <v/>
      </c>
      <c r="B652" s="133"/>
      <c r="C652" s="133"/>
      <c r="D652" s="133"/>
      <c r="E652" s="139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</row>
    <row r="653" customFormat="false" ht="15.75" hidden="false" customHeight="false" outlineLevel="0" collapsed="false">
      <c r="A653" s="133" t="str">
        <f aca="false">IF(ISBLANK(B653),"",B653&amp;"|"&amp;C653)</f>
        <v/>
      </c>
      <c r="B653" s="133"/>
      <c r="C653" s="133"/>
      <c r="D653" s="133"/>
      <c r="E653" s="139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</row>
    <row r="654" customFormat="false" ht="15.75" hidden="false" customHeight="false" outlineLevel="0" collapsed="false">
      <c r="A654" s="133" t="str">
        <f aca="false">IF(ISBLANK(B654),"",B654&amp;"|"&amp;C654)</f>
        <v/>
      </c>
      <c r="B654" s="133"/>
      <c r="C654" s="133"/>
      <c r="D654" s="133"/>
      <c r="E654" s="139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</row>
    <row r="655" customFormat="false" ht="15.75" hidden="false" customHeight="false" outlineLevel="0" collapsed="false">
      <c r="A655" s="133" t="str">
        <f aca="false">IF(ISBLANK(B655),"",B655&amp;"|"&amp;C655)</f>
        <v/>
      </c>
      <c r="B655" s="133"/>
      <c r="C655" s="133"/>
      <c r="D655" s="133"/>
      <c r="E655" s="139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</row>
    <row r="656" customFormat="false" ht="15.75" hidden="false" customHeight="false" outlineLevel="0" collapsed="false">
      <c r="A656" s="133" t="str">
        <f aca="false">IF(ISBLANK(B656),"",B656&amp;"|"&amp;C656)</f>
        <v/>
      </c>
      <c r="B656" s="133"/>
      <c r="C656" s="133"/>
      <c r="D656" s="133"/>
      <c r="E656" s="139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</row>
    <row r="657" customFormat="false" ht="15.75" hidden="false" customHeight="false" outlineLevel="0" collapsed="false">
      <c r="A657" s="133" t="str">
        <f aca="false">IF(ISBLANK(B657),"",B657&amp;"|"&amp;C657)</f>
        <v/>
      </c>
      <c r="B657" s="133"/>
      <c r="C657" s="133"/>
      <c r="D657" s="133"/>
      <c r="E657" s="139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</row>
    <row r="658" customFormat="false" ht="15.75" hidden="false" customHeight="false" outlineLevel="0" collapsed="false">
      <c r="A658" s="133" t="str">
        <f aca="false">IF(ISBLANK(B658),"",B658&amp;"|"&amp;C658)</f>
        <v/>
      </c>
      <c r="B658" s="133"/>
      <c r="C658" s="133"/>
      <c r="D658" s="133"/>
      <c r="E658" s="139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</row>
    <row r="659" customFormat="false" ht="15.75" hidden="false" customHeight="false" outlineLevel="0" collapsed="false">
      <c r="A659" s="133" t="str">
        <f aca="false">IF(ISBLANK(B659),"",B659&amp;"|"&amp;C659)</f>
        <v/>
      </c>
      <c r="B659" s="133"/>
      <c r="C659" s="133"/>
      <c r="D659" s="133"/>
      <c r="E659" s="139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</row>
    <row r="660" customFormat="false" ht="15.75" hidden="false" customHeight="false" outlineLevel="0" collapsed="false">
      <c r="A660" s="133" t="str">
        <f aca="false">IF(ISBLANK(B660),"",B660&amp;"|"&amp;C660)</f>
        <v/>
      </c>
      <c r="B660" s="133"/>
      <c r="C660" s="133"/>
      <c r="D660" s="133"/>
      <c r="E660" s="139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</row>
    <row r="661" customFormat="false" ht="15.75" hidden="false" customHeight="false" outlineLevel="0" collapsed="false">
      <c r="A661" s="133" t="str">
        <f aca="false">IF(ISBLANK(B661),"",B661&amp;"|"&amp;C661)</f>
        <v/>
      </c>
      <c r="B661" s="133"/>
      <c r="C661" s="133"/>
      <c r="D661" s="133"/>
      <c r="E661" s="139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</row>
    <row r="662" customFormat="false" ht="15.75" hidden="false" customHeight="false" outlineLevel="0" collapsed="false">
      <c r="A662" s="133" t="str">
        <f aca="false">IF(ISBLANK(B662),"",B662&amp;"|"&amp;C662)</f>
        <v/>
      </c>
      <c r="B662" s="133"/>
      <c r="C662" s="133"/>
      <c r="D662" s="133"/>
      <c r="E662" s="139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</row>
    <row r="663" customFormat="false" ht="15.75" hidden="false" customHeight="false" outlineLevel="0" collapsed="false">
      <c r="A663" s="133" t="str">
        <f aca="false">IF(ISBLANK(B663),"",B663&amp;"|"&amp;C663)</f>
        <v/>
      </c>
      <c r="B663" s="133"/>
      <c r="C663" s="133"/>
      <c r="D663" s="133"/>
      <c r="E663" s="139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</row>
    <row r="664" customFormat="false" ht="15.75" hidden="false" customHeight="false" outlineLevel="0" collapsed="false">
      <c r="A664" s="133" t="str">
        <f aca="false">IF(ISBLANK(B664),"",B664&amp;"|"&amp;C664)</f>
        <v/>
      </c>
      <c r="B664" s="133"/>
      <c r="C664" s="133"/>
      <c r="D664" s="133"/>
      <c r="E664" s="139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</row>
    <row r="665" customFormat="false" ht="15.75" hidden="false" customHeight="false" outlineLevel="0" collapsed="false">
      <c r="A665" s="133" t="str">
        <f aca="false">IF(ISBLANK(B665),"",B665&amp;"|"&amp;C665)</f>
        <v/>
      </c>
      <c r="B665" s="133"/>
      <c r="C665" s="133"/>
      <c r="D665" s="133"/>
      <c r="E665" s="139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</row>
    <row r="666" customFormat="false" ht="15.75" hidden="false" customHeight="false" outlineLevel="0" collapsed="false">
      <c r="A666" s="133" t="str">
        <f aca="false">IF(ISBLANK(B666),"",B666&amp;"|"&amp;C666)</f>
        <v/>
      </c>
      <c r="B666" s="133"/>
      <c r="C666" s="133"/>
      <c r="D666" s="133"/>
      <c r="E666" s="139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</row>
    <row r="667" customFormat="false" ht="15.75" hidden="false" customHeight="false" outlineLevel="0" collapsed="false">
      <c r="A667" s="133" t="str">
        <f aca="false">IF(ISBLANK(B667),"",B667&amp;"|"&amp;C667)</f>
        <v/>
      </c>
      <c r="B667" s="133"/>
      <c r="C667" s="133"/>
      <c r="D667" s="133"/>
      <c r="E667" s="139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</row>
    <row r="668" customFormat="false" ht="15.75" hidden="false" customHeight="false" outlineLevel="0" collapsed="false">
      <c r="A668" s="133" t="str">
        <f aca="false">IF(ISBLANK(B668),"",B668&amp;"|"&amp;C668)</f>
        <v/>
      </c>
      <c r="B668" s="133"/>
      <c r="C668" s="133"/>
      <c r="D668" s="133"/>
      <c r="E668" s="139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</row>
    <row r="669" customFormat="false" ht="15.75" hidden="false" customHeight="false" outlineLevel="0" collapsed="false">
      <c r="A669" s="133" t="str">
        <f aca="false">IF(ISBLANK(B669),"",B669&amp;"|"&amp;C669)</f>
        <v/>
      </c>
      <c r="B669" s="133"/>
      <c r="C669" s="133"/>
      <c r="D669" s="133"/>
      <c r="E669" s="139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</row>
    <row r="670" customFormat="false" ht="15.75" hidden="false" customHeight="false" outlineLevel="0" collapsed="false">
      <c r="A670" s="133" t="str">
        <f aca="false">IF(ISBLANK(B670),"",B670&amp;"|"&amp;C670)</f>
        <v/>
      </c>
      <c r="B670" s="133"/>
      <c r="C670" s="133"/>
      <c r="D670" s="133"/>
      <c r="E670" s="139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</row>
    <row r="671" customFormat="false" ht="15.75" hidden="false" customHeight="false" outlineLevel="0" collapsed="false">
      <c r="A671" s="133" t="str">
        <f aca="false">IF(ISBLANK(B671),"",B671&amp;"|"&amp;C671)</f>
        <v/>
      </c>
      <c r="B671" s="133"/>
      <c r="C671" s="133"/>
      <c r="D671" s="133"/>
      <c r="E671" s="139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</row>
    <row r="672" customFormat="false" ht="15.75" hidden="false" customHeight="false" outlineLevel="0" collapsed="false">
      <c r="A672" s="133" t="str">
        <f aca="false">IF(ISBLANK(B672),"",B672&amp;"|"&amp;C672)</f>
        <v/>
      </c>
      <c r="B672" s="133"/>
      <c r="C672" s="133"/>
      <c r="D672" s="133"/>
      <c r="E672" s="139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</row>
    <row r="673" customFormat="false" ht="15.75" hidden="false" customHeight="false" outlineLevel="0" collapsed="false">
      <c r="A673" s="133" t="str">
        <f aca="false">IF(ISBLANK(B673),"",B673&amp;"|"&amp;C673)</f>
        <v/>
      </c>
      <c r="B673" s="133"/>
      <c r="C673" s="133"/>
      <c r="D673" s="133"/>
      <c r="E673" s="139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</row>
    <row r="674" customFormat="false" ht="15.75" hidden="false" customHeight="false" outlineLevel="0" collapsed="false">
      <c r="A674" s="133" t="str">
        <f aca="false">IF(ISBLANK(B674),"",B674&amp;"|"&amp;C674)</f>
        <v/>
      </c>
      <c r="B674" s="133"/>
      <c r="C674" s="133"/>
      <c r="D674" s="133"/>
      <c r="E674" s="139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</row>
    <row r="675" customFormat="false" ht="15.75" hidden="false" customHeight="false" outlineLevel="0" collapsed="false">
      <c r="A675" s="133" t="str">
        <f aca="false">IF(ISBLANK(B675),"",B675&amp;"|"&amp;C675)</f>
        <v/>
      </c>
      <c r="B675" s="133"/>
      <c r="C675" s="133"/>
      <c r="D675" s="133"/>
      <c r="E675" s="139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</row>
    <row r="676" customFormat="false" ht="15.75" hidden="false" customHeight="false" outlineLevel="0" collapsed="false">
      <c r="A676" s="133" t="str">
        <f aca="false">IF(ISBLANK(B676),"",B676&amp;"|"&amp;C676)</f>
        <v/>
      </c>
      <c r="B676" s="133"/>
      <c r="C676" s="133"/>
      <c r="D676" s="133"/>
      <c r="E676" s="139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</row>
    <row r="677" customFormat="false" ht="15.75" hidden="false" customHeight="false" outlineLevel="0" collapsed="false">
      <c r="A677" s="133" t="str">
        <f aca="false">IF(ISBLANK(B677),"",B677&amp;"|"&amp;C677)</f>
        <v/>
      </c>
      <c r="B677" s="133"/>
      <c r="C677" s="133"/>
      <c r="D677" s="133"/>
      <c r="E677" s="139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</row>
    <row r="678" customFormat="false" ht="15.75" hidden="false" customHeight="false" outlineLevel="0" collapsed="false">
      <c r="A678" s="133" t="str">
        <f aca="false">IF(ISBLANK(B678),"",B678&amp;"|"&amp;C678)</f>
        <v/>
      </c>
      <c r="B678" s="133"/>
      <c r="C678" s="133"/>
      <c r="D678" s="133"/>
      <c r="E678" s="139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</row>
    <row r="679" customFormat="false" ht="15.75" hidden="false" customHeight="false" outlineLevel="0" collapsed="false">
      <c r="A679" s="133" t="str">
        <f aca="false">IF(ISBLANK(B679),"",B679&amp;"|"&amp;C679)</f>
        <v/>
      </c>
      <c r="B679" s="133"/>
      <c r="C679" s="133"/>
      <c r="D679" s="133"/>
      <c r="E679" s="139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</row>
    <row r="680" customFormat="false" ht="15.75" hidden="false" customHeight="false" outlineLevel="0" collapsed="false">
      <c r="A680" s="133" t="str">
        <f aca="false">IF(ISBLANK(B680),"",B680&amp;"|"&amp;C680)</f>
        <v/>
      </c>
      <c r="B680" s="133"/>
      <c r="C680" s="133"/>
      <c r="D680" s="133"/>
      <c r="E680" s="139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</row>
    <row r="681" customFormat="false" ht="15.75" hidden="false" customHeight="false" outlineLevel="0" collapsed="false">
      <c r="A681" s="133" t="str">
        <f aca="false">IF(ISBLANK(B681),"",B681&amp;"|"&amp;C681)</f>
        <v/>
      </c>
      <c r="B681" s="133"/>
      <c r="C681" s="133"/>
      <c r="D681" s="133"/>
      <c r="E681" s="139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</row>
    <row r="682" customFormat="false" ht="15.75" hidden="false" customHeight="false" outlineLevel="0" collapsed="false">
      <c r="A682" s="133" t="str">
        <f aca="false">IF(ISBLANK(B682),"",B682&amp;"|"&amp;C682)</f>
        <v/>
      </c>
      <c r="B682" s="133"/>
      <c r="C682" s="133"/>
      <c r="D682" s="133"/>
      <c r="E682" s="139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</row>
    <row r="683" customFormat="false" ht="15.75" hidden="false" customHeight="false" outlineLevel="0" collapsed="false">
      <c r="A683" s="133" t="str">
        <f aca="false">IF(ISBLANK(B683),"",B683&amp;"|"&amp;C683)</f>
        <v/>
      </c>
      <c r="B683" s="133"/>
      <c r="C683" s="133"/>
      <c r="D683" s="133"/>
      <c r="E683" s="139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</row>
    <row r="684" customFormat="false" ht="15.75" hidden="false" customHeight="false" outlineLevel="0" collapsed="false">
      <c r="A684" s="133" t="str">
        <f aca="false">IF(ISBLANK(B684),"",B684&amp;"|"&amp;C684)</f>
        <v/>
      </c>
      <c r="B684" s="133"/>
      <c r="C684" s="133"/>
      <c r="D684" s="133"/>
      <c r="E684" s="139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</row>
    <row r="685" customFormat="false" ht="15.75" hidden="false" customHeight="false" outlineLevel="0" collapsed="false">
      <c r="A685" s="133" t="str">
        <f aca="false">IF(ISBLANK(B685),"",B685&amp;"|"&amp;C685)</f>
        <v/>
      </c>
      <c r="B685" s="133"/>
      <c r="C685" s="133"/>
      <c r="D685" s="133"/>
      <c r="E685" s="139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</row>
    <row r="686" customFormat="false" ht="15.75" hidden="false" customHeight="false" outlineLevel="0" collapsed="false">
      <c r="A686" s="133" t="str">
        <f aca="false">IF(ISBLANK(B686),"",B686&amp;"|"&amp;C686)</f>
        <v/>
      </c>
      <c r="B686" s="133"/>
      <c r="C686" s="133"/>
      <c r="D686" s="133"/>
      <c r="E686" s="139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</row>
    <row r="687" customFormat="false" ht="15.75" hidden="false" customHeight="false" outlineLevel="0" collapsed="false">
      <c r="A687" s="133" t="str">
        <f aca="false">IF(ISBLANK(B687),"",B687&amp;"|"&amp;C687)</f>
        <v/>
      </c>
      <c r="B687" s="133"/>
      <c r="C687" s="133"/>
      <c r="D687" s="133"/>
      <c r="E687" s="139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</row>
    <row r="688" customFormat="false" ht="15.75" hidden="false" customHeight="false" outlineLevel="0" collapsed="false">
      <c r="A688" s="133" t="str">
        <f aca="false">IF(ISBLANK(B688),"",B688&amp;"|"&amp;C688)</f>
        <v/>
      </c>
      <c r="B688" s="133"/>
      <c r="C688" s="133"/>
      <c r="D688" s="133"/>
      <c r="E688" s="139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</row>
    <row r="689" customFormat="false" ht="15.75" hidden="false" customHeight="false" outlineLevel="0" collapsed="false">
      <c r="A689" s="133" t="str">
        <f aca="false">IF(ISBLANK(B689),"",B689&amp;"|"&amp;C689)</f>
        <v/>
      </c>
      <c r="B689" s="133"/>
      <c r="C689" s="133"/>
      <c r="D689" s="133"/>
      <c r="E689" s="139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</row>
    <row r="690" customFormat="false" ht="15.75" hidden="false" customHeight="false" outlineLevel="0" collapsed="false">
      <c r="A690" s="133" t="str">
        <f aca="false">IF(ISBLANK(B690),"",B690&amp;"|"&amp;C690)</f>
        <v/>
      </c>
      <c r="B690" s="133"/>
      <c r="C690" s="133"/>
      <c r="D690" s="133"/>
      <c r="E690" s="139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</row>
    <row r="691" customFormat="false" ht="15.75" hidden="false" customHeight="false" outlineLevel="0" collapsed="false">
      <c r="A691" s="133" t="str">
        <f aca="false">IF(ISBLANK(B691),"",B691&amp;"|"&amp;C691)</f>
        <v/>
      </c>
      <c r="B691" s="133"/>
      <c r="C691" s="133"/>
      <c r="D691" s="133"/>
      <c r="E691" s="139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</row>
    <row r="692" customFormat="false" ht="15.75" hidden="false" customHeight="false" outlineLevel="0" collapsed="false">
      <c r="A692" s="133" t="str">
        <f aca="false">IF(ISBLANK(B692),"",B692&amp;"|"&amp;C692)</f>
        <v/>
      </c>
      <c r="B692" s="133"/>
      <c r="C692" s="133"/>
      <c r="D692" s="133"/>
      <c r="E692" s="139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</row>
    <row r="693" customFormat="false" ht="15.75" hidden="false" customHeight="false" outlineLevel="0" collapsed="false">
      <c r="A693" s="133" t="str">
        <f aca="false">IF(ISBLANK(B693),"",B693&amp;"|"&amp;C693)</f>
        <v/>
      </c>
      <c r="B693" s="133"/>
      <c r="C693" s="133"/>
      <c r="D693" s="133"/>
      <c r="E693" s="139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</row>
    <row r="694" customFormat="false" ht="15.75" hidden="false" customHeight="false" outlineLevel="0" collapsed="false">
      <c r="A694" s="133" t="str">
        <f aca="false">IF(ISBLANK(B694),"",B694&amp;"|"&amp;C694)</f>
        <v/>
      </c>
      <c r="B694" s="133"/>
      <c r="C694" s="133"/>
      <c r="D694" s="133"/>
      <c r="E694" s="139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</row>
    <row r="695" customFormat="false" ht="15.75" hidden="false" customHeight="false" outlineLevel="0" collapsed="false">
      <c r="A695" s="133" t="str">
        <f aca="false">IF(ISBLANK(B695),"",B695&amp;"|"&amp;C695)</f>
        <v/>
      </c>
      <c r="B695" s="133"/>
      <c r="C695" s="133"/>
      <c r="D695" s="133"/>
      <c r="E695" s="139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</row>
    <row r="696" customFormat="false" ht="15.75" hidden="false" customHeight="false" outlineLevel="0" collapsed="false">
      <c r="A696" s="133" t="str">
        <f aca="false">IF(ISBLANK(B696),"",B696&amp;"|"&amp;C696)</f>
        <v/>
      </c>
      <c r="B696" s="133"/>
      <c r="C696" s="133"/>
      <c r="D696" s="133"/>
      <c r="E696" s="139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</row>
    <row r="697" customFormat="false" ht="15.75" hidden="false" customHeight="false" outlineLevel="0" collapsed="false">
      <c r="A697" s="133" t="str">
        <f aca="false">IF(ISBLANK(B697),"",B697&amp;"|"&amp;C697)</f>
        <v/>
      </c>
      <c r="B697" s="133"/>
      <c r="C697" s="133"/>
      <c r="D697" s="133"/>
      <c r="E697" s="139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</row>
    <row r="698" customFormat="false" ht="15.75" hidden="false" customHeight="false" outlineLevel="0" collapsed="false">
      <c r="A698" s="133" t="str">
        <f aca="false">IF(ISBLANK(B698),"",B698&amp;"|"&amp;C698)</f>
        <v/>
      </c>
      <c r="B698" s="133"/>
      <c r="C698" s="133"/>
      <c r="D698" s="133"/>
      <c r="E698" s="139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</row>
    <row r="699" customFormat="false" ht="15.75" hidden="false" customHeight="false" outlineLevel="0" collapsed="false">
      <c r="A699" s="133" t="str">
        <f aca="false">IF(ISBLANK(B699),"",B699&amp;"|"&amp;C699)</f>
        <v/>
      </c>
      <c r="B699" s="133"/>
      <c r="C699" s="133"/>
      <c r="D699" s="133"/>
      <c r="E699" s="139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</row>
    <row r="700" customFormat="false" ht="15.75" hidden="false" customHeight="false" outlineLevel="0" collapsed="false">
      <c r="A700" s="133" t="str">
        <f aca="false">IF(ISBLANK(B700),"",B700&amp;"|"&amp;C700)</f>
        <v/>
      </c>
      <c r="B700" s="133"/>
      <c r="C700" s="133"/>
      <c r="D700" s="133"/>
      <c r="E700" s="139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</row>
    <row r="701" customFormat="false" ht="15.75" hidden="false" customHeight="false" outlineLevel="0" collapsed="false">
      <c r="A701" s="133" t="str">
        <f aca="false">IF(ISBLANK(B701),"",B701&amp;"|"&amp;C701)</f>
        <v/>
      </c>
      <c r="B701" s="133"/>
      <c r="C701" s="133"/>
      <c r="D701" s="133"/>
      <c r="E701" s="139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</row>
    <row r="702" customFormat="false" ht="15.75" hidden="false" customHeight="false" outlineLevel="0" collapsed="false">
      <c r="A702" s="133" t="str">
        <f aca="false">IF(ISBLANK(B702),"",B702&amp;"|"&amp;C702)</f>
        <v/>
      </c>
      <c r="B702" s="133"/>
      <c r="C702" s="133"/>
      <c r="D702" s="133"/>
      <c r="E702" s="139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</row>
    <row r="703" customFormat="false" ht="15.75" hidden="false" customHeight="false" outlineLevel="0" collapsed="false">
      <c r="A703" s="133" t="str">
        <f aca="false">IF(ISBLANK(B703),"",B703&amp;"|"&amp;C703)</f>
        <v/>
      </c>
      <c r="B703" s="133"/>
      <c r="C703" s="133"/>
      <c r="D703" s="133"/>
      <c r="E703" s="139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</row>
    <row r="704" customFormat="false" ht="15.75" hidden="false" customHeight="false" outlineLevel="0" collapsed="false">
      <c r="A704" s="133" t="str">
        <f aca="false">IF(ISBLANK(B704),"",B704&amp;"|"&amp;C704)</f>
        <v/>
      </c>
      <c r="B704" s="133"/>
      <c r="C704" s="133"/>
      <c r="D704" s="133"/>
      <c r="E704" s="139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</row>
    <row r="705" customFormat="false" ht="15.75" hidden="false" customHeight="false" outlineLevel="0" collapsed="false">
      <c r="A705" s="133" t="str">
        <f aca="false">IF(ISBLANK(B705),"",B705&amp;"|"&amp;C705)</f>
        <v/>
      </c>
      <c r="B705" s="133"/>
      <c r="C705" s="133"/>
      <c r="D705" s="133"/>
      <c r="E705" s="139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</row>
    <row r="706" customFormat="false" ht="15.75" hidden="false" customHeight="false" outlineLevel="0" collapsed="false">
      <c r="A706" s="133" t="str">
        <f aca="false">IF(ISBLANK(B706),"",B706&amp;"|"&amp;C706)</f>
        <v/>
      </c>
      <c r="B706" s="133"/>
      <c r="C706" s="133"/>
      <c r="D706" s="133"/>
      <c r="E706" s="139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</row>
    <row r="707" customFormat="false" ht="15.75" hidden="false" customHeight="false" outlineLevel="0" collapsed="false">
      <c r="A707" s="133" t="str">
        <f aca="false">IF(ISBLANK(B707),"",B707&amp;"|"&amp;C707)</f>
        <v/>
      </c>
      <c r="B707" s="133"/>
      <c r="C707" s="133"/>
      <c r="D707" s="133"/>
      <c r="E707" s="139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</row>
    <row r="708" customFormat="false" ht="15.75" hidden="false" customHeight="false" outlineLevel="0" collapsed="false">
      <c r="A708" s="133" t="str">
        <f aca="false">IF(ISBLANK(B708),"",B708&amp;"|"&amp;C708)</f>
        <v/>
      </c>
      <c r="B708" s="133"/>
      <c r="C708" s="133"/>
      <c r="D708" s="133"/>
      <c r="E708" s="139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</row>
    <row r="709" customFormat="false" ht="15.75" hidden="false" customHeight="false" outlineLevel="0" collapsed="false">
      <c r="A709" s="133" t="str">
        <f aca="false">IF(ISBLANK(B709),"",B709&amp;"|"&amp;C709)</f>
        <v/>
      </c>
      <c r="B709" s="133"/>
      <c r="C709" s="133"/>
      <c r="D709" s="133"/>
      <c r="E709" s="139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</row>
    <row r="710" customFormat="false" ht="15.75" hidden="false" customHeight="false" outlineLevel="0" collapsed="false">
      <c r="A710" s="133" t="str">
        <f aca="false">IF(ISBLANK(B710),"",B710&amp;"|"&amp;C710)</f>
        <v/>
      </c>
      <c r="B710" s="133"/>
      <c r="C710" s="133"/>
      <c r="D710" s="133"/>
      <c r="E710" s="139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</row>
    <row r="711" customFormat="false" ht="15.75" hidden="false" customHeight="false" outlineLevel="0" collapsed="false">
      <c r="A711" s="133" t="str">
        <f aca="false">IF(ISBLANK(B711),"",B711&amp;"|"&amp;C711)</f>
        <v/>
      </c>
      <c r="B711" s="133"/>
      <c r="C711" s="133"/>
      <c r="D711" s="133"/>
      <c r="E711" s="139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</row>
    <row r="712" customFormat="false" ht="15.75" hidden="false" customHeight="false" outlineLevel="0" collapsed="false">
      <c r="A712" s="133" t="str">
        <f aca="false">IF(ISBLANK(B712),"",B712&amp;"|"&amp;C712)</f>
        <v/>
      </c>
      <c r="B712" s="133"/>
      <c r="C712" s="133"/>
      <c r="D712" s="133"/>
      <c r="E712" s="139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</row>
    <row r="713" customFormat="false" ht="15.75" hidden="false" customHeight="false" outlineLevel="0" collapsed="false">
      <c r="A713" s="133" t="str">
        <f aca="false">IF(ISBLANK(B713),"",B713&amp;"|"&amp;C713)</f>
        <v/>
      </c>
      <c r="B713" s="133"/>
      <c r="C713" s="133"/>
      <c r="D713" s="133"/>
      <c r="E713" s="139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</row>
    <row r="714" customFormat="false" ht="15.75" hidden="false" customHeight="false" outlineLevel="0" collapsed="false">
      <c r="A714" s="133" t="str">
        <f aca="false">IF(ISBLANK(B714),"",B714&amp;"|"&amp;C714)</f>
        <v/>
      </c>
      <c r="B714" s="133"/>
      <c r="C714" s="133"/>
      <c r="D714" s="133"/>
      <c r="E714" s="139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</row>
    <row r="715" customFormat="false" ht="15.75" hidden="false" customHeight="false" outlineLevel="0" collapsed="false">
      <c r="A715" s="133" t="str">
        <f aca="false">IF(ISBLANK(B715),"",B715&amp;"|"&amp;C715)</f>
        <v/>
      </c>
      <c r="B715" s="133"/>
      <c r="C715" s="133"/>
      <c r="D715" s="133"/>
      <c r="E715" s="139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</row>
    <row r="716" customFormat="false" ht="15.75" hidden="false" customHeight="false" outlineLevel="0" collapsed="false">
      <c r="A716" s="133" t="str">
        <f aca="false">IF(ISBLANK(B716),"",B716&amp;"|"&amp;C716)</f>
        <v/>
      </c>
      <c r="B716" s="133"/>
      <c r="C716" s="133"/>
      <c r="D716" s="133"/>
      <c r="E716" s="139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</row>
    <row r="717" customFormat="false" ht="15.75" hidden="false" customHeight="false" outlineLevel="0" collapsed="false">
      <c r="A717" s="133" t="str">
        <f aca="false">IF(ISBLANK(B717),"",B717&amp;"|"&amp;C717)</f>
        <v/>
      </c>
      <c r="B717" s="133"/>
      <c r="C717" s="133"/>
      <c r="D717" s="133"/>
      <c r="E717" s="139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</row>
    <row r="718" customFormat="false" ht="15.75" hidden="false" customHeight="false" outlineLevel="0" collapsed="false">
      <c r="A718" s="133" t="str">
        <f aca="false">IF(ISBLANK(B718),"",B718&amp;"|"&amp;C718)</f>
        <v/>
      </c>
      <c r="B718" s="133"/>
      <c r="C718" s="133"/>
      <c r="D718" s="133"/>
      <c r="E718" s="139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</row>
    <row r="719" customFormat="false" ht="15.75" hidden="false" customHeight="false" outlineLevel="0" collapsed="false">
      <c r="A719" s="133" t="str">
        <f aca="false">IF(ISBLANK(B719),"",B719&amp;"|"&amp;C719)</f>
        <v/>
      </c>
      <c r="B719" s="133"/>
      <c r="C719" s="133"/>
      <c r="D719" s="133"/>
      <c r="E719" s="139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</row>
    <row r="720" customFormat="false" ht="15.75" hidden="false" customHeight="false" outlineLevel="0" collapsed="false">
      <c r="A720" s="133" t="str">
        <f aca="false">IF(ISBLANK(B720),"",B720&amp;"|"&amp;C720)</f>
        <v/>
      </c>
      <c r="B720" s="133"/>
      <c r="C720" s="133"/>
      <c r="D720" s="133"/>
      <c r="E720" s="139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</row>
    <row r="721" customFormat="false" ht="15.75" hidden="false" customHeight="false" outlineLevel="0" collapsed="false">
      <c r="A721" s="133" t="str">
        <f aca="false">IF(ISBLANK(B721),"",B721&amp;"|"&amp;C721)</f>
        <v/>
      </c>
      <c r="B721" s="133"/>
      <c r="C721" s="133"/>
      <c r="D721" s="133"/>
      <c r="E721" s="139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</row>
    <row r="722" customFormat="false" ht="15.75" hidden="false" customHeight="false" outlineLevel="0" collapsed="false">
      <c r="A722" s="133" t="str">
        <f aca="false">IF(ISBLANK(B722),"",B722&amp;"|"&amp;C722)</f>
        <v/>
      </c>
      <c r="B722" s="133"/>
      <c r="C722" s="133"/>
      <c r="D722" s="133"/>
      <c r="E722" s="139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</row>
    <row r="723" customFormat="false" ht="15.75" hidden="false" customHeight="false" outlineLevel="0" collapsed="false">
      <c r="A723" s="133" t="str">
        <f aca="false">IF(ISBLANK(B723),"",B723&amp;"|"&amp;C723)</f>
        <v/>
      </c>
      <c r="B723" s="133"/>
      <c r="C723" s="133"/>
      <c r="D723" s="133"/>
      <c r="E723" s="139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</row>
    <row r="724" customFormat="false" ht="15.75" hidden="false" customHeight="false" outlineLevel="0" collapsed="false">
      <c r="A724" s="133" t="str">
        <f aca="false">IF(ISBLANK(B724),"",B724&amp;"|"&amp;C724)</f>
        <v/>
      </c>
      <c r="B724" s="133"/>
      <c r="C724" s="133"/>
      <c r="D724" s="133"/>
      <c r="E724" s="139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</row>
    <row r="725" customFormat="false" ht="15.75" hidden="false" customHeight="false" outlineLevel="0" collapsed="false">
      <c r="A725" s="133" t="str">
        <f aca="false">IF(ISBLANK(B725),"",B725&amp;"|"&amp;C725)</f>
        <v/>
      </c>
      <c r="B725" s="133"/>
      <c r="C725" s="133"/>
      <c r="D725" s="133"/>
      <c r="E725" s="139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</row>
    <row r="726" customFormat="false" ht="15.75" hidden="false" customHeight="false" outlineLevel="0" collapsed="false">
      <c r="A726" s="133" t="str">
        <f aca="false">IF(ISBLANK(B726),"",B726&amp;"|"&amp;C726)</f>
        <v/>
      </c>
      <c r="B726" s="133"/>
      <c r="C726" s="133"/>
      <c r="D726" s="133"/>
      <c r="E726" s="139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</row>
    <row r="727" customFormat="false" ht="15.75" hidden="false" customHeight="false" outlineLevel="0" collapsed="false">
      <c r="A727" s="133" t="str">
        <f aca="false">IF(ISBLANK(B727),"",B727&amp;"|"&amp;C727)</f>
        <v/>
      </c>
      <c r="B727" s="133"/>
      <c r="C727" s="133"/>
      <c r="D727" s="133"/>
      <c r="E727" s="139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</row>
    <row r="728" customFormat="false" ht="15.75" hidden="false" customHeight="false" outlineLevel="0" collapsed="false">
      <c r="A728" s="133" t="str">
        <f aca="false">IF(ISBLANK(B728),"",B728&amp;"|"&amp;C728)</f>
        <v/>
      </c>
      <c r="B728" s="133"/>
      <c r="C728" s="133"/>
      <c r="D728" s="133"/>
      <c r="E728" s="139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</row>
    <row r="729" customFormat="false" ht="15.75" hidden="false" customHeight="false" outlineLevel="0" collapsed="false">
      <c r="A729" s="133" t="str">
        <f aca="false">IF(ISBLANK(B729),"",B729&amp;"|"&amp;C729)</f>
        <v/>
      </c>
      <c r="B729" s="133"/>
      <c r="C729" s="133"/>
      <c r="D729" s="133"/>
      <c r="E729" s="139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</row>
    <row r="730" customFormat="false" ht="15.75" hidden="false" customHeight="false" outlineLevel="0" collapsed="false">
      <c r="A730" s="133" t="str">
        <f aca="false">IF(ISBLANK(B730),"",B730&amp;"|"&amp;C730)</f>
        <v/>
      </c>
      <c r="B730" s="133"/>
      <c r="C730" s="133"/>
      <c r="D730" s="133"/>
      <c r="E730" s="139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</row>
    <row r="731" customFormat="false" ht="15.75" hidden="false" customHeight="false" outlineLevel="0" collapsed="false">
      <c r="A731" s="133" t="str">
        <f aca="false">IF(ISBLANK(B731),"",B731&amp;"|"&amp;C731)</f>
        <v/>
      </c>
      <c r="B731" s="133"/>
      <c r="C731" s="133"/>
      <c r="D731" s="133"/>
      <c r="E731" s="139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</row>
    <row r="732" customFormat="false" ht="15.75" hidden="false" customHeight="false" outlineLevel="0" collapsed="false">
      <c r="A732" s="133" t="str">
        <f aca="false">IF(ISBLANK(B732),"",B732&amp;"|"&amp;C732)</f>
        <v/>
      </c>
      <c r="B732" s="133"/>
      <c r="C732" s="133"/>
      <c r="D732" s="133"/>
      <c r="E732" s="139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</row>
    <row r="733" customFormat="false" ht="15.75" hidden="false" customHeight="false" outlineLevel="0" collapsed="false">
      <c r="A733" s="133" t="str">
        <f aca="false">IF(ISBLANK(B733),"",B733&amp;"|"&amp;C733)</f>
        <v/>
      </c>
      <c r="B733" s="133"/>
      <c r="C733" s="133"/>
      <c r="D733" s="133"/>
      <c r="E733" s="139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</row>
    <row r="734" customFormat="false" ht="15.75" hidden="false" customHeight="false" outlineLevel="0" collapsed="false">
      <c r="A734" s="133" t="str">
        <f aca="false">IF(ISBLANK(B734),"",B734&amp;"|"&amp;C734)</f>
        <v/>
      </c>
      <c r="B734" s="133"/>
      <c r="C734" s="133"/>
      <c r="D734" s="133"/>
      <c r="E734" s="139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</row>
    <row r="735" customFormat="false" ht="15.75" hidden="false" customHeight="false" outlineLevel="0" collapsed="false">
      <c r="A735" s="133" t="str">
        <f aca="false">IF(ISBLANK(B735),"",B735&amp;"|"&amp;C735)</f>
        <v/>
      </c>
      <c r="B735" s="133"/>
      <c r="C735" s="133"/>
      <c r="D735" s="133"/>
      <c r="E735" s="139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</row>
    <row r="736" customFormat="false" ht="15.75" hidden="false" customHeight="false" outlineLevel="0" collapsed="false">
      <c r="A736" s="133" t="str">
        <f aca="false">IF(ISBLANK(B736),"",B736&amp;"|"&amp;C736)</f>
        <v/>
      </c>
      <c r="B736" s="133"/>
      <c r="C736" s="133"/>
      <c r="D736" s="133"/>
      <c r="E736" s="139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</row>
    <row r="737" customFormat="false" ht="15.75" hidden="false" customHeight="false" outlineLevel="0" collapsed="false">
      <c r="A737" s="133" t="str">
        <f aca="false">IF(ISBLANK(B737),"",B737&amp;"|"&amp;C737)</f>
        <v/>
      </c>
      <c r="B737" s="133"/>
      <c r="C737" s="133"/>
      <c r="D737" s="133"/>
      <c r="E737" s="139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</row>
    <row r="738" customFormat="false" ht="15.75" hidden="false" customHeight="false" outlineLevel="0" collapsed="false">
      <c r="A738" s="133" t="str">
        <f aca="false">IF(ISBLANK(B738),"",B738&amp;"|"&amp;C738)</f>
        <v/>
      </c>
      <c r="B738" s="133"/>
      <c r="C738" s="133"/>
      <c r="D738" s="133"/>
      <c r="E738" s="139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</row>
    <row r="739" customFormat="false" ht="15.75" hidden="false" customHeight="false" outlineLevel="0" collapsed="false">
      <c r="A739" s="133" t="str">
        <f aca="false">IF(ISBLANK(B739),"",B739&amp;"|"&amp;C739)</f>
        <v/>
      </c>
      <c r="B739" s="133"/>
      <c r="C739" s="133"/>
      <c r="D739" s="133"/>
      <c r="E739" s="139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</row>
    <row r="740" customFormat="false" ht="15.75" hidden="false" customHeight="false" outlineLevel="0" collapsed="false">
      <c r="A740" s="133" t="str">
        <f aca="false">IF(ISBLANK(B740),"",B740&amp;"|"&amp;C740)</f>
        <v/>
      </c>
      <c r="B740" s="133"/>
      <c r="C740" s="133"/>
      <c r="D740" s="133"/>
      <c r="E740" s="139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</row>
    <row r="741" customFormat="false" ht="15.75" hidden="false" customHeight="false" outlineLevel="0" collapsed="false">
      <c r="A741" s="133" t="str">
        <f aca="false">IF(ISBLANK(B741),"",B741&amp;"|"&amp;C741)</f>
        <v/>
      </c>
      <c r="B741" s="133"/>
      <c r="C741" s="133"/>
      <c r="D741" s="133"/>
      <c r="E741" s="139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</row>
    <row r="742" customFormat="false" ht="15.75" hidden="false" customHeight="false" outlineLevel="0" collapsed="false">
      <c r="A742" s="133" t="str">
        <f aca="false">IF(ISBLANK(B742),"",B742&amp;"|"&amp;C742)</f>
        <v/>
      </c>
      <c r="B742" s="133"/>
      <c r="C742" s="133"/>
      <c r="D742" s="133"/>
      <c r="E742" s="139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</row>
    <row r="743" customFormat="false" ht="15.75" hidden="false" customHeight="false" outlineLevel="0" collapsed="false">
      <c r="A743" s="133" t="str">
        <f aca="false">IF(ISBLANK(B743),"",B743&amp;"|"&amp;C743)</f>
        <v/>
      </c>
      <c r="B743" s="133"/>
      <c r="C743" s="133"/>
      <c r="D743" s="133"/>
      <c r="E743" s="139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</row>
    <row r="744" customFormat="false" ht="15.75" hidden="false" customHeight="false" outlineLevel="0" collapsed="false">
      <c r="A744" s="133" t="str">
        <f aca="false">IF(ISBLANK(B744),"",B744&amp;"|"&amp;C744)</f>
        <v/>
      </c>
      <c r="B744" s="133"/>
      <c r="C744" s="133"/>
      <c r="D744" s="133"/>
      <c r="E744" s="139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</row>
    <row r="745" customFormat="false" ht="15.75" hidden="false" customHeight="false" outlineLevel="0" collapsed="false">
      <c r="A745" s="133" t="str">
        <f aca="false">IF(ISBLANK(B745),"",B745&amp;"|"&amp;C745)</f>
        <v/>
      </c>
      <c r="B745" s="133"/>
      <c r="C745" s="133"/>
      <c r="D745" s="133"/>
      <c r="E745" s="139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</row>
    <row r="746" customFormat="false" ht="15.75" hidden="false" customHeight="false" outlineLevel="0" collapsed="false">
      <c r="A746" s="133" t="str">
        <f aca="false">IF(ISBLANK(B746),"",B746&amp;"|"&amp;C746)</f>
        <v/>
      </c>
      <c r="B746" s="133"/>
      <c r="C746" s="133"/>
      <c r="D746" s="133"/>
      <c r="E746" s="139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</row>
    <row r="747" customFormat="false" ht="15.75" hidden="false" customHeight="false" outlineLevel="0" collapsed="false">
      <c r="A747" s="133" t="str">
        <f aca="false">IF(ISBLANK(B747),"",B747&amp;"|"&amp;C747)</f>
        <v/>
      </c>
      <c r="B747" s="133"/>
      <c r="C747" s="133"/>
      <c r="D747" s="133"/>
      <c r="E747" s="139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</row>
    <row r="748" customFormat="false" ht="15.75" hidden="false" customHeight="false" outlineLevel="0" collapsed="false">
      <c r="A748" s="133" t="str">
        <f aca="false">IF(ISBLANK(B748),"",B748&amp;"|"&amp;C748)</f>
        <v/>
      </c>
      <c r="B748" s="133"/>
      <c r="C748" s="133"/>
      <c r="D748" s="133"/>
      <c r="E748" s="139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</row>
    <row r="749" customFormat="false" ht="15.75" hidden="false" customHeight="false" outlineLevel="0" collapsed="false">
      <c r="A749" s="133" t="str">
        <f aca="false">IF(ISBLANK(B749),"",B749&amp;"|"&amp;C749)</f>
        <v/>
      </c>
      <c r="B749" s="133"/>
      <c r="C749" s="133"/>
      <c r="D749" s="133"/>
      <c r="E749" s="139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</row>
    <row r="750" customFormat="false" ht="15.75" hidden="false" customHeight="false" outlineLevel="0" collapsed="false">
      <c r="A750" s="133" t="str">
        <f aca="false">IF(ISBLANK(B750),"",B750&amp;"|"&amp;C750)</f>
        <v/>
      </c>
      <c r="B750" s="133"/>
      <c r="C750" s="133"/>
      <c r="D750" s="133"/>
      <c r="E750" s="139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</row>
    <row r="751" customFormat="false" ht="15.75" hidden="false" customHeight="false" outlineLevel="0" collapsed="false">
      <c r="A751" s="133" t="str">
        <f aca="false">IF(ISBLANK(B751),"",B751&amp;"|"&amp;C751)</f>
        <v/>
      </c>
      <c r="B751" s="133"/>
      <c r="C751" s="133"/>
      <c r="D751" s="133"/>
      <c r="E751" s="139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</row>
    <row r="752" customFormat="false" ht="15.75" hidden="false" customHeight="false" outlineLevel="0" collapsed="false">
      <c r="A752" s="133" t="str">
        <f aca="false">IF(ISBLANK(B752),"",B752&amp;"|"&amp;C752)</f>
        <v/>
      </c>
      <c r="B752" s="133"/>
      <c r="C752" s="133"/>
      <c r="D752" s="133"/>
      <c r="E752" s="139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</row>
    <row r="753" customFormat="false" ht="15.75" hidden="false" customHeight="false" outlineLevel="0" collapsed="false">
      <c r="A753" s="133" t="str">
        <f aca="false">IF(ISBLANK(B753),"",B753&amp;"|"&amp;C753)</f>
        <v/>
      </c>
      <c r="B753" s="133"/>
      <c r="C753" s="133"/>
      <c r="D753" s="133"/>
      <c r="E753" s="139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</row>
    <row r="754" customFormat="false" ht="15.75" hidden="false" customHeight="false" outlineLevel="0" collapsed="false">
      <c r="A754" s="133" t="str">
        <f aca="false">IF(ISBLANK(B754),"",B754&amp;"|"&amp;C754)</f>
        <v/>
      </c>
      <c r="B754" s="133"/>
      <c r="C754" s="133"/>
      <c r="D754" s="133"/>
      <c r="E754" s="139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</row>
    <row r="755" customFormat="false" ht="15.75" hidden="false" customHeight="false" outlineLevel="0" collapsed="false">
      <c r="A755" s="133" t="str">
        <f aca="false">IF(ISBLANK(B755),"",B755&amp;"|"&amp;C755)</f>
        <v/>
      </c>
      <c r="B755" s="133"/>
      <c r="C755" s="133"/>
      <c r="D755" s="133"/>
      <c r="E755" s="139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</row>
    <row r="756" customFormat="false" ht="15.75" hidden="false" customHeight="false" outlineLevel="0" collapsed="false">
      <c r="A756" s="133" t="str">
        <f aca="false">IF(ISBLANK(B756),"",B756&amp;"|"&amp;C756)</f>
        <v/>
      </c>
      <c r="B756" s="133"/>
      <c r="C756" s="133"/>
      <c r="D756" s="133"/>
      <c r="E756" s="139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</row>
    <row r="757" customFormat="false" ht="15.75" hidden="false" customHeight="false" outlineLevel="0" collapsed="false">
      <c r="A757" s="133" t="str">
        <f aca="false">IF(ISBLANK(B757),"",B757&amp;"|"&amp;C757)</f>
        <v/>
      </c>
      <c r="B757" s="133"/>
      <c r="C757" s="133"/>
      <c r="D757" s="133"/>
      <c r="E757" s="139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</row>
    <row r="758" customFormat="false" ht="15.75" hidden="false" customHeight="false" outlineLevel="0" collapsed="false">
      <c r="A758" s="133" t="str">
        <f aca="false">IF(ISBLANK(B758),"",B758&amp;"|"&amp;C758)</f>
        <v/>
      </c>
      <c r="B758" s="133"/>
      <c r="C758" s="133"/>
      <c r="D758" s="133"/>
      <c r="E758" s="139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</row>
    <row r="759" customFormat="false" ht="15.75" hidden="false" customHeight="false" outlineLevel="0" collapsed="false">
      <c r="A759" s="133" t="str">
        <f aca="false">IF(ISBLANK(B759),"",B759&amp;"|"&amp;C759)</f>
        <v/>
      </c>
      <c r="B759" s="133"/>
      <c r="C759" s="133"/>
      <c r="D759" s="133"/>
      <c r="E759" s="139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</row>
    <row r="760" customFormat="false" ht="15.75" hidden="false" customHeight="false" outlineLevel="0" collapsed="false">
      <c r="A760" s="133" t="str">
        <f aca="false">IF(ISBLANK(B760),"",B760&amp;"|"&amp;C760)</f>
        <v/>
      </c>
      <c r="B760" s="133"/>
      <c r="C760" s="133"/>
      <c r="D760" s="133"/>
      <c r="E760" s="139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</row>
    <row r="761" customFormat="false" ht="15.75" hidden="false" customHeight="false" outlineLevel="0" collapsed="false">
      <c r="A761" s="133" t="str">
        <f aca="false">IF(ISBLANK(B761),"",B761&amp;"|"&amp;C761)</f>
        <v/>
      </c>
      <c r="B761" s="133"/>
      <c r="C761" s="133"/>
      <c r="D761" s="133"/>
      <c r="E761" s="139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</row>
    <row r="762" customFormat="false" ht="15.75" hidden="false" customHeight="false" outlineLevel="0" collapsed="false">
      <c r="A762" s="133" t="str">
        <f aca="false">IF(ISBLANK(B762),"",B762&amp;"|"&amp;C762)</f>
        <v/>
      </c>
      <c r="B762" s="133"/>
      <c r="C762" s="133"/>
      <c r="D762" s="133"/>
      <c r="E762" s="139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</row>
    <row r="763" customFormat="false" ht="15.75" hidden="false" customHeight="false" outlineLevel="0" collapsed="false">
      <c r="A763" s="133" t="str">
        <f aca="false">IF(ISBLANK(B763),"",B763&amp;"|"&amp;C763)</f>
        <v/>
      </c>
      <c r="B763" s="133"/>
      <c r="C763" s="133"/>
      <c r="D763" s="133"/>
      <c r="E763" s="139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</row>
    <row r="764" customFormat="false" ht="15.75" hidden="false" customHeight="false" outlineLevel="0" collapsed="false">
      <c r="A764" s="133" t="str">
        <f aca="false">IF(ISBLANK(B764),"",B764&amp;"|"&amp;C764)</f>
        <v/>
      </c>
      <c r="B764" s="133"/>
      <c r="C764" s="133"/>
      <c r="D764" s="133"/>
      <c r="E764" s="139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</row>
    <row r="765" customFormat="false" ht="15.75" hidden="false" customHeight="false" outlineLevel="0" collapsed="false">
      <c r="A765" s="133" t="str">
        <f aca="false">IF(ISBLANK(B765),"",B765&amp;"|"&amp;C765)</f>
        <v/>
      </c>
      <c r="B765" s="133"/>
      <c r="C765" s="133"/>
      <c r="D765" s="133"/>
      <c r="E765" s="139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</row>
    <row r="766" customFormat="false" ht="15.75" hidden="false" customHeight="false" outlineLevel="0" collapsed="false">
      <c r="A766" s="133" t="str">
        <f aca="false">IF(ISBLANK(B766),"",B766&amp;"|"&amp;C766)</f>
        <v/>
      </c>
      <c r="B766" s="133"/>
      <c r="C766" s="133"/>
      <c r="D766" s="133"/>
      <c r="E766" s="139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</row>
    <row r="767" customFormat="false" ht="15.75" hidden="false" customHeight="false" outlineLevel="0" collapsed="false">
      <c r="A767" s="133" t="str">
        <f aca="false">IF(ISBLANK(B767),"",B767&amp;"|"&amp;C767)</f>
        <v/>
      </c>
      <c r="B767" s="133"/>
      <c r="C767" s="133"/>
      <c r="D767" s="133"/>
      <c r="E767" s="139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</row>
    <row r="768" customFormat="false" ht="15.75" hidden="false" customHeight="false" outlineLevel="0" collapsed="false">
      <c r="A768" s="133" t="str">
        <f aca="false">IF(ISBLANK(B768),"",B768&amp;"|"&amp;C768)</f>
        <v/>
      </c>
      <c r="B768" s="133"/>
      <c r="C768" s="133"/>
      <c r="D768" s="133"/>
      <c r="E768" s="139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</row>
    <row r="769" customFormat="false" ht="15.75" hidden="false" customHeight="false" outlineLevel="0" collapsed="false">
      <c r="A769" s="133" t="str">
        <f aca="false">IF(ISBLANK(B769),"",B769&amp;"|"&amp;C769)</f>
        <v/>
      </c>
      <c r="B769" s="133"/>
      <c r="C769" s="133"/>
      <c r="D769" s="133"/>
      <c r="E769" s="139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</row>
    <row r="770" customFormat="false" ht="15.75" hidden="false" customHeight="false" outlineLevel="0" collapsed="false">
      <c r="A770" s="133" t="str">
        <f aca="false">IF(ISBLANK(B770),"",B770&amp;"|"&amp;C770)</f>
        <v/>
      </c>
      <c r="B770" s="133"/>
      <c r="C770" s="133"/>
      <c r="D770" s="133"/>
      <c r="E770" s="139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</row>
    <row r="771" customFormat="false" ht="15.75" hidden="false" customHeight="false" outlineLevel="0" collapsed="false">
      <c r="A771" s="133" t="str">
        <f aca="false">IF(ISBLANK(B771),"",B771&amp;"|"&amp;C771)</f>
        <v/>
      </c>
      <c r="B771" s="133"/>
      <c r="C771" s="133"/>
      <c r="D771" s="133"/>
      <c r="E771" s="139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</row>
    <row r="772" customFormat="false" ht="15.75" hidden="false" customHeight="false" outlineLevel="0" collapsed="false">
      <c r="A772" s="133" t="str">
        <f aca="false">IF(ISBLANK(B772),"",B772&amp;"|"&amp;C772)</f>
        <v/>
      </c>
      <c r="B772" s="133"/>
      <c r="C772" s="133"/>
      <c r="D772" s="133"/>
      <c r="E772" s="139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</row>
    <row r="773" customFormat="false" ht="15.75" hidden="false" customHeight="false" outlineLevel="0" collapsed="false">
      <c r="A773" s="133" t="str">
        <f aca="false">IF(ISBLANK(B773),"",B773&amp;"|"&amp;C773)</f>
        <v/>
      </c>
      <c r="B773" s="133"/>
      <c r="C773" s="133"/>
      <c r="D773" s="133"/>
      <c r="E773" s="139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</row>
    <row r="774" customFormat="false" ht="15.75" hidden="false" customHeight="false" outlineLevel="0" collapsed="false">
      <c r="A774" s="133" t="str">
        <f aca="false">IF(ISBLANK(B774),"",B774&amp;"|"&amp;C774)</f>
        <v/>
      </c>
      <c r="B774" s="133"/>
      <c r="C774" s="133"/>
      <c r="D774" s="133"/>
      <c r="E774" s="139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</row>
    <row r="775" customFormat="false" ht="15.75" hidden="false" customHeight="false" outlineLevel="0" collapsed="false">
      <c r="A775" s="133" t="str">
        <f aca="false">IF(ISBLANK(B775),"",B775&amp;"|"&amp;C775)</f>
        <v/>
      </c>
      <c r="B775" s="133"/>
      <c r="C775" s="133"/>
      <c r="D775" s="133"/>
      <c r="E775" s="139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</row>
    <row r="776" customFormat="false" ht="15.75" hidden="false" customHeight="false" outlineLevel="0" collapsed="false">
      <c r="A776" s="133" t="str">
        <f aca="false">IF(ISBLANK(B776),"",B776&amp;"|"&amp;C776)</f>
        <v/>
      </c>
      <c r="B776" s="133"/>
      <c r="C776" s="133"/>
      <c r="D776" s="133"/>
      <c r="E776" s="139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</row>
    <row r="777" customFormat="false" ht="15.75" hidden="false" customHeight="false" outlineLevel="0" collapsed="false">
      <c r="A777" s="133" t="str">
        <f aca="false">IF(ISBLANK(B777),"",B777&amp;"|"&amp;C777)</f>
        <v/>
      </c>
      <c r="B777" s="133"/>
      <c r="C777" s="133"/>
      <c r="D777" s="133"/>
      <c r="E777" s="139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</row>
    <row r="778" customFormat="false" ht="15.75" hidden="false" customHeight="false" outlineLevel="0" collapsed="false">
      <c r="A778" s="133" t="str">
        <f aca="false">IF(ISBLANK(B778),"",B778&amp;"|"&amp;C778)</f>
        <v/>
      </c>
      <c r="B778" s="133"/>
      <c r="C778" s="133"/>
      <c r="D778" s="133"/>
      <c r="E778" s="139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</row>
    <row r="779" customFormat="false" ht="15.75" hidden="false" customHeight="false" outlineLevel="0" collapsed="false">
      <c r="A779" s="133" t="str">
        <f aca="false">IF(ISBLANK(B779),"",B779&amp;"|"&amp;C779)</f>
        <v/>
      </c>
      <c r="B779" s="133"/>
      <c r="C779" s="133"/>
      <c r="D779" s="133"/>
      <c r="E779" s="139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</row>
    <row r="780" customFormat="false" ht="15.75" hidden="false" customHeight="false" outlineLevel="0" collapsed="false">
      <c r="A780" s="133" t="str">
        <f aca="false">IF(ISBLANK(B780),"",B780&amp;"|"&amp;C780)</f>
        <v/>
      </c>
      <c r="B780" s="133"/>
      <c r="C780" s="133"/>
      <c r="D780" s="133"/>
      <c r="E780" s="139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</row>
    <row r="781" customFormat="false" ht="15.75" hidden="false" customHeight="false" outlineLevel="0" collapsed="false">
      <c r="A781" s="133" t="str">
        <f aca="false">IF(ISBLANK(B781),"",B781&amp;"|"&amp;C781)</f>
        <v/>
      </c>
      <c r="B781" s="133"/>
      <c r="C781" s="133"/>
      <c r="D781" s="133"/>
      <c r="E781" s="139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</row>
    <row r="782" customFormat="false" ht="15.75" hidden="false" customHeight="false" outlineLevel="0" collapsed="false">
      <c r="A782" s="133" t="str">
        <f aca="false">IF(ISBLANK(B782),"",B782&amp;"|"&amp;C782)</f>
        <v/>
      </c>
      <c r="B782" s="133"/>
      <c r="C782" s="133"/>
      <c r="D782" s="133"/>
      <c r="E782" s="139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</row>
    <row r="783" customFormat="false" ht="15.75" hidden="false" customHeight="false" outlineLevel="0" collapsed="false">
      <c r="A783" s="133" t="str">
        <f aca="false">IF(ISBLANK(B783),"",B783&amp;"|"&amp;C783)</f>
        <v/>
      </c>
      <c r="B783" s="133"/>
      <c r="C783" s="133"/>
      <c r="D783" s="133"/>
      <c r="E783" s="139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</row>
    <row r="784" customFormat="false" ht="15.75" hidden="false" customHeight="false" outlineLevel="0" collapsed="false">
      <c r="A784" s="133" t="str">
        <f aca="false">IF(ISBLANK(B784),"",B784&amp;"|"&amp;C784)</f>
        <v/>
      </c>
      <c r="B784" s="133"/>
      <c r="C784" s="133"/>
      <c r="D784" s="133"/>
      <c r="E784" s="139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</row>
    <row r="785" customFormat="false" ht="15.75" hidden="false" customHeight="false" outlineLevel="0" collapsed="false">
      <c r="A785" s="133" t="str">
        <f aca="false">IF(ISBLANK(B785),"",B785&amp;"|"&amp;C785)</f>
        <v/>
      </c>
      <c r="B785" s="133"/>
      <c r="C785" s="133"/>
      <c r="D785" s="133"/>
      <c r="E785" s="139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</row>
    <row r="786" customFormat="false" ht="15.75" hidden="false" customHeight="false" outlineLevel="0" collapsed="false">
      <c r="A786" s="133" t="str">
        <f aca="false">IF(ISBLANK(B786),"",B786&amp;"|"&amp;C786)</f>
        <v/>
      </c>
      <c r="B786" s="133"/>
      <c r="C786" s="133"/>
      <c r="D786" s="133"/>
      <c r="E786" s="139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</row>
    <row r="787" customFormat="false" ht="15.75" hidden="false" customHeight="false" outlineLevel="0" collapsed="false">
      <c r="A787" s="133" t="str">
        <f aca="false">IF(ISBLANK(B787),"",B787&amp;"|"&amp;C787)</f>
        <v/>
      </c>
      <c r="B787" s="133"/>
      <c r="C787" s="133"/>
      <c r="D787" s="133"/>
      <c r="E787" s="139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</row>
    <row r="788" customFormat="false" ht="15.75" hidden="false" customHeight="false" outlineLevel="0" collapsed="false">
      <c r="A788" s="133" t="str">
        <f aca="false">IF(ISBLANK(B788),"",B788&amp;"|"&amp;C788)</f>
        <v/>
      </c>
      <c r="B788" s="133"/>
      <c r="C788" s="133"/>
      <c r="D788" s="133"/>
      <c r="E788" s="139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</row>
    <row r="789" customFormat="false" ht="15.75" hidden="false" customHeight="false" outlineLevel="0" collapsed="false">
      <c r="A789" s="133" t="str">
        <f aca="false">IF(ISBLANK(B789),"",B789&amp;"|"&amp;C789)</f>
        <v/>
      </c>
      <c r="B789" s="133"/>
      <c r="C789" s="133"/>
      <c r="D789" s="133"/>
      <c r="E789" s="139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</row>
    <row r="790" customFormat="false" ht="15.75" hidden="false" customHeight="false" outlineLevel="0" collapsed="false">
      <c r="A790" s="133" t="str">
        <f aca="false">IF(ISBLANK(B790),"",B790&amp;"|"&amp;C790)</f>
        <v/>
      </c>
      <c r="B790" s="133"/>
      <c r="C790" s="133"/>
      <c r="D790" s="133"/>
      <c r="E790" s="139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</row>
    <row r="791" customFormat="false" ht="15.75" hidden="false" customHeight="false" outlineLevel="0" collapsed="false">
      <c r="A791" s="133" t="str">
        <f aca="false">IF(ISBLANK(B791),"",B791&amp;"|"&amp;C791)</f>
        <v/>
      </c>
      <c r="B791" s="133"/>
      <c r="C791" s="133"/>
      <c r="D791" s="133"/>
      <c r="E791" s="139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</row>
    <row r="792" customFormat="false" ht="15.75" hidden="false" customHeight="false" outlineLevel="0" collapsed="false">
      <c r="A792" s="133" t="str">
        <f aca="false">IF(ISBLANK(B792),"",B792&amp;"|"&amp;C792)</f>
        <v/>
      </c>
      <c r="B792" s="133"/>
      <c r="C792" s="133"/>
      <c r="D792" s="133"/>
      <c r="E792" s="139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</row>
    <row r="793" customFormat="false" ht="15.75" hidden="false" customHeight="false" outlineLevel="0" collapsed="false">
      <c r="A793" s="133" t="str">
        <f aca="false">IF(ISBLANK(B793),"",B793&amp;"|"&amp;C793)</f>
        <v/>
      </c>
      <c r="B793" s="133"/>
      <c r="C793" s="133"/>
      <c r="D793" s="133"/>
      <c r="E793" s="139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</row>
    <row r="794" customFormat="false" ht="15.75" hidden="false" customHeight="false" outlineLevel="0" collapsed="false">
      <c r="A794" s="133" t="str">
        <f aca="false">IF(ISBLANK(B794),"",B794&amp;"|"&amp;C794)</f>
        <v/>
      </c>
      <c r="B794" s="133"/>
      <c r="C794" s="133"/>
      <c r="D794" s="133"/>
      <c r="E794" s="139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</row>
    <row r="795" customFormat="false" ht="15.75" hidden="false" customHeight="false" outlineLevel="0" collapsed="false">
      <c r="A795" s="133" t="str">
        <f aca="false">IF(ISBLANK(B795),"",B795&amp;"|"&amp;C795)</f>
        <v/>
      </c>
      <c r="B795" s="133"/>
      <c r="C795" s="133"/>
      <c r="D795" s="133"/>
      <c r="E795" s="139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</row>
    <row r="796" customFormat="false" ht="15.75" hidden="false" customHeight="false" outlineLevel="0" collapsed="false">
      <c r="A796" s="133" t="str">
        <f aca="false">IF(ISBLANK(B796),"",B796&amp;"|"&amp;C796)</f>
        <v/>
      </c>
      <c r="B796" s="133"/>
      <c r="C796" s="133"/>
      <c r="D796" s="133"/>
      <c r="E796" s="139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</row>
    <row r="797" customFormat="false" ht="15.75" hidden="false" customHeight="false" outlineLevel="0" collapsed="false">
      <c r="A797" s="133" t="str">
        <f aca="false">IF(ISBLANK(B797),"",B797&amp;"|"&amp;C797)</f>
        <v/>
      </c>
      <c r="B797" s="133"/>
      <c r="C797" s="133"/>
      <c r="D797" s="133"/>
      <c r="E797" s="139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</row>
    <row r="798" customFormat="false" ht="15.75" hidden="false" customHeight="false" outlineLevel="0" collapsed="false">
      <c r="A798" s="133" t="str">
        <f aca="false">IF(ISBLANK(B798),"",B798&amp;"|"&amp;C798)</f>
        <v/>
      </c>
      <c r="B798" s="133"/>
      <c r="C798" s="133"/>
      <c r="D798" s="133"/>
      <c r="E798" s="139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</row>
    <row r="799" customFormat="false" ht="15.75" hidden="false" customHeight="false" outlineLevel="0" collapsed="false">
      <c r="A799" s="133" t="str">
        <f aca="false">IF(ISBLANK(B799),"",B799&amp;"|"&amp;C799)</f>
        <v/>
      </c>
      <c r="B799" s="133"/>
      <c r="C799" s="133"/>
      <c r="D799" s="133"/>
      <c r="E799" s="139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</row>
    <row r="800" customFormat="false" ht="15.75" hidden="false" customHeight="false" outlineLevel="0" collapsed="false">
      <c r="A800" s="133" t="str">
        <f aca="false">IF(ISBLANK(B800),"",B800&amp;"|"&amp;C800)</f>
        <v/>
      </c>
      <c r="B800" s="133"/>
      <c r="C800" s="133"/>
      <c r="D800" s="133"/>
      <c r="E800" s="139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</row>
    <row r="801" customFormat="false" ht="15.75" hidden="false" customHeight="false" outlineLevel="0" collapsed="false">
      <c r="A801" s="133" t="str">
        <f aca="false">IF(ISBLANK(B801),"",B801&amp;"|"&amp;C801)</f>
        <v/>
      </c>
      <c r="B801" s="133"/>
      <c r="C801" s="133"/>
      <c r="D801" s="133"/>
      <c r="E801" s="139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</row>
    <row r="802" customFormat="false" ht="15.75" hidden="false" customHeight="false" outlineLevel="0" collapsed="false">
      <c r="A802" s="133" t="str">
        <f aca="false">IF(ISBLANK(B802),"",B802&amp;"|"&amp;C802)</f>
        <v/>
      </c>
      <c r="B802" s="133"/>
      <c r="C802" s="133"/>
      <c r="D802" s="133"/>
      <c r="E802" s="139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</row>
    <row r="803" customFormat="false" ht="15.75" hidden="false" customHeight="false" outlineLevel="0" collapsed="false">
      <c r="A803" s="133" t="str">
        <f aca="false">IF(ISBLANK(B803),"",B803&amp;"|"&amp;C803)</f>
        <v/>
      </c>
      <c r="B803" s="133"/>
      <c r="C803" s="133"/>
      <c r="D803" s="133"/>
      <c r="E803" s="139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</row>
    <row r="804" customFormat="false" ht="15.75" hidden="false" customHeight="false" outlineLevel="0" collapsed="false">
      <c r="A804" s="133" t="str">
        <f aca="false">IF(ISBLANK(B804),"",B804&amp;"|"&amp;C804)</f>
        <v/>
      </c>
      <c r="B804" s="133"/>
      <c r="C804" s="133"/>
      <c r="D804" s="133"/>
      <c r="E804" s="139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</row>
    <row r="805" customFormat="false" ht="15.75" hidden="false" customHeight="false" outlineLevel="0" collapsed="false">
      <c r="A805" s="133" t="str">
        <f aca="false">IF(ISBLANK(B805),"",B805&amp;"|"&amp;C805)</f>
        <v/>
      </c>
      <c r="B805" s="133"/>
      <c r="C805" s="133"/>
      <c r="D805" s="133"/>
      <c r="E805" s="139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</row>
    <row r="806" customFormat="false" ht="15.75" hidden="false" customHeight="false" outlineLevel="0" collapsed="false">
      <c r="A806" s="133" t="str">
        <f aca="false">IF(ISBLANK(B806),"",B806&amp;"|"&amp;C806)</f>
        <v/>
      </c>
      <c r="B806" s="133"/>
      <c r="C806" s="133"/>
      <c r="D806" s="133"/>
      <c r="E806" s="139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</row>
    <row r="807" customFormat="false" ht="15.75" hidden="false" customHeight="false" outlineLevel="0" collapsed="false">
      <c r="A807" s="133" t="str">
        <f aca="false">IF(ISBLANK(B807),"",B807&amp;"|"&amp;C807)</f>
        <v/>
      </c>
      <c r="B807" s="133"/>
      <c r="C807" s="133"/>
      <c r="D807" s="133"/>
      <c r="E807" s="139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</row>
    <row r="808" customFormat="false" ht="15.75" hidden="false" customHeight="false" outlineLevel="0" collapsed="false">
      <c r="A808" s="133" t="str">
        <f aca="false">IF(ISBLANK(B808),"",B808&amp;"|"&amp;C808)</f>
        <v/>
      </c>
      <c r="B808" s="133"/>
      <c r="C808" s="133"/>
      <c r="D808" s="133"/>
      <c r="E808" s="139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</row>
    <row r="809" customFormat="false" ht="15.75" hidden="false" customHeight="false" outlineLevel="0" collapsed="false">
      <c r="A809" s="133" t="str">
        <f aca="false">IF(ISBLANK(B809),"",B809&amp;"|"&amp;C809)</f>
        <v/>
      </c>
      <c r="B809" s="133"/>
      <c r="C809" s="133"/>
      <c r="D809" s="133"/>
      <c r="E809" s="139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</row>
    <row r="810" customFormat="false" ht="15.75" hidden="false" customHeight="false" outlineLevel="0" collapsed="false">
      <c r="A810" s="133" t="str">
        <f aca="false">IF(ISBLANK(B810),"",B810&amp;"|"&amp;C810)</f>
        <v/>
      </c>
      <c r="B810" s="133"/>
      <c r="C810" s="133"/>
      <c r="D810" s="133"/>
      <c r="E810" s="139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</row>
    <row r="811" customFormat="false" ht="15.75" hidden="false" customHeight="false" outlineLevel="0" collapsed="false">
      <c r="A811" s="133" t="str">
        <f aca="false">IF(ISBLANK(B811),"",B811&amp;"|"&amp;C811)</f>
        <v/>
      </c>
      <c r="B811" s="133"/>
      <c r="C811" s="133"/>
      <c r="D811" s="133"/>
      <c r="E811" s="139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</row>
    <row r="812" customFormat="false" ht="15.75" hidden="false" customHeight="false" outlineLevel="0" collapsed="false">
      <c r="A812" s="133" t="str">
        <f aca="false">IF(ISBLANK(B812),"",B812&amp;"|"&amp;C812)</f>
        <v/>
      </c>
      <c r="B812" s="133"/>
      <c r="C812" s="133"/>
      <c r="D812" s="133"/>
      <c r="E812" s="139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</row>
    <row r="813" customFormat="false" ht="15.75" hidden="false" customHeight="false" outlineLevel="0" collapsed="false">
      <c r="A813" s="133" t="str">
        <f aca="false">IF(ISBLANK(B813),"",B813&amp;"|"&amp;C813)</f>
        <v/>
      </c>
      <c r="B813" s="133"/>
      <c r="C813" s="133"/>
      <c r="D813" s="133"/>
      <c r="E813" s="139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</row>
    <row r="814" customFormat="false" ht="15.75" hidden="false" customHeight="false" outlineLevel="0" collapsed="false">
      <c r="A814" s="133" t="str">
        <f aca="false">IF(ISBLANK(B814),"",B814&amp;"|"&amp;C814)</f>
        <v/>
      </c>
      <c r="B814" s="133"/>
      <c r="C814" s="133"/>
      <c r="D814" s="133"/>
      <c r="E814" s="139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</row>
    <row r="815" customFormat="false" ht="15.75" hidden="false" customHeight="false" outlineLevel="0" collapsed="false">
      <c r="A815" s="133" t="str">
        <f aca="false">IF(ISBLANK(B815),"",B815&amp;"|"&amp;C815)</f>
        <v/>
      </c>
      <c r="B815" s="133"/>
      <c r="C815" s="133"/>
      <c r="D815" s="133"/>
      <c r="E815" s="139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</row>
    <row r="816" customFormat="false" ht="15.75" hidden="false" customHeight="false" outlineLevel="0" collapsed="false">
      <c r="A816" s="133" t="str">
        <f aca="false">IF(ISBLANK(B816),"",B816&amp;"|"&amp;C816)</f>
        <v/>
      </c>
      <c r="B816" s="133"/>
      <c r="C816" s="133"/>
      <c r="D816" s="133"/>
      <c r="E816" s="139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</row>
    <row r="817" customFormat="false" ht="15.75" hidden="false" customHeight="false" outlineLevel="0" collapsed="false">
      <c r="A817" s="133" t="str">
        <f aca="false">IF(ISBLANK(B817),"",B817&amp;"|"&amp;C817)</f>
        <v/>
      </c>
      <c r="B817" s="133"/>
      <c r="C817" s="133"/>
      <c r="D817" s="133"/>
      <c r="E817" s="139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</row>
    <row r="818" customFormat="false" ht="15.75" hidden="false" customHeight="false" outlineLevel="0" collapsed="false">
      <c r="A818" s="133" t="str">
        <f aca="false">IF(ISBLANK(B818),"",B818&amp;"|"&amp;C818)</f>
        <v/>
      </c>
      <c r="B818" s="133"/>
      <c r="C818" s="133"/>
      <c r="D818" s="133"/>
      <c r="E818" s="139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</row>
    <row r="819" customFormat="false" ht="15.75" hidden="false" customHeight="false" outlineLevel="0" collapsed="false">
      <c r="A819" s="133" t="str">
        <f aca="false">IF(ISBLANK(B819),"",B819&amp;"|"&amp;C819)</f>
        <v/>
      </c>
      <c r="B819" s="133"/>
      <c r="C819" s="133"/>
      <c r="D819" s="133"/>
      <c r="E819" s="139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</row>
    <row r="820" customFormat="false" ht="15.75" hidden="false" customHeight="false" outlineLevel="0" collapsed="false">
      <c r="A820" s="133" t="str">
        <f aca="false">IF(ISBLANK(B820),"",B820&amp;"|"&amp;C820)</f>
        <v/>
      </c>
      <c r="B820" s="133"/>
      <c r="C820" s="133"/>
      <c r="D820" s="133"/>
      <c r="E820" s="139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</row>
    <row r="821" customFormat="false" ht="15.75" hidden="false" customHeight="false" outlineLevel="0" collapsed="false">
      <c r="A821" s="133" t="str">
        <f aca="false">IF(ISBLANK(B821),"",B821&amp;"|"&amp;C821)</f>
        <v/>
      </c>
      <c r="B821" s="133"/>
      <c r="C821" s="133"/>
      <c r="D821" s="133"/>
      <c r="E821" s="139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</row>
    <row r="822" customFormat="false" ht="15.75" hidden="false" customHeight="false" outlineLevel="0" collapsed="false">
      <c r="A822" s="133" t="str">
        <f aca="false">IF(ISBLANK(B822),"",B822&amp;"|"&amp;C822)</f>
        <v/>
      </c>
      <c r="B822" s="133"/>
      <c r="C822" s="133"/>
      <c r="D822" s="133"/>
      <c r="E822" s="139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</row>
    <row r="823" customFormat="false" ht="15.75" hidden="false" customHeight="false" outlineLevel="0" collapsed="false">
      <c r="A823" s="133" t="str">
        <f aca="false">IF(ISBLANK(B823),"",B823&amp;"|"&amp;C823)</f>
        <v/>
      </c>
      <c r="B823" s="133"/>
      <c r="C823" s="133"/>
      <c r="D823" s="133"/>
      <c r="E823" s="139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</row>
    <row r="824" customFormat="false" ht="15.75" hidden="false" customHeight="false" outlineLevel="0" collapsed="false">
      <c r="A824" s="133" t="str">
        <f aca="false">IF(ISBLANK(B824),"",B824&amp;"|"&amp;C824)</f>
        <v/>
      </c>
      <c r="B824" s="133"/>
      <c r="C824" s="133"/>
      <c r="D824" s="133"/>
      <c r="E824" s="139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</row>
    <row r="825" customFormat="false" ht="15.75" hidden="false" customHeight="false" outlineLevel="0" collapsed="false">
      <c r="A825" s="133" t="str">
        <f aca="false">IF(ISBLANK(B825),"",B825&amp;"|"&amp;C825)</f>
        <v/>
      </c>
      <c r="B825" s="133"/>
      <c r="C825" s="133"/>
      <c r="D825" s="133"/>
      <c r="E825" s="139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</row>
    <row r="826" customFormat="false" ht="15.75" hidden="false" customHeight="false" outlineLevel="0" collapsed="false">
      <c r="A826" s="133" t="str">
        <f aca="false">IF(ISBLANK(B826),"",B826&amp;"|"&amp;C826)</f>
        <v/>
      </c>
      <c r="B826" s="133"/>
      <c r="C826" s="133"/>
      <c r="D826" s="133"/>
      <c r="E826" s="139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</row>
    <row r="827" customFormat="false" ht="15.75" hidden="false" customHeight="false" outlineLevel="0" collapsed="false">
      <c r="A827" s="133" t="str">
        <f aca="false">IF(ISBLANK(B827),"",B827&amp;"|"&amp;C827)</f>
        <v/>
      </c>
      <c r="B827" s="133"/>
      <c r="C827" s="133"/>
      <c r="D827" s="133"/>
      <c r="E827" s="139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</row>
    <row r="828" customFormat="false" ht="15.75" hidden="false" customHeight="false" outlineLevel="0" collapsed="false">
      <c r="A828" s="133" t="str">
        <f aca="false">IF(ISBLANK(B828),"",B828&amp;"|"&amp;C828)</f>
        <v/>
      </c>
      <c r="B828" s="133"/>
      <c r="C828" s="133"/>
      <c r="D828" s="133"/>
      <c r="E828" s="139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</row>
    <row r="829" customFormat="false" ht="15.75" hidden="false" customHeight="false" outlineLevel="0" collapsed="false">
      <c r="A829" s="133" t="str">
        <f aca="false">IF(ISBLANK(B829),"",B829&amp;"|"&amp;C829)</f>
        <v/>
      </c>
      <c r="B829" s="133"/>
      <c r="C829" s="133"/>
      <c r="D829" s="133"/>
      <c r="E829" s="139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</row>
    <row r="830" customFormat="false" ht="15.75" hidden="false" customHeight="false" outlineLevel="0" collapsed="false">
      <c r="A830" s="133" t="str">
        <f aca="false">IF(ISBLANK(B830),"",B830&amp;"|"&amp;C830)</f>
        <v/>
      </c>
      <c r="B830" s="133"/>
      <c r="C830" s="133"/>
      <c r="D830" s="133"/>
      <c r="E830" s="139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</row>
    <row r="831" customFormat="false" ht="15.75" hidden="false" customHeight="false" outlineLevel="0" collapsed="false">
      <c r="A831" s="133" t="str">
        <f aca="false">IF(ISBLANK(B831),"",B831&amp;"|"&amp;C831)</f>
        <v/>
      </c>
      <c r="B831" s="133"/>
      <c r="C831" s="133"/>
      <c r="D831" s="133"/>
      <c r="E831" s="139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</row>
    <row r="832" customFormat="false" ht="15.75" hidden="false" customHeight="false" outlineLevel="0" collapsed="false">
      <c r="A832" s="133" t="str">
        <f aca="false">IF(ISBLANK(B832),"",B832&amp;"|"&amp;C832)</f>
        <v/>
      </c>
      <c r="B832" s="133"/>
      <c r="C832" s="133"/>
      <c r="D832" s="133"/>
      <c r="E832" s="139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</row>
    <row r="833" customFormat="false" ht="15.75" hidden="false" customHeight="false" outlineLevel="0" collapsed="false">
      <c r="A833" s="133" t="str">
        <f aca="false">IF(ISBLANK(B833),"",B833&amp;"|"&amp;C833)</f>
        <v/>
      </c>
      <c r="B833" s="133"/>
      <c r="C833" s="133"/>
      <c r="D833" s="133"/>
      <c r="E833" s="139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</row>
    <row r="834" customFormat="false" ht="15.75" hidden="false" customHeight="false" outlineLevel="0" collapsed="false">
      <c r="A834" s="133" t="str">
        <f aca="false">IF(ISBLANK(B834),"",B834&amp;"|"&amp;C834)</f>
        <v/>
      </c>
      <c r="B834" s="133"/>
      <c r="C834" s="133"/>
      <c r="D834" s="133"/>
      <c r="E834" s="139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</row>
    <row r="835" customFormat="false" ht="15.75" hidden="false" customHeight="false" outlineLevel="0" collapsed="false">
      <c r="A835" s="133" t="str">
        <f aca="false">IF(ISBLANK(B835),"",B835&amp;"|"&amp;C835)</f>
        <v/>
      </c>
      <c r="B835" s="133"/>
      <c r="C835" s="133"/>
      <c r="D835" s="133"/>
      <c r="E835" s="139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</row>
    <row r="836" customFormat="false" ht="15.75" hidden="false" customHeight="false" outlineLevel="0" collapsed="false">
      <c r="A836" s="133" t="str">
        <f aca="false">IF(ISBLANK(B836),"",B836&amp;"|"&amp;C836)</f>
        <v/>
      </c>
      <c r="B836" s="133"/>
      <c r="C836" s="133"/>
      <c r="D836" s="133"/>
      <c r="E836" s="139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</row>
    <row r="837" customFormat="false" ht="15.75" hidden="false" customHeight="false" outlineLevel="0" collapsed="false">
      <c r="A837" s="133" t="str">
        <f aca="false">IF(ISBLANK(B837),"",B837&amp;"|"&amp;C837)</f>
        <v/>
      </c>
      <c r="B837" s="133"/>
      <c r="C837" s="133"/>
      <c r="D837" s="133"/>
      <c r="E837" s="139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</row>
    <row r="838" customFormat="false" ht="15.75" hidden="false" customHeight="false" outlineLevel="0" collapsed="false">
      <c r="A838" s="133" t="str">
        <f aca="false">IF(ISBLANK(B838),"",B838&amp;"|"&amp;C838)</f>
        <v/>
      </c>
      <c r="B838" s="133"/>
      <c r="C838" s="133"/>
      <c r="D838" s="133"/>
      <c r="E838" s="139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</row>
    <row r="839" customFormat="false" ht="15.75" hidden="false" customHeight="false" outlineLevel="0" collapsed="false">
      <c r="A839" s="133" t="str">
        <f aca="false">IF(ISBLANK(B839),"",B839&amp;"|"&amp;C839)</f>
        <v/>
      </c>
      <c r="B839" s="133"/>
      <c r="C839" s="133"/>
      <c r="D839" s="133"/>
      <c r="E839" s="139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</row>
    <row r="840" customFormat="false" ht="15.75" hidden="false" customHeight="false" outlineLevel="0" collapsed="false">
      <c r="A840" s="133" t="str">
        <f aca="false">IF(ISBLANK(B840),"",B840&amp;"|"&amp;C840)</f>
        <v/>
      </c>
      <c r="B840" s="133"/>
      <c r="C840" s="133"/>
      <c r="D840" s="133"/>
      <c r="E840" s="139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</row>
    <row r="841" customFormat="false" ht="15.75" hidden="false" customHeight="false" outlineLevel="0" collapsed="false">
      <c r="A841" s="133" t="str">
        <f aca="false">IF(ISBLANK(B841),"",B841&amp;"|"&amp;C841)</f>
        <v/>
      </c>
      <c r="B841" s="133"/>
      <c r="C841" s="133"/>
      <c r="D841" s="133"/>
      <c r="E841" s="139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</row>
    <row r="842" customFormat="false" ht="15.75" hidden="false" customHeight="false" outlineLevel="0" collapsed="false">
      <c r="A842" s="133" t="str">
        <f aca="false">IF(ISBLANK(B842),"",B842&amp;"|"&amp;C842)</f>
        <v/>
      </c>
      <c r="B842" s="133"/>
      <c r="C842" s="133"/>
      <c r="D842" s="133"/>
      <c r="E842" s="139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</row>
    <row r="843" customFormat="false" ht="15.75" hidden="false" customHeight="false" outlineLevel="0" collapsed="false">
      <c r="A843" s="133" t="str">
        <f aca="false">IF(ISBLANK(B843),"",B843&amp;"|"&amp;C843)</f>
        <v/>
      </c>
      <c r="B843" s="133"/>
      <c r="C843" s="133"/>
      <c r="D843" s="133"/>
      <c r="E843" s="139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</row>
    <row r="844" customFormat="false" ht="15.75" hidden="false" customHeight="false" outlineLevel="0" collapsed="false">
      <c r="A844" s="133" t="str">
        <f aca="false">IF(ISBLANK(B844),"",B844&amp;"|"&amp;C844)</f>
        <v/>
      </c>
      <c r="B844" s="133"/>
      <c r="C844" s="133"/>
      <c r="D844" s="133"/>
      <c r="E844" s="139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</row>
    <row r="845" customFormat="false" ht="15.75" hidden="false" customHeight="false" outlineLevel="0" collapsed="false">
      <c r="A845" s="133" t="str">
        <f aca="false">IF(ISBLANK(B845),"",B845&amp;"|"&amp;C845)</f>
        <v/>
      </c>
      <c r="B845" s="133"/>
      <c r="C845" s="133"/>
      <c r="D845" s="133"/>
      <c r="E845" s="139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</row>
    <row r="846" customFormat="false" ht="15.75" hidden="false" customHeight="false" outlineLevel="0" collapsed="false">
      <c r="A846" s="133" t="str">
        <f aca="false">IF(ISBLANK(B846),"",B846&amp;"|"&amp;C846)</f>
        <v/>
      </c>
      <c r="B846" s="133"/>
      <c r="C846" s="133"/>
      <c r="D846" s="133"/>
      <c r="E846" s="139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</row>
    <row r="847" customFormat="false" ht="15.75" hidden="false" customHeight="false" outlineLevel="0" collapsed="false">
      <c r="A847" s="133" t="str">
        <f aca="false">IF(ISBLANK(B847),"",B847&amp;"|"&amp;C847)</f>
        <v/>
      </c>
      <c r="B847" s="133"/>
      <c r="C847" s="133"/>
      <c r="D847" s="133"/>
      <c r="E847" s="139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</row>
    <row r="848" customFormat="false" ht="15.75" hidden="false" customHeight="false" outlineLevel="0" collapsed="false">
      <c r="A848" s="133" t="str">
        <f aca="false">IF(ISBLANK(B848),"",B848&amp;"|"&amp;C848)</f>
        <v/>
      </c>
      <c r="B848" s="133"/>
      <c r="C848" s="133"/>
      <c r="D848" s="133"/>
      <c r="E848" s="139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</row>
    <row r="849" customFormat="false" ht="15.75" hidden="false" customHeight="false" outlineLevel="0" collapsed="false">
      <c r="A849" s="133" t="str">
        <f aca="false">IF(ISBLANK(B849),"",B849&amp;"|"&amp;C849)</f>
        <v/>
      </c>
      <c r="B849" s="133"/>
      <c r="C849" s="133"/>
      <c r="D849" s="133"/>
      <c r="E849" s="139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</row>
    <row r="850" customFormat="false" ht="15.75" hidden="false" customHeight="false" outlineLevel="0" collapsed="false">
      <c r="A850" s="133" t="str">
        <f aca="false">IF(ISBLANK(B850),"",B850&amp;"|"&amp;C850)</f>
        <v/>
      </c>
      <c r="B850" s="133"/>
      <c r="C850" s="133"/>
      <c r="D850" s="133"/>
      <c r="E850" s="139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</row>
    <row r="851" customFormat="false" ht="15.75" hidden="false" customHeight="false" outlineLevel="0" collapsed="false">
      <c r="A851" s="133" t="str">
        <f aca="false">IF(ISBLANK(B851),"",B851&amp;"|"&amp;C851)</f>
        <v/>
      </c>
      <c r="B851" s="133"/>
      <c r="C851" s="133"/>
      <c r="D851" s="133"/>
      <c r="E851" s="139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</row>
    <row r="852" customFormat="false" ht="15.75" hidden="false" customHeight="false" outlineLevel="0" collapsed="false">
      <c r="A852" s="133" t="str">
        <f aca="false">IF(ISBLANK(B852),"",B852&amp;"|"&amp;C852)</f>
        <v/>
      </c>
      <c r="B852" s="133"/>
      <c r="C852" s="133"/>
      <c r="D852" s="133"/>
      <c r="E852" s="139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</row>
    <row r="853" customFormat="false" ht="15.75" hidden="false" customHeight="false" outlineLevel="0" collapsed="false">
      <c r="A853" s="133" t="str">
        <f aca="false">IF(ISBLANK(B853),"",B853&amp;"|"&amp;C853)</f>
        <v/>
      </c>
      <c r="B853" s="133"/>
      <c r="C853" s="133"/>
      <c r="D853" s="133"/>
      <c r="E853" s="139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</row>
    <row r="854" customFormat="false" ht="15.75" hidden="false" customHeight="false" outlineLevel="0" collapsed="false">
      <c r="A854" s="133" t="str">
        <f aca="false">IF(ISBLANK(B854),"",B854&amp;"|"&amp;C854)</f>
        <v/>
      </c>
      <c r="B854" s="133"/>
      <c r="C854" s="133"/>
      <c r="D854" s="133"/>
      <c r="E854" s="139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</row>
    <row r="855" customFormat="false" ht="15.75" hidden="false" customHeight="false" outlineLevel="0" collapsed="false">
      <c r="A855" s="133" t="str">
        <f aca="false">IF(ISBLANK(B855),"",B855&amp;"|"&amp;C855)</f>
        <v/>
      </c>
      <c r="B855" s="133"/>
      <c r="C855" s="133"/>
      <c r="D855" s="133"/>
      <c r="E855" s="139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</row>
    <row r="856" customFormat="false" ht="15.75" hidden="false" customHeight="false" outlineLevel="0" collapsed="false">
      <c r="A856" s="133" t="str">
        <f aca="false">IF(ISBLANK(B856),"",B856&amp;"|"&amp;C856)</f>
        <v/>
      </c>
      <c r="B856" s="133"/>
      <c r="C856" s="133"/>
      <c r="D856" s="133"/>
      <c r="E856" s="139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</row>
    <row r="857" customFormat="false" ht="15.75" hidden="false" customHeight="false" outlineLevel="0" collapsed="false">
      <c r="A857" s="133" t="str">
        <f aca="false">IF(ISBLANK(B857),"",B857&amp;"|"&amp;C857)</f>
        <v/>
      </c>
      <c r="B857" s="133"/>
      <c r="C857" s="133"/>
      <c r="D857" s="133"/>
      <c r="E857" s="139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</row>
    <row r="858" customFormat="false" ht="15.75" hidden="false" customHeight="false" outlineLevel="0" collapsed="false">
      <c r="A858" s="133" t="str">
        <f aca="false">IF(ISBLANK(B858),"",B858&amp;"|"&amp;C858)</f>
        <v/>
      </c>
      <c r="B858" s="133"/>
      <c r="C858" s="133"/>
      <c r="D858" s="133"/>
      <c r="E858" s="139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</row>
    <row r="859" customFormat="false" ht="15.75" hidden="false" customHeight="false" outlineLevel="0" collapsed="false">
      <c r="A859" s="133" t="str">
        <f aca="false">IF(ISBLANK(B859),"",B859&amp;"|"&amp;C859)</f>
        <v/>
      </c>
      <c r="B859" s="133"/>
      <c r="C859" s="133"/>
      <c r="D859" s="133"/>
      <c r="E859" s="139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</row>
    <row r="860" customFormat="false" ht="15.75" hidden="false" customHeight="false" outlineLevel="0" collapsed="false">
      <c r="A860" s="133" t="str">
        <f aca="false">IF(ISBLANK(B860),"",B860&amp;"|"&amp;C860)</f>
        <v/>
      </c>
      <c r="B860" s="133"/>
      <c r="C860" s="133"/>
      <c r="D860" s="133"/>
      <c r="E860" s="139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</row>
    <row r="861" customFormat="false" ht="15.75" hidden="false" customHeight="false" outlineLevel="0" collapsed="false">
      <c r="A861" s="133" t="str">
        <f aca="false">IF(ISBLANK(B861),"",B861&amp;"|"&amp;C861)</f>
        <v/>
      </c>
      <c r="B861" s="133"/>
      <c r="C861" s="133"/>
      <c r="D861" s="133"/>
      <c r="E861" s="139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</row>
    <row r="862" customFormat="false" ht="15.75" hidden="false" customHeight="false" outlineLevel="0" collapsed="false">
      <c r="A862" s="133" t="str">
        <f aca="false">IF(ISBLANK(B862),"",B862&amp;"|"&amp;C862)</f>
        <v/>
      </c>
      <c r="B862" s="133"/>
      <c r="C862" s="133"/>
      <c r="D862" s="133"/>
      <c r="E862" s="139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</row>
    <row r="863" customFormat="false" ht="15.75" hidden="false" customHeight="false" outlineLevel="0" collapsed="false">
      <c r="A863" s="133" t="str">
        <f aca="false">IF(ISBLANK(B863),"",B863&amp;"|"&amp;C863)</f>
        <v/>
      </c>
      <c r="B863" s="133"/>
      <c r="C863" s="133"/>
      <c r="D863" s="133"/>
      <c r="E863" s="139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</row>
    <row r="864" customFormat="false" ht="15.75" hidden="false" customHeight="false" outlineLevel="0" collapsed="false">
      <c r="A864" s="133" t="str">
        <f aca="false">IF(ISBLANK(B864),"",B864&amp;"|"&amp;C864)</f>
        <v/>
      </c>
      <c r="B864" s="133"/>
      <c r="C864" s="133"/>
      <c r="D864" s="133"/>
      <c r="E864" s="139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</row>
    <row r="865" customFormat="false" ht="15.75" hidden="false" customHeight="false" outlineLevel="0" collapsed="false">
      <c r="A865" s="133" t="str">
        <f aca="false">IF(ISBLANK(B865),"",B865&amp;"|"&amp;C865)</f>
        <v/>
      </c>
      <c r="B865" s="133"/>
      <c r="C865" s="133"/>
      <c r="D865" s="133"/>
      <c r="E865" s="139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</row>
    <row r="866" customFormat="false" ht="15.75" hidden="false" customHeight="false" outlineLevel="0" collapsed="false">
      <c r="A866" s="133" t="str">
        <f aca="false">IF(ISBLANK(B866),"",B866&amp;"|"&amp;C866)</f>
        <v/>
      </c>
      <c r="B866" s="133"/>
      <c r="C866" s="133"/>
      <c r="D866" s="133"/>
      <c r="E866" s="139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</row>
    <row r="867" customFormat="false" ht="15.75" hidden="false" customHeight="false" outlineLevel="0" collapsed="false">
      <c r="A867" s="133" t="str">
        <f aca="false">IF(ISBLANK(B867),"",B867&amp;"|"&amp;C867)</f>
        <v/>
      </c>
      <c r="B867" s="133"/>
      <c r="C867" s="133"/>
      <c r="D867" s="133"/>
      <c r="E867" s="139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</row>
    <row r="868" customFormat="false" ht="15.75" hidden="false" customHeight="false" outlineLevel="0" collapsed="false">
      <c r="A868" s="133" t="str">
        <f aca="false">IF(ISBLANK(B868),"",B868&amp;"|"&amp;C868)</f>
        <v/>
      </c>
      <c r="B868" s="133"/>
      <c r="C868" s="133"/>
      <c r="D868" s="133"/>
      <c r="E868" s="139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</row>
    <row r="869" customFormat="false" ht="15.75" hidden="false" customHeight="false" outlineLevel="0" collapsed="false">
      <c r="A869" s="133" t="str">
        <f aca="false">IF(ISBLANK(B869),"",B869&amp;"|"&amp;C869)</f>
        <v/>
      </c>
      <c r="B869" s="133"/>
      <c r="C869" s="133"/>
      <c r="D869" s="133"/>
      <c r="E869" s="139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</row>
    <row r="870" customFormat="false" ht="15.75" hidden="false" customHeight="false" outlineLevel="0" collapsed="false">
      <c r="A870" s="133" t="str">
        <f aca="false">IF(ISBLANK(B870),"",B870&amp;"|"&amp;C870)</f>
        <v/>
      </c>
      <c r="B870" s="133"/>
      <c r="C870" s="133"/>
      <c r="D870" s="133"/>
      <c r="E870" s="139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</row>
    <row r="871" customFormat="false" ht="15.75" hidden="false" customHeight="false" outlineLevel="0" collapsed="false">
      <c r="A871" s="133" t="str">
        <f aca="false">IF(ISBLANK(B871),"",B871&amp;"|"&amp;C871)</f>
        <v/>
      </c>
      <c r="B871" s="133"/>
      <c r="C871" s="133"/>
      <c r="D871" s="133"/>
      <c r="E871" s="139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</row>
    <row r="872" customFormat="false" ht="15.75" hidden="false" customHeight="false" outlineLevel="0" collapsed="false">
      <c r="A872" s="133" t="str">
        <f aca="false">IF(ISBLANK(B872),"",B872&amp;"|"&amp;C872)</f>
        <v/>
      </c>
      <c r="B872" s="133"/>
      <c r="C872" s="133"/>
      <c r="D872" s="133"/>
      <c r="E872" s="139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</row>
    <row r="873" customFormat="false" ht="15.75" hidden="false" customHeight="false" outlineLevel="0" collapsed="false">
      <c r="A873" s="133" t="str">
        <f aca="false">IF(ISBLANK(B873),"",B873&amp;"|"&amp;C873)</f>
        <v/>
      </c>
      <c r="B873" s="133"/>
      <c r="C873" s="133"/>
      <c r="D873" s="133"/>
      <c r="E873" s="139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</row>
    <row r="874" customFormat="false" ht="15.75" hidden="false" customHeight="false" outlineLevel="0" collapsed="false">
      <c r="A874" s="133" t="str">
        <f aca="false">IF(ISBLANK(B874),"",B874&amp;"|"&amp;C874)</f>
        <v/>
      </c>
      <c r="B874" s="133"/>
      <c r="C874" s="133"/>
      <c r="D874" s="133"/>
      <c r="E874" s="139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</row>
    <row r="875" customFormat="false" ht="15.75" hidden="false" customHeight="false" outlineLevel="0" collapsed="false">
      <c r="A875" s="133" t="str">
        <f aca="false">IF(ISBLANK(B875),"",B875&amp;"|"&amp;C875)</f>
        <v/>
      </c>
      <c r="B875" s="133"/>
      <c r="C875" s="133"/>
      <c r="D875" s="133"/>
      <c r="E875" s="139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</row>
    <row r="876" customFormat="false" ht="15.75" hidden="false" customHeight="false" outlineLevel="0" collapsed="false">
      <c r="A876" s="133" t="str">
        <f aca="false">IF(ISBLANK(B876),"",B876&amp;"|"&amp;C876)</f>
        <v/>
      </c>
      <c r="B876" s="133"/>
      <c r="C876" s="133"/>
      <c r="D876" s="133"/>
      <c r="E876" s="139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</row>
    <row r="877" customFormat="false" ht="15.75" hidden="false" customHeight="false" outlineLevel="0" collapsed="false">
      <c r="A877" s="133" t="str">
        <f aca="false">IF(ISBLANK(B877),"",B877&amp;"|"&amp;C877)</f>
        <v/>
      </c>
      <c r="B877" s="133"/>
      <c r="C877" s="133"/>
      <c r="D877" s="133"/>
      <c r="E877" s="139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</row>
    <row r="878" customFormat="false" ht="15.75" hidden="false" customHeight="false" outlineLevel="0" collapsed="false">
      <c r="A878" s="133" t="str">
        <f aca="false">IF(ISBLANK(B878),"",B878&amp;"|"&amp;C878)</f>
        <v/>
      </c>
      <c r="B878" s="133"/>
      <c r="C878" s="133"/>
      <c r="D878" s="133"/>
      <c r="E878" s="139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</row>
    <row r="879" customFormat="false" ht="15.75" hidden="false" customHeight="false" outlineLevel="0" collapsed="false">
      <c r="A879" s="133" t="str">
        <f aca="false">IF(ISBLANK(B879),"",B879&amp;"|"&amp;C879)</f>
        <v/>
      </c>
      <c r="B879" s="133"/>
      <c r="C879" s="133"/>
      <c r="D879" s="133"/>
      <c r="E879" s="139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</row>
    <row r="880" customFormat="false" ht="15.75" hidden="false" customHeight="false" outlineLevel="0" collapsed="false">
      <c r="A880" s="133" t="str">
        <f aca="false">IF(ISBLANK(B880),"",B880&amp;"|"&amp;C880)</f>
        <v/>
      </c>
      <c r="B880" s="133"/>
      <c r="C880" s="133"/>
      <c r="D880" s="133"/>
      <c r="E880" s="139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</row>
    <row r="881" customFormat="false" ht="15.75" hidden="false" customHeight="false" outlineLevel="0" collapsed="false">
      <c r="A881" s="133" t="str">
        <f aca="false">IF(ISBLANK(B881),"",B881&amp;"|"&amp;C881)</f>
        <v/>
      </c>
      <c r="B881" s="133"/>
      <c r="C881" s="133"/>
      <c r="D881" s="133"/>
      <c r="E881" s="139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</row>
    <row r="882" customFormat="false" ht="15.75" hidden="false" customHeight="false" outlineLevel="0" collapsed="false">
      <c r="A882" s="133" t="str">
        <f aca="false">IF(ISBLANK(B882),"",B882&amp;"|"&amp;C882)</f>
        <v/>
      </c>
      <c r="B882" s="133"/>
      <c r="C882" s="133"/>
      <c r="D882" s="133"/>
      <c r="E882" s="139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</row>
    <row r="883" customFormat="false" ht="15.75" hidden="false" customHeight="false" outlineLevel="0" collapsed="false">
      <c r="A883" s="133" t="str">
        <f aca="false">IF(ISBLANK(B883),"",B883&amp;"|"&amp;C883)</f>
        <v/>
      </c>
      <c r="B883" s="133"/>
      <c r="C883" s="133"/>
      <c r="D883" s="133"/>
      <c r="E883" s="139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</row>
    <row r="884" customFormat="false" ht="15.75" hidden="false" customHeight="false" outlineLevel="0" collapsed="false">
      <c r="A884" s="133" t="str">
        <f aca="false">IF(ISBLANK(B884),"",B884&amp;"|"&amp;C884)</f>
        <v/>
      </c>
      <c r="B884" s="133"/>
      <c r="C884" s="133"/>
      <c r="D884" s="133"/>
      <c r="E884" s="139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</row>
    <row r="885" customFormat="false" ht="15.75" hidden="false" customHeight="false" outlineLevel="0" collapsed="false">
      <c r="A885" s="133" t="str">
        <f aca="false">IF(ISBLANK(B885),"",B885&amp;"|"&amp;C885)</f>
        <v/>
      </c>
      <c r="B885" s="133"/>
      <c r="C885" s="133"/>
      <c r="D885" s="133"/>
      <c r="E885" s="139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</row>
    <row r="886" customFormat="false" ht="15.75" hidden="false" customHeight="false" outlineLevel="0" collapsed="false">
      <c r="A886" s="133" t="str">
        <f aca="false">IF(ISBLANK(B886),"",B886&amp;"|"&amp;C886)</f>
        <v/>
      </c>
      <c r="B886" s="133"/>
      <c r="C886" s="133"/>
      <c r="D886" s="133"/>
      <c r="E886" s="139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</row>
    <row r="887" customFormat="false" ht="15.75" hidden="false" customHeight="false" outlineLevel="0" collapsed="false">
      <c r="A887" s="133" t="str">
        <f aca="false">IF(ISBLANK(B887),"",B887&amp;"|"&amp;C887)</f>
        <v/>
      </c>
      <c r="B887" s="133"/>
      <c r="C887" s="133"/>
      <c r="D887" s="133"/>
      <c r="E887" s="139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</row>
    <row r="888" customFormat="false" ht="15.75" hidden="false" customHeight="false" outlineLevel="0" collapsed="false">
      <c r="A888" s="133" t="str">
        <f aca="false">IF(ISBLANK(B888),"",B888&amp;"|"&amp;C888)</f>
        <v/>
      </c>
      <c r="B888" s="133"/>
      <c r="C888" s="133"/>
      <c r="D888" s="133"/>
      <c r="E888" s="139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</row>
    <row r="889" customFormat="false" ht="15.75" hidden="false" customHeight="false" outlineLevel="0" collapsed="false">
      <c r="A889" s="133" t="str">
        <f aca="false">IF(ISBLANK(B889),"",B889&amp;"|"&amp;C889)</f>
        <v/>
      </c>
      <c r="B889" s="133"/>
      <c r="C889" s="133"/>
      <c r="D889" s="133"/>
      <c r="E889" s="139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</row>
    <row r="890" customFormat="false" ht="15.75" hidden="false" customHeight="false" outlineLevel="0" collapsed="false">
      <c r="A890" s="133" t="str">
        <f aca="false">IF(ISBLANK(B890),"",B890&amp;"|"&amp;C890)</f>
        <v/>
      </c>
      <c r="B890" s="133"/>
      <c r="C890" s="133"/>
      <c r="D890" s="133"/>
      <c r="E890" s="139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</row>
    <row r="891" customFormat="false" ht="15.75" hidden="false" customHeight="false" outlineLevel="0" collapsed="false">
      <c r="A891" s="133" t="str">
        <f aca="false">IF(ISBLANK(B891),"",B891&amp;"|"&amp;C891)</f>
        <v/>
      </c>
      <c r="B891" s="133"/>
      <c r="C891" s="133"/>
      <c r="D891" s="133"/>
      <c r="E891" s="139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</row>
    <row r="892" customFormat="false" ht="15.75" hidden="false" customHeight="false" outlineLevel="0" collapsed="false">
      <c r="A892" s="133" t="str">
        <f aca="false">IF(ISBLANK(B892),"",B892&amp;"|"&amp;C892)</f>
        <v/>
      </c>
      <c r="B892" s="133"/>
      <c r="C892" s="133"/>
      <c r="D892" s="133"/>
      <c r="E892" s="139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</row>
    <row r="893" customFormat="false" ht="15.75" hidden="false" customHeight="false" outlineLevel="0" collapsed="false">
      <c r="A893" s="133" t="str">
        <f aca="false">IF(ISBLANK(B893),"",B893&amp;"|"&amp;C893)</f>
        <v/>
      </c>
      <c r="B893" s="133"/>
      <c r="C893" s="133"/>
      <c r="D893" s="133"/>
      <c r="E893" s="139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</row>
    <row r="894" customFormat="false" ht="15.75" hidden="false" customHeight="false" outlineLevel="0" collapsed="false">
      <c r="A894" s="133" t="str">
        <f aca="false">IF(ISBLANK(B894),"",B894&amp;"|"&amp;C894)</f>
        <v/>
      </c>
      <c r="B894" s="133"/>
      <c r="C894" s="133"/>
      <c r="D894" s="133"/>
      <c r="E894" s="139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</row>
    <row r="895" customFormat="false" ht="15.75" hidden="false" customHeight="false" outlineLevel="0" collapsed="false">
      <c r="A895" s="133" t="str">
        <f aca="false">IF(ISBLANK(B895),"",B895&amp;"|"&amp;C895)</f>
        <v/>
      </c>
      <c r="B895" s="133"/>
      <c r="C895" s="133"/>
      <c r="D895" s="133"/>
      <c r="E895" s="139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</row>
    <row r="896" customFormat="false" ht="15.75" hidden="false" customHeight="false" outlineLevel="0" collapsed="false">
      <c r="A896" s="133" t="str">
        <f aca="false">IF(ISBLANK(B896),"",B896&amp;"|"&amp;C896)</f>
        <v/>
      </c>
      <c r="B896" s="133"/>
      <c r="C896" s="133"/>
      <c r="D896" s="133"/>
      <c r="E896" s="139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</row>
    <row r="897" customFormat="false" ht="15.75" hidden="false" customHeight="false" outlineLevel="0" collapsed="false">
      <c r="A897" s="133" t="str">
        <f aca="false">IF(ISBLANK(B897),"",B897&amp;"|"&amp;C897)</f>
        <v/>
      </c>
      <c r="B897" s="133"/>
      <c r="C897" s="133"/>
      <c r="D897" s="133"/>
      <c r="E897" s="139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</row>
    <row r="898" customFormat="false" ht="15.75" hidden="false" customHeight="false" outlineLevel="0" collapsed="false">
      <c r="A898" s="133" t="str">
        <f aca="false">IF(ISBLANK(B898),"",B898&amp;"|"&amp;C898)</f>
        <v/>
      </c>
      <c r="B898" s="133"/>
      <c r="C898" s="133"/>
      <c r="D898" s="133"/>
      <c r="E898" s="139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</row>
    <row r="899" customFormat="false" ht="15.75" hidden="false" customHeight="false" outlineLevel="0" collapsed="false">
      <c r="A899" s="133" t="str">
        <f aca="false">IF(ISBLANK(B899),"",B899&amp;"|"&amp;C899)</f>
        <v/>
      </c>
      <c r="B899" s="133"/>
      <c r="C899" s="133"/>
      <c r="D899" s="133"/>
      <c r="E899" s="139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</row>
    <row r="900" customFormat="false" ht="15.75" hidden="false" customHeight="false" outlineLevel="0" collapsed="false">
      <c r="A900" s="133" t="str">
        <f aca="false">IF(ISBLANK(B900),"",B900&amp;"|"&amp;C900)</f>
        <v/>
      </c>
      <c r="B900" s="133"/>
      <c r="C900" s="133"/>
      <c r="D900" s="133"/>
      <c r="E900" s="139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</row>
    <row r="901" customFormat="false" ht="15.75" hidden="false" customHeight="false" outlineLevel="0" collapsed="false">
      <c r="A901" s="133" t="str">
        <f aca="false">IF(ISBLANK(B901),"",B901&amp;"|"&amp;C901)</f>
        <v/>
      </c>
      <c r="B901" s="133"/>
      <c r="C901" s="133"/>
      <c r="D901" s="133"/>
      <c r="E901" s="139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</row>
    <row r="902" customFormat="false" ht="15.75" hidden="false" customHeight="false" outlineLevel="0" collapsed="false">
      <c r="A902" s="133" t="str">
        <f aca="false">IF(ISBLANK(B902),"",B902&amp;"|"&amp;C902)</f>
        <v/>
      </c>
      <c r="B902" s="133"/>
      <c r="C902" s="133"/>
      <c r="D902" s="133"/>
      <c r="E902" s="139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</row>
    <row r="903" customFormat="false" ht="15.75" hidden="false" customHeight="false" outlineLevel="0" collapsed="false">
      <c r="A903" s="133" t="str">
        <f aca="false">IF(ISBLANK(B903),"",B903&amp;"|"&amp;C903)</f>
        <v/>
      </c>
      <c r="B903" s="133"/>
      <c r="C903" s="133"/>
      <c r="D903" s="133"/>
      <c r="E903" s="139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</row>
    <row r="904" customFormat="false" ht="15.75" hidden="false" customHeight="false" outlineLevel="0" collapsed="false">
      <c r="A904" s="133" t="str">
        <f aca="false">IF(ISBLANK(B904),"",B904&amp;"|"&amp;C904)</f>
        <v/>
      </c>
      <c r="B904" s="133"/>
      <c r="C904" s="133"/>
      <c r="D904" s="133"/>
      <c r="E904" s="139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</row>
    <row r="905" customFormat="false" ht="15.75" hidden="false" customHeight="false" outlineLevel="0" collapsed="false">
      <c r="A905" s="133" t="str">
        <f aca="false">IF(ISBLANK(B905),"",B905&amp;"|"&amp;C905)</f>
        <v/>
      </c>
      <c r="B905" s="133"/>
      <c r="C905" s="133"/>
      <c r="D905" s="133"/>
      <c r="E905" s="139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</row>
    <row r="906" customFormat="false" ht="15.75" hidden="false" customHeight="false" outlineLevel="0" collapsed="false">
      <c r="A906" s="133" t="str">
        <f aca="false">IF(ISBLANK(B906),"",B906&amp;"|"&amp;C906)</f>
        <v/>
      </c>
      <c r="B906" s="133"/>
      <c r="C906" s="133"/>
      <c r="D906" s="133"/>
      <c r="E906" s="139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</row>
    <row r="907" customFormat="false" ht="15.75" hidden="false" customHeight="false" outlineLevel="0" collapsed="false">
      <c r="A907" s="133" t="str">
        <f aca="false">IF(ISBLANK(B907),"",B907&amp;"|"&amp;C907)</f>
        <v/>
      </c>
      <c r="B907" s="133"/>
      <c r="C907" s="133"/>
      <c r="D907" s="133"/>
      <c r="E907" s="139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</row>
    <row r="908" customFormat="false" ht="15.75" hidden="false" customHeight="false" outlineLevel="0" collapsed="false">
      <c r="A908" s="133" t="str">
        <f aca="false">IF(ISBLANK(B908),"",B908&amp;"|"&amp;C908)</f>
        <v/>
      </c>
      <c r="B908" s="133"/>
      <c r="C908" s="133"/>
      <c r="D908" s="133"/>
      <c r="E908" s="139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</row>
    <row r="909" customFormat="false" ht="15.75" hidden="false" customHeight="false" outlineLevel="0" collapsed="false">
      <c r="A909" s="133" t="str">
        <f aca="false">IF(ISBLANK(B909),"",B909&amp;"|"&amp;C909)</f>
        <v/>
      </c>
      <c r="B909" s="133"/>
      <c r="C909" s="133"/>
      <c r="D909" s="133"/>
      <c r="E909" s="139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</row>
    <row r="910" customFormat="false" ht="15.75" hidden="false" customHeight="false" outlineLevel="0" collapsed="false">
      <c r="A910" s="133" t="str">
        <f aca="false">IF(ISBLANK(B910),"",B910&amp;"|"&amp;C910)</f>
        <v/>
      </c>
      <c r="B910" s="133"/>
      <c r="C910" s="133"/>
      <c r="D910" s="133"/>
      <c r="E910" s="139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</row>
    <row r="911" customFormat="false" ht="15.75" hidden="false" customHeight="false" outlineLevel="0" collapsed="false">
      <c r="A911" s="133" t="str">
        <f aca="false">IF(ISBLANK(B911),"",B911&amp;"|"&amp;C911)</f>
        <v/>
      </c>
      <c r="B911" s="133"/>
      <c r="C911" s="133"/>
      <c r="D911" s="133"/>
      <c r="E911" s="139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</row>
    <row r="912" customFormat="false" ht="15.75" hidden="false" customHeight="false" outlineLevel="0" collapsed="false">
      <c r="A912" s="133" t="str">
        <f aca="false">IF(ISBLANK(B912),"",B912&amp;"|"&amp;C912)</f>
        <v/>
      </c>
      <c r="B912" s="133"/>
      <c r="C912" s="133"/>
      <c r="D912" s="133"/>
      <c r="E912" s="139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</row>
    <row r="913" customFormat="false" ht="15.75" hidden="false" customHeight="false" outlineLevel="0" collapsed="false">
      <c r="A913" s="133" t="str">
        <f aca="false">IF(ISBLANK(B913),"",B913&amp;"|"&amp;C913)</f>
        <v/>
      </c>
      <c r="B913" s="133"/>
      <c r="C913" s="133"/>
      <c r="D913" s="133"/>
      <c r="E913" s="139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</row>
    <row r="914" customFormat="false" ht="15.75" hidden="false" customHeight="false" outlineLevel="0" collapsed="false">
      <c r="A914" s="133" t="str">
        <f aca="false">IF(ISBLANK(B914),"",B914&amp;"|"&amp;C914)</f>
        <v/>
      </c>
      <c r="B914" s="133"/>
      <c r="C914" s="133"/>
      <c r="D914" s="133"/>
      <c r="E914" s="139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</row>
    <row r="915" customFormat="false" ht="15.75" hidden="false" customHeight="false" outlineLevel="0" collapsed="false">
      <c r="A915" s="133" t="str">
        <f aca="false">IF(ISBLANK(B915),"",B915&amp;"|"&amp;C915)</f>
        <v/>
      </c>
      <c r="B915" s="133"/>
      <c r="C915" s="133"/>
      <c r="D915" s="133"/>
      <c r="E915" s="139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</row>
    <row r="916" customFormat="false" ht="15.75" hidden="false" customHeight="false" outlineLevel="0" collapsed="false">
      <c r="A916" s="133" t="str">
        <f aca="false">IF(ISBLANK(B916),"",B916&amp;"|"&amp;C916)</f>
        <v/>
      </c>
      <c r="B916" s="133"/>
      <c r="C916" s="133"/>
      <c r="D916" s="133"/>
      <c r="E916" s="139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</row>
    <row r="917" customFormat="false" ht="15.75" hidden="false" customHeight="false" outlineLevel="0" collapsed="false">
      <c r="A917" s="133" t="str">
        <f aca="false">IF(ISBLANK(B917),"",B917&amp;"|"&amp;C917)</f>
        <v/>
      </c>
      <c r="B917" s="133"/>
      <c r="C917" s="133"/>
      <c r="D917" s="133"/>
      <c r="E917" s="139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</row>
    <row r="918" customFormat="false" ht="15.75" hidden="false" customHeight="false" outlineLevel="0" collapsed="false">
      <c r="A918" s="133" t="str">
        <f aca="false">IF(ISBLANK(B918),"",B918&amp;"|"&amp;C918)</f>
        <v/>
      </c>
      <c r="B918" s="133"/>
      <c r="C918" s="133"/>
      <c r="D918" s="133"/>
      <c r="E918" s="139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</row>
    <row r="919" customFormat="false" ht="15.75" hidden="false" customHeight="false" outlineLevel="0" collapsed="false">
      <c r="A919" s="133" t="str">
        <f aca="false">IF(ISBLANK(B919),"",B919&amp;"|"&amp;C919)</f>
        <v/>
      </c>
      <c r="B919" s="133"/>
      <c r="C919" s="133"/>
      <c r="D919" s="133"/>
      <c r="E919" s="139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</row>
    <row r="920" customFormat="false" ht="15.75" hidden="false" customHeight="false" outlineLevel="0" collapsed="false">
      <c r="A920" s="133" t="str">
        <f aca="false">IF(ISBLANK(B920),"",B920&amp;"|"&amp;C920)</f>
        <v/>
      </c>
      <c r="B920" s="133"/>
      <c r="C920" s="133"/>
      <c r="D920" s="133"/>
      <c r="E920" s="139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</row>
    <row r="921" customFormat="false" ht="15.75" hidden="false" customHeight="false" outlineLevel="0" collapsed="false">
      <c r="A921" s="133" t="str">
        <f aca="false">IF(ISBLANK(B921),"",B921&amp;"|"&amp;C921)</f>
        <v/>
      </c>
      <c r="B921" s="133"/>
      <c r="C921" s="133"/>
      <c r="D921" s="133"/>
      <c r="E921" s="139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</row>
    <row r="922" customFormat="false" ht="15.75" hidden="false" customHeight="false" outlineLevel="0" collapsed="false">
      <c r="A922" s="133" t="str">
        <f aca="false">IF(ISBLANK(B922),"",B922&amp;"|"&amp;C922)</f>
        <v/>
      </c>
      <c r="B922" s="133"/>
      <c r="C922" s="133"/>
      <c r="D922" s="133"/>
      <c r="E922" s="139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</row>
    <row r="923" customFormat="false" ht="15.75" hidden="false" customHeight="false" outlineLevel="0" collapsed="false">
      <c r="A923" s="133" t="str">
        <f aca="false">IF(ISBLANK(B923),"",B923&amp;"|"&amp;C923)</f>
        <v/>
      </c>
      <c r="B923" s="133"/>
      <c r="C923" s="133"/>
      <c r="D923" s="133"/>
      <c r="E923" s="139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</row>
    <row r="924" customFormat="false" ht="15.75" hidden="false" customHeight="false" outlineLevel="0" collapsed="false">
      <c r="A924" s="133" t="str">
        <f aca="false">IF(ISBLANK(B924),"",B924&amp;"|"&amp;C924)</f>
        <v/>
      </c>
      <c r="B924" s="133"/>
      <c r="C924" s="133"/>
      <c r="D924" s="133"/>
      <c r="E924" s="139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</row>
    <row r="925" customFormat="false" ht="15.75" hidden="false" customHeight="false" outlineLevel="0" collapsed="false">
      <c r="A925" s="133" t="str">
        <f aca="false">IF(ISBLANK(B925),"",B925&amp;"|"&amp;C925)</f>
        <v/>
      </c>
      <c r="B925" s="133"/>
      <c r="C925" s="133"/>
      <c r="D925" s="133"/>
      <c r="E925" s="139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</row>
    <row r="926" customFormat="false" ht="15.75" hidden="false" customHeight="false" outlineLevel="0" collapsed="false">
      <c r="A926" s="133" t="str">
        <f aca="false">IF(ISBLANK(B926),"",B926&amp;"|"&amp;C926)</f>
        <v/>
      </c>
      <c r="B926" s="133"/>
      <c r="C926" s="133"/>
      <c r="D926" s="133"/>
      <c r="E926" s="139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</row>
    <row r="927" customFormat="false" ht="15.75" hidden="false" customHeight="false" outlineLevel="0" collapsed="false">
      <c r="A927" s="133" t="str">
        <f aca="false">IF(ISBLANK(B927),"",B927&amp;"|"&amp;C927)</f>
        <v/>
      </c>
      <c r="B927" s="133"/>
      <c r="C927" s="133"/>
      <c r="D927" s="133"/>
      <c r="E927" s="139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</row>
    <row r="928" customFormat="false" ht="15.75" hidden="false" customHeight="false" outlineLevel="0" collapsed="false">
      <c r="A928" s="133" t="str">
        <f aca="false">IF(ISBLANK(B928),"",B928&amp;"|"&amp;C928)</f>
        <v/>
      </c>
      <c r="B928" s="133"/>
      <c r="C928" s="133"/>
      <c r="D928" s="133"/>
      <c r="E928" s="139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</row>
    <row r="929" customFormat="false" ht="15.75" hidden="false" customHeight="false" outlineLevel="0" collapsed="false">
      <c r="A929" s="133" t="str">
        <f aca="false">IF(ISBLANK(B929),"",B929&amp;"|"&amp;C929)</f>
        <v/>
      </c>
      <c r="B929" s="133"/>
      <c r="C929" s="133"/>
      <c r="D929" s="133"/>
      <c r="E929" s="139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</row>
    <row r="930" customFormat="false" ht="15.75" hidden="false" customHeight="false" outlineLevel="0" collapsed="false">
      <c r="A930" s="133" t="str">
        <f aca="false">IF(ISBLANK(B930),"",B930&amp;"|"&amp;C930)</f>
        <v/>
      </c>
      <c r="B930" s="133"/>
      <c r="C930" s="133"/>
      <c r="D930" s="133"/>
      <c r="E930" s="139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</row>
    <row r="931" customFormat="false" ht="15.75" hidden="false" customHeight="false" outlineLevel="0" collapsed="false">
      <c r="A931" s="133" t="str">
        <f aca="false">IF(ISBLANK(B931),"",B931&amp;"|"&amp;C931)</f>
        <v/>
      </c>
      <c r="B931" s="133"/>
      <c r="C931" s="133"/>
      <c r="D931" s="133"/>
      <c r="E931" s="139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</row>
    <row r="932" customFormat="false" ht="15.75" hidden="false" customHeight="false" outlineLevel="0" collapsed="false">
      <c r="A932" s="133" t="str">
        <f aca="false">IF(ISBLANK(B932),"",B932&amp;"|"&amp;C932)</f>
        <v/>
      </c>
      <c r="B932" s="133"/>
      <c r="C932" s="133"/>
      <c r="D932" s="133"/>
      <c r="E932" s="139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</row>
    <row r="933" customFormat="false" ht="15.75" hidden="false" customHeight="false" outlineLevel="0" collapsed="false">
      <c r="A933" s="133" t="str">
        <f aca="false">IF(ISBLANK(B933),"",B933&amp;"|"&amp;C933)</f>
        <v/>
      </c>
      <c r="B933" s="133"/>
      <c r="C933" s="133"/>
      <c r="D933" s="133"/>
      <c r="E933" s="139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</row>
    <row r="934" customFormat="false" ht="15.75" hidden="false" customHeight="false" outlineLevel="0" collapsed="false">
      <c r="A934" s="133" t="str">
        <f aca="false">IF(ISBLANK(B934),"",B934&amp;"|"&amp;C934)</f>
        <v/>
      </c>
      <c r="B934" s="133"/>
      <c r="C934" s="133"/>
      <c r="D934" s="133"/>
      <c r="E934" s="139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</row>
    <row r="935" customFormat="false" ht="15.75" hidden="false" customHeight="false" outlineLevel="0" collapsed="false">
      <c r="A935" s="133" t="str">
        <f aca="false">IF(ISBLANK(B935),"",B935&amp;"|"&amp;C935)</f>
        <v/>
      </c>
      <c r="B935" s="133"/>
      <c r="C935" s="133"/>
      <c r="D935" s="133"/>
      <c r="E935" s="139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</row>
    <row r="936" customFormat="false" ht="15.75" hidden="false" customHeight="false" outlineLevel="0" collapsed="false">
      <c r="A936" s="133" t="str">
        <f aca="false">IF(ISBLANK(B936),"",B936&amp;"|"&amp;C936)</f>
        <v/>
      </c>
      <c r="B936" s="133"/>
      <c r="C936" s="133"/>
      <c r="D936" s="133"/>
      <c r="E936" s="139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</row>
    <row r="937" customFormat="false" ht="15.75" hidden="false" customHeight="false" outlineLevel="0" collapsed="false">
      <c r="A937" s="133" t="str">
        <f aca="false">IF(ISBLANK(B937),"",B937&amp;"|"&amp;C937)</f>
        <v/>
      </c>
      <c r="B937" s="133"/>
      <c r="C937" s="133"/>
      <c r="D937" s="133"/>
      <c r="E937" s="139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</row>
    <row r="938" customFormat="false" ht="15.75" hidden="false" customHeight="false" outlineLevel="0" collapsed="false">
      <c r="A938" s="133" t="str">
        <f aca="false">IF(ISBLANK(B938),"",B938&amp;"|"&amp;C938)</f>
        <v/>
      </c>
      <c r="B938" s="133"/>
      <c r="C938" s="133"/>
      <c r="D938" s="133"/>
      <c r="E938" s="139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</row>
    <row r="939" customFormat="false" ht="15.75" hidden="false" customHeight="false" outlineLevel="0" collapsed="false">
      <c r="A939" s="133" t="str">
        <f aca="false">IF(ISBLANK(B939),"",B939&amp;"|"&amp;C939)</f>
        <v/>
      </c>
      <c r="B939" s="133"/>
      <c r="C939" s="133"/>
      <c r="D939" s="133"/>
      <c r="E939" s="139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</row>
    <row r="940" customFormat="false" ht="15.75" hidden="false" customHeight="false" outlineLevel="0" collapsed="false">
      <c r="A940" s="133" t="str">
        <f aca="false">IF(ISBLANK(B940),"",B940&amp;"|"&amp;C940)</f>
        <v/>
      </c>
      <c r="B940" s="133"/>
      <c r="C940" s="133"/>
      <c r="D940" s="133"/>
      <c r="E940" s="139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</row>
    <row r="941" customFormat="false" ht="15.75" hidden="false" customHeight="false" outlineLevel="0" collapsed="false">
      <c r="A941" s="133" t="str">
        <f aca="false">IF(ISBLANK(B941),"",B941&amp;"|"&amp;C941)</f>
        <v/>
      </c>
      <c r="B941" s="133"/>
      <c r="C941" s="133"/>
      <c r="D941" s="133"/>
      <c r="E941" s="139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</row>
    <row r="942" customFormat="false" ht="15.75" hidden="false" customHeight="false" outlineLevel="0" collapsed="false">
      <c r="A942" s="133" t="str">
        <f aca="false">IF(ISBLANK(B942),"",B942&amp;"|"&amp;C942)</f>
        <v/>
      </c>
      <c r="B942" s="133"/>
      <c r="C942" s="133"/>
      <c r="D942" s="133"/>
      <c r="E942" s="139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</row>
    <row r="943" customFormat="false" ht="15.75" hidden="false" customHeight="false" outlineLevel="0" collapsed="false">
      <c r="A943" s="133" t="str">
        <f aca="false">IF(ISBLANK(B943),"",B943&amp;"|"&amp;C943)</f>
        <v/>
      </c>
      <c r="B943" s="133"/>
      <c r="C943" s="133"/>
      <c r="D943" s="133"/>
      <c r="E943" s="139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</row>
    <row r="944" customFormat="false" ht="15.75" hidden="false" customHeight="false" outlineLevel="0" collapsed="false">
      <c r="A944" s="133" t="str">
        <f aca="false">IF(ISBLANK(B944),"",B944&amp;"|"&amp;C944)</f>
        <v/>
      </c>
      <c r="B944" s="133"/>
      <c r="C944" s="133"/>
      <c r="D944" s="133"/>
      <c r="E944" s="139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</row>
    <row r="945" customFormat="false" ht="15.75" hidden="false" customHeight="false" outlineLevel="0" collapsed="false">
      <c r="A945" s="133" t="str">
        <f aca="false">IF(ISBLANK(B945),"",B945&amp;"|"&amp;C945)</f>
        <v/>
      </c>
      <c r="B945" s="133"/>
      <c r="C945" s="133"/>
      <c r="D945" s="133"/>
      <c r="E945" s="139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</row>
    <row r="946" customFormat="false" ht="15.75" hidden="false" customHeight="false" outlineLevel="0" collapsed="false">
      <c r="A946" s="133" t="str">
        <f aca="false">IF(ISBLANK(B946),"",B946&amp;"|"&amp;C946)</f>
        <v/>
      </c>
      <c r="B946" s="133"/>
      <c r="C946" s="133"/>
      <c r="D946" s="133"/>
      <c r="E946" s="139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</row>
    <row r="947" customFormat="false" ht="15.75" hidden="false" customHeight="false" outlineLevel="0" collapsed="false">
      <c r="A947" s="133" t="str">
        <f aca="false">IF(ISBLANK(B947),"",B947&amp;"|"&amp;C947)</f>
        <v/>
      </c>
      <c r="B947" s="133"/>
      <c r="C947" s="133"/>
      <c r="D947" s="133"/>
      <c r="E947" s="139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</row>
    <row r="948" customFormat="false" ht="15.75" hidden="false" customHeight="false" outlineLevel="0" collapsed="false">
      <c r="A948" s="133" t="str">
        <f aca="false">IF(ISBLANK(B948),"",B948&amp;"|"&amp;C948)</f>
        <v/>
      </c>
      <c r="B948" s="133"/>
      <c r="C948" s="133"/>
      <c r="D948" s="133"/>
      <c r="E948" s="139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</row>
    <row r="949" customFormat="false" ht="15.75" hidden="false" customHeight="false" outlineLevel="0" collapsed="false">
      <c r="A949" s="133" t="str">
        <f aca="false">IF(ISBLANK(B949),"",B949&amp;"|"&amp;C949)</f>
        <v/>
      </c>
      <c r="B949" s="133"/>
      <c r="C949" s="133"/>
      <c r="D949" s="133"/>
      <c r="E949" s="139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</row>
    <row r="950" customFormat="false" ht="15.75" hidden="false" customHeight="false" outlineLevel="0" collapsed="false">
      <c r="A950" s="133" t="str">
        <f aca="false">IF(ISBLANK(B950),"",B950&amp;"|"&amp;C950)</f>
        <v/>
      </c>
      <c r="B950" s="133"/>
      <c r="C950" s="133"/>
      <c r="D950" s="133"/>
      <c r="E950" s="139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</row>
    <row r="951" customFormat="false" ht="15.75" hidden="false" customHeight="false" outlineLevel="0" collapsed="false">
      <c r="A951" s="133" t="str">
        <f aca="false">IF(ISBLANK(B951),"",B951&amp;"|"&amp;C951)</f>
        <v/>
      </c>
      <c r="B951" s="133"/>
      <c r="C951" s="133"/>
      <c r="D951" s="133"/>
      <c r="E951" s="139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</row>
    <row r="952" customFormat="false" ht="15.75" hidden="false" customHeight="false" outlineLevel="0" collapsed="false">
      <c r="A952" s="133" t="str">
        <f aca="false">IF(ISBLANK(B952),"",B952&amp;"|"&amp;C952)</f>
        <v/>
      </c>
      <c r="B952" s="133"/>
      <c r="C952" s="133"/>
      <c r="D952" s="133"/>
      <c r="E952" s="139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</row>
    <row r="953" customFormat="false" ht="15.75" hidden="false" customHeight="false" outlineLevel="0" collapsed="false">
      <c r="A953" s="133" t="str">
        <f aca="false">IF(ISBLANK(B953),"",B953&amp;"|"&amp;C953)</f>
        <v/>
      </c>
      <c r="B953" s="133"/>
      <c r="C953" s="133"/>
      <c r="D953" s="133"/>
      <c r="E953" s="139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</row>
    <row r="954" customFormat="false" ht="15.75" hidden="false" customHeight="false" outlineLevel="0" collapsed="false">
      <c r="A954" s="133" t="str">
        <f aca="false">IF(ISBLANK(B954),"",B954&amp;"|"&amp;C954)</f>
        <v/>
      </c>
      <c r="B954" s="133"/>
      <c r="C954" s="133"/>
      <c r="D954" s="133"/>
      <c r="E954" s="139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</row>
    <row r="955" customFormat="false" ht="15.75" hidden="false" customHeight="false" outlineLevel="0" collapsed="false">
      <c r="A955" s="133" t="str">
        <f aca="false">IF(ISBLANK(B955),"",B955&amp;"|"&amp;C955)</f>
        <v/>
      </c>
      <c r="B955" s="133"/>
      <c r="C955" s="133"/>
      <c r="D955" s="133"/>
      <c r="E955" s="139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</row>
    <row r="956" customFormat="false" ht="15.75" hidden="false" customHeight="false" outlineLevel="0" collapsed="false">
      <c r="A956" s="133" t="str">
        <f aca="false">IF(ISBLANK(B956),"",B956&amp;"|"&amp;C956)</f>
        <v/>
      </c>
      <c r="B956" s="133"/>
      <c r="C956" s="133"/>
      <c r="D956" s="133"/>
      <c r="E956" s="139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</row>
    <row r="957" customFormat="false" ht="15.75" hidden="false" customHeight="false" outlineLevel="0" collapsed="false">
      <c r="A957" s="133" t="str">
        <f aca="false">IF(ISBLANK(B957),"",B957&amp;"|"&amp;C957)</f>
        <v/>
      </c>
      <c r="B957" s="133"/>
      <c r="C957" s="133"/>
      <c r="D957" s="133"/>
      <c r="E957" s="139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</row>
    <row r="958" customFormat="false" ht="15.75" hidden="false" customHeight="false" outlineLevel="0" collapsed="false">
      <c r="A958" s="133" t="str">
        <f aca="false">IF(ISBLANK(B958),"",B958&amp;"|"&amp;C958)</f>
        <v/>
      </c>
      <c r="B958" s="133"/>
      <c r="C958" s="133"/>
      <c r="D958" s="133"/>
      <c r="E958" s="139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</row>
    <row r="959" customFormat="false" ht="15.75" hidden="false" customHeight="false" outlineLevel="0" collapsed="false">
      <c r="A959" s="133" t="str">
        <f aca="false">IF(ISBLANK(B959),"",B959&amp;"|"&amp;C959)</f>
        <v/>
      </c>
      <c r="B959" s="133"/>
      <c r="C959" s="133"/>
      <c r="D959" s="133"/>
      <c r="E959" s="139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</row>
    <row r="960" customFormat="false" ht="15.75" hidden="false" customHeight="false" outlineLevel="0" collapsed="false">
      <c r="A960" s="133" t="str">
        <f aca="false">IF(ISBLANK(B960),"",B960&amp;"|"&amp;C960)</f>
        <v/>
      </c>
      <c r="B960" s="133"/>
      <c r="C960" s="133"/>
      <c r="D960" s="133"/>
      <c r="E960" s="139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</row>
    <row r="961" customFormat="false" ht="15.75" hidden="false" customHeight="false" outlineLevel="0" collapsed="false">
      <c r="A961" s="133" t="str">
        <f aca="false">IF(ISBLANK(B961),"",B961&amp;"|"&amp;C961)</f>
        <v/>
      </c>
      <c r="B961" s="133"/>
      <c r="C961" s="133"/>
      <c r="D961" s="133"/>
      <c r="E961" s="139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</row>
    <row r="962" customFormat="false" ht="15.75" hidden="false" customHeight="false" outlineLevel="0" collapsed="false">
      <c r="A962" s="133" t="str">
        <f aca="false">IF(ISBLANK(B962),"",B962&amp;"|"&amp;C962)</f>
        <v/>
      </c>
      <c r="B962" s="133"/>
      <c r="C962" s="133"/>
      <c r="D962" s="133"/>
      <c r="E962" s="139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</row>
    <row r="963" customFormat="false" ht="15.75" hidden="false" customHeight="false" outlineLevel="0" collapsed="false">
      <c r="A963" s="133" t="str">
        <f aca="false">IF(ISBLANK(B963),"",B963&amp;"|"&amp;C963)</f>
        <v/>
      </c>
      <c r="B963" s="133"/>
      <c r="C963" s="133"/>
      <c r="D963" s="133"/>
      <c r="E963" s="139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</row>
    <row r="964" customFormat="false" ht="15.75" hidden="false" customHeight="false" outlineLevel="0" collapsed="false">
      <c r="A964" s="133" t="str">
        <f aca="false">IF(ISBLANK(B964),"",B964&amp;"|"&amp;C964)</f>
        <v/>
      </c>
      <c r="B964" s="133"/>
      <c r="C964" s="133"/>
      <c r="D964" s="133"/>
      <c r="E964" s="139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</row>
    <row r="965" customFormat="false" ht="15.75" hidden="false" customHeight="false" outlineLevel="0" collapsed="false">
      <c r="A965" s="133" t="str">
        <f aca="false">IF(ISBLANK(B965),"",B965&amp;"|"&amp;C965)</f>
        <v/>
      </c>
      <c r="B965" s="133"/>
      <c r="C965" s="133"/>
      <c r="D965" s="133"/>
      <c r="E965" s="139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</row>
    <row r="966" customFormat="false" ht="15.75" hidden="false" customHeight="false" outlineLevel="0" collapsed="false">
      <c r="A966" s="133" t="str">
        <f aca="false">IF(ISBLANK(B966),"",B966&amp;"|"&amp;C966)</f>
        <v/>
      </c>
      <c r="B966" s="133"/>
      <c r="C966" s="133"/>
      <c r="D966" s="133"/>
      <c r="E966" s="139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</row>
    <row r="967" customFormat="false" ht="15.75" hidden="false" customHeight="false" outlineLevel="0" collapsed="false">
      <c r="A967" s="133" t="str">
        <f aca="false">IF(ISBLANK(B967),"",B967&amp;"|"&amp;C967)</f>
        <v/>
      </c>
      <c r="B967" s="133"/>
      <c r="C967" s="133"/>
      <c r="D967" s="133"/>
      <c r="E967" s="139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</row>
    <row r="968" customFormat="false" ht="15.75" hidden="false" customHeight="false" outlineLevel="0" collapsed="false">
      <c r="A968" s="133" t="str">
        <f aca="false">IF(ISBLANK(B968),"",B968&amp;"|"&amp;C968)</f>
        <v/>
      </c>
      <c r="B968" s="133"/>
      <c r="C968" s="133"/>
      <c r="D968" s="133"/>
      <c r="E968" s="139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</row>
    <row r="969" customFormat="false" ht="15.75" hidden="false" customHeight="false" outlineLevel="0" collapsed="false">
      <c r="A969" s="133" t="str">
        <f aca="false">IF(ISBLANK(B969),"",B969&amp;"|"&amp;C969)</f>
        <v/>
      </c>
      <c r="B969" s="133"/>
      <c r="C969" s="133"/>
      <c r="D969" s="133"/>
      <c r="E969" s="139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</row>
    <row r="970" customFormat="false" ht="15.75" hidden="false" customHeight="false" outlineLevel="0" collapsed="false">
      <c r="A970" s="133" t="str">
        <f aca="false">IF(ISBLANK(B970),"",B970&amp;"|"&amp;C970)</f>
        <v/>
      </c>
      <c r="B970" s="133"/>
      <c r="C970" s="133"/>
      <c r="D970" s="133"/>
      <c r="E970" s="139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</row>
    <row r="971" customFormat="false" ht="15.75" hidden="false" customHeight="false" outlineLevel="0" collapsed="false">
      <c r="A971" s="133" t="str">
        <f aca="false">IF(ISBLANK(B971),"",B971&amp;"|"&amp;C971)</f>
        <v/>
      </c>
      <c r="B971" s="133"/>
      <c r="C971" s="133"/>
      <c r="D971" s="133"/>
      <c r="E971" s="139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</row>
    <row r="972" customFormat="false" ht="15.75" hidden="false" customHeight="false" outlineLevel="0" collapsed="false">
      <c r="A972" s="133" t="str">
        <f aca="false">IF(ISBLANK(B972),"",B972&amp;"|"&amp;C972)</f>
        <v/>
      </c>
      <c r="B972" s="133"/>
      <c r="C972" s="133"/>
      <c r="D972" s="133"/>
      <c r="E972" s="139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</row>
    <row r="973" customFormat="false" ht="15.75" hidden="false" customHeight="false" outlineLevel="0" collapsed="false">
      <c r="A973" s="133" t="str">
        <f aca="false">IF(ISBLANK(B973),"",B973&amp;"|"&amp;C973)</f>
        <v/>
      </c>
      <c r="B973" s="133"/>
      <c r="C973" s="133"/>
      <c r="D973" s="133"/>
      <c r="E973" s="139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</row>
    <row r="974" customFormat="false" ht="15.75" hidden="false" customHeight="false" outlineLevel="0" collapsed="false">
      <c r="A974" s="133" t="str">
        <f aca="false">IF(ISBLANK(B974),"",B974&amp;"|"&amp;C974)</f>
        <v/>
      </c>
      <c r="B974" s="133"/>
      <c r="C974" s="133"/>
      <c r="D974" s="133"/>
      <c r="E974" s="139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</row>
    <row r="975" customFormat="false" ht="15.75" hidden="false" customHeight="false" outlineLevel="0" collapsed="false">
      <c r="A975" s="133" t="str">
        <f aca="false">IF(ISBLANK(B975),"",B975&amp;"|"&amp;C975)</f>
        <v/>
      </c>
      <c r="B975" s="133"/>
      <c r="C975" s="133"/>
      <c r="D975" s="133"/>
      <c r="E975" s="139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</row>
    <row r="976" customFormat="false" ht="15.75" hidden="false" customHeight="false" outlineLevel="0" collapsed="false">
      <c r="A976" s="133" t="str">
        <f aca="false">IF(ISBLANK(B976),"",B976&amp;"|"&amp;C976)</f>
        <v/>
      </c>
      <c r="B976" s="133"/>
      <c r="C976" s="133"/>
      <c r="D976" s="133"/>
      <c r="E976" s="139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</row>
    <row r="977" customFormat="false" ht="15.75" hidden="false" customHeight="false" outlineLevel="0" collapsed="false">
      <c r="A977" s="133" t="str">
        <f aca="false">IF(ISBLANK(B977),"",B977&amp;"|"&amp;C977)</f>
        <v/>
      </c>
      <c r="B977" s="133"/>
      <c r="C977" s="133"/>
      <c r="D977" s="133"/>
      <c r="E977" s="139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</row>
    <row r="978" customFormat="false" ht="15.75" hidden="false" customHeight="false" outlineLevel="0" collapsed="false">
      <c r="A978" s="133" t="str">
        <f aca="false">IF(ISBLANK(B978),"",B978&amp;"|"&amp;C978)</f>
        <v/>
      </c>
      <c r="B978" s="133"/>
      <c r="C978" s="133"/>
      <c r="D978" s="133"/>
      <c r="E978" s="139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</row>
    <row r="979" customFormat="false" ht="15.75" hidden="false" customHeight="false" outlineLevel="0" collapsed="false">
      <c r="A979" s="133" t="str">
        <f aca="false">IF(ISBLANK(B979),"",B979&amp;"|"&amp;C979)</f>
        <v/>
      </c>
      <c r="B979" s="133"/>
      <c r="C979" s="133"/>
      <c r="D979" s="133"/>
      <c r="E979" s="139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</row>
    <row r="980" customFormat="false" ht="15.75" hidden="false" customHeight="false" outlineLevel="0" collapsed="false">
      <c r="A980" s="133" t="str">
        <f aca="false">IF(ISBLANK(B980),"",B980&amp;"|"&amp;C980)</f>
        <v/>
      </c>
      <c r="B980" s="133"/>
      <c r="C980" s="133"/>
      <c r="D980" s="133"/>
      <c r="E980" s="139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</row>
    <row r="981" customFormat="false" ht="15.75" hidden="false" customHeight="false" outlineLevel="0" collapsed="false">
      <c r="A981" s="133" t="str">
        <f aca="false">IF(ISBLANK(B981),"",B981&amp;"|"&amp;C981)</f>
        <v/>
      </c>
      <c r="B981" s="133"/>
      <c r="C981" s="133"/>
      <c r="D981" s="133"/>
      <c r="E981" s="139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</row>
    <row r="982" customFormat="false" ht="15.75" hidden="false" customHeight="false" outlineLevel="0" collapsed="false">
      <c r="A982" s="133" t="str">
        <f aca="false">IF(ISBLANK(B982),"",B982&amp;"|"&amp;C982)</f>
        <v/>
      </c>
      <c r="B982" s="133"/>
      <c r="C982" s="133"/>
      <c r="D982" s="133"/>
      <c r="E982" s="139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</row>
    <row r="983" customFormat="false" ht="15.75" hidden="false" customHeight="false" outlineLevel="0" collapsed="false">
      <c r="A983" s="133" t="str">
        <f aca="false">IF(ISBLANK(B983),"",B983&amp;"|"&amp;C983)</f>
        <v/>
      </c>
      <c r="B983" s="133"/>
      <c r="C983" s="133"/>
      <c r="D983" s="133"/>
      <c r="E983" s="139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</row>
    <row r="984" customFormat="false" ht="15.75" hidden="false" customHeight="false" outlineLevel="0" collapsed="false">
      <c r="A984" s="133" t="str">
        <f aca="false">IF(ISBLANK(B984),"",B984&amp;"|"&amp;C984)</f>
        <v/>
      </c>
      <c r="B984" s="133"/>
      <c r="C984" s="133"/>
      <c r="D984" s="133"/>
      <c r="E984" s="139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</row>
    <row r="985" customFormat="false" ht="15.75" hidden="false" customHeight="false" outlineLevel="0" collapsed="false">
      <c r="A985" s="133" t="str">
        <f aca="false">IF(ISBLANK(B985),"",B985&amp;"|"&amp;C985)</f>
        <v/>
      </c>
      <c r="B985" s="133"/>
      <c r="C985" s="133"/>
      <c r="D985" s="133"/>
      <c r="E985" s="139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</row>
    <row r="986" customFormat="false" ht="15.75" hidden="false" customHeight="false" outlineLevel="0" collapsed="false">
      <c r="A986" s="133" t="str">
        <f aca="false">IF(ISBLANK(B986),"",B986&amp;"|"&amp;C986)</f>
        <v/>
      </c>
      <c r="B986" s="133"/>
      <c r="C986" s="133"/>
      <c r="D986" s="133"/>
      <c r="E986" s="139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</row>
    <row r="987" customFormat="false" ht="15.75" hidden="false" customHeight="false" outlineLevel="0" collapsed="false">
      <c r="A987" s="133" t="str">
        <f aca="false">IF(ISBLANK(B987),"",B987&amp;"|"&amp;C987)</f>
        <v/>
      </c>
      <c r="B987" s="133"/>
      <c r="C987" s="133"/>
      <c r="D987" s="133"/>
      <c r="E987" s="139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</row>
    <row r="988" customFormat="false" ht="15.75" hidden="false" customHeight="false" outlineLevel="0" collapsed="false">
      <c r="A988" s="133" t="str">
        <f aca="false">IF(ISBLANK(B988),"",B988&amp;"|"&amp;C988)</f>
        <v/>
      </c>
      <c r="B988" s="133"/>
      <c r="C988" s="133"/>
      <c r="D988" s="133"/>
      <c r="E988" s="139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</row>
    <row r="989" customFormat="false" ht="15.75" hidden="false" customHeight="false" outlineLevel="0" collapsed="false">
      <c r="A989" s="133" t="str">
        <f aca="false">IF(ISBLANK(B989),"",B989&amp;"|"&amp;C989)</f>
        <v/>
      </c>
      <c r="B989" s="133"/>
      <c r="C989" s="133"/>
      <c r="D989" s="133"/>
      <c r="E989" s="139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</row>
    <row r="990" customFormat="false" ht="15.75" hidden="false" customHeight="false" outlineLevel="0" collapsed="false">
      <c r="A990" s="133" t="str">
        <f aca="false">IF(ISBLANK(B990),"",B990&amp;"|"&amp;C990)</f>
        <v/>
      </c>
      <c r="B990" s="133"/>
      <c r="C990" s="133"/>
      <c r="D990" s="133"/>
      <c r="E990" s="139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</row>
    <row r="991" customFormat="false" ht="15.75" hidden="false" customHeight="false" outlineLevel="0" collapsed="false">
      <c r="A991" s="133" t="str">
        <f aca="false">IF(ISBLANK(B991),"",B991&amp;"|"&amp;C991)</f>
        <v/>
      </c>
      <c r="B991" s="133"/>
      <c r="C991" s="133"/>
      <c r="D991" s="133"/>
      <c r="E991" s="139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</row>
    <row r="992" customFormat="false" ht="15.75" hidden="false" customHeight="false" outlineLevel="0" collapsed="false">
      <c r="A992" s="133" t="str">
        <f aca="false">IF(ISBLANK(B992),"",B992&amp;"|"&amp;C992)</f>
        <v/>
      </c>
      <c r="B992" s="133"/>
      <c r="C992" s="133"/>
      <c r="D992" s="133"/>
      <c r="E992" s="139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</row>
    <row r="993" customFormat="false" ht="15.75" hidden="false" customHeight="false" outlineLevel="0" collapsed="false">
      <c r="A993" s="133" t="str">
        <f aca="false">IF(ISBLANK(B993),"",B993&amp;"|"&amp;C993)</f>
        <v/>
      </c>
      <c r="B993" s="133"/>
      <c r="C993" s="133"/>
      <c r="D993" s="133"/>
      <c r="E993" s="139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</row>
    <row r="994" customFormat="false" ht="15.75" hidden="false" customHeight="false" outlineLevel="0" collapsed="false">
      <c r="A994" s="133" t="str">
        <f aca="false">IF(ISBLANK(B994),"",B994&amp;"|"&amp;C994)</f>
        <v/>
      </c>
      <c r="B994" s="133"/>
      <c r="C994" s="133"/>
      <c r="D994" s="133"/>
      <c r="E994" s="139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</row>
    <row r="995" customFormat="false" ht="15.75" hidden="false" customHeight="false" outlineLevel="0" collapsed="false">
      <c r="A995" s="133" t="str">
        <f aca="false">IF(ISBLANK(B995),"",B995&amp;"|"&amp;C995)</f>
        <v/>
      </c>
      <c r="B995" s="133"/>
      <c r="C995" s="133"/>
      <c r="D995" s="133"/>
      <c r="E995" s="139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</row>
    <row r="996" customFormat="false" ht="15.75" hidden="false" customHeight="false" outlineLevel="0" collapsed="false">
      <c r="A996" s="133" t="str">
        <f aca="false">IF(ISBLANK(B996),"",B996&amp;"|"&amp;C996)</f>
        <v/>
      </c>
      <c r="B996" s="133"/>
      <c r="C996" s="133"/>
      <c r="D996" s="133"/>
      <c r="E996" s="139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</row>
    <row r="997" customFormat="false" ht="15.75" hidden="false" customHeight="false" outlineLevel="0" collapsed="false">
      <c r="A997" s="133" t="str">
        <f aca="false">IF(ISBLANK(B997),"",B997&amp;"|"&amp;C997)</f>
        <v/>
      </c>
      <c r="B997" s="133"/>
      <c r="C997" s="133"/>
      <c r="D997" s="133"/>
      <c r="E997" s="139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</row>
    <row r="998" customFormat="false" ht="15.75" hidden="false" customHeight="false" outlineLevel="0" collapsed="false">
      <c r="A998" s="133" t="str">
        <f aca="false">IF(ISBLANK(B998),"",B998&amp;"|"&amp;C998)</f>
        <v/>
      </c>
      <c r="B998" s="133"/>
      <c r="C998" s="133"/>
      <c r="D998" s="133"/>
      <c r="E998" s="139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</row>
    <row r="999" customFormat="false" ht="15.75" hidden="false" customHeight="false" outlineLevel="0" collapsed="false">
      <c r="A999" s="133" t="str">
        <f aca="false">IF(ISBLANK(B999),"",B999&amp;"|"&amp;C999)</f>
        <v/>
      </c>
      <c r="B999" s="133"/>
      <c r="C999" s="133"/>
      <c r="D999" s="133"/>
      <c r="E999" s="139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</row>
    <row r="1000" customFormat="false" ht="15.75" hidden="false" customHeight="false" outlineLevel="0" collapsed="false">
      <c r="A1000" s="133" t="str">
        <f aca="false">IF(ISBLANK(B1000),"",B1000&amp;"|"&amp;C1000)</f>
        <v/>
      </c>
      <c r="B1000" s="133"/>
      <c r="C1000" s="133"/>
      <c r="D1000" s="133"/>
      <c r="E1000" s="139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5.85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33" t="s">
        <v>85</v>
      </c>
      <c r="B1" s="133" t="s">
        <v>86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customFormat="false" ht="15.75" hidden="false" customHeight="false" outlineLevel="0" collapsed="false">
      <c r="A2" s="133" t="s">
        <v>87</v>
      </c>
      <c r="B2" s="140" t="n">
        <v>46296</v>
      </c>
      <c r="C2" s="133"/>
      <c r="D2" s="133" t="s">
        <v>88</v>
      </c>
      <c r="E2" s="133" t="s">
        <v>89</v>
      </c>
      <c r="F2" s="133" t="s">
        <v>90</v>
      </c>
      <c r="G2" s="133" t="s">
        <v>91</v>
      </c>
      <c r="H2" s="133" t="s">
        <v>92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customFormat="false" ht="15.75" hidden="false" customHeight="false" outlineLevel="0" collapsed="false">
      <c r="A3" s="133" t="s">
        <v>93</v>
      </c>
      <c r="B3" s="133" t="s">
        <v>94</v>
      </c>
      <c r="C3" s="133"/>
      <c r="D3" s="133" t="n">
        <f aca="false">FIND(".",B3)</f>
        <v>2</v>
      </c>
      <c r="E3" s="133" t="n">
        <f aca="false">FIND(".",B3,D3+1)</f>
        <v>4</v>
      </c>
      <c r="F3" s="133" t="str">
        <f aca="false">LEFT(B3,D3-1)</f>
        <v>0</v>
      </c>
      <c r="G3" s="133" t="str">
        <f aca="false">MID(B3,D3+1,E3-D3-1)</f>
        <v>1</v>
      </c>
      <c r="H3" s="133" t="str">
        <f aca="false">RIGHT(B3,LEN(B3)-E3)</f>
        <v>0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customFormat="false" ht="15.75" hidden="false" customHeight="false" outlineLevel="0" collapsed="false">
      <c r="A4" s="133" t="s">
        <v>95</v>
      </c>
      <c r="B4" s="133" t="s">
        <v>96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customFormat="false" ht="15.75" hidden="false" customHeight="false" outlineLevel="0" collapsed="false">
      <c r="A5" s="133" t="s">
        <v>97</v>
      </c>
      <c r="B5" s="133" t="n">
        <v>2027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customFormat="false" ht="15.75" hidden="false" customHeight="false" outlineLevel="0" collapsed="false">
      <c r="A6" s="133" t="s">
        <v>98</v>
      </c>
      <c r="B6" s="133" t="str">
        <f aca="false">B1&amp;"|"&amp;B4</f>
        <v>Thermodynamics|B/C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customFormat="false" ht="15.75" hidden="false" customHeight="false" outlineLevel="0" collapsed="false">
      <c r="A7" s="133" t="s">
        <v>99</v>
      </c>
      <c r="B7" s="133"/>
      <c r="C7" s="133"/>
      <c r="D7" s="133" t="e">
        <f aca="false">FIND(".",B7)</f>
        <v>#VALUE!</v>
      </c>
      <c r="E7" s="133" t="e">
        <f aca="false">FIND(".",B7,D7+1)</f>
        <v>#VALUE!</v>
      </c>
      <c r="F7" s="133" t="e">
        <f aca="false">LEFT(B7,D7-1)</f>
        <v>#VALUE!</v>
      </c>
      <c r="G7" s="133" t="e">
        <f aca="false">MID(B7,D7+1,E7-D7-1)</f>
        <v>#VALUE!</v>
      </c>
      <c r="H7" s="133" t="e">
        <f aca="false">RIGHT(B7,LEN(B7)-E7)</f>
        <v>#VALUE!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customFormat="false" ht="15.75" hidden="false" customHeight="false" outlineLevel="0" collapsed="false">
      <c r="A8" s="133" t="s">
        <v>100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customFormat="false" ht="15.75" hidden="false" customHeight="false" outlineLevel="0" collapsed="false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customFormat="false" ht="15.75" hidden="false" customHeight="false" outlineLevel="0" collapsed="false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customFormat="false" ht="15.75" hidden="false" customHeight="false" outlineLevel="0" collapsed="false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customFormat="false" ht="15.75" hidden="false" customHeight="false" outlineLevel="0" collapsed="false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customFormat="false" ht="15.75" hidden="false" customHeight="false" outlineLevel="0" collapsed="false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customFormat="false" ht="15.75" hidden="false" customHeight="false" outlineLevel="0" collapsed="false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customFormat="false" ht="15.75" hidden="false" customHeight="false" outlineLevel="0" collapsed="false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customFormat="false" ht="15.75" hidden="false" customHeight="false" outlineLevel="0" collapsed="false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customFormat="false" ht="15.75" hidden="false" customHeight="false" outlineLevel="0" collapsed="false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customFormat="false" ht="15.75" hidden="false" customHeight="false" outlineLevel="0" collapsed="false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customFormat="false" ht="15.75" hidden="false" customHeight="false" outlineLevel="0" collapsed="false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customFormat="false" ht="15.75" hidden="false" customHeight="false" outlineLevel="0" collapsed="false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customFormat="false" ht="15.75" hidden="false" customHeight="false" outlineLevel="0" collapsed="false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customFormat="false" ht="15.75" hidden="false" customHeight="fals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customFormat="false" ht="15.75" hidden="false" customHeight="false" outlineLevel="0" collapsed="false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customFormat="false" ht="15.75" hidden="false" customHeight="fals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customFormat="false" ht="15.75" hidden="false" customHeight="false" outlineLevel="0" collapsed="false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customFormat="false" ht="15.75" hidden="false" customHeight="false" outlineLevel="0" collapsed="false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customFormat="false" ht="15.75" hidden="false" customHeight="false" outlineLevel="0" collapsed="false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customFormat="false" ht="15.75" hidden="false" customHeight="false" outlineLevel="0" collapsed="false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customFormat="false" ht="15.75" hidden="false" customHeight="false" outlineLevel="0" collapsed="false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customFormat="false" ht="15.75" hidden="false" customHeight="false" outlineLevel="0" collapsed="false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customFormat="false" ht="15.75" hidden="false" customHeight="false" outlineLevel="0" collapsed="false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customFormat="false" ht="15.75" hidden="false" customHeight="false" outlineLevel="0" collapsed="false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customFormat="false" ht="15.75" hidden="false" customHeight="false" outlineLevel="0" collapsed="false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customFormat="false" ht="15.75" hidden="false" customHeight="false" outlineLevel="0" collapsed="false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customFormat="false" ht="15.75" hidden="false" customHeight="false" outlineLevel="0" collapsed="false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customFormat="false" ht="15.75" hidden="false" customHeight="false" outlineLevel="0" collapsed="false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customFormat="false" ht="15.75" hidden="false" customHeight="false" outlineLevel="0" collapsed="false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customFormat="false" ht="15.75" hidden="false" customHeight="false" outlineLevel="0" collapsed="false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customFormat="false" ht="15.75" hidden="false" customHeight="false" outlineLevel="0" collapsed="false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customFormat="false" ht="15.75" hidden="false" customHeight="false" outlineLevel="0" collapsed="false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customFormat="false" ht="15.75" hidden="false" customHeight="false" outlineLevel="0" collapsed="false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customFormat="false" ht="15.75" hidden="false" customHeight="false" outlineLevel="0" collapsed="false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customFormat="false" ht="15.75" hidden="false" customHeight="false" outlineLevel="0" collapsed="false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customFormat="false" ht="15.75" hidden="false" customHeight="false" outlineLevel="0" collapsed="false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customFormat="false" ht="15.75" hidden="false" customHeight="false" outlineLevel="0" collapsed="false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customFormat="false" ht="15.75" hidden="false" customHeight="false" outlineLevel="0" collapsed="false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customFormat="false" ht="15.75" hidden="false" customHeight="false" outlineLevel="0" collapsed="false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customFormat="false" ht="15.75" hidden="false" customHeight="false" outlineLevel="0" collapsed="false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customFormat="false" ht="15.75" hidden="false" customHeight="false" outlineLevel="0" collapsed="false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customFormat="false" ht="15.75" hidden="false" customHeight="false" outlineLevel="0" collapsed="false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customFormat="false" ht="15.75" hidden="false" customHeight="false" outlineLevel="0" collapsed="false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customFormat="false" ht="15.75" hidden="false" customHeight="false" outlineLevel="0" collapsed="false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customFormat="false" ht="15.75" hidden="false" customHeight="false" outlineLevel="0" collapsed="false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customFormat="false" ht="15.75" hidden="false" customHeight="false" outlineLevel="0" collapsed="false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customFormat="false" ht="15.75" hidden="false" customHeight="false" outlineLevel="0" collapsed="false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customFormat="false" ht="15.75" hidden="false" customHeight="false" outlineLevel="0" collapsed="false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customFormat="false" ht="15.75" hidden="false" customHeight="false" outlineLevel="0" collapsed="false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customFormat="false" ht="15.75" hidden="false" customHeight="false" outlineLevel="0" collapsed="false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customFormat="false" ht="15.75" hidden="false" customHeight="false" outlineLevel="0" collapsed="false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customFormat="false" ht="15.75" hidden="false" customHeight="false" outlineLevel="0" collapsed="false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customFormat="false" ht="15.75" hidden="false" customHeight="false" outlineLevel="0" collapsed="false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customFormat="false" ht="15.75" hidden="false" customHeight="false" outlineLevel="0" collapsed="false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customFormat="false" ht="15.75" hidden="false" customHeight="false" outlineLevel="0" collapsed="false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customFormat="false" ht="15.75" hidden="false" customHeight="false" outlineLevel="0" collapsed="false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customFormat="false" ht="15.75" hidden="false" customHeight="false" outlineLevel="0" collapsed="false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customFormat="false" ht="15.75" hidden="false" customHeight="false" outlineLevel="0" collapsed="false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customFormat="false" ht="15.75" hidden="false" customHeight="false" outlineLevel="0" collapsed="false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customFormat="false" ht="15.75" hidden="false" customHeight="false" outlineLevel="0" collapsed="false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customFormat="false" ht="15.75" hidden="false" customHeight="false" outlineLevel="0" collapsed="false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customFormat="false" ht="15.75" hidden="false" customHeight="false" outlineLevel="0" collapsed="false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customFormat="false" ht="15.75" hidden="false" customHeight="false" outlineLevel="0" collapsed="false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customFormat="false" ht="15.75" hidden="false" customHeight="false" outlineLevel="0" collapsed="false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customFormat="false" ht="15.75" hidden="false" customHeight="false" outlineLevel="0" collapsed="false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customFormat="false" ht="15.75" hidden="false" customHeight="false" outlineLevel="0" collapsed="false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customFormat="false" ht="15.75" hidden="false" customHeight="false" outlineLevel="0" collapsed="false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customFormat="false" ht="15.75" hidden="false" customHeight="false" outlineLevel="0" collapsed="false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customFormat="false" ht="15.75" hidden="false" customHeight="false" outlineLevel="0" collapsed="false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customFormat="false" ht="15.75" hidden="false" customHeight="false" outlineLevel="0" collapsed="false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customFormat="false" ht="15.75" hidden="false" customHeight="false" outlineLevel="0" collapsed="false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customFormat="false" ht="15.75" hidden="false" customHeight="false" outlineLevel="0" collapsed="false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customFormat="false" ht="15.75" hidden="false" customHeight="false" outlineLevel="0" collapsed="false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customFormat="false" ht="15.75" hidden="false" customHeight="false" outlineLevel="0" collapsed="false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customFormat="false" ht="15.75" hidden="false" customHeight="false" outlineLevel="0" collapsed="false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customFormat="false" ht="15.75" hidden="false" customHeight="false" outlineLevel="0" collapsed="false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customFormat="false" ht="15.75" hidden="false" customHeight="false" outlineLevel="0" collapsed="false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customFormat="false" ht="15.75" hidden="false" customHeight="false" outlineLevel="0" collapsed="false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customFormat="false" ht="15.75" hidden="false" customHeight="false" outlineLevel="0" collapsed="false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customFormat="false" ht="15.75" hidden="false" customHeight="false" outlineLevel="0" collapsed="false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customFormat="false" ht="15.75" hidden="false" customHeight="false" outlineLevel="0" collapsed="false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customFormat="false" ht="15.75" hidden="false" customHeight="false" outlineLevel="0" collapsed="false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customFormat="false" ht="15.75" hidden="false" customHeight="false" outlineLevel="0" collapsed="false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customFormat="false" ht="15.75" hidden="false" customHeight="false" outlineLevel="0" collapsed="false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customFormat="false" ht="15.75" hidden="false" customHeight="false" outlineLevel="0" collapsed="false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customFormat="false" ht="15.75" hidden="false" customHeight="false" outlineLevel="0" collapsed="false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customFormat="false" ht="15.75" hidden="false" customHeight="false" outlineLevel="0" collapsed="false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customFormat="false" ht="15.75" hidden="false" customHeight="false" outlineLevel="0" collapsed="false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customFormat="false" ht="15.75" hidden="false" customHeight="false" outlineLevel="0" collapsed="false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customFormat="false" ht="15.75" hidden="false" customHeight="false" outlineLevel="0" collapsed="false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customFormat="false" ht="15.75" hidden="false" customHeight="false" outlineLevel="0" collapsed="false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customFormat="false" ht="15.75" hidden="false" customHeight="false" outlineLevel="0" collapsed="false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customFormat="false" ht="15.75" hidden="false" customHeight="false" outlineLevel="0" collapsed="false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customFormat="false" ht="15.75" hidden="false" customHeight="false" outlineLevel="0" collapsed="false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customFormat="false" ht="15.75" hidden="false" customHeight="false" outlineLevel="0" collapsed="false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customFormat="false" ht="15.75" hidden="false" customHeight="false" outlineLevel="0" collapsed="false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customFormat="false" ht="15.75" hidden="false" customHeight="false" outlineLevel="0" collapsed="false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customFormat="false" ht="15.75" hidden="false" customHeight="false" outlineLevel="0" collapsed="false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customFormat="false" ht="15.75" hidden="false" customHeight="false" outlineLevel="0" collapsed="false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customFormat="false" ht="15.75" hidden="false" customHeight="false" outlineLevel="0" collapsed="false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customFormat="false" ht="15.75" hidden="false" customHeight="false" outlineLevel="0" collapsed="false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customFormat="false" ht="15.75" hidden="false" customHeight="false" outlineLevel="0" collapsed="false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customFormat="false" ht="15.75" hidden="false" customHeight="false" outlineLevel="0" collapsed="false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customFormat="false" ht="15.75" hidden="false" customHeight="false" outlineLevel="0" collapsed="false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customFormat="false" ht="15.75" hidden="false" customHeight="false" outlineLevel="0" collapsed="false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customFormat="false" ht="15.75" hidden="false" customHeight="false" outlineLevel="0" collapsed="false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customFormat="false" ht="15.75" hidden="false" customHeight="false" outlineLevel="0" collapsed="false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customFormat="false" ht="15.75" hidden="false" customHeight="false" outlineLevel="0" collapsed="false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customFormat="false" ht="15.75" hidden="false" customHeight="false" outlineLevel="0" collapsed="false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customFormat="false" ht="15.75" hidden="false" customHeight="false" outlineLevel="0" collapsed="false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customFormat="false" ht="15.75" hidden="false" customHeight="false" outlineLevel="0" collapsed="false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customFormat="false" ht="15.75" hidden="false" customHeight="false" outlineLevel="0" collapsed="false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customFormat="false" ht="15.75" hidden="false" customHeight="false" outlineLevel="0" collapsed="false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customFormat="false" ht="15.75" hidden="false" customHeight="false" outlineLevel="0" collapsed="false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customFormat="false" ht="15.75" hidden="false" customHeight="false" outlineLevel="0" collapsed="false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customFormat="false" ht="15.75" hidden="false" customHeight="false" outlineLevel="0" collapsed="false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customFormat="false" ht="15.75" hidden="false" customHeight="false" outlineLevel="0" collapsed="false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customFormat="false" ht="15.75" hidden="false" customHeight="false" outlineLevel="0" collapsed="false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customFormat="false" ht="15.75" hidden="false" customHeight="false" outlineLevel="0" collapsed="false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customFormat="false" ht="15.75" hidden="false" customHeight="false" outlineLevel="0" collapsed="false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customFormat="false" ht="15.75" hidden="false" customHeight="false" outlineLevel="0" collapsed="false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customFormat="false" ht="15.75" hidden="false" customHeight="false" outlineLevel="0" collapsed="false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customFormat="false" ht="15.75" hidden="false" customHeight="false" outlineLevel="0" collapsed="false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customFormat="false" ht="15.75" hidden="false" customHeight="false" outlineLevel="0" collapsed="false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customFormat="false" ht="15.75" hidden="false" customHeight="false" outlineLevel="0" collapsed="false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customFormat="false" ht="15.75" hidden="false" customHeight="false" outlineLevel="0" collapsed="false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customFormat="false" ht="15.75" hidden="false" customHeight="false" outlineLevel="0" collapsed="false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customFormat="false" ht="15.75" hidden="false" customHeight="false" outlineLevel="0" collapsed="false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customFormat="false" ht="15.75" hidden="false" customHeight="false" outlineLevel="0" collapsed="false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customFormat="false" ht="15.75" hidden="false" customHeight="false" outlineLevel="0" collapsed="false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customFormat="false" ht="15.75" hidden="false" customHeight="false" outlineLevel="0" collapsed="false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customFormat="false" ht="15.75" hidden="false" customHeight="false" outlineLevel="0" collapsed="false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customFormat="false" ht="15.75" hidden="false" customHeight="false" outlineLevel="0" collapsed="false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customFormat="false" ht="15.75" hidden="false" customHeight="false" outlineLevel="0" collapsed="false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customFormat="false" ht="15.75" hidden="false" customHeight="false" outlineLevel="0" collapsed="false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customFormat="false" ht="15.75" hidden="false" customHeight="false" outlineLevel="0" collapsed="false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customFormat="false" ht="15.75" hidden="false" customHeight="false" outlineLevel="0" collapsed="false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customFormat="false" ht="15.75" hidden="false" customHeight="false" outlineLevel="0" collapsed="false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customFormat="false" ht="15.75" hidden="false" customHeight="false" outlineLevel="0" collapsed="false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customFormat="false" ht="15.75" hidden="false" customHeight="false" outlineLevel="0" collapsed="false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customFormat="false" ht="15.75" hidden="false" customHeight="false" outlineLevel="0" collapsed="false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customFormat="false" ht="15.75" hidden="false" customHeight="false" outlineLevel="0" collapsed="false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customFormat="false" ht="15.75" hidden="false" customHeight="false" outlineLevel="0" collapsed="false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customFormat="false" ht="15.75" hidden="false" customHeight="false" outlineLevel="0" collapsed="false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customFormat="false" ht="15.75" hidden="false" customHeight="false" outlineLevel="0" collapsed="false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customFormat="false" ht="15.75" hidden="false" customHeight="false" outlineLevel="0" collapsed="false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customFormat="false" ht="15.75" hidden="false" customHeight="false" outlineLevel="0" collapsed="false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customFormat="false" ht="15.75" hidden="false" customHeight="false" outlineLevel="0" collapsed="false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customFormat="false" ht="15.75" hidden="false" customHeight="false" outlineLevel="0" collapsed="false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customFormat="false" ht="15.75" hidden="false" customHeight="false" outlineLevel="0" collapsed="false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customFormat="false" ht="15.75" hidden="false" customHeight="false" outlineLevel="0" collapsed="false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customFormat="false" ht="15.75" hidden="false" customHeight="false" outlineLevel="0" collapsed="false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customFormat="false" ht="15.75" hidden="false" customHeight="false" outlineLevel="0" collapsed="false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customFormat="false" ht="15.75" hidden="false" customHeight="false" outlineLevel="0" collapsed="false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customFormat="false" ht="15.75" hidden="false" customHeight="false" outlineLevel="0" collapsed="false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customFormat="false" ht="15.75" hidden="false" customHeight="false" outlineLevel="0" collapsed="false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customFormat="false" ht="15.75" hidden="false" customHeight="false" outlineLevel="0" collapsed="false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customFormat="false" ht="15.75" hidden="false" customHeight="false" outlineLevel="0" collapsed="false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customFormat="false" ht="15.75" hidden="false" customHeight="false" outlineLevel="0" collapsed="false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customFormat="false" ht="15.75" hidden="false" customHeight="false" outlineLevel="0" collapsed="false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customFormat="false" ht="15.75" hidden="false" customHeight="false" outlineLevel="0" collapsed="false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customFormat="false" ht="15.75" hidden="false" customHeight="false" outlineLevel="0" collapsed="false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customFormat="false" ht="15.75" hidden="false" customHeight="false" outlineLevel="0" collapsed="false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customFormat="false" ht="15.75" hidden="false" customHeight="false" outlineLevel="0" collapsed="false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customFormat="false" ht="15.75" hidden="false" customHeight="false" outlineLevel="0" collapsed="false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customFormat="false" ht="15.75" hidden="false" customHeight="false" outlineLevel="0" collapsed="false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customFormat="false" ht="15.75" hidden="false" customHeight="false" outlineLevel="0" collapsed="false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customFormat="false" ht="15.75" hidden="false" customHeight="false" outlineLevel="0" collapsed="false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customFormat="false" ht="15.75" hidden="false" customHeight="false" outlineLevel="0" collapsed="false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customFormat="false" ht="15.75" hidden="false" customHeight="false" outlineLevel="0" collapsed="false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customFormat="false" ht="15.75" hidden="false" customHeight="false" outlineLevel="0" collapsed="false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customFormat="false" ht="15.75" hidden="false" customHeight="false" outlineLevel="0" collapsed="false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customFormat="false" ht="15.75" hidden="false" customHeight="false" outlineLevel="0" collapsed="false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customFormat="false" ht="15.75" hidden="false" customHeight="false" outlineLevel="0" collapsed="false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customFormat="false" ht="15.75" hidden="false" customHeight="false" outlineLevel="0" collapsed="false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customFormat="false" ht="15.75" hidden="false" customHeight="false" outlineLevel="0" collapsed="false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customFormat="false" ht="15.75" hidden="false" customHeight="false" outlineLevel="0" collapsed="false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customFormat="false" ht="15.75" hidden="false" customHeight="false" outlineLevel="0" collapsed="false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customFormat="false" ht="15.75" hidden="false" customHeight="false" outlineLevel="0" collapsed="false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customFormat="false" ht="15.75" hidden="false" customHeight="false" outlineLevel="0" collapsed="false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customFormat="false" ht="15.75" hidden="false" customHeight="false" outlineLevel="0" collapsed="false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customFormat="false" ht="15.75" hidden="false" customHeight="false" outlineLevel="0" collapsed="false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customFormat="false" ht="15.75" hidden="false" customHeight="false" outlineLevel="0" collapsed="false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customFormat="false" ht="15.75" hidden="false" customHeight="false" outlineLevel="0" collapsed="false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customFormat="false" ht="15.75" hidden="false" customHeight="false" outlineLevel="0" collapsed="false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customFormat="false" ht="15.75" hidden="false" customHeight="false" outlineLevel="0" collapsed="false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customFormat="false" ht="15.75" hidden="false" customHeight="false" outlineLevel="0" collapsed="false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customFormat="false" ht="15.75" hidden="false" customHeight="false" outlineLevel="0" collapsed="false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customFormat="false" ht="15.75" hidden="false" customHeight="false" outlineLevel="0" collapsed="false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customFormat="false" ht="15.75" hidden="false" customHeight="false" outlineLevel="0" collapsed="false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customFormat="false" ht="15.75" hidden="false" customHeight="false" outlineLevel="0" collapsed="false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customFormat="false" ht="15.75" hidden="false" customHeight="false" outlineLevel="0" collapsed="false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customFormat="false" ht="15.75" hidden="false" customHeight="false" outlineLevel="0" collapsed="false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customFormat="false" ht="15.75" hidden="false" customHeight="false" outlineLevel="0" collapsed="false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customFormat="false" ht="15.75" hidden="false" customHeight="false" outlineLevel="0" collapsed="false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customFormat="false" ht="15.75" hidden="false" customHeight="false" outlineLevel="0" collapsed="false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customFormat="false" ht="15.75" hidden="false" customHeight="false" outlineLevel="0" collapsed="false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customFormat="false" ht="15.75" hidden="false" customHeight="false" outlineLevel="0" collapsed="false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customFormat="false" ht="15.75" hidden="false" customHeight="false" outlineLevel="0" collapsed="false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customFormat="false" ht="15.75" hidden="false" customHeight="false" outlineLevel="0" collapsed="false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customFormat="false" ht="15.75" hidden="false" customHeight="false" outlineLevel="0" collapsed="false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customFormat="false" ht="15.75" hidden="false" customHeight="false" outlineLevel="0" collapsed="false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customFormat="false" ht="15.75" hidden="false" customHeight="false" outlineLevel="0" collapsed="false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customFormat="false" ht="15.75" hidden="false" customHeight="false" outlineLevel="0" collapsed="false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customFormat="false" ht="15.75" hidden="false" customHeight="false" outlineLevel="0" collapsed="false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customFormat="false" ht="15.75" hidden="false" customHeight="false" outlineLevel="0" collapsed="false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customFormat="false" ht="15.75" hidden="false" customHeight="false" outlineLevel="0" collapsed="false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customFormat="false" ht="15.75" hidden="false" customHeight="false" outlineLevel="0" collapsed="false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customFormat="false" ht="15.75" hidden="false" customHeight="false" outlineLevel="0" collapsed="false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customFormat="false" ht="15.75" hidden="false" customHeight="false" outlineLevel="0" collapsed="false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customFormat="false" ht="15.75" hidden="false" customHeight="false" outlineLevel="0" collapsed="false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customFormat="false" ht="15.75" hidden="false" customHeight="false" outlineLevel="0" collapsed="false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customFormat="false" ht="15.75" hidden="false" customHeight="false" outlineLevel="0" collapsed="false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customFormat="false" ht="15.75" hidden="false" customHeight="false" outlineLevel="0" collapsed="false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customFormat="false" ht="15.75" hidden="false" customHeight="false" outlineLevel="0" collapsed="false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customFormat="false" ht="15.75" hidden="false" customHeight="false" outlineLevel="0" collapsed="false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customFormat="false" ht="15.75" hidden="false" customHeight="false" outlineLevel="0" collapsed="false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customFormat="false" ht="15.75" hidden="false" customHeight="false" outlineLevel="0" collapsed="false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customFormat="false" ht="15.75" hidden="false" customHeight="false" outlineLevel="0" collapsed="false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customFormat="false" ht="15.75" hidden="false" customHeight="false" outlineLevel="0" collapsed="false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customFormat="false" ht="15.75" hidden="false" customHeight="false" outlineLevel="0" collapsed="false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customFormat="false" ht="15.75" hidden="false" customHeight="false" outlineLevel="0" collapsed="false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customFormat="false" ht="15.75" hidden="false" customHeight="false" outlineLevel="0" collapsed="false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customFormat="false" ht="15.75" hidden="false" customHeight="false" outlineLevel="0" collapsed="false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customFormat="false" ht="15.75" hidden="false" customHeight="false" outlineLevel="0" collapsed="false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customFormat="false" ht="15.75" hidden="false" customHeight="false" outlineLevel="0" collapsed="false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customFormat="false" ht="15.75" hidden="false" customHeight="false" outlineLevel="0" collapsed="false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customFormat="false" ht="15.75" hidden="false" customHeight="false" outlineLevel="0" collapsed="false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customFormat="false" ht="15.75" hidden="false" customHeight="false" outlineLevel="0" collapsed="false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customFormat="false" ht="15.75" hidden="false" customHeight="false" outlineLevel="0" collapsed="false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customFormat="false" ht="15.75" hidden="false" customHeight="false" outlineLevel="0" collapsed="false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customFormat="false" ht="15.75" hidden="false" customHeight="false" outlineLevel="0" collapsed="false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customFormat="false" ht="15.75" hidden="false" customHeight="false" outlineLevel="0" collapsed="false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customFormat="false" ht="15.75" hidden="false" customHeight="false" outlineLevel="0" collapsed="false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customFormat="false" ht="15.75" hidden="false" customHeight="false" outlineLevel="0" collapsed="false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customFormat="false" ht="15.75" hidden="false" customHeight="false" outlineLevel="0" collapsed="false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customFormat="false" ht="15.75" hidden="false" customHeight="false" outlineLevel="0" collapsed="false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customFormat="false" ht="15.75" hidden="false" customHeight="false" outlineLevel="0" collapsed="false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customFormat="false" ht="15.75" hidden="false" customHeight="false" outlineLevel="0" collapsed="false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customFormat="false" ht="15.75" hidden="false" customHeight="false" outlineLevel="0" collapsed="false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customFormat="false" ht="15.75" hidden="false" customHeight="false" outlineLevel="0" collapsed="false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customFormat="false" ht="15.75" hidden="false" customHeight="false" outlineLevel="0" collapsed="false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customFormat="false" ht="15.75" hidden="false" customHeight="false" outlineLevel="0" collapsed="false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customFormat="false" ht="15.75" hidden="false" customHeight="false" outlineLevel="0" collapsed="false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customFormat="false" ht="15.75" hidden="false" customHeight="false" outlineLevel="0" collapsed="false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customFormat="false" ht="15.75" hidden="false" customHeight="false" outlineLevel="0" collapsed="false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customFormat="false" ht="15.75" hidden="false" customHeight="false" outlineLevel="0" collapsed="false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customFormat="false" ht="15.75" hidden="false" customHeight="false" outlineLevel="0" collapsed="false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customFormat="false" ht="15.75" hidden="false" customHeight="false" outlineLevel="0" collapsed="false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customFormat="false" ht="15.75" hidden="false" customHeight="false" outlineLevel="0" collapsed="false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customFormat="false" ht="15.75" hidden="false" customHeight="false" outlineLevel="0" collapsed="false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customFormat="false" ht="15.75" hidden="false" customHeight="false" outlineLevel="0" collapsed="false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customFormat="false" ht="15.75" hidden="false" customHeight="false" outlineLevel="0" collapsed="false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customFormat="false" ht="15.75" hidden="false" customHeight="false" outlineLevel="0" collapsed="false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customFormat="false" ht="15.75" hidden="false" customHeight="false" outlineLevel="0" collapsed="false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customFormat="false" ht="15.75" hidden="false" customHeight="false" outlineLevel="0" collapsed="false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customFormat="false" ht="15.75" hidden="false" customHeight="false" outlineLevel="0" collapsed="false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customFormat="false" ht="15.75" hidden="false" customHeight="false" outlineLevel="0" collapsed="false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customFormat="false" ht="15.75" hidden="false" customHeight="false" outlineLevel="0" collapsed="false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customFormat="false" ht="15.75" hidden="false" customHeight="false" outlineLevel="0" collapsed="false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customFormat="false" ht="15.75" hidden="false" customHeight="false" outlineLevel="0" collapsed="false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customFormat="false" ht="15.75" hidden="false" customHeight="false" outlineLevel="0" collapsed="false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customFormat="false" ht="15.75" hidden="false" customHeight="false" outlineLevel="0" collapsed="false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customFormat="false" ht="15.75" hidden="false" customHeight="false" outlineLevel="0" collapsed="false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customFormat="false" ht="15.75" hidden="false" customHeight="false" outlineLevel="0" collapsed="false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customFormat="false" ht="15.75" hidden="false" customHeight="false" outlineLevel="0" collapsed="false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customFormat="false" ht="15.75" hidden="false" customHeight="false" outlineLevel="0" collapsed="false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customFormat="false" ht="15.75" hidden="false" customHeight="false" outlineLevel="0" collapsed="false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customFormat="false" ht="15.75" hidden="false" customHeight="false" outlineLevel="0" collapsed="false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customFormat="false" ht="15.75" hidden="false" customHeight="false" outlineLevel="0" collapsed="false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customFormat="false" ht="15.75" hidden="false" customHeight="false" outlineLevel="0" collapsed="false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customFormat="false" ht="15.75" hidden="false" customHeight="false" outlineLevel="0" collapsed="false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customFormat="false" ht="15.75" hidden="false" customHeight="false" outlineLevel="0" collapsed="false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customFormat="false" ht="15.75" hidden="false" customHeight="false" outlineLevel="0" collapsed="false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customFormat="false" ht="15.75" hidden="false" customHeight="false" outlineLevel="0" collapsed="false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customFormat="false" ht="15.75" hidden="false" customHeight="false" outlineLevel="0" collapsed="false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customFormat="false" ht="15.75" hidden="false" customHeight="false" outlineLevel="0" collapsed="false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customFormat="false" ht="15.75" hidden="false" customHeight="false" outlineLevel="0" collapsed="false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customFormat="false" ht="15.75" hidden="false" customHeight="false" outlineLevel="0" collapsed="false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customFormat="false" ht="15.75" hidden="false" customHeight="false" outlineLevel="0" collapsed="false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customFormat="false" ht="15.75" hidden="false" customHeight="false" outlineLevel="0" collapsed="false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customFormat="false" ht="15.75" hidden="false" customHeight="false" outlineLevel="0" collapsed="false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customFormat="false" ht="15.75" hidden="false" customHeight="false" outlineLevel="0" collapsed="false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customFormat="false" ht="15.75" hidden="false" customHeight="false" outlineLevel="0" collapsed="false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customFormat="false" ht="15.75" hidden="false" customHeight="false" outlineLevel="0" collapsed="false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customFormat="false" ht="15.75" hidden="false" customHeight="false" outlineLevel="0" collapsed="false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customFormat="false" ht="15.75" hidden="false" customHeight="false" outlineLevel="0" collapsed="false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customFormat="false" ht="15.75" hidden="false" customHeight="false" outlineLevel="0" collapsed="false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customFormat="false" ht="15.75" hidden="false" customHeight="false" outlineLevel="0" collapsed="false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customFormat="false" ht="15.75" hidden="false" customHeight="false" outlineLevel="0" collapsed="false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customFormat="false" ht="15.75" hidden="false" customHeight="false" outlineLevel="0" collapsed="false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customFormat="false" ht="15.75" hidden="false" customHeight="false" outlineLevel="0" collapsed="false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customFormat="false" ht="15.75" hidden="false" customHeight="false" outlineLevel="0" collapsed="false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customFormat="false" ht="15.75" hidden="false" customHeight="false" outlineLevel="0" collapsed="false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customFormat="false" ht="15.75" hidden="false" customHeight="false" outlineLevel="0" collapsed="false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customFormat="false" ht="15.75" hidden="false" customHeight="false" outlineLevel="0" collapsed="false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customFormat="false" ht="15.75" hidden="false" customHeight="false" outlineLevel="0" collapsed="false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customFormat="false" ht="15.75" hidden="false" customHeight="false" outlineLevel="0" collapsed="false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customFormat="false" ht="15.75" hidden="false" customHeight="false" outlineLevel="0" collapsed="false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customFormat="false" ht="15.75" hidden="false" customHeight="false" outlineLevel="0" collapsed="false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customFormat="false" ht="15.75" hidden="false" customHeight="false" outlineLevel="0" collapsed="false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customFormat="false" ht="15.75" hidden="false" customHeight="false" outlineLevel="0" collapsed="false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customFormat="false" ht="15.75" hidden="false" customHeight="false" outlineLevel="0" collapsed="false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customFormat="false" ht="15.75" hidden="false" customHeight="false" outlineLevel="0" collapsed="false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customFormat="false" ht="15.75" hidden="false" customHeight="false" outlineLevel="0" collapsed="false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customFormat="false" ht="15.75" hidden="false" customHeight="false" outlineLevel="0" collapsed="false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customFormat="false" ht="15.75" hidden="false" customHeight="false" outlineLevel="0" collapsed="false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customFormat="false" ht="15.75" hidden="false" customHeight="false" outlineLevel="0" collapsed="false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customFormat="false" ht="15.75" hidden="false" customHeight="false" outlineLevel="0" collapsed="false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customFormat="false" ht="15.75" hidden="false" customHeight="false" outlineLevel="0" collapsed="false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customFormat="false" ht="15.75" hidden="false" customHeight="false" outlineLevel="0" collapsed="false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customFormat="false" ht="15.75" hidden="false" customHeight="false" outlineLevel="0" collapsed="false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customFormat="false" ht="15.75" hidden="false" customHeight="false" outlineLevel="0" collapsed="false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customFormat="false" ht="15.75" hidden="false" customHeight="false" outlineLevel="0" collapsed="false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customFormat="false" ht="15.75" hidden="false" customHeight="false" outlineLevel="0" collapsed="false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customFormat="false" ht="15.75" hidden="false" customHeight="false" outlineLevel="0" collapsed="false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customFormat="false" ht="15.75" hidden="false" customHeight="false" outlineLevel="0" collapsed="false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customFormat="false" ht="15.75" hidden="false" customHeight="false" outlineLevel="0" collapsed="false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customFormat="false" ht="15.75" hidden="false" customHeight="false" outlineLevel="0" collapsed="false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customFormat="false" ht="15.75" hidden="false" customHeight="false" outlineLevel="0" collapsed="false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customFormat="false" ht="15.75" hidden="false" customHeight="false" outlineLevel="0" collapsed="false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customFormat="false" ht="15.75" hidden="false" customHeight="false" outlineLevel="0" collapsed="false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customFormat="false" ht="15.75" hidden="false" customHeight="false" outlineLevel="0" collapsed="false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customFormat="false" ht="15.75" hidden="false" customHeight="false" outlineLevel="0" collapsed="false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customFormat="false" ht="15.75" hidden="false" customHeight="false" outlineLevel="0" collapsed="false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customFormat="false" ht="15.75" hidden="false" customHeight="false" outlineLevel="0" collapsed="false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customFormat="false" ht="15.75" hidden="false" customHeight="false" outlineLevel="0" collapsed="false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customFormat="false" ht="15.75" hidden="false" customHeight="false" outlineLevel="0" collapsed="false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customFormat="false" ht="15.75" hidden="false" customHeight="false" outlineLevel="0" collapsed="false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customFormat="false" ht="15.75" hidden="false" customHeight="false" outlineLevel="0" collapsed="false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customFormat="false" ht="15.75" hidden="false" customHeight="false" outlineLevel="0" collapsed="false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customFormat="false" ht="15.75" hidden="false" customHeight="false" outlineLevel="0" collapsed="false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customFormat="false" ht="15.75" hidden="false" customHeight="false" outlineLevel="0" collapsed="false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customFormat="false" ht="15.75" hidden="false" customHeight="false" outlineLevel="0" collapsed="false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customFormat="false" ht="15.75" hidden="false" customHeight="false" outlineLevel="0" collapsed="false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customFormat="false" ht="15.75" hidden="false" customHeight="false" outlineLevel="0" collapsed="false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customFormat="false" ht="15.75" hidden="false" customHeight="false" outlineLevel="0" collapsed="false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customFormat="false" ht="15.75" hidden="false" customHeight="false" outlineLevel="0" collapsed="false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customFormat="false" ht="15.75" hidden="false" customHeight="false" outlineLevel="0" collapsed="false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customFormat="false" ht="15.75" hidden="false" customHeight="false" outlineLevel="0" collapsed="false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customFormat="false" ht="15.75" hidden="false" customHeight="false" outlineLevel="0" collapsed="false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customFormat="false" ht="15.75" hidden="false" customHeight="false" outlineLevel="0" collapsed="false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customFormat="false" ht="15.75" hidden="false" customHeight="false" outlineLevel="0" collapsed="false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customFormat="false" ht="15.75" hidden="false" customHeight="false" outlineLevel="0" collapsed="false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customFormat="false" ht="15.75" hidden="false" customHeight="false" outlineLevel="0" collapsed="false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customFormat="false" ht="15.75" hidden="false" customHeight="false" outlineLevel="0" collapsed="false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customFormat="false" ht="15.75" hidden="false" customHeight="false" outlineLevel="0" collapsed="false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customFormat="false" ht="15.75" hidden="false" customHeight="false" outlineLevel="0" collapsed="false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customFormat="false" ht="15.75" hidden="false" customHeight="false" outlineLevel="0" collapsed="false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customFormat="false" ht="15.75" hidden="false" customHeight="false" outlineLevel="0" collapsed="false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customFormat="false" ht="15.75" hidden="false" customHeight="false" outlineLevel="0" collapsed="false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customFormat="false" ht="15.75" hidden="false" customHeight="false" outlineLevel="0" collapsed="false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customFormat="false" ht="15.75" hidden="false" customHeight="false" outlineLevel="0" collapsed="false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customFormat="false" ht="15.75" hidden="false" customHeight="false" outlineLevel="0" collapsed="false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customFormat="false" ht="15.75" hidden="false" customHeight="false" outlineLevel="0" collapsed="false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customFormat="false" ht="15.75" hidden="false" customHeight="false" outlineLevel="0" collapsed="false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customFormat="false" ht="15.75" hidden="false" customHeight="false" outlineLevel="0" collapsed="false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customFormat="false" ht="15.75" hidden="false" customHeight="false" outlineLevel="0" collapsed="false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customFormat="false" ht="15.75" hidden="false" customHeight="false" outlineLevel="0" collapsed="false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customFormat="false" ht="15.75" hidden="false" customHeight="false" outlineLevel="0" collapsed="false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customFormat="false" ht="15.75" hidden="false" customHeight="false" outlineLevel="0" collapsed="false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customFormat="false" ht="15.75" hidden="false" customHeight="false" outlineLevel="0" collapsed="false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customFormat="false" ht="15.75" hidden="false" customHeight="false" outlineLevel="0" collapsed="false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customFormat="false" ht="15.75" hidden="false" customHeight="false" outlineLevel="0" collapsed="false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customFormat="false" ht="15.75" hidden="false" customHeight="false" outlineLevel="0" collapsed="false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customFormat="false" ht="15.75" hidden="false" customHeight="false" outlineLevel="0" collapsed="false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customFormat="false" ht="15.75" hidden="false" customHeight="false" outlineLevel="0" collapsed="false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customFormat="false" ht="15.75" hidden="false" customHeight="false" outlineLevel="0" collapsed="false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customFormat="false" ht="15.75" hidden="false" customHeight="false" outlineLevel="0" collapsed="false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customFormat="false" ht="15.75" hidden="false" customHeight="false" outlineLevel="0" collapsed="false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customFormat="false" ht="15.75" hidden="false" customHeight="false" outlineLevel="0" collapsed="false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customFormat="false" ht="15.75" hidden="false" customHeight="false" outlineLevel="0" collapsed="false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customFormat="false" ht="15.75" hidden="false" customHeight="false" outlineLevel="0" collapsed="false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customFormat="false" ht="15.75" hidden="false" customHeight="false" outlineLevel="0" collapsed="false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customFormat="false" ht="15.75" hidden="false" customHeight="false" outlineLevel="0" collapsed="false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customFormat="false" ht="15.75" hidden="false" customHeight="false" outlineLevel="0" collapsed="false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customFormat="false" ht="15.75" hidden="false" customHeight="false" outlineLevel="0" collapsed="false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customFormat="false" ht="15.75" hidden="false" customHeight="false" outlineLevel="0" collapsed="false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customFormat="false" ht="15.75" hidden="false" customHeight="false" outlineLevel="0" collapsed="false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customFormat="false" ht="15.75" hidden="false" customHeight="false" outlineLevel="0" collapsed="false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customFormat="false" ht="15.75" hidden="false" customHeight="false" outlineLevel="0" collapsed="false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customFormat="false" ht="15.75" hidden="false" customHeight="false" outlineLevel="0" collapsed="false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customFormat="false" ht="15.75" hidden="false" customHeight="false" outlineLevel="0" collapsed="false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customFormat="false" ht="15.75" hidden="false" customHeight="false" outlineLevel="0" collapsed="false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customFormat="false" ht="15.75" hidden="false" customHeight="false" outlineLevel="0" collapsed="false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customFormat="false" ht="15.75" hidden="false" customHeight="false" outlineLevel="0" collapsed="false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customFormat="false" ht="15.75" hidden="false" customHeight="false" outlineLevel="0" collapsed="false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customFormat="false" ht="15.75" hidden="false" customHeight="false" outlineLevel="0" collapsed="false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customFormat="false" ht="15.75" hidden="false" customHeight="false" outlineLevel="0" collapsed="false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customFormat="false" ht="15.75" hidden="false" customHeight="false" outlineLevel="0" collapsed="false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customFormat="false" ht="15.75" hidden="false" customHeight="false" outlineLevel="0" collapsed="false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customFormat="false" ht="15.75" hidden="false" customHeight="false" outlineLevel="0" collapsed="false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customFormat="false" ht="15.75" hidden="false" customHeight="false" outlineLevel="0" collapsed="false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customFormat="false" ht="15.75" hidden="false" customHeight="false" outlineLevel="0" collapsed="false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customFormat="false" ht="15.75" hidden="false" customHeight="false" outlineLevel="0" collapsed="false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customFormat="false" ht="15.75" hidden="false" customHeight="false" outlineLevel="0" collapsed="false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customFormat="false" ht="15.75" hidden="false" customHeight="false" outlineLevel="0" collapsed="false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customFormat="false" ht="15.75" hidden="false" customHeight="false" outlineLevel="0" collapsed="false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customFormat="false" ht="15.75" hidden="false" customHeight="false" outlineLevel="0" collapsed="false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customFormat="false" ht="15.75" hidden="false" customHeight="false" outlineLevel="0" collapsed="false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customFormat="false" ht="15.75" hidden="false" customHeight="false" outlineLevel="0" collapsed="false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customFormat="false" ht="15.75" hidden="false" customHeight="false" outlineLevel="0" collapsed="false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customFormat="false" ht="15.75" hidden="false" customHeight="false" outlineLevel="0" collapsed="false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customFormat="false" ht="15.75" hidden="false" customHeight="false" outlineLevel="0" collapsed="false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customFormat="false" ht="15.75" hidden="false" customHeight="false" outlineLevel="0" collapsed="false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customFormat="false" ht="15.75" hidden="false" customHeight="false" outlineLevel="0" collapsed="false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customFormat="false" ht="15.75" hidden="false" customHeight="false" outlineLevel="0" collapsed="false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customFormat="false" ht="15.75" hidden="false" customHeight="false" outlineLevel="0" collapsed="false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customFormat="false" ht="15.75" hidden="false" customHeight="false" outlineLevel="0" collapsed="false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customFormat="false" ht="15.75" hidden="false" customHeight="false" outlineLevel="0" collapsed="false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customFormat="false" ht="15.75" hidden="false" customHeight="false" outlineLevel="0" collapsed="false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customFormat="false" ht="15.75" hidden="false" customHeight="false" outlineLevel="0" collapsed="false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customFormat="false" ht="15.75" hidden="false" customHeight="false" outlineLevel="0" collapsed="false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customFormat="false" ht="15.75" hidden="false" customHeight="false" outlineLevel="0" collapsed="false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customFormat="false" ht="15.75" hidden="false" customHeight="false" outlineLevel="0" collapsed="false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customFormat="false" ht="15.75" hidden="false" customHeight="false" outlineLevel="0" collapsed="false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customFormat="false" ht="15.75" hidden="false" customHeight="false" outlineLevel="0" collapsed="false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customFormat="false" ht="15.75" hidden="false" customHeight="false" outlineLevel="0" collapsed="false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customFormat="false" ht="15.75" hidden="false" customHeight="false" outlineLevel="0" collapsed="false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customFormat="false" ht="15.75" hidden="false" customHeight="false" outlineLevel="0" collapsed="false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customFormat="false" ht="15.75" hidden="false" customHeight="false" outlineLevel="0" collapsed="false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customFormat="false" ht="15.75" hidden="false" customHeight="false" outlineLevel="0" collapsed="false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customFormat="false" ht="15.75" hidden="false" customHeight="false" outlineLevel="0" collapsed="false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customFormat="false" ht="15.75" hidden="false" customHeight="false" outlineLevel="0" collapsed="false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customFormat="false" ht="15.75" hidden="false" customHeight="false" outlineLevel="0" collapsed="false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customFormat="false" ht="15.75" hidden="false" customHeight="false" outlineLevel="0" collapsed="false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customFormat="false" ht="15.75" hidden="false" customHeight="false" outlineLevel="0" collapsed="false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customFormat="false" ht="15.75" hidden="false" customHeight="false" outlineLevel="0" collapsed="false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customFormat="false" ht="15.75" hidden="false" customHeight="false" outlineLevel="0" collapsed="false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customFormat="false" ht="15.75" hidden="false" customHeight="false" outlineLevel="0" collapsed="false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customFormat="false" ht="15.75" hidden="false" customHeight="false" outlineLevel="0" collapsed="false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customFormat="false" ht="15.75" hidden="false" customHeight="false" outlineLevel="0" collapsed="false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customFormat="false" ht="15.75" hidden="false" customHeight="false" outlineLevel="0" collapsed="false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customFormat="false" ht="15.75" hidden="false" customHeight="false" outlineLevel="0" collapsed="false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customFormat="false" ht="15.75" hidden="false" customHeight="false" outlineLevel="0" collapsed="false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customFormat="false" ht="15.75" hidden="false" customHeight="false" outlineLevel="0" collapsed="false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customFormat="false" ht="15.75" hidden="false" customHeight="false" outlineLevel="0" collapsed="false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customFormat="false" ht="15.75" hidden="false" customHeight="false" outlineLevel="0" collapsed="false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customFormat="false" ht="15.75" hidden="false" customHeight="false" outlineLevel="0" collapsed="false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customFormat="false" ht="15.75" hidden="false" customHeight="false" outlineLevel="0" collapsed="false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customFormat="false" ht="15.75" hidden="false" customHeight="false" outlineLevel="0" collapsed="false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customFormat="false" ht="15.75" hidden="false" customHeight="false" outlineLevel="0" collapsed="false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customFormat="false" ht="15.75" hidden="false" customHeight="false" outlineLevel="0" collapsed="false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customFormat="false" ht="15.75" hidden="false" customHeight="false" outlineLevel="0" collapsed="false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customFormat="false" ht="15.75" hidden="false" customHeight="false" outlineLevel="0" collapsed="false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customFormat="false" ht="15.75" hidden="false" customHeight="false" outlineLevel="0" collapsed="false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customFormat="false" ht="15.75" hidden="false" customHeight="false" outlineLevel="0" collapsed="false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customFormat="false" ht="15.75" hidden="false" customHeight="false" outlineLevel="0" collapsed="false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customFormat="false" ht="15.75" hidden="false" customHeight="false" outlineLevel="0" collapsed="false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customFormat="false" ht="15.75" hidden="false" customHeight="false" outlineLevel="0" collapsed="false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customFormat="false" ht="15.75" hidden="false" customHeight="false" outlineLevel="0" collapsed="false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customFormat="false" ht="15.75" hidden="false" customHeight="false" outlineLevel="0" collapsed="false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customFormat="false" ht="15.75" hidden="false" customHeight="false" outlineLevel="0" collapsed="false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customFormat="false" ht="15.75" hidden="false" customHeight="false" outlineLevel="0" collapsed="false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customFormat="false" ht="15.75" hidden="false" customHeight="false" outlineLevel="0" collapsed="false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customFormat="false" ht="15.75" hidden="false" customHeight="false" outlineLevel="0" collapsed="false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customFormat="false" ht="15.75" hidden="false" customHeight="false" outlineLevel="0" collapsed="false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customFormat="false" ht="15.75" hidden="false" customHeight="false" outlineLevel="0" collapsed="false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customFormat="false" ht="15.75" hidden="false" customHeight="false" outlineLevel="0" collapsed="false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customFormat="false" ht="15.75" hidden="false" customHeight="false" outlineLevel="0" collapsed="false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customFormat="false" ht="15.75" hidden="false" customHeight="false" outlineLevel="0" collapsed="false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customFormat="false" ht="15.75" hidden="false" customHeight="false" outlineLevel="0" collapsed="false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customFormat="false" ht="15.75" hidden="false" customHeight="false" outlineLevel="0" collapsed="false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customFormat="false" ht="15.75" hidden="false" customHeight="false" outlineLevel="0" collapsed="false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customFormat="false" ht="15.75" hidden="false" customHeight="false" outlineLevel="0" collapsed="false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customFormat="false" ht="15.75" hidden="false" customHeight="false" outlineLevel="0" collapsed="false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customFormat="false" ht="15.75" hidden="false" customHeight="false" outlineLevel="0" collapsed="false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customFormat="false" ht="15.75" hidden="false" customHeight="false" outlineLevel="0" collapsed="false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customFormat="false" ht="15.75" hidden="false" customHeight="false" outlineLevel="0" collapsed="false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customFormat="false" ht="15.75" hidden="false" customHeight="false" outlineLevel="0" collapsed="false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customFormat="false" ht="15.75" hidden="false" customHeight="false" outlineLevel="0" collapsed="false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customFormat="false" ht="15.75" hidden="false" customHeight="false" outlineLevel="0" collapsed="false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customFormat="false" ht="15.75" hidden="false" customHeight="false" outlineLevel="0" collapsed="false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customFormat="false" ht="15.75" hidden="false" customHeight="false" outlineLevel="0" collapsed="false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customFormat="false" ht="15.75" hidden="false" customHeight="false" outlineLevel="0" collapsed="false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customFormat="false" ht="15.75" hidden="false" customHeight="false" outlineLevel="0" collapsed="false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customFormat="false" ht="15.75" hidden="false" customHeight="false" outlineLevel="0" collapsed="false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customFormat="false" ht="15.75" hidden="false" customHeight="false" outlineLevel="0" collapsed="false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customFormat="false" ht="15.75" hidden="false" customHeight="false" outlineLevel="0" collapsed="false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customFormat="false" ht="15.75" hidden="false" customHeight="false" outlineLevel="0" collapsed="false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customFormat="false" ht="15.75" hidden="false" customHeight="false" outlineLevel="0" collapsed="false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customFormat="false" ht="15.75" hidden="false" customHeight="false" outlineLevel="0" collapsed="false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customFormat="false" ht="15.75" hidden="false" customHeight="false" outlineLevel="0" collapsed="false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customFormat="false" ht="15.75" hidden="false" customHeight="false" outlineLevel="0" collapsed="false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customFormat="false" ht="15.75" hidden="false" customHeight="false" outlineLevel="0" collapsed="false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customFormat="false" ht="15.75" hidden="false" customHeight="false" outlineLevel="0" collapsed="false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customFormat="false" ht="15.75" hidden="false" customHeight="false" outlineLevel="0" collapsed="false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customFormat="false" ht="15.75" hidden="false" customHeight="false" outlineLevel="0" collapsed="false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customFormat="false" ht="15.75" hidden="false" customHeight="false" outlineLevel="0" collapsed="false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customFormat="false" ht="15.75" hidden="false" customHeight="false" outlineLevel="0" collapsed="false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customFormat="false" ht="15.75" hidden="false" customHeight="false" outlineLevel="0" collapsed="false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customFormat="false" ht="15.75" hidden="false" customHeight="false" outlineLevel="0" collapsed="false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customFormat="false" ht="15.75" hidden="false" customHeight="false" outlineLevel="0" collapsed="false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customFormat="false" ht="15.75" hidden="false" customHeight="false" outlineLevel="0" collapsed="false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customFormat="false" ht="15.75" hidden="false" customHeight="false" outlineLevel="0" collapsed="false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customFormat="false" ht="15.75" hidden="false" customHeight="false" outlineLevel="0" collapsed="false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customFormat="false" ht="15.75" hidden="false" customHeight="false" outlineLevel="0" collapsed="false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customFormat="false" ht="15.75" hidden="false" customHeight="false" outlineLevel="0" collapsed="false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customFormat="false" ht="15.75" hidden="false" customHeight="false" outlineLevel="0" collapsed="false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customFormat="false" ht="15.75" hidden="false" customHeight="false" outlineLevel="0" collapsed="false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customFormat="false" ht="15.75" hidden="false" customHeight="false" outlineLevel="0" collapsed="false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customFormat="false" ht="15.75" hidden="false" customHeight="false" outlineLevel="0" collapsed="false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customFormat="false" ht="15.75" hidden="false" customHeight="false" outlineLevel="0" collapsed="false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customFormat="false" ht="15.75" hidden="false" customHeight="false" outlineLevel="0" collapsed="false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customFormat="false" ht="15.75" hidden="false" customHeight="false" outlineLevel="0" collapsed="false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customFormat="false" ht="15.75" hidden="false" customHeight="false" outlineLevel="0" collapsed="false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customFormat="false" ht="15.75" hidden="false" customHeight="false" outlineLevel="0" collapsed="false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customFormat="false" ht="15.75" hidden="false" customHeight="false" outlineLevel="0" collapsed="false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customFormat="false" ht="15.75" hidden="false" customHeight="false" outlineLevel="0" collapsed="false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customFormat="false" ht="15.75" hidden="false" customHeight="false" outlineLevel="0" collapsed="false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customFormat="false" ht="15.75" hidden="false" customHeight="false" outlineLevel="0" collapsed="false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customFormat="false" ht="15.75" hidden="false" customHeight="false" outlineLevel="0" collapsed="false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customFormat="false" ht="15.75" hidden="false" customHeight="false" outlineLevel="0" collapsed="false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customFormat="false" ht="15.75" hidden="false" customHeight="false" outlineLevel="0" collapsed="false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customFormat="false" ht="15.75" hidden="false" customHeight="false" outlineLevel="0" collapsed="false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customFormat="false" ht="15.75" hidden="false" customHeight="false" outlineLevel="0" collapsed="false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customFormat="false" ht="15.75" hidden="false" customHeight="false" outlineLevel="0" collapsed="false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customFormat="false" ht="15.75" hidden="false" customHeight="false" outlineLevel="0" collapsed="false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customFormat="false" ht="15.75" hidden="false" customHeight="false" outlineLevel="0" collapsed="false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customFormat="false" ht="15.75" hidden="false" customHeight="false" outlineLevel="0" collapsed="false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customFormat="false" ht="15.75" hidden="false" customHeight="false" outlineLevel="0" collapsed="false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customFormat="false" ht="15.75" hidden="false" customHeight="false" outlineLevel="0" collapsed="false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customFormat="false" ht="15.75" hidden="false" customHeight="false" outlineLevel="0" collapsed="false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customFormat="false" ht="15.75" hidden="false" customHeight="false" outlineLevel="0" collapsed="false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customFormat="false" ht="15.75" hidden="false" customHeight="false" outlineLevel="0" collapsed="false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customFormat="false" ht="15.75" hidden="false" customHeight="false" outlineLevel="0" collapsed="false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customFormat="false" ht="15.75" hidden="false" customHeight="false" outlineLevel="0" collapsed="false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customFormat="false" ht="15.75" hidden="false" customHeight="false" outlineLevel="0" collapsed="false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customFormat="false" ht="15.75" hidden="false" customHeight="false" outlineLevel="0" collapsed="false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customFormat="false" ht="15.75" hidden="false" customHeight="false" outlineLevel="0" collapsed="false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customFormat="false" ht="15.75" hidden="false" customHeight="false" outlineLevel="0" collapsed="false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customFormat="false" ht="15.75" hidden="false" customHeight="false" outlineLevel="0" collapsed="false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customFormat="false" ht="15.75" hidden="false" customHeight="false" outlineLevel="0" collapsed="false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customFormat="false" ht="15.75" hidden="false" customHeight="false" outlineLevel="0" collapsed="false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customFormat="false" ht="15.75" hidden="false" customHeight="false" outlineLevel="0" collapsed="false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customFormat="false" ht="15.75" hidden="false" customHeight="false" outlineLevel="0" collapsed="false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customFormat="false" ht="15.75" hidden="false" customHeight="false" outlineLevel="0" collapsed="false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customFormat="false" ht="15.75" hidden="false" customHeight="false" outlineLevel="0" collapsed="false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customFormat="false" ht="15.75" hidden="false" customHeight="false" outlineLevel="0" collapsed="false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customFormat="false" ht="15.75" hidden="false" customHeight="false" outlineLevel="0" collapsed="false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customFormat="false" ht="15.75" hidden="false" customHeight="false" outlineLevel="0" collapsed="false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customFormat="false" ht="15.75" hidden="false" customHeight="false" outlineLevel="0" collapsed="false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customFormat="false" ht="15.75" hidden="false" customHeight="false" outlineLevel="0" collapsed="false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customFormat="false" ht="15.75" hidden="false" customHeight="false" outlineLevel="0" collapsed="false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customFormat="false" ht="15.75" hidden="false" customHeight="false" outlineLevel="0" collapsed="false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customFormat="false" ht="15.75" hidden="false" customHeight="false" outlineLevel="0" collapsed="false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customFormat="false" ht="15.75" hidden="false" customHeight="false" outlineLevel="0" collapsed="false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customFormat="false" ht="15.75" hidden="false" customHeight="false" outlineLevel="0" collapsed="false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customFormat="false" ht="15.75" hidden="false" customHeight="false" outlineLevel="0" collapsed="false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customFormat="false" ht="15.75" hidden="false" customHeight="false" outlineLevel="0" collapsed="false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customFormat="false" ht="15.75" hidden="false" customHeight="false" outlineLevel="0" collapsed="false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customFormat="false" ht="15.75" hidden="false" customHeight="false" outlineLevel="0" collapsed="false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customFormat="false" ht="15.75" hidden="false" customHeight="false" outlineLevel="0" collapsed="false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customFormat="false" ht="15.75" hidden="false" customHeight="false" outlineLevel="0" collapsed="false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customFormat="false" ht="15.75" hidden="false" customHeight="false" outlineLevel="0" collapsed="false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customFormat="false" ht="15.75" hidden="false" customHeight="false" outlineLevel="0" collapsed="false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customFormat="false" ht="15.75" hidden="false" customHeight="false" outlineLevel="0" collapsed="false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customFormat="false" ht="15.75" hidden="false" customHeight="false" outlineLevel="0" collapsed="false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customFormat="false" ht="15.75" hidden="false" customHeight="false" outlineLevel="0" collapsed="false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customFormat="false" ht="15.75" hidden="false" customHeight="false" outlineLevel="0" collapsed="false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customFormat="false" ht="15.75" hidden="false" customHeight="false" outlineLevel="0" collapsed="false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customFormat="false" ht="15.75" hidden="false" customHeight="false" outlineLevel="0" collapsed="false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customFormat="false" ht="15.75" hidden="false" customHeight="false" outlineLevel="0" collapsed="false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customFormat="false" ht="15.75" hidden="false" customHeight="false" outlineLevel="0" collapsed="false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customFormat="false" ht="15.75" hidden="false" customHeight="false" outlineLevel="0" collapsed="false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customFormat="false" ht="15.75" hidden="false" customHeight="false" outlineLevel="0" collapsed="false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customFormat="false" ht="15.75" hidden="false" customHeight="false" outlineLevel="0" collapsed="false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customFormat="false" ht="15.75" hidden="false" customHeight="false" outlineLevel="0" collapsed="false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customFormat="false" ht="15.75" hidden="false" customHeight="false" outlineLevel="0" collapsed="false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customFormat="false" ht="15.75" hidden="false" customHeight="false" outlineLevel="0" collapsed="false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customFormat="false" ht="15.75" hidden="false" customHeight="false" outlineLevel="0" collapsed="false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customFormat="false" ht="15.75" hidden="false" customHeight="false" outlineLevel="0" collapsed="false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customFormat="false" ht="15.75" hidden="false" customHeight="false" outlineLevel="0" collapsed="false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customFormat="false" ht="15.75" hidden="false" customHeight="false" outlineLevel="0" collapsed="false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customFormat="false" ht="15.75" hidden="false" customHeight="false" outlineLevel="0" collapsed="false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customFormat="false" ht="15.75" hidden="false" customHeight="false" outlineLevel="0" collapsed="false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customFormat="false" ht="15.75" hidden="false" customHeight="false" outlineLevel="0" collapsed="false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customFormat="false" ht="15.75" hidden="false" customHeight="false" outlineLevel="0" collapsed="false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customFormat="false" ht="15.75" hidden="false" customHeight="false" outlineLevel="0" collapsed="false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customFormat="false" ht="15.75" hidden="false" customHeight="false" outlineLevel="0" collapsed="false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customFormat="false" ht="15.75" hidden="false" customHeight="false" outlineLevel="0" collapsed="false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customFormat="false" ht="15.75" hidden="false" customHeight="false" outlineLevel="0" collapsed="false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customFormat="false" ht="15.75" hidden="false" customHeight="false" outlineLevel="0" collapsed="false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customFormat="false" ht="15.75" hidden="false" customHeight="false" outlineLevel="0" collapsed="false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customFormat="false" ht="15.75" hidden="false" customHeight="false" outlineLevel="0" collapsed="false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customFormat="false" ht="15.75" hidden="false" customHeight="false" outlineLevel="0" collapsed="false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customFormat="false" ht="15.75" hidden="false" customHeight="false" outlineLevel="0" collapsed="false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customFormat="false" ht="15.75" hidden="false" customHeight="false" outlineLevel="0" collapsed="false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customFormat="false" ht="15.75" hidden="false" customHeight="false" outlineLevel="0" collapsed="false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customFormat="false" ht="15.75" hidden="false" customHeight="false" outlineLevel="0" collapsed="false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customFormat="false" ht="15.75" hidden="false" customHeight="false" outlineLevel="0" collapsed="false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customFormat="false" ht="15.75" hidden="false" customHeight="false" outlineLevel="0" collapsed="false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customFormat="false" ht="15.75" hidden="false" customHeight="false" outlineLevel="0" collapsed="false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customFormat="false" ht="15.75" hidden="false" customHeight="false" outlineLevel="0" collapsed="false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customFormat="false" ht="15.75" hidden="false" customHeight="false" outlineLevel="0" collapsed="false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customFormat="false" ht="15.75" hidden="false" customHeight="false" outlineLevel="0" collapsed="false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customFormat="false" ht="15.75" hidden="false" customHeight="false" outlineLevel="0" collapsed="false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customFormat="false" ht="15.75" hidden="false" customHeight="false" outlineLevel="0" collapsed="false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customFormat="false" ht="15.75" hidden="false" customHeight="false" outlineLevel="0" collapsed="false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customFormat="false" ht="15.75" hidden="false" customHeight="false" outlineLevel="0" collapsed="false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customFormat="false" ht="15.75" hidden="false" customHeight="false" outlineLevel="0" collapsed="false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customFormat="false" ht="15.75" hidden="false" customHeight="false" outlineLevel="0" collapsed="false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customFormat="false" ht="15.75" hidden="false" customHeight="false" outlineLevel="0" collapsed="false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customFormat="false" ht="15.75" hidden="false" customHeight="false" outlineLevel="0" collapsed="false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customFormat="false" ht="15.75" hidden="false" customHeight="false" outlineLevel="0" collapsed="false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customFormat="false" ht="15.75" hidden="false" customHeight="false" outlineLevel="0" collapsed="false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customFormat="false" ht="15.75" hidden="false" customHeight="false" outlineLevel="0" collapsed="false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customFormat="false" ht="15.75" hidden="false" customHeight="false" outlineLevel="0" collapsed="false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customFormat="false" ht="15.75" hidden="false" customHeight="false" outlineLevel="0" collapsed="false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customFormat="false" ht="15.75" hidden="false" customHeight="false" outlineLevel="0" collapsed="false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customFormat="false" ht="15.75" hidden="false" customHeight="false" outlineLevel="0" collapsed="false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customFormat="false" ht="15.75" hidden="false" customHeight="false" outlineLevel="0" collapsed="false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customFormat="false" ht="15.75" hidden="false" customHeight="false" outlineLevel="0" collapsed="false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customFormat="false" ht="15.75" hidden="false" customHeight="false" outlineLevel="0" collapsed="false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customFormat="false" ht="15.75" hidden="false" customHeight="false" outlineLevel="0" collapsed="false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customFormat="false" ht="15.75" hidden="false" customHeight="false" outlineLevel="0" collapsed="false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customFormat="false" ht="15.75" hidden="false" customHeight="false" outlineLevel="0" collapsed="false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customFormat="false" ht="15.75" hidden="false" customHeight="false" outlineLevel="0" collapsed="false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customFormat="false" ht="15.75" hidden="false" customHeight="false" outlineLevel="0" collapsed="false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customFormat="false" ht="15.75" hidden="false" customHeight="false" outlineLevel="0" collapsed="false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customFormat="false" ht="15.75" hidden="false" customHeight="false" outlineLevel="0" collapsed="false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customFormat="false" ht="15.75" hidden="false" customHeight="false" outlineLevel="0" collapsed="false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customFormat="false" ht="15.75" hidden="false" customHeight="false" outlineLevel="0" collapsed="false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customFormat="false" ht="15.75" hidden="false" customHeight="false" outlineLevel="0" collapsed="false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customFormat="false" ht="15.75" hidden="false" customHeight="false" outlineLevel="0" collapsed="false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customFormat="false" ht="15.75" hidden="false" customHeight="false" outlineLevel="0" collapsed="false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customFormat="false" ht="15.75" hidden="false" customHeight="false" outlineLevel="0" collapsed="false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customFormat="false" ht="15.75" hidden="false" customHeight="false" outlineLevel="0" collapsed="false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customFormat="false" ht="15.75" hidden="false" customHeight="false" outlineLevel="0" collapsed="false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customFormat="false" ht="15.75" hidden="false" customHeight="false" outlineLevel="0" collapsed="false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customFormat="false" ht="15.75" hidden="false" customHeight="false" outlineLevel="0" collapsed="false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customFormat="false" ht="15.75" hidden="false" customHeight="false" outlineLevel="0" collapsed="false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customFormat="false" ht="15.75" hidden="false" customHeight="false" outlineLevel="0" collapsed="false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customFormat="false" ht="15.75" hidden="false" customHeight="false" outlineLevel="0" collapsed="false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customFormat="false" ht="15.75" hidden="false" customHeight="false" outlineLevel="0" collapsed="false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customFormat="false" ht="15.75" hidden="false" customHeight="false" outlineLevel="0" collapsed="false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customFormat="false" ht="15.75" hidden="false" customHeight="false" outlineLevel="0" collapsed="false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customFormat="false" ht="15.75" hidden="false" customHeight="false" outlineLevel="0" collapsed="false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customFormat="false" ht="15.75" hidden="false" customHeight="false" outlineLevel="0" collapsed="false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customFormat="false" ht="15.75" hidden="false" customHeight="false" outlineLevel="0" collapsed="false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customFormat="false" ht="15.75" hidden="false" customHeight="false" outlineLevel="0" collapsed="false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customFormat="false" ht="15.75" hidden="false" customHeight="false" outlineLevel="0" collapsed="false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customFormat="false" ht="15.75" hidden="false" customHeight="false" outlineLevel="0" collapsed="false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customFormat="false" ht="15.75" hidden="false" customHeight="false" outlineLevel="0" collapsed="false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customFormat="false" ht="15.75" hidden="false" customHeight="false" outlineLevel="0" collapsed="false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customFormat="false" ht="15.75" hidden="false" customHeight="false" outlineLevel="0" collapsed="false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customFormat="false" ht="15.75" hidden="false" customHeight="false" outlineLevel="0" collapsed="false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customFormat="false" ht="15.75" hidden="false" customHeight="false" outlineLevel="0" collapsed="false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customFormat="false" ht="15.75" hidden="false" customHeight="false" outlineLevel="0" collapsed="false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customFormat="false" ht="15.75" hidden="false" customHeight="false" outlineLevel="0" collapsed="false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customFormat="false" ht="15.75" hidden="false" customHeight="false" outlineLevel="0" collapsed="false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customFormat="false" ht="15.75" hidden="false" customHeight="false" outlineLevel="0" collapsed="false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customFormat="false" ht="15.75" hidden="false" customHeight="false" outlineLevel="0" collapsed="false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customFormat="false" ht="15.75" hidden="false" customHeight="false" outlineLevel="0" collapsed="false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customFormat="false" ht="15.75" hidden="false" customHeight="false" outlineLevel="0" collapsed="false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customFormat="false" ht="15.75" hidden="false" customHeight="false" outlineLevel="0" collapsed="false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customFormat="false" ht="15.75" hidden="false" customHeight="false" outlineLevel="0" collapsed="false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customFormat="false" ht="15.75" hidden="false" customHeight="false" outlineLevel="0" collapsed="false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customFormat="false" ht="15.75" hidden="false" customHeight="false" outlineLevel="0" collapsed="false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customFormat="false" ht="15.75" hidden="false" customHeight="false" outlineLevel="0" collapsed="false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customFormat="false" ht="15.75" hidden="false" customHeight="false" outlineLevel="0" collapsed="false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customFormat="false" ht="15.75" hidden="false" customHeight="false" outlineLevel="0" collapsed="false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customFormat="false" ht="15.75" hidden="false" customHeight="false" outlineLevel="0" collapsed="false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customFormat="false" ht="15.75" hidden="false" customHeight="false" outlineLevel="0" collapsed="false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customFormat="false" ht="15.75" hidden="false" customHeight="false" outlineLevel="0" collapsed="false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customFormat="false" ht="15.75" hidden="false" customHeight="false" outlineLevel="0" collapsed="false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customFormat="false" ht="15.75" hidden="false" customHeight="false" outlineLevel="0" collapsed="false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customFormat="false" ht="15.75" hidden="false" customHeight="false" outlineLevel="0" collapsed="false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customFormat="false" ht="15.75" hidden="false" customHeight="false" outlineLevel="0" collapsed="false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customFormat="false" ht="15.75" hidden="false" customHeight="false" outlineLevel="0" collapsed="false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customFormat="false" ht="15.75" hidden="false" customHeight="false" outlineLevel="0" collapsed="false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customFormat="false" ht="15.75" hidden="false" customHeight="false" outlineLevel="0" collapsed="false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customFormat="false" ht="15.75" hidden="false" customHeight="false" outlineLevel="0" collapsed="false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customFormat="false" ht="15.75" hidden="false" customHeight="false" outlineLevel="0" collapsed="false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customFormat="false" ht="15.75" hidden="false" customHeight="false" outlineLevel="0" collapsed="false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customFormat="false" ht="15.75" hidden="false" customHeight="false" outlineLevel="0" collapsed="false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customFormat="false" ht="15.75" hidden="false" customHeight="false" outlineLevel="0" collapsed="false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customFormat="false" ht="15.75" hidden="false" customHeight="false" outlineLevel="0" collapsed="false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customFormat="false" ht="15.75" hidden="false" customHeight="false" outlineLevel="0" collapsed="false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customFormat="false" ht="15.75" hidden="false" customHeight="false" outlineLevel="0" collapsed="false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customFormat="false" ht="15.75" hidden="false" customHeight="false" outlineLevel="0" collapsed="false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customFormat="false" ht="15.75" hidden="false" customHeight="false" outlineLevel="0" collapsed="false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customFormat="false" ht="15.75" hidden="false" customHeight="false" outlineLevel="0" collapsed="false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customFormat="false" ht="15.75" hidden="false" customHeight="false" outlineLevel="0" collapsed="false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customFormat="false" ht="15.75" hidden="false" customHeight="false" outlineLevel="0" collapsed="false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customFormat="false" ht="15.75" hidden="false" customHeight="false" outlineLevel="0" collapsed="false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customFormat="false" ht="15.75" hidden="false" customHeight="false" outlineLevel="0" collapsed="false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customFormat="false" ht="15.75" hidden="false" customHeight="false" outlineLevel="0" collapsed="false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customFormat="false" ht="15.75" hidden="false" customHeight="false" outlineLevel="0" collapsed="false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customFormat="false" ht="15.75" hidden="false" customHeight="false" outlineLevel="0" collapsed="false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customFormat="false" ht="15.75" hidden="false" customHeight="false" outlineLevel="0" collapsed="false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customFormat="false" ht="15.75" hidden="false" customHeight="false" outlineLevel="0" collapsed="false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customFormat="false" ht="15.75" hidden="false" customHeight="false" outlineLevel="0" collapsed="false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customFormat="false" ht="15.75" hidden="false" customHeight="false" outlineLevel="0" collapsed="false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customFormat="false" ht="15.75" hidden="false" customHeight="false" outlineLevel="0" collapsed="false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customFormat="false" ht="15.75" hidden="false" customHeight="false" outlineLevel="0" collapsed="false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customFormat="false" ht="15.75" hidden="false" customHeight="false" outlineLevel="0" collapsed="false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customFormat="false" ht="15.75" hidden="false" customHeight="false" outlineLevel="0" collapsed="false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customFormat="false" ht="15.75" hidden="false" customHeight="false" outlineLevel="0" collapsed="false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customFormat="false" ht="15.75" hidden="false" customHeight="false" outlineLevel="0" collapsed="false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customFormat="false" ht="15.75" hidden="false" customHeight="false" outlineLevel="0" collapsed="false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customFormat="false" ht="15.75" hidden="false" customHeight="false" outlineLevel="0" collapsed="false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customFormat="false" ht="15.75" hidden="false" customHeight="false" outlineLevel="0" collapsed="false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customFormat="false" ht="15.75" hidden="false" customHeight="false" outlineLevel="0" collapsed="false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customFormat="false" ht="15.75" hidden="false" customHeight="false" outlineLevel="0" collapsed="false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customFormat="false" ht="15.75" hidden="false" customHeight="false" outlineLevel="0" collapsed="false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customFormat="false" ht="15.75" hidden="false" customHeight="false" outlineLevel="0" collapsed="false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customFormat="false" ht="15.75" hidden="false" customHeight="false" outlineLevel="0" collapsed="false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customFormat="false" ht="15.75" hidden="false" customHeight="false" outlineLevel="0" collapsed="false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customFormat="false" ht="15.75" hidden="false" customHeight="false" outlineLevel="0" collapsed="false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customFormat="false" ht="15.75" hidden="false" customHeight="false" outlineLevel="0" collapsed="false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customFormat="false" ht="15.75" hidden="false" customHeight="false" outlineLevel="0" collapsed="false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customFormat="false" ht="15.75" hidden="false" customHeight="false" outlineLevel="0" collapsed="false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customFormat="false" ht="15.75" hidden="false" customHeight="false" outlineLevel="0" collapsed="false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customFormat="false" ht="15.75" hidden="false" customHeight="false" outlineLevel="0" collapsed="false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customFormat="false" ht="15.75" hidden="false" customHeight="false" outlineLevel="0" collapsed="false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customFormat="false" ht="15.75" hidden="false" customHeight="false" outlineLevel="0" collapsed="false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customFormat="false" ht="15.75" hidden="false" customHeight="false" outlineLevel="0" collapsed="false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customFormat="false" ht="15.75" hidden="false" customHeight="false" outlineLevel="0" collapsed="false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customFormat="false" ht="15.75" hidden="false" customHeight="false" outlineLevel="0" collapsed="false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customFormat="false" ht="15.75" hidden="false" customHeight="false" outlineLevel="0" collapsed="false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customFormat="false" ht="15.75" hidden="false" customHeight="false" outlineLevel="0" collapsed="false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customFormat="false" ht="15.75" hidden="false" customHeight="false" outlineLevel="0" collapsed="false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customFormat="false" ht="15.75" hidden="false" customHeight="false" outlineLevel="0" collapsed="false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customFormat="false" ht="15.75" hidden="false" customHeight="false" outlineLevel="0" collapsed="false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customFormat="false" ht="15.75" hidden="false" customHeight="false" outlineLevel="0" collapsed="false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customFormat="false" ht="15.75" hidden="false" customHeight="false" outlineLevel="0" collapsed="false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customFormat="false" ht="15.75" hidden="false" customHeight="false" outlineLevel="0" collapsed="false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customFormat="false" ht="15.75" hidden="false" customHeight="false" outlineLevel="0" collapsed="false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customFormat="false" ht="15.75" hidden="false" customHeight="false" outlineLevel="0" collapsed="false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customFormat="false" ht="15.75" hidden="false" customHeight="false" outlineLevel="0" collapsed="false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customFormat="false" ht="15.75" hidden="false" customHeight="false" outlineLevel="0" collapsed="false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customFormat="false" ht="15.75" hidden="false" customHeight="false" outlineLevel="0" collapsed="false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customFormat="false" ht="15.75" hidden="false" customHeight="false" outlineLevel="0" collapsed="false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customFormat="false" ht="15.75" hidden="false" customHeight="false" outlineLevel="0" collapsed="false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customFormat="false" ht="15.75" hidden="false" customHeight="false" outlineLevel="0" collapsed="false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customFormat="false" ht="15.75" hidden="false" customHeight="false" outlineLevel="0" collapsed="false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customFormat="false" ht="15.75" hidden="false" customHeight="false" outlineLevel="0" collapsed="false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customFormat="false" ht="15.75" hidden="false" customHeight="false" outlineLevel="0" collapsed="false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customFormat="false" ht="15.75" hidden="false" customHeight="false" outlineLevel="0" collapsed="false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customFormat="false" ht="15.75" hidden="false" customHeight="false" outlineLevel="0" collapsed="false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customFormat="false" ht="15.75" hidden="false" customHeight="false" outlineLevel="0" collapsed="false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customFormat="false" ht="15.75" hidden="false" customHeight="false" outlineLevel="0" collapsed="false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customFormat="false" ht="15.75" hidden="false" customHeight="false" outlineLevel="0" collapsed="false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customFormat="false" ht="15.75" hidden="false" customHeight="false" outlineLevel="0" collapsed="false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customFormat="false" ht="15.75" hidden="false" customHeight="false" outlineLevel="0" collapsed="false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customFormat="false" ht="15.75" hidden="false" customHeight="false" outlineLevel="0" collapsed="false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customFormat="false" ht="15.75" hidden="false" customHeight="false" outlineLevel="0" collapsed="false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customFormat="false" ht="15.75" hidden="false" customHeight="false" outlineLevel="0" collapsed="false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customFormat="false" ht="15.75" hidden="false" customHeight="false" outlineLevel="0" collapsed="false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customFormat="false" ht="15.75" hidden="false" customHeight="false" outlineLevel="0" collapsed="false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customFormat="false" ht="15.75" hidden="false" customHeight="false" outlineLevel="0" collapsed="false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customFormat="false" ht="15.75" hidden="false" customHeight="false" outlineLevel="0" collapsed="false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customFormat="false" ht="15.75" hidden="false" customHeight="false" outlineLevel="0" collapsed="false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customFormat="false" ht="15.75" hidden="false" customHeight="false" outlineLevel="0" collapsed="false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customFormat="false" ht="15.75" hidden="false" customHeight="false" outlineLevel="0" collapsed="false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customFormat="false" ht="15.75" hidden="false" customHeight="false" outlineLevel="0" collapsed="false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customFormat="false" ht="15.75" hidden="false" customHeight="false" outlineLevel="0" collapsed="false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customFormat="false" ht="15.75" hidden="false" customHeight="false" outlineLevel="0" collapsed="false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customFormat="false" ht="15.75" hidden="false" customHeight="false" outlineLevel="0" collapsed="false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customFormat="false" ht="15.75" hidden="false" customHeight="false" outlineLevel="0" collapsed="false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customFormat="false" ht="15.75" hidden="false" customHeight="false" outlineLevel="0" collapsed="false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customFormat="false" ht="15.75" hidden="false" customHeight="false" outlineLevel="0" collapsed="false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customFormat="false" ht="15.75" hidden="false" customHeight="false" outlineLevel="0" collapsed="false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customFormat="false" ht="15.75" hidden="false" customHeight="false" outlineLevel="0" collapsed="false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customFormat="false" ht="15.75" hidden="false" customHeight="false" outlineLevel="0" collapsed="false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customFormat="false" ht="15.75" hidden="false" customHeight="false" outlineLevel="0" collapsed="false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customFormat="false" ht="15.75" hidden="false" customHeight="false" outlineLevel="0" collapsed="false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customFormat="false" ht="15.75" hidden="false" customHeight="false" outlineLevel="0" collapsed="false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customFormat="false" ht="15.75" hidden="false" customHeight="false" outlineLevel="0" collapsed="false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customFormat="false" ht="15.75" hidden="false" customHeight="false" outlineLevel="0" collapsed="false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customFormat="false" ht="15.75" hidden="false" customHeight="false" outlineLevel="0" collapsed="false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customFormat="false" ht="15.75" hidden="false" customHeight="false" outlineLevel="0" collapsed="false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customFormat="false" ht="15.75" hidden="false" customHeight="false" outlineLevel="0" collapsed="false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customFormat="false" ht="15.75" hidden="false" customHeight="false" outlineLevel="0" collapsed="false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customFormat="false" ht="15.75" hidden="false" customHeight="false" outlineLevel="0" collapsed="false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customFormat="false" ht="15.75" hidden="false" customHeight="false" outlineLevel="0" collapsed="false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customFormat="false" ht="15.75" hidden="false" customHeight="false" outlineLevel="0" collapsed="false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customFormat="false" ht="15.75" hidden="false" customHeight="false" outlineLevel="0" collapsed="false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customFormat="false" ht="15.75" hidden="false" customHeight="false" outlineLevel="0" collapsed="false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customFormat="false" ht="15.75" hidden="false" customHeight="false" outlineLevel="0" collapsed="false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customFormat="false" ht="15.75" hidden="false" customHeight="false" outlineLevel="0" collapsed="false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customFormat="false" ht="15.75" hidden="false" customHeight="false" outlineLevel="0" collapsed="false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customFormat="false" ht="15.75" hidden="false" customHeight="false" outlineLevel="0" collapsed="false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customFormat="false" ht="15.75" hidden="false" customHeight="false" outlineLevel="0" collapsed="false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customFormat="false" ht="15.75" hidden="false" customHeight="false" outlineLevel="0" collapsed="false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customFormat="false" ht="15.75" hidden="false" customHeight="false" outlineLevel="0" collapsed="false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customFormat="false" ht="15.75" hidden="false" customHeight="false" outlineLevel="0" collapsed="false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customFormat="false" ht="15.75" hidden="false" customHeight="false" outlineLevel="0" collapsed="false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customFormat="false" ht="15.75" hidden="false" customHeight="false" outlineLevel="0" collapsed="false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customFormat="false" ht="15.75" hidden="false" customHeight="false" outlineLevel="0" collapsed="false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customFormat="false" ht="15.75" hidden="false" customHeight="false" outlineLevel="0" collapsed="false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customFormat="false" ht="15.75" hidden="false" customHeight="false" outlineLevel="0" collapsed="false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customFormat="false" ht="15.75" hidden="false" customHeight="false" outlineLevel="0" collapsed="false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customFormat="false" ht="15.75" hidden="false" customHeight="false" outlineLevel="0" collapsed="false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customFormat="false" ht="15.75" hidden="false" customHeight="false" outlineLevel="0" collapsed="false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customFormat="false" ht="15.75" hidden="false" customHeight="false" outlineLevel="0" collapsed="false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customFormat="false" ht="15.75" hidden="false" customHeight="false" outlineLevel="0" collapsed="false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customFormat="false" ht="15.75" hidden="false" customHeight="false" outlineLevel="0" collapsed="false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customFormat="false" ht="15.75" hidden="false" customHeight="false" outlineLevel="0" collapsed="false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customFormat="false" ht="15.75" hidden="false" customHeight="false" outlineLevel="0" collapsed="false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customFormat="false" ht="15.75" hidden="false" customHeight="false" outlineLevel="0" collapsed="false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customFormat="false" ht="15.75" hidden="false" customHeight="false" outlineLevel="0" collapsed="false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customFormat="false" ht="15.75" hidden="false" customHeight="false" outlineLevel="0" collapsed="false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customFormat="false" ht="15.75" hidden="false" customHeight="false" outlineLevel="0" collapsed="false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customFormat="false" ht="15.75" hidden="false" customHeight="false" outlineLevel="0" collapsed="false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customFormat="false" ht="15.75" hidden="false" customHeight="false" outlineLevel="0" collapsed="false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customFormat="false" ht="15.75" hidden="false" customHeight="false" outlineLevel="0" collapsed="false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customFormat="false" ht="15.75" hidden="false" customHeight="false" outlineLevel="0" collapsed="false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customFormat="false" ht="15.75" hidden="false" customHeight="false" outlineLevel="0" collapsed="false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customFormat="false" ht="15.75" hidden="false" customHeight="false" outlineLevel="0" collapsed="false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customFormat="false" ht="15.75" hidden="false" customHeight="false" outlineLevel="0" collapsed="false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customFormat="false" ht="15.75" hidden="false" customHeight="false" outlineLevel="0" collapsed="false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customFormat="false" ht="15.75" hidden="false" customHeight="false" outlineLevel="0" collapsed="false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customFormat="false" ht="15.75" hidden="false" customHeight="false" outlineLevel="0" collapsed="false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customFormat="false" ht="15.75" hidden="false" customHeight="false" outlineLevel="0" collapsed="false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customFormat="false" ht="15.75" hidden="false" customHeight="false" outlineLevel="0" collapsed="false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customFormat="false" ht="15.75" hidden="false" customHeight="false" outlineLevel="0" collapsed="false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customFormat="false" ht="15.75" hidden="false" customHeight="false" outlineLevel="0" collapsed="false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customFormat="false" ht="15.75" hidden="false" customHeight="false" outlineLevel="0" collapsed="false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customFormat="false" ht="15.75" hidden="false" customHeight="false" outlineLevel="0" collapsed="false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customFormat="false" ht="15.75" hidden="false" customHeight="false" outlineLevel="0" collapsed="false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customFormat="false" ht="15.75" hidden="false" customHeight="false" outlineLevel="0" collapsed="false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customFormat="false" ht="15.75" hidden="false" customHeight="false" outlineLevel="0" collapsed="false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customFormat="false" ht="15.75" hidden="false" customHeight="false" outlineLevel="0" collapsed="false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customFormat="false" ht="15.75" hidden="false" customHeight="false" outlineLevel="0" collapsed="false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customFormat="false" ht="15.75" hidden="false" customHeight="false" outlineLevel="0" collapsed="false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customFormat="false" ht="15.75" hidden="false" customHeight="false" outlineLevel="0" collapsed="false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customFormat="false" ht="15.75" hidden="false" customHeight="false" outlineLevel="0" collapsed="false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customFormat="false" ht="15.75" hidden="false" customHeight="false" outlineLevel="0" collapsed="false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customFormat="false" ht="15.75" hidden="false" customHeight="false" outlineLevel="0" collapsed="false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customFormat="false" ht="15.75" hidden="false" customHeight="false" outlineLevel="0" collapsed="false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customFormat="false" ht="15.75" hidden="false" customHeight="false" outlineLevel="0" collapsed="false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customFormat="false" ht="15.75" hidden="false" customHeight="false" outlineLevel="0" collapsed="false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customFormat="false" ht="15.75" hidden="false" customHeight="false" outlineLevel="0" collapsed="false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customFormat="false" ht="15.75" hidden="false" customHeight="false" outlineLevel="0" collapsed="false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customFormat="false" ht="15.75" hidden="false" customHeight="false" outlineLevel="0" collapsed="false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customFormat="false" ht="15.75" hidden="false" customHeight="false" outlineLevel="0" collapsed="false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customFormat="false" ht="15.75" hidden="false" customHeight="false" outlineLevel="0" collapsed="false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customFormat="false" ht="15.75" hidden="false" customHeight="false" outlineLevel="0" collapsed="false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customFormat="false" ht="15.75" hidden="false" customHeight="false" outlineLevel="0" collapsed="false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customFormat="false" ht="15.75" hidden="false" customHeight="false" outlineLevel="0" collapsed="false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customFormat="false" ht="15.75" hidden="false" customHeight="false" outlineLevel="0" collapsed="false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customFormat="false" ht="15.75" hidden="false" customHeight="false" outlineLevel="0" collapsed="false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customFormat="false" ht="15.75" hidden="false" customHeight="false" outlineLevel="0" collapsed="false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customFormat="false" ht="15.75" hidden="false" customHeight="false" outlineLevel="0" collapsed="false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customFormat="false" ht="15.75" hidden="false" customHeight="false" outlineLevel="0" collapsed="false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customFormat="false" ht="15.75" hidden="false" customHeight="false" outlineLevel="0" collapsed="false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customFormat="false" ht="15.75" hidden="false" customHeight="false" outlineLevel="0" collapsed="false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customFormat="false" ht="15.75" hidden="false" customHeight="false" outlineLevel="0" collapsed="false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customFormat="false" ht="15.75" hidden="false" customHeight="false" outlineLevel="0" collapsed="false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customFormat="false" ht="15.75" hidden="false" customHeight="false" outlineLevel="0" collapsed="false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customFormat="false" ht="15.75" hidden="false" customHeight="false" outlineLevel="0" collapsed="false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customFormat="false" ht="15.75" hidden="false" customHeight="false" outlineLevel="0" collapsed="false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customFormat="false" ht="15.75" hidden="false" customHeight="false" outlineLevel="0" collapsed="false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customFormat="false" ht="15.75" hidden="false" customHeight="false" outlineLevel="0" collapsed="false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customFormat="false" ht="15.75" hidden="false" customHeight="false" outlineLevel="0" collapsed="false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customFormat="false" ht="15.75" hidden="false" customHeight="false" outlineLevel="0" collapsed="false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customFormat="false" ht="15.75" hidden="false" customHeight="false" outlineLevel="0" collapsed="false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customFormat="false" ht="15.75" hidden="false" customHeight="false" outlineLevel="0" collapsed="false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customFormat="false" ht="15.75" hidden="false" customHeight="false" outlineLevel="0" collapsed="false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customFormat="false" ht="15.75" hidden="false" customHeight="false" outlineLevel="0" collapsed="false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customFormat="false" ht="15.75" hidden="false" customHeight="false" outlineLevel="0" collapsed="false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customFormat="false" ht="15.75" hidden="false" customHeight="false" outlineLevel="0" collapsed="false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customFormat="false" ht="15.75" hidden="false" customHeight="false" outlineLevel="0" collapsed="false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customFormat="false" ht="15.75" hidden="false" customHeight="false" outlineLevel="0" collapsed="false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customFormat="false" ht="15.75" hidden="false" customHeight="false" outlineLevel="0" collapsed="false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customFormat="false" ht="15.75" hidden="false" customHeight="false" outlineLevel="0" collapsed="false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customFormat="false" ht="15.75" hidden="false" customHeight="false" outlineLevel="0" collapsed="false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customFormat="false" ht="15.75" hidden="false" customHeight="false" outlineLevel="0" collapsed="false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customFormat="false" ht="15.75" hidden="false" customHeight="false" outlineLevel="0" collapsed="false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customFormat="false" ht="15.75" hidden="false" customHeight="false" outlineLevel="0" collapsed="false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customFormat="false" ht="15.75" hidden="false" customHeight="false" outlineLevel="0" collapsed="false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customFormat="false" ht="15.75" hidden="false" customHeight="false" outlineLevel="0" collapsed="false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customFormat="false" ht="15.75" hidden="false" customHeight="false" outlineLevel="0" collapsed="false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customFormat="false" ht="15.75" hidden="false" customHeight="false" outlineLevel="0" collapsed="false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customFormat="false" ht="15.75" hidden="false" customHeight="false" outlineLevel="0" collapsed="false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customFormat="false" ht="15.75" hidden="false" customHeight="false" outlineLevel="0" collapsed="false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customFormat="false" ht="15.75" hidden="false" customHeight="false" outlineLevel="0" collapsed="false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customFormat="false" ht="15.75" hidden="false" customHeight="false" outlineLevel="0" collapsed="false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customFormat="false" ht="15.75" hidden="false" customHeight="false" outlineLevel="0" collapsed="false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customFormat="false" ht="15.75" hidden="false" customHeight="false" outlineLevel="0" collapsed="false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customFormat="false" ht="15.75" hidden="false" customHeight="false" outlineLevel="0" collapsed="false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customFormat="false" ht="15.75" hidden="false" customHeight="false" outlineLevel="0" collapsed="false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customFormat="false" ht="15.75" hidden="false" customHeight="false" outlineLevel="0" collapsed="false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customFormat="false" ht="15.75" hidden="false" customHeight="false" outlineLevel="0" collapsed="false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customFormat="false" ht="15.75" hidden="false" customHeight="false" outlineLevel="0" collapsed="false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customFormat="false" ht="15.75" hidden="false" customHeight="false" outlineLevel="0" collapsed="false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customFormat="false" ht="15.75" hidden="false" customHeight="false" outlineLevel="0" collapsed="false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customFormat="false" ht="15.75" hidden="false" customHeight="false" outlineLevel="0" collapsed="false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customFormat="false" ht="15.75" hidden="false" customHeight="false" outlineLevel="0" collapsed="false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customFormat="false" ht="15.75" hidden="false" customHeight="false" outlineLevel="0" collapsed="false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customFormat="false" ht="15.75" hidden="false" customHeight="false" outlineLevel="0" collapsed="false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customFormat="false" ht="15.75" hidden="false" customHeight="false" outlineLevel="0" collapsed="false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customFormat="false" ht="15.75" hidden="false" customHeight="false" outlineLevel="0" collapsed="false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customFormat="false" ht="15.75" hidden="false" customHeight="false" outlineLevel="0" collapsed="false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customFormat="false" ht="15.75" hidden="false" customHeight="false" outlineLevel="0" collapsed="false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customFormat="false" ht="15.75" hidden="false" customHeight="false" outlineLevel="0" collapsed="false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customFormat="false" ht="15.75" hidden="false" customHeight="false" outlineLevel="0" collapsed="false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customFormat="false" ht="15.75" hidden="false" customHeight="false" outlineLevel="0" collapsed="false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customFormat="false" ht="15.75" hidden="false" customHeight="false" outlineLevel="0" collapsed="false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customFormat="false" ht="15.75" hidden="false" customHeight="false" outlineLevel="0" collapsed="false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customFormat="false" ht="15.75" hidden="false" customHeight="false" outlineLevel="0" collapsed="false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customFormat="false" ht="15.75" hidden="false" customHeight="false" outlineLevel="0" collapsed="false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customFormat="false" ht="15.75" hidden="false" customHeight="false" outlineLevel="0" collapsed="false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customFormat="false" ht="15.75" hidden="false" customHeight="false" outlineLevel="0" collapsed="false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customFormat="false" ht="15.75" hidden="false" customHeight="false" outlineLevel="0" collapsed="false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customFormat="false" ht="15.75" hidden="false" customHeight="false" outlineLevel="0" collapsed="false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customFormat="false" ht="15.75" hidden="false" customHeight="false" outlineLevel="0" collapsed="false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customFormat="false" ht="15.75" hidden="false" customHeight="false" outlineLevel="0" collapsed="false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customFormat="false" ht="15.75" hidden="false" customHeight="false" outlineLevel="0" collapsed="false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customFormat="false" ht="15.75" hidden="false" customHeight="false" outlineLevel="0" collapsed="false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customFormat="false" ht="15.75" hidden="false" customHeight="false" outlineLevel="0" collapsed="false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customFormat="false" ht="15.75" hidden="false" customHeight="false" outlineLevel="0" collapsed="false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customFormat="false" ht="15.75" hidden="false" customHeight="false" outlineLevel="0" collapsed="false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customFormat="false" ht="15.75" hidden="false" customHeight="false" outlineLevel="0" collapsed="false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customFormat="false" ht="15.75" hidden="false" customHeight="false" outlineLevel="0" collapsed="false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customFormat="false" ht="15.75" hidden="false" customHeight="false" outlineLevel="0" collapsed="false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customFormat="false" ht="15.75" hidden="false" customHeight="false" outlineLevel="0" collapsed="false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customFormat="false" ht="15.75" hidden="false" customHeight="false" outlineLevel="0" collapsed="false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customFormat="false" ht="15.75" hidden="false" customHeight="false" outlineLevel="0" collapsed="false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customFormat="false" ht="15.75" hidden="false" customHeight="false" outlineLevel="0" collapsed="false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customFormat="false" ht="15.75" hidden="false" customHeight="false" outlineLevel="0" collapsed="false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customFormat="false" ht="15.75" hidden="false" customHeight="false" outlineLevel="0" collapsed="false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customFormat="false" ht="15.75" hidden="false" customHeight="false" outlineLevel="0" collapsed="false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customFormat="false" ht="15.75" hidden="false" customHeight="false" outlineLevel="0" collapsed="false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customFormat="false" ht="15.75" hidden="false" customHeight="false" outlineLevel="0" collapsed="false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customFormat="false" ht="15.75" hidden="false" customHeight="false" outlineLevel="0" collapsed="false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customFormat="false" ht="15.75" hidden="false" customHeight="false" outlineLevel="0" collapsed="false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customFormat="false" ht="15.75" hidden="false" customHeight="false" outlineLevel="0" collapsed="false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customFormat="false" ht="15.75" hidden="false" customHeight="false" outlineLevel="0" collapsed="false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customFormat="false" ht="15.75" hidden="false" customHeight="false" outlineLevel="0" collapsed="false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customFormat="false" ht="15.75" hidden="false" customHeight="false" outlineLevel="0" collapsed="false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customFormat="false" ht="15.75" hidden="false" customHeight="false" outlineLevel="0" collapsed="false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customFormat="false" ht="15.75" hidden="false" customHeight="false" outlineLevel="0" collapsed="false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customFormat="false" ht="15.75" hidden="false" customHeight="false" outlineLevel="0" collapsed="false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customFormat="false" ht="15.75" hidden="false" customHeight="false" outlineLevel="0" collapsed="false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customFormat="false" ht="15.75" hidden="false" customHeight="false" outlineLevel="0" collapsed="false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customFormat="false" ht="15.75" hidden="false" customHeight="false" outlineLevel="0" collapsed="false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customFormat="false" ht="15.75" hidden="false" customHeight="false" outlineLevel="0" collapsed="false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customFormat="false" ht="15.75" hidden="false" customHeight="false" outlineLevel="0" collapsed="false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customFormat="false" ht="15.75" hidden="false" customHeight="false" outlineLevel="0" collapsed="false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customFormat="false" ht="15.75" hidden="false" customHeight="false" outlineLevel="0" collapsed="false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customFormat="false" ht="15.75" hidden="false" customHeight="false" outlineLevel="0" collapsed="false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customFormat="false" ht="15.75" hidden="false" customHeight="false" outlineLevel="0" collapsed="false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customFormat="false" ht="15.75" hidden="false" customHeight="false" outlineLevel="0" collapsed="false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customFormat="false" ht="15.75" hidden="false" customHeight="false" outlineLevel="0" collapsed="false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customFormat="false" ht="15.75" hidden="false" customHeight="false" outlineLevel="0" collapsed="false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customFormat="false" ht="15.75" hidden="false" customHeight="false" outlineLevel="0" collapsed="false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customFormat="false" ht="15.75" hidden="false" customHeight="false" outlineLevel="0" collapsed="false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customFormat="false" ht="15.75" hidden="false" customHeight="false" outlineLevel="0" collapsed="false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customFormat="false" ht="15.75" hidden="false" customHeight="false" outlineLevel="0" collapsed="false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customFormat="false" ht="15.75" hidden="false" customHeight="false" outlineLevel="0" collapsed="false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customFormat="false" ht="15.75" hidden="false" customHeight="false" outlineLevel="0" collapsed="false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customFormat="false" ht="15.75" hidden="false" customHeight="false" outlineLevel="0" collapsed="false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customFormat="false" ht="15.75" hidden="false" customHeight="false" outlineLevel="0" collapsed="false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customFormat="false" ht="15.75" hidden="false" customHeight="false" outlineLevel="0" collapsed="false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customFormat="false" ht="15.75" hidden="false" customHeight="false" outlineLevel="0" collapsed="false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customFormat="false" ht="15.75" hidden="false" customHeight="false" outlineLevel="0" collapsed="false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customFormat="false" ht="15.75" hidden="false" customHeight="false" outlineLevel="0" collapsed="false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customFormat="false" ht="15.75" hidden="false" customHeight="false" outlineLevel="0" collapsed="false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customFormat="false" ht="15.75" hidden="false" customHeight="false" outlineLevel="0" collapsed="false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customFormat="false" ht="15.75" hidden="false" customHeight="false" outlineLevel="0" collapsed="false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customFormat="false" ht="15.75" hidden="false" customHeight="false" outlineLevel="0" collapsed="false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customFormat="false" ht="15.75" hidden="false" customHeight="false" outlineLevel="0" collapsed="false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customFormat="false" ht="15.75" hidden="false" customHeight="false" outlineLevel="0" collapsed="false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customFormat="false" ht="15.75" hidden="false" customHeight="false" outlineLevel="0" collapsed="false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customFormat="false" ht="15.75" hidden="false" customHeight="false" outlineLevel="0" collapsed="false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customFormat="false" ht="15.75" hidden="false" customHeight="false" outlineLevel="0" collapsed="false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customFormat="false" ht="15.75" hidden="false" customHeight="false" outlineLevel="0" collapsed="false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customFormat="false" ht="15.75" hidden="false" customHeight="false" outlineLevel="0" collapsed="false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customFormat="false" ht="15.75" hidden="false" customHeight="false" outlineLevel="0" collapsed="false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customFormat="false" ht="15.75" hidden="false" customHeight="false" outlineLevel="0" collapsed="false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customFormat="false" ht="15.75" hidden="false" customHeight="false" outlineLevel="0" collapsed="false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customFormat="false" ht="15.75" hidden="false" customHeight="false" outlineLevel="0" collapsed="false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customFormat="false" ht="15.75" hidden="false" customHeight="false" outlineLevel="0" collapsed="false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customFormat="false" ht="15.75" hidden="false" customHeight="false" outlineLevel="0" collapsed="false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customFormat="false" ht="15.75" hidden="false" customHeight="false" outlineLevel="0" collapsed="false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customFormat="false" ht="15.75" hidden="false" customHeight="false" outlineLevel="0" collapsed="false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customFormat="false" ht="15.75" hidden="false" customHeight="false" outlineLevel="0" collapsed="false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customFormat="false" ht="15.75" hidden="false" customHeight="false" outlineLevel="0" collapsed="false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customFormat="false" ht="15.75" hidden="false" customHeight="false" outlineLevel="0" collapsed="false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customFormat="false" ht="15.75" hidden="false" customHeight="false" outlineLevel="0" collapsed="false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customFormat="false" ht="15.75" hidden="false" customHeight="false" outlineLevel="0" collapsed="false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customFormat="false" ht="15.75" hidden="false" customHeight="false" outlineLevel="0" collapsed="false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customFormat="false" ht="15.75" hidden="false" customHeight="false" outlineLevel="0" collapsed="false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customFormat="false" ht="15.75" hidden="false" customHeight="false" outlineLevel="0" collapsed="false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customFormat="false" ht="15.75" hidden="false" customHeight="false" outlineLevel="0" collapsed="false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customFormat="false" ht="15.75" hidden="false" customHeight="false" outlineLevel="0" collapsed="false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customFormat="false" ht="15.75" hidden="false" customHeight="false" outlineLevel="0" collapsed="false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customFormat="false" ht="15.75" hidden="false" customHeight="false" outlineLevel="0" collapsed="false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customFormat="false" ht="15.75" hidden="false" customHeight="false" outlineLevel="0" collapsed="false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customFormat="false" ht="15.75" hidden="false" customHeight="false" outlineLevel="0" collapsed="false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3" t="s">
        <v>101</v>
      </c>
      <c r="B1" s="133" t="s">
        <v>102</v>
      </c>
      <c r="C1" s="133" t="s">
        <v>38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customFormat="false" ht="15.75" hidden="false" customHeight="false" outlineLevel="0" collapsed="false">
      <c r="A2" s="133" t="s">
        <v>103</v>
      </c>
      <c r="B2" s="133" t="s">
        <v>103</v>
      </c>
      <c r="C2" s="133" t="s">
        <v>37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customFormat="false" ht="15.75" hidden="false" customHeight="false" outlineLevel="0" collapsed="false">
      <c r="A3" s="133" t="s">
        <v>104</v>
      </c>
      <c r="B3" s="133" t="s">
        <v>105</v>
      </c>
      <c r="C3" s="133" t="s">
        <v>40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customFormat="false" ht="15.75" hidden="false" customHeight="false" outlineLevel="0" collapsed="false">
      <c r="A4" s="133" t="s">
        <v>105</v>
      </c>
      <c r="B4" s="133"/>
      <c r="C4" s="133" t="s">
        <v>34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customFormat="false" ht="15.75" hidden="false" customHeight="false" outlineLevel="0" collapsed="false">
      <c r="A5" s="133"/>
      <c r="B5" s="133"/>
      <c r="C5" s="133" t="s">
        <v>47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customFormat="false" ht="15.75" hidden="false" customHeight="false" outlineLevel="0" collapsed="false">
      <c r="A6" s="133"/>
      <c r="B6" s="133"/>
      <c r="C6" s="133" t="s">
        <v>39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customFormat="false" ht="15.75" hidden="false" customHeight="false" outlineLevel="0" collapsed="false">
      <c r="A7" s="133"/>
      <c r="B7" s="133"/>
      <c r="C7" s="133" t="s">
        <v>41</v>
      </c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customFormat="false" ht="15.75" hidden="false" customHeight="false" outlineLevel="0" collapsed="false">
      <c r="A8" s="133"/>
      <c r="B8" s="133"/>
      <c r="C8" s="133" t="s">
        <v>36</v>
      </c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customFormat="false" ht="15.75" hidden="false" customHeight="false" outlineLevel="0" collapsed="false">
      <c r="A9" s="133"/>
      <c r="B9" s="133"/>
      <c r="C9" s="133" t="s">
        <v>35</v>
      </c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customFormat="false" ht="15.75" hidden="false" customHeight="false" outlineLevel="0" collapsed="false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customFormat="false" ht="15.75" hidden="false" customHeight="false" outlineLevel="0" collapsed="false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customFormat="false" ht="15.75" hidden="false" customHeight="false" outlineLevel="0" collapsed="false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customFormat="false" ht="15.75" hidden="false" customHeight="false" outlineLevel="0" collapsed="false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customFormat="false" ht="15.75" hidden="false" customHeight="false" outlineLevel="0" collapsed="false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customFormat="false" ht="15.75" hidden="false" customHeight="false" outlineLevel="0" collapsed="false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customFormat="false" ht="15.75" hidden="false" customHeight="false" outlineLevel="0" collapsed="false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customFormat="false" ht="15.75" hidden="false" customHeight="false" outlineLevel="0" collapsed="false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customFormat="false" ht="15.75" hidden="false" customHeight="false" outlineLevel="0" collapsed="false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customFormat="false" ht="15.75" hidden="false" customHeight="false" outlineLevel="0" collapsed="false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customFormat="false" ht="15.75" hidden="false" customHeight="false" outlineLevel="0" collapsed="false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customFormat="false" ht="15.75" hidden="false" customHeight="false" outlineLevel="0" collapsed="false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customFormat="false" ht="15.75" hidden="false" customHeight="false" outlineLevel="0" collapsed="false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customFormat="false" ht="15.75" hidden="false" customHeight="false" outlineLevel="0" collapsed="false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customFormat="false" ht="15.75" hidden="false" customHeight="false" outlineLevel="0" collapsed="false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customFormat="false" ht="15.75" hidden="false" customHeight="false" outlineLevel="0" collapsed="false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customFormat="false" ht="15.75" hidden="false" customHeight="false" outlineLevel="0" collapsed="false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customFormat="false" ht="15.75" hidden="false" customHeight="false" outlineLevel="0" collapsed="false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customFormat="false" ht="15.75" hidden="false" customHeight="false" outlineLevel="0" collapsed="false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customFormat="false" ht="15.75" hidden="false" customHeight="false" outlineLevel="0" collapsed="false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customFormat="false" ht="15.75" hidden="false" customHeight="false" outlineLevel="0" collapsed="false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customFormat="false" ht="15.75" hidden="false" customHeight="false" outlineLevel="0" collapsed="false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customFormat="false" ht="15.75" hidden="false" customHeight="false" outlineLevel="0" collapsed="false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customFormat="false" ht="15.75" hidden="false" customHeight="false" outlineLevel="0" collapsed="false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customFormat="false" ht="15.75" hidden="false" customHeight="false" outlineLevel="0" collapsed="false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customFormat="false" ht="15.75" hidden="false" customHeight="false" outlineLevel="0" collapsed="false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customFormat="false" ht="15.75" hidden="false" customHeight="false" outlineLevel="0" collapsed="false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customFormat="false" ht="15.75" hidden="false" customHeight="false" outlineLevel="0" collapsed="false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customFormat="false" ht="15.75" hidden="false" customHeight="false" outlineLevel="0" collapsed="false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customFormat="false" ht="15.75" hidden="false" customHeight="false" outlineLevel="0" collapsed="false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customFormat="false" ht="15.75" hidden="false" customHeight="false" outlineLevel="0" collapsed="false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customFormat="false" ht="15.75" hidden="false" customHeight="false" outlineLevel="0" collapsed="false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customFormat="false" ht="15.75" hidden="false" customHeight="false" outlineLevel="0" collapsed="false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customFormat="false" ht="15.75" hidden="false" customHeight="false" outlineLevel="0" collapsed="false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customFormat="false" ht="15.75" hidden="false" customHeight="false" outlineLevel="0" collapsed="false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customFormat="false" ht="15.75" hidden="false" customHeight="false" outlineLevel="0" collapsed="false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customFormat="false" ht="15.75" hidden="false" customHeight="false" outlineLevel="0" collapsed="false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customFormat="false" ht="15.75" hidden="false" customHeight="false" outlineLevel="0" collapsed="false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customFormat="false" ht="15.75" hidden="false" customHeight="false" outlineLevel="0" collapsed="false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customFormat="false" ht="15.75" hidden="false" customHeight="false" outlineLevel="0" collapsed="false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customFormat="false" ht="15.75" hidden="false" customHeight="false" outlineLevel="0" collapsed="false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customFormat="false" ht="15.75" hidden="false" customHeight="false" outlineLevel="0" collapsed="false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customFormat="false" ht="15.75" hidden="false" customHeight="false" outlineLevel="0" collapsed="false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customFormat="false" ht="15.75" hidden="false" customHeight="false" outlineLevel="0" collapsed="false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customFormat="false" ht="15.75" hidden="false" customHeight="false" outlineLevel="0" collapsed="false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customFormat="false" ht="15.75" hidden="false" customHeight="false" outlineLevel="0" collapsed="false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customFormat="false" ht="15.75" hidden="false" customHeight="false" outlineLevel="0" collapsed="false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customFormat="false" ht="15.75" hidden="false" customHeight="false" outlineLevel="0" collapsed="false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customFormat="false" ht="15.75" hidden="false" customHeight="false" outlineLevel="0" collapsed="false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customFormat="false" ht="15.75" hidden="false" customHeight="false" outlineLevel="0" collapsed="false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customFormat="false" ht="15.75" hidden="false" customHeight="false" outlineLevel="0" collapsed="false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customFormat="false" ht="15.75" hidden="false" customHeight="false" outlineLevel="0" collapsed="false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customFormat="false" ht="15.75" hidden="false" customHeight="false" outlineLevel="0" collapsed="false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customFormat="false" ht="15.75" hidden="false" customHeight="false" outlineLevel="0" collapsed="false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customFormat="false" ht="15.75" hidden="false" customHeight="false" outlineLevel="0" collapsed="false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customFormat="false" ht="15.75" hidden="false" customHeight="false" outlineLevel="0" collapsed="false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customFormat="false" ht="15.75" hidden="false" customHeight="false" outlineLevel="0" collapsed="false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customFormat="false" ht="15.75" hidden="false" customHeight="false" outlineLevel="0" collapsed="false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customFormat="false" ht="15.75" hidden="false" customHeight="false" outlineLevel="0" collapsed="false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customFormat="false" ht="15.75" hidden="false" customHeight="false" outlineLevel="0" collapsed="false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customFormat="false" ht="15.75" hidden="false" customHeight="false" outlineLevel="0" collapsed="false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customFormat="false" ht="15.75" hidden="false" customHeight="false" outlineLevel="0" collapsed="false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customFormat="false" ht="15.75" hidden="false" customHeight="false" outlineLevel="0" collapsed="false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customFormat="false" ht="15.75" hidden="false" customHeight="false" outlineLevel="0" collapsed="false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customFormat="false" ht="15.75" hidden="false" customHeight="false" outlineLevel="0" collapsed="false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customFormat="false" ht="15.75" hidden="false" customHeight="false" outlineLevel="0" collapsed="false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customFormat="false" ht="15.75" hidden="false" customHeight="false" outlineLevel="0" collapsed="false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customFormat="false" ht="15.75" hidden="false" customHeight="false" outlineLevel="0" collapsed="false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customFormat="false" ht="15.75" hidden="false" customHeight="false" outlineLevel="0" collapsed="false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customFormat="false" ht="15.75" hidden="false" customHeight="false" outlineLevel="0" collapsed="false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customFormat="false" ht="15.75" hidden="false" customHeight="false" outlineLevel="0" collapsed="false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customFormat="false" ht="15.75" hidden="false" customHeight="false" outlineLevel="0" collapsed="false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customFormat="false" ht="15.75" hidden="false" customHeight="false" outlineLevel="0" collapsed="false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customFormat="false" ht="15.75" hidden="false" customHeight="false" outlineLevel="0" collapsed="false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customFormat="false" ht="15.75" hidden="false" customHeight="false" outlineLevel="0" collapsed="false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customFormat="false" ht="15.75" hidden="false" customHeight="false" outlineLevel="0" collapsed="false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customFormat="false" ht="15.75" hidden="false" customHeight="false" outlineLevel="0" collapsed="false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customFormat="false" ht="15.75" hidden="false" customHeight="false" outlineLevel="0" collapsed="false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customFormat="false" ht="15.75" hidden="false" customHeight="false" outlineLevel="0" collapsed="false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customFormat="false" ht="15.75" hidden="false" customHeight="false" outlineLevel="0" collapsed="false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customFormat="false" ht="15.75" hidden="false" customHeight="false" outlineLevel="0" collapsed="false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customFormat="false" ht="15.75" hidden="false" customHeight="false" outlineLevel="0" collapsed="false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customFormat="false" ht="15.75" hidden="false" customHeight="false" outlineLevel="0" collapsed="false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customFormat="false" ht="15.75" hidden="false" customHeight="false" outlineLevel="0" collapsed="false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customFormat="false" ht="15.75" hidden="false" customHeight="false" outlineLevel="0" collapsed="false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customFormat="false" ht="15.75" hidden="false" customHeight="false" outlineLevel="0" collapsed="false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customFormat="false" ht="15.75" hidden="false" customHeight="false" outlineLevel="0" collapsed="false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customFormat="false" ht="15.75" hidden="false" customHeight="false" outlineLevel="0" collapsed="false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customFormat="false" ht="15.75" hidden="false" customHeight="false" outlineLevel="0" collapsed="false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customFormat="false" ht="15.75" hidden="false" customHeight="false" outlineLevel="0" collapsed="false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customFormat="false" ht="15.75" hidden="false" customHeight="false" outlineLevel="0" collapsed="false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customFormat="false" ht="15.75" hidden="false" customHeight="false" outlineLevel="0" collapsed="false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customFormat="false" ht="15.75" hidden="false" customHeight="false" outlineLevel="0" collapsed="false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customFormat="false" ht="15.75" hidden="false" customHeight="false" outlineLevel="0" collapsed="false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customFormat="false" ht="15.75" hidden="false" customHeight="false" outlineLevel="0" collapsed="false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customFormat="false" ht="15.75" hidden="false" customHeight="false" outlineLevel="0" collapsed="false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customFormat="false" ht="15.75" hidden="false" customHeight="false" outlineLevel="0" collapsed="false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customFormat="false" ht="15.75" hidden="false" customHeight="false" outlineLevel="0" collapsed="false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customFormat="false" ht="15.75" hidden="false" customHeight="false" outlineLevel="0" collapsed="false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customFormat="false" ht="15.75" hidden="false" customHeight="false" outlineLevel="0" collapsed="false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customFormat="false" ht="15.75" hidden="false" customHeight="false" outlineLevel="0" collapsed="false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customFormat="false" ht="15.75" hidden="false" customHeight="false" outlineLevel="0" collapsed="false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customFormat="false" ht="15.75" hidden="false" customHeight="false" outlineLevel="0" collapsed="false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customFormat="false" ht="15.75" hidden="false" customHeight="false" outlineLevel="0" collapsed="false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customFormat="false" ht="15.75" hidden="false" customHeight="false" outlineLevel="0" collapsed="false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customFormat="false" ht="15.75" hidden="false" customHeight="false" outlineLevel="0" collapsed="false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customFormat="false" ht="15.75" hidden="false" customHeight="false" outlineLevel="0" collapsed="false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customFormat="false" ht="15.75" hidden="false" customHeight="false" outlineLevel="0" collapsed="false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customFormat="false" ht="15.75" hidden="false" customHeight="false" outlineLevel="0" collapsed="false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customFormat="false" ht="15.75" hidden="false" customHeight="false" outlineLevel="0" collapsed="false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customFormat="false" ht="15.75" hidden="false" customHeight="false" outlineLevel="0" collapsed="false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customFormat="false" ht="15.75" hidden="false" customHeight="false" outlineLevel="0" collapsed="false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customFormat="false" ht="15.75" hidden="false" customHeight="false" outlineLevel="0" collapsed="false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customFormat="false" ht="15.75" hidden="false" customHeight="false" outlineLevel="0" collapsed="false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customFormat="false" ht="15.75" hidden="false" customHeight="false" outlineLevel="0" collapsed="false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customFormat="false" ht="15.75" hidden="false" customHeight="false" outlineLevel="0" collapsed="false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customFormat="false" ht="15.75" hidden="false" customHeight="false" outlineLevel="0" collapsed="false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customFormat="false" ht="15.75" hidden="false" customHeight="false" outlineLevel="0" collapsed="false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customFormat="false" ht="15.75" hidden="false" customHeight="false" outlineLevel="0" collapsed="false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customFormat="false" ht="15.75" hidden="false" customHeight="false" outlineLevel="0" collapsed="false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customFormat="false" ht="15.75" hidden="false" customHeight="false" outlineLevel="0" collapsed="false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customFormat="false" ht="15.75" hidden="false" customHeight="false" outlineLevel="0" collapsed="false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customFormat="false" ht="15.75" hidden="false" customHeight="false" outlineLevel="0" collapsed="false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customFormat="false" ht="15.75" hidden="false" customHeight="false" outlineLevel="0" collapsed="false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customFormat="false" ht="15.75" hidden="false" customHeight="false" outlineLevel="0" collapsed="false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customFormat="false" ht="15.75" hidden="false" customHeight="false" outlineLevel="0" collapsed="false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customFormat="false" ht="15.75" hidden="false" customHeight="false" outlineLevel="0" collapsed="false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customFormat="false" ht="15.75" hidden="false" customHeight="false" outlineLevel="0" collapsed="false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customFormat="false" ht="15.75" hidden="false" customHeight="false" outlineLevel="0" collapsed="false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customFormat="false" ht="15.75" hidden="false" customHeight="false" outlineLevel="0" collapsed="false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customFormat="false" ht="15.75" hidden="false" customHeight="false" outlineLevel="0" collapsed="false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customFormat="false" ht="15.75" hidden="false" customHeight="false" outlineLevel="0" collapsed="false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customFormat="false" ht="15.75" hidden="false" customHeight="false" outlineLevel="0" collapsed="false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customFormat="false" ht="15.75" hidden="false" customHeight="false" outlineLevel="0" collapsed="false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customFormat="false" ht="15.75" hidden="false" customHeight="false" outlineLevel="0" collapsed="false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customFormat="false" ht="15.75" hidden="false" customHeight="false" outlineLevel="0" collapsed="false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customFormat="false" ht="15.75" hidden="false" customHeight="false" outlineLevel="0" collapsed="false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customFormat="false" ht="15.75" hidden="false" customHeight="false" outlineLevel="0" collapsed="false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customFormat="false" ht="15.75" hidden="false" customHeight="false" outlineLevel="0" collapsed="false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customFormat="false" ht="15.75" hidden="false" customHeight="false" outlineLevel="0" collapsed="false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customFormat="false" ht="15.75" hidden="false" customHeight="false" outlineLevel="0" collapsed="false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customFormat="false" ht="15.75" hidden="false" customHeight="false" outlineLevel="0" collapsed="false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customFormat="false" ht="15.75" hidden="false" customHeight="false" outlineLevel="0" collapsed="false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customFormat="false" ht="15.75" hidden="false" customHeight="false" outlineLevel="0" collapsed="false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customFormat="false" ht="15.75" hidden="false" customHeight="false" outlineLevel="0" collapsed="false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customFormat="false" ht="15.75" hidden="false" customHeight="false" outlineLevel="0" collapsed="false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customFormat="false" ht="15.75" hidden="false" customHeight="false" outlineLevel="0" collapsed="false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customFormat="false" ht="15.75" hidden="false" customHeight="false" outlineLevel="0" collapsed="false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customFormat="false" ht="15.75" hidden="false" customHeight="false" outlineLevel="0" collapsed="false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customFormat="false" ht="15.75" hidden="false" customHeight="false" outlineLevel="0" collapsed="false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customFormat="false" ht="15.75" hidden="false" customHeight="false" outlineLevel="0" collapsed="false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customFormat="false" ht="15.75" hidden="false" customHeight="false" outlineLevel="0" collapsed="false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customFormat="false" ht="15.75" hidden="false" customHeight="false" outlineLevel="0" collapsed="false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customFormat="false" ht="15.75" hidden="false" customHeight="false" outlineLevel="0" collapsed="false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customFormat="false" ht="15.75" hidden="false" customHeight="false" outlineLevel="0" collapsed="false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customFormat="false" ht="15.75" hidden="false" customHeight="false" outlineLevel="0" collapsed="false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customFormat="false" ht="15.75" hidden="false" customHeight="false" outlineLevel="0" collapsed="false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customFormat="false" ht="15.75" hidden="false" customHeight="false" outlineLevel="0" collapsed="false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customFormat="false" ht="15.75" hidden="false" customHeight="false" outlineLevel="0" collapsed="false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customFormat="false" ht="15.75" hidden="false" customHeight="false" outlineLevel="0" collapsed="false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customFormat="false" ht="15.75" hidden="false" customHeight="false" outlineLevel="0" collapsed="false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customFormat="false" ht="15.75" hidden="false" customHeight="false" outlineLevel="0" collapsed="false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customFormat="false" ht="15.75" hidden="false" customHeight="false" outlineLevel="0" collapsed="false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customFormat="false" ht="15.75" hidden="false" customHeight="false" outlineLevel="0" collapsed="false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customFormat="false" ht="15.75" hidden="false" customHeight="false" outlineLevel="0" collapsed="false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customFormat="false" ht="15.75" hidden="false" customHeight="false" outlineLevel="0" collapsed="false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customFormat="false" ht="15.75" hidden="false" customHeight="false" outlineLevel="0" collapsed="false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customFormat="false" ht="15.75" hidden="false" customHeight="false" outlineLevel="0" collapsed="false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customFormat="false" ht="15.75" hidden="false" customHeight="false" outlineLevel="0" collapsed="false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customFormat="false" ht="15.75" hidden="false" customHeight="false" outlineLevel="0" collapsed="false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customFormat="false" ht="15.75" hidden="false" customHeight="false" outlineLevel="0" collapsed="false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customFormat="false" ht="15.75" hidden="false" customHeight="false" outlineLevel="0" collapsed="false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customFormat="false" ht="15.75" hidden="false" customHeight="false" outlineLevel="0" collapsed="false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customFormat="false" ht="15.75" hidden="false" customHeight="false" outlineLevel="0" collapsed="false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customFormat="false" ht="15.75" hidden="false" customHeight="false" outlineLevel="0" collapsed="false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customFormat="false" ht="15.75" hidden="false" customHeight="false" outlineLevel="0" collapsed="false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customFormat="false" ht="15.75" hidden="false" customHeight="false" outlineLevel="0" collapsed="false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customFormat="false" ht="15.75" hidden="false" customHeight="false" outlineLevel="0" collapsed="false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customFormat="false" ht="15.75" hidden="false" customHeight="false" outlineLevel="0" collapsed="false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customFormat="false" ht="15.75" hidden="false" customHeight="false" outlineLevel="0" collapsed="false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customFormat="false" ht="15.75" hidden="false" customHeight="false" outlineLevel="0" collapsed="false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customFormat="false" ht="15.75" hidden="false" customHeight="false" outlineLevel="0" collapsed="false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customFormat="false" ht="15.75" hidden="false" customHeight="false" outlineLevel="0" collapsed="false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customFormat="false" ht="15.75" hidden="false" customHeight="false" outlineLevel="0" collapsed="false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customFormat="false" ht="15.75" hidden="false" customHeight="false" outlineLevel="0" collapsed="false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customFormat="false" ht="15.75" hidden="false" customHeight="false" outlineLevel="0" collapsed="false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customFormat="false" ht="15.75" hidden="false" customHeight="false" outlineLevel="0" collapsed="false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customFormat="false" ht="15.75" hidden="false" customHeight="false" outlineLevel="0" collapsed="false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customFormat="false" ht="15.75" hidden="false" customHeight="false" outlineLevel="0" collapsed="false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customFormat="false" ht="15.75" hidden="false" customHeight="false" outlineLevel="0" collapsed="false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customFormat="false" ht="15.75" hidden="false" customHeight="false" outlineLevel="0" collapsed="false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customFormat="false" ht="15.75" hidden="false" customHeight="false" outlineLevel="0" collapsed="false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customFormat="false" ht="15.75" hidden="false" customHeight="false" outlineLevel="0" collapsed="false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customFormat="false" ht="15.75" hidden="false" customHeight="false" outlineLevel="0" collapsed="false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customFormat="false" ht="15.75" hidden="false" customHeight="false" outlineLevel="0" collapsed="false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customFormat="false" ht="15.75" hidden="false" customHeight="false" outlineLevel="0" collapsed="false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customFormat="false" ht="15.75" hidden="false" customHeight="false" outlineLevel="0" collapsed="false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customFormat="false" ht="15.75" hidden="false" customHeight="false" outlineLevel="0" collapsed="false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customFormat="false" ht="15.75" hidden="false" customHeight="false" outlineLevel="0" collapsed="false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customFormat="false" ht="15.75" hidden="false" customHeight="false" outlineLevel="0" collapsed="false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customFormat="false" ht="15.75" hidden="false" customHeight="false" outlineLevel="0" collapsed="false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customFormat="false" ht="15.75" hidden="false" customHeight="false" outlineLevel="0" collapsed="false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customFormat="false" ht="15.75" hidden="false" customHeight="false" outlineLevel="0" collapsed="false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customFormat="false" ht="15.75" hidden="false" customHeight="false" outlineLevel="0" collapsed="false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customFormat="false" ht="15.75" hidden="false" customHeight="false" outlineLevel="0" collapsed="false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customFormat="false" ht="15.75" hidden="false" customHeight="false" outlineLevel="0" collapsed="false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customFormat="false" ht="15.75" hidden="false" customHeight="false" outlineLevel="0" collapsed="false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customFormat="false" ht="15.75" hidden="false" customHeight="false" outlineLevel="0" collapsed="false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customFormat="false" ht="15.75" hidden="false" customHeight="false" outlineLevel="0" collapsed="false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customFormat="false" ht="15.75" hidden="false" customHeight="false" outlineLevel="0" collapsed="false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customFormat="false" ht="15.75" hidden="false" customHeight="false" outlineLevel="0" collapsed="false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customFormat="false" ht="15.75" hidden="false" customHeight="false" outlineLevel="0" collapsed="false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customFormat="false" ht="15.75" hidden="false" customHeight="false" outlineLevel="0" collapsed="false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customFormat="false" ht="15.75" hidden="false" customHeight="false" outlineLevel="0" collapsed="false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customFormat="false" ht="15.75" hidden="false" customHeight="false" outlineLevel="0" collapsed="false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customFormat="false" ht="15.75" hidden="false" customHeight="false" outlineLevel="0" collapsed="false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customFormat="false" ht="15.75" hidden="false" customHeight="false" outlineLevel="0" collapsed="false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customFormat="false" ht="15.75" hidden="false" customHeight="false" outlineLevel="0" collapsed="false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customFormat="false" ht="15.75" hidden="false" customHeight="false" outlineLevel="0" collapsed="false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customFormat="false" ht="15.75" hidden="false" customHeight="false" outlineLevel="0" collapsed="false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customFormat="false" ht="15.75" hidden="false" customHeight="false" outlineLevel="0" collapsed="false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customFormat="false" ht="15.75" hidden="false" customHeight="false" outlineLevel="0" collapsed="false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customFormat="false" ht="15.75" hidden="false" customHeight="false" outlineLevel="0" collapsed="false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customFormat="false" ht="15.75" hidden="false" customHeight="false" outlineLevel="0" collapsed="false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customFormat="false" ht="15.75" hidden="false" customHeight="false" outlineLevel="0" collapsed="false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customFormat="false" ht="15.75" hidden="false" customHeight="false" outlineLevel="0" collapsed="false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customFormat="false" ht="15.75" hidden="false" customHeight="false" outlineLevel="0" collapsed="false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customFormat="false" ht="15.75" hidden="false" customHeight="false" outlineLevel="0" collapsed="false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customFormat="false" ht="15.75" hidden="false" customHeight="false" outlineLevel="0" collapsed="false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customFormat="false" ht="15.75" hidden="false" customHeight="false" outlineLevel="0" collapsed="false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customFormat="false" ht="15.75" hidden="false" customHeight="false" outlineLevel="0" collapsed="false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customFormat="false" ht="15.75" hidden="false" customHeight="false" outlineLevel="0" collapsed="false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customFormat="false" ht="15.75" hidden="false" customHeight="false" outlineLevel="0" collapsed="false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customFormat="false" ht="15.75" hidden="false" customHeight="false" outlineLevel="0" collapsed="false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customFormat="false" ht="15.75" hidden="false" customHeight="false" outlineLevel="0" collapsed="false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customFormat="false" ht="15.75" hidden="false" customHeight="false" outlineLevel="0" collapsed="false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customFormat="false" ht="15.75" hidden="false" customHeight="false" outlineLevel="0" collapsed="false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customFormat="false" ht="15.75" hidden="false" customHeight="false" outlineLevel="0" collapsed="false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customFormat="false" ht="15.75" hidden="false" customHeight="false" outlineLevel="0" collapsed="false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customFormat="false" ht="15.75" hidden="false" customHeight="false" outlineLevel="0" collapsed="false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customFormat="false" ht="15.75" hidden="false" customHeight="false" outlineLevel="0" collapsed="false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customFormat="false" ht="15.75" hidden="false" customHeight="false" outlineLevel="0" collapsed="false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customFormat="false" ht="15.75" hidden="false" customHeight="false" outlineLevel="0" collapsed="false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customFormat="false" ht="15.75" hidden="false" customHeight="false" outlineLevel="0" collapsed="false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customFormat="false" ht="15.75" hidden="false" customHeight="false" outlineLevel="0" collapsed="false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customFormat="false" ht="15.75" hidden="false" customHeight="false" outlineLevel="0" collapsed="false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customFormat="false" ht="15.75" hidden="false" customHeight="false" outlineLevel="0" collapsed="false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customFormat="false" ht="15.75" hidden="false" customHeight="false" outlineLevel="0" collapsed="false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customFormat="false" ht="15.75" hidden="false" customHeight="false" outlineLevel="0" collapsed="false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customFormat="false" ht="15.75" hidden="false" customHeight="false" outlineLevel="0" collapsed="false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customFormat="false" ht="15.75" hidden="false" customHeight="false" outlineLevel="0" collapsed="false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customFormat="false" ht="15.75" hidden="false" customHeight="false" outlineLevel="0" collapsed="false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customFormat="false" ht="15.75" hidden="false" customHeight="false" outlineLevel="0" collapsed="false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customFormat="false" ht="15.75" hidden="false" customHeight="false" outlineLevel="0" collapsed="false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customFormat="false" ht="15.75" hidden="false" customHeight="false" outlineLevel="0" collapsed="false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customFormat="false" ht="15.75" hidden="false" customHeight="false" outlineLevel="0" collapsed="false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customFormat="false" ht="15.75" hidden="false" customHeight="false" outlineLevel="0" collapsed="false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customFormat="false" ht="15.75" hidden="false" customHeight="false" outlineLevel="0" collapsed="false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customFormat="false" ht="15.75" hidden="false" customHeight="false" outlineLevel="0" collapsed="false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customFormat="false" ht="15.75" hidden="false" customHeight="false" outlineLevel="0" collapsed="false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customFormat="false" ht="15.75" hidden="false" customHeight="false" outlineLevel="0" collapsed="false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customFormat="false" ht="15.75" hidden="false" customHeight="false" outlineLevel="0" collapsed="false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customFormat="false" ht="15.75" hidden="false" customHeight="false" outlineLevel="0" collapsed="false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customFormat="false" ht="15.75" hidden="false" customHeight="false" outlineLevel="0" collapsed="false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customFormat="false" ht="15.75" hidden="false" customHeight="false" outlineLevel="0" collapsed="false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customFormat="false" ht="15.75" hidden="false" customHeight="false" outlineLevel="0" collapsed="false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customFormat="false" ht="15.75" hidden="false" customHeight="false" outlineLevel="0" collapsed="false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customFormat="false" ht="15.75" hidden="false" customHeight="false" outlineLevel="0" collapsed="false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customFormat="false" ht="15.75" hidden="false" customHeight="false" outlineLevel="0" collapsed="false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customFormat="false" ht="15.75" hidden="false" customHeight="false" outlineLevel="0" collapsed="false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customFormat="false" ht="15.75" hidden="false" customHeight="false" outlineLevel="0" collapsed="false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customFormat="false" ht="15.75" hidden="false" customHeight="false" outlineLevel="0" collapsed="false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customFormat="false" ht="15.75" hidden="false" customHeight="false" outlineLevel="0" collapsed="false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customFormat="false" ht="15.75" hidden="false" customHeight="false" outlineLevel="0" collapsed="false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customFormat="false" ht="15.75" hidden="false" customHeight="false" outlineLevel="0" collapsed="false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customFormat="false" ht="15.75" hidden="false" customHeight="false" outlineLevel="0" collapsed="false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customFormat="false" ht="15.75" hidden="false" customHeight="false" outlineLevel="0" collapsed="false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customFormat="false" ht="15.75" hidden="false" customHeight="false" outlineLevel="0" collapsed="false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customFormat="false" ht="15.75" hidden="false" customHeight="false" outlineLevel="0" collapsed="false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customFormat="false" ht="15.75" hidden="false" customHeight="false" outlineLevel="0" collapsed="false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customFormat="false" ht="15.75" hidden="false" customHeight="false" outlineLevel="0" collapsed="false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customFormat="false" ht="15.75" hidden="false" customHeight="false" outlineLevel="0" collapsed="false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customFormat="false" ht="15.75" hidden="false" customHeight="false" outlineLevel="0" collapsed="false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customFormat="false" ht="15.75" hidden="false" customHeight="false" outlineLevel="0" collapsed="false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customFormat="false" ht="15.75" hidden="false" customHeight="false" outlineLevel="0" collapsed="false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customFormat="false" ht="15.75" hidden="false" customHeight="false" outlineLevel="0" collapsed="false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customFormat="false" ht="15.75" hidden="false" customHeight="false" outlineLevel="0" collapsed="false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customFormat="false" ht="15.75" hidden="false" customHeight="false" outlineLevel="0" collapsed="false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customFormat="false" ht="15.75" hidden="false" customHeight="false" outlineLevel="0" collapsed="false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customFormat="false" ht="15.75" hidden="false" customHeight="false" outlineLevel="0" collapsed="false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customFormat="false" ht="15.75" hidden="false" customHeight="false" outlineLevel="0" collapsed="false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customFormat="false" ht="15.75" hidden="false" customHeight="false" outlineLevel="0" collapsed="false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customFormat="false" ht="15.75" hidden="false" customHeight="false" outlineLevel="0" collapsed="false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customFormat="false" ht="15.75" hidden="false" customHeight="false" outlineLevel="0" collapsed="false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customFormat="false" ht="15.75" hidden="false" customHeight="false" outlineLevel="0" collapsed="false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customFormat="false" ht="15.75" hidden="false" customHeight="false" outlineLevel="0" collapsed="false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customFormat="false" ht="15.75" hidden="false" customHeight="false" outlineLevel="0" collapsed="false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customFormat="false" ht="15.75" hidden="false" customHeight="false" outlineLevel="0" collapsed="false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customFormat="false" ht="15.75" hidden="false" customHeight="false" outlineLevel="0" collapsed="false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customFormat="false" ht="15.75" hidden="false" customHeight="false" outlineLevel="0" collapsed="false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customFormat="false" ht="15.75" hidden="false" customHeight="false" outlineLevel="0" collapsed="false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customFormat="false" ht="15.75" hidden="false" customHeight="false" outlineLevel="0" collapsed="false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customFormat="false" ht="15.75" hidden="false" customHeight="false" outlineLevel="0" collapsed="false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customFormat="false" ht="15.75" hidden="false" customHeight="false" outlineLevel="0" collapsed="false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customFormat="false" ht="15.75" hidden="false" customHeight="false" outlineLevel="0" collapsed="false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customFormat="false" ht="15.75" hidden="false" customHeight="false" outlineLevel="0" collapsed="false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customFormat="false" ht="15.75" hidden="false" customHeight="false" outlineLevel="0" collapsed="false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customFormat="false" ht="15.75" hidden="false" customHeight="false" outlineLevel="0" collapsed="false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customFormat="false" ht="15.75" hidden="false" customHeight="false" outlineLevel="0" collapsed="false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customFormat="false" ht="15.75" hidden="false" customHeight="false" outlineLevel="0" collapsed="false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customFormat="false" ht="15.75" hidden="false" customHeight="false" outlineLevel="0" collapsed="false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customFormat="false" ht="15.75" hidden="false" customHeight="false" outlineLevel="0" collapsed="false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customFormat="false" ht="15.75" hidden="false" customHeight="false" outlineLevel="0" collapsed="false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customFormat="false" ht="15.75" hidden="false" customHeight="false" outlineLevel="0" collapsed="false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customFormat="false" ht="15.75" hidden="false" customHeight="false" outlineLevel="0" collapsed="false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customFormat="false" ht="15.75" hidden="false" customHeight="false" outlineLevel="0" collapsed="false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customFormat="false" ht="15.75" hidden="false" customHeight="false" outlineLevel="0" collapsed="false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customFormat="false" ht="15.75" hidden="false" customHeight="false" outlineLevel="0" collapsed="false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customFormat="false" ht="15.75" hidden="false" customHeight="false" outlineLevel="0" collapsed="false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customFormat="false" ht="15.75" hidden="false" customHeight="false" outlineLevel="0" collapsed="false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customFormat="false" ht="15.75" hidden="false" customHeight="false" outlineLevel="0" collapsed="false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customFormat="false" ht="15.75" hidden="false" customHeight="false" outlineLevel="0" collapsed="false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customFormat="false" ht="15.75" hidden="false" customHeight="false" outlineLevel="0" collapsed="false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customFormat="false" ht="15.75" hidden="false" customHeight="false" outlineLevel="0" collapsed="false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customFormat="false" ht="15.75" hidden="false" customHeight="false" outlineLevel="0" collapsed="false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customFormat="false" ht="15.75" hidden="false" customHeight="false" outlineLevel="0" collapsed="false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customFormat="false" ht="15.75" hidden="false" customHeight="false" outlineLevel="0" collapsed="false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customFormat="false" ht="15.75" hidden="false" customHeight="false" outlineLevel="0" collapsed="false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customFormat="false" ht="15.75" hidden="false" customHeight="false" outlineLevel="0" collapsed="false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customFormat="false" ht="15.75" hidden="false" customHeight="false" outlineLevel="0" collapsed="false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customFormat="false" ht="15.75" hidden="false" customHeight="false" outlineLevel="0" collapsed="false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customFormat="false" ht="15.75" hidden="false" customHeight="false" outlineLevel="0" collapsed="false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customFormat="false" ht="15.75" hidden="false" customHeight="false" outlineLevel="0" collapsed="false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customFormat="false" ht="15.75" hidden="false" customHeight="false" outlineLevel="0" collapsed="false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customFormat="false" ht="15.75" hidden="false" customHeight="false" outlineLevel="0" collapsed="false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customFormat="false" ht="15.75" hidden="false" customHeight="false" outlineLevel="0" collapsed="false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customFormat="false" ht="15.75" hidden="false" customHeight="false" outlineLevel="0" collapsed="false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customFormat="false" ht="15.75" hidden="false" customHeight="false" outlineLevel="0" collapsed="false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customFormat="false" ht="15.75" hidden="false" customHeight="false" outlineLevel="0" collapsed="false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customFormat="false" ht="15.75" hidden="false" customHeight="false" outlineLevel="0" collapsed="false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customFormat="false" ht="15.75" hidden="false" customHeight="false" outlineLevel="0" collapsed="false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customFormat="false" ht="15.75" hidden="false" customHeight="false" outlineLevel="0" collapsed="false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customFormat="false" ht="15.75" hidden="false" customHeight="false" outlineLevel="0" collapsed="false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customFormat="false" ht="15.75" hidden="false" customHeight="false" outlineLevel="0" collapsed="false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customFormat="false" ht="15.75" hidden="false" customHeight="false" outlineLevel="0" collapsed="false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customFormat="false" ht="15.75" hidden="false" customHeight="false" outlineLevel="0" collapsed="false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customFormat="false" ht="15.75" hidden="false" customHeight="false" outlineLevel="0" collapsed="false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customFormat="false" ht="15.75" hidden="false" customHeight="false" outlineLevel="0" collapsed="false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customFormat="false" ht="15.75" hidden="false" customHeight="false" outlineLevel="0" collapsed="false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customFormat="false" ht="15.75" hidden="false" customHeight="false" outlineLevel="0" collapsed="false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customFormat="false" ht="15.75" hidden="false" customHeight="false" outlineLevel="0" collapsed="false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customFormat="false" ht="15.75" hidden="false" customHeight="false" outlineLevel="0" collapsed="false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customFormat="false" ht="15.75" hidden="false" customHeight="false" outlineLevel="0" collapsed="false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customFormat="false" ht="15.75" hidden="false" customHeight="false" outlineLevel="0" collapsed="false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customFormat="false" ht="15.75" hidden="false" customHeight="false" outlineLevel="0" collapsed="false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customFormat="false" ht="15.75" hidden="false" customHeight="false" outlineLevel="0" collapsed="false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customFormat="false" ht="15.75" hidden="false" customHeight="false" outlineLevel="0" collapsed="false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customFormat="false" ht="15.75" hidden="false" customHeight="false" outlineLevel="0" collapsed="false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customFormat="false" ht="15.75" hidden="false" customHeight="false" outlineLevel="0" collapsed="false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customFormat="false" ht="15.75" hidden="false" customHeight="false" outlineLevel="0" collapsed="false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customFormat="false" ht="15.75" hidden="false" customHeight="false" outlineLevel="0" collapsed="false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customFormat="false" ht="15.75" hidden="false" customHeight="false" outlineLevel="0" collapsed="false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customFormat="false" ht="15.75" hidden="false" customHeight="false" outlineLevel="0" collapsed="false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customFormat="false" ht="15.75" hidden="false" customHeight="false" outlineLevel="0" collapsed="false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customFormat="false" ht="15.75" hidden="false" customHeight="false" outlineLevel="0" collapsed="false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customFormat="false" ht="15.75" hidden="false" customHeight="false" outlineLevel="0" collapsed="false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customFormat="false" ht="15.75" hidden="false" customHeight="false" outlineLevel="0" collapsed="false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customFormat="false" ht="15.75" hidden="false" customHeight="false" outlineLevel="0" collapsed="false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customFormat="false" ht="15.75" hidden="false" customHeight="false" outlineLevel="0" collapsed="false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customFormat="false" ht="15.75" hidden="false" customHeight="false" outlineLevel="0" collapsed="false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customFormat="false" ht="15.75" hidden="false" customHeight="false" outlineLevel="0" collapsed="false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customFormat="false" ht="15.75" hidden="false" customHeight="false" outlineLevel="0" collapsed="false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customFormat="false" ht="15.75" hidden="false" customHeight="false" outlineLevel="0" collapsed="false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customFormat="false" ht="15.75" hidden="false" customHeight="false" outlineLevel="0" collapsed="false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customFormat="false" ht="15.75" hidden="false" customHeight="false" outlineLevel="0" collapsed="false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customFormat="false" ht="15.75" hidden="false" customHeight="false" outlineLevel="0" collapsed="false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customFormat="false" ht="15.75" hidden="false" customHeight="false" outlineLevel="0" collapsed="false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customFormat="false" ht="15.75" hidden="false" customHeight="false" outlineLevel="0" collapsed="false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customFormat="false" ht="15.75" hidden="false" customHeight="false" outlineLevel="0" collapsed="false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customFormat="false" ht="15.75" hidden="false" customHeight="false" outlineLevel="0" collapsed="false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customFormat="false" ht="15.75" hidden="false" customHeight="false" outlineLevel="0" collapsed="false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customFormat="false" ht="15.75" hidden="false" customHeight="false" outlineLevel="0" collapsed="false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customFormat="false" ht="15.75" hidden="false" customHeight="false" outlineLevel="0" collapsed="false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customFormat="false" ht="15.75" hidden="false" customHeight="false" outlineLevel="0" collapsed="false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customFormat="false" ht="15.75" hidden="false" customHeight="false" outlineLevel="0" collapsed="false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customFormat="false" ht="15.75" hidden="false" customHeight="false" outlineLevel="0" collapsed="false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customFormat="false" ht="15.75" hidden="false" customHeight="false" outlineLevel="0" collapsed="false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customFormat="false" ht="15.75" hidden="false" customHeight="false" outlineLevel="0" collapsed="false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customFormat="false" ht="15.75" hidden="false" customHeight="false" outlineLevel="0" collapsed="false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customFormat="false" ht="15.75" hidden="false" customHeight="false" outlineLevel="0" collapsed="false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customFormat="false" ht="15.75" hidden="false" customHeight="false" outlineLevel="0" collapsed="false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customFormat="false" ht="15.75" hidden="false" customHeight="false" outlineLevel="0" collapsed="false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customFormat="false" ht="15.75" hidden="false" customHeight="false" outlineLevel="0" collapsed="false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customFormat="false" ht="15.75" hidden="false" customHeight="false" outlineLevel="0" collapsed="false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customFormat="false" ht="15.75" hidden="false" customHeight="false" outlineLevel="0" collapsed="false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customFormat="false" ht="15.75" hidden="false" customHeight="false" outlineLevel="0" collapsed="false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customFormat="false" ht="15.75" hidden="false" customHeight="false" outlineLevel="0" collapsed="false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customFormat="false" ht="15.75" hidden="false" customHeight="false" outlineLevel="0" collapsed="false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customFormat="false" ht="15.75" hidden="false" customHeight="false" outlineLevel="0" collapsed="false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customFormat="false" ht="15.75" hidden="false" customHeight="false" outlineLevel="0" collapsed="false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customFormat="false" ht="15.75" hidden="false" customHeight="false" outlineLevel="0" collapsed="false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customFormat="false" ht="15.75" hidden="false" customHeight="false" outlineLevel="0" collapsed="false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customFormat="false" ht="15.75" hidden="false" customHeight="false" outlineLevel="0" collapsed="false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customFormat="false" ht="15.75" hidden="false" customHeight="false" outlineLevel="0" collapsed="false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customFormat="false" ht="15.75" hidden="false" customHeight="false" outlineLevel="0" collapsed="false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customFormat="false" ht="15.75" hidden="false" customHeight="false" outlineLevel="0" collapsed="false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customFormat="false" ht="15.75" hidden="false" customHeight="false" outlineLevel="0" collapsed="false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customFormat="false" ht="15.75" hidden="false" customHeight="false" outlineLevel="0" collapsed="false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customFormat="false" ht="15.75" hidden="false" customHeight="false" outlineLevel="0" collapsed="false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customFormat="false" ht="15.75" hidden="false" customHeight="false" outlineLevel="0" collapsed="false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customFormat="false" ht="15.75" hidden="false" customHeight="false" outlineLevel="0" collapsed="false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customFormat="false" ht="15.75" hidden="false" customHeight="false" outlineLevel="0" collapsed="false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customFormat="false" ht="15.75" hidden="false" customHeight="false" outlineLevel="0" collapsed="false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customFormat="false" ht="15.75" hidden="false" customHeight="false" outlineLevel="0" collapsed="false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customFormat="false" ht="15.75" hidden="false" customHeight="false" outlineLevel="0" collapsed="false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customFormat="false" ht="15.75" hidden="false" customHeight="false" outlineLevel="0" collapsed="false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customFormat="false" ht="15.75" hidden="false" customHeight="false" outlineLevel="0" collapsed="false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customFormat="false" ht="15.75" hidden="false" customHeight="false" outlineLevel="0" collapsed="false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customFormat="false" ht="15.75" hidden="false" customHeight="false" outlineLevel="0" collapsed="false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customFormat="false" ht="15.75" hidden="false" customHeight="false" outlineLevel="0" collapsed="false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customFormat="false" ht="15.75" hidden="false" customHeight="false" outlineLevel="0" collapsed="false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customFormat="false" ht="15.75" hidden="false" customHeight="false" outlineLevel="0" collapsed="false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customFormat="false" ht="15.75" hidden="false" customHeight="false" outlineLevel="0" collapsed="false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customFormat="false" ht="15.75" hidden="false" customHeight="false" outlineLevel="0" collapsed="false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customFormat="false" ht="15.75" hidden="false" customHeight="false" outlineLevel="0" collapsed="false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customFormat="false" ht="15.75" hidden="false" customHeight="false" outlineLevel="0" collapsed="false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customFormat="false" ht="15.75" hidden="false" customHeight="false" outlineLevel="0" collapsed="false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customFormat="false" ht="15.75" hidden="false" customHeight="false" outlineLevel="0" collapsed="false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customFormat="false" ht="15.75" hidden="false" customHeight="false" outlineLevel="0" collapsed="false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customFormat="false" ht="15.75" hidden="false" customHeight="false" outlineLevel="0" collapsed="false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customFormat="false" ht="15.75" hidden="false" customHeight="false" outlineLevel="0" collapsed="false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customFormat="false" ht="15.75" hidden="false" customHeight="false" outlineLevel="0" collapsed="false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customFormat="false" ht="15.75" hidden="false" customHeight="false" outlineLevel="0" collapsed="false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customFormat="false" ht="15.75" hidden="false" customHeight="false" outlineLevel="0" collapsed="false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customFormat="false" ht="15.75" hidden="false" customHeight="false" outlineLevel="0" collapsed="false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customFormat="false" ht="15.75" hidden="false" customHeight="false" outlineLevel="0" collapsed="false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customFormat="false" ht="15.75" hidden="false" customHeight="false" outlineLevel="0" collapsed="false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customFormat="false" ht="15.75" hidden="false" customHeight="false" outlineLevel="0" collapsed="false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customFormat="false" ht="15.75" hidden="false" customHeight="false" outlineLevel="0" collapsed="false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customFormat="false" ht="15.75" hidden="false" customHeight="false" outlineLevel="0" collapsed="false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customFormat="false" ht="15.75" hidden="false" customHeight="false" outlineLevel="0" collapsed="false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customFormat="false" ht="15.75" hidden="false" customHeight="false" outlineLevel="0" collapsed="false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customFormat="false" ht="15.75" hidden="false" customHeight="false" outlineLevel="0" collapsed="false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customFormat="false" ht="15.75" hidden="false" customHeight="false" outlineLevel="0" collapsed="false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customFormat="false" ht="15.75" hidden="false" customHeight="false" outlineLevel="0" collapsed="false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customFormat="false" ht="15.75" hidden="false" customHeight="false" outlineLevel="0" collapsed="false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customFormat="false" ht="15.75" hidden="false" customHeight="false" outlineLevel="0" collapsed="false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customFormat="false" ht="15.75" hidden="false" customHeight="false" outlineLevel="0" collapsed="false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customFormat="false" ht="15.75" hidden="false" customHeight="false" outlineLevel="0" collapsed="false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customFormat="false" ht="15.75" hidden="false" customHeight="false" outlineLevel="0" collapsed="false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customFormat="false" ht="15.75" hidden="false" customHeight="false" outlineLevel="0" collapsed="false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customFormat="false" ht="15.75" hidden="false" customHeight="false" outlineLevel="0" collapsed="false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customFormat="false" ht="15.75" hidden="false" customHeight="false" outlineLevel="0" collapsed="false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customFormat="false" ht="15.75" hidden="false" customHeight="false" outlineLevel="0" collapsed="false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customFormat="false" ht="15.75" hidden="false" customHeight="false" outlineLevel="0" collapsed="false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customFormat="false" ht="15.75" hidden="false" customHeight="false" outlineLevel="0" collapsed="false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customFormat="false" ht="15.75" hidden="false" customHeight="false" outlineLevel="0" collapsed="false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customFormat="false" ht="15.75" hidden="false" customHeight="false" outlineLevel="0" collapsed="false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customFormat="false" ht="15.75" hidden="false" customHeight="false" outlineLevel="0" collapsed="false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customFormat="false" ht="15.75" hidden="false" customHeight="false" outlineLevel="0" collapsed="false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customFormat="false" ht="15.75" hidden="false" customHeight="false" outlineLevel="0" collapsed="false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customFormat="false" ht="15.75" hidden="false" customHeight="false" outlineLevel="0" collapsed="false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customFormat="false" ht="15.75" hidden="false" customHeight="false" outlineLevel="0" collapsed="false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customFormat="false" ht="15.75" hidden="false" customHeight="false" outlineLevel="0" collapsed="false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customFormat="false" ht="15.75" hidden="false" customHeight="false" outlineLevel="0" collapsed="false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customFormat="false" ht="15.75" hidden="false" customHeight="false" outlineLevel="0" collapsed="false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customFormat="false" ht="15.75" hidden="false" customHeight="false" outlineLevel="0" collapsed="false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customFormat="false" ht="15.75" hidden="false" customHeight="false" outlineLevel="0" collapsed="false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customFormat="false" ht="15.75" hidden="false" customHeight="false" outlineLevel="0" collapsed="false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customFormat="false" ht="15.75" hidden="false" customHeight="false" outlineLevel="0" collapsed="false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customFormat="false" ht="15.75" hidden="false" customHeight="false" outlineLevel="0" collapsed="false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customFormat="false" ht="15.75" hidden="false" customHeight="false" outlineLevel="0" collapsed="false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customFormat="false" ht="15.75" hidden="false" customHeight="false" outlineLevel="0" collapsed="false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customFormat="false" ht="15.75" hidden="false" customHeight="false" outlineLevel="0" collapsed="false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customFormat="false" ht="15.75" hidden="false" customHeight="false" outlineLevel="0" collapsed="false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customFormat="false" ht="15.75" hidden="false" customHeight="false" outlineLevel="0" collapsed="false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customFormat="false" ht="15.75" hidden="false" customHeight="false" outlineLevel="0" collapsed="false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customFormat="false" ht="15.75" hidden="false" customHeight="false" outlineLevel="0" collapsed="false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customFormat="false" ht="15.75" hidden="false" customHeight="false" outlineLevel="0" collapsed="false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customFormat="false" ht="15.75" hidden="false" customHeight="false" outlineLevel="0" collapsed="false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customFormat="false" ht="15.75" hidden="false" customHeight="false" outlineLevel="0" collapsed="false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customFormat="false" ht="15.75" hidden="false" customHeight="false" outlineLevel="0" collapsed="false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customFormat="false" ht="15.75" hidden="false" customHeight="false" outlineLevel="0" collapsed="false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customFormat="false" ht="15.75" hidden="false" customHeight="false" outlineLevel="0" collapsed="false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customFormat="false" ht="15.75" hidden="false" customHeight="false" outlineLevel="0" collapsed="false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customFormat="false" ht="15.75" hidden="false" customHeight="false" outlineLevel="0" collapsed="false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customFormat="false" ht="15.75" hidden="false" customHeight="false" outlineLevel="0" collapsed="false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customFormat="false" ht="15.75" hidden="false" customHeight="false" outlineLevel="0" collapsed="false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customFormat="false" ht="15.75" hidden="false" customHeight="false" outlineLevel="0" collapsed="false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customFormat="false" ht="15.75" hidden="false" customHeight="false" outlineLevel="0" collapsed="false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customFormat="false" ht="15.75" hidden="false" customHeight="false" outlineLevel="0" collapsed="false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customFormat="false" ht="15.75" hidden="false" customHeight="false" outlineLevel="0" collapsed="false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customFormat="false" ht="15.75" hidden="false" customHeight="false" outlineLevel="0" collapsed="false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customFormat="false" ht="15.75" hidden="false" customHeight="false" outlineLevel="0" collapsed="false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customFormat="false" ht="15.75" hidden="false" customHeight="false" outlineLevel="0" collapsed="false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customFormat="false" ht="15.75" hidden="false" customHeight="false" outlineLevel="0" collapsed="false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customFormat="false" ht="15.75" hidden="false" customHeight="false" outlineLevel="0" collapsed="false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customFormat="false" ht="15.75" hidden="false" customHeight="false" outlineLevel="0" collapsed="false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customFormat="false" ht="15.75" hidden="false" customHeight="false" outlineLevel="0" collapsed="false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customFormat="false" ht="15.75" hidden="false" customHeight="false" outlineLevel="0" collapsed="false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customFormat="false" ht="15.75" hidden="false" customHeight="false" outlineLevel="0" collapsed="false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customFormat="false" ht="15.75" hidden="false" customHeight="false" outlineLevel="0" collapsed="false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customFormat="false" ht="15.75" hidden="false" customHeight="false" outlineLevel="0" collapsed="false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customFormat="false" ht="15.75" hidden="false" customHeight="false" outlineLevel="0" collapsed="false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customFormat="false" ht="15.75" hidden="false" customHeight="false" outlineLevel="0" collapsed="false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customFormat="false" ht="15.75" hidden="false" customHeight="false" outlineLevel="0" collapsed="false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customFormat="false" ht="15.75" hidden="false" customHeight="false" outlineLevel="0" collapsed="false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customFormat="false" ht="15.75" hidden="false" customHeight="false" outlineLevel="0" collapsed="false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customFormat="false" ht="15.75" hidden="false" customHeight="false" outlineLevel="0" collapsed="false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customFormat="false" ht="15.75" hidden="false" customHeight="false" outlineLevel="0" collapsed="false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customFormat="false" ht="15.75" hidden="false" customHeight="false" outlineLevel="0" collapsed="false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customFormat="false" ht="15.75" hidden="false" customHeight="false" outlineLevel="0" collapsed="false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customFormat="false" ht="15.75" hidden="false" customHeight="false" outlineLevel="0" collapsed="false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customFormat="false" ht="15.75" hidden="false" customHeight="false" outlineLevel="0" collapsed="false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customFormat="false" ht="15.75" hidden="false" customHeight="false" outlineLevel="0" collapsed="false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customFormat="false" ht="15.75" hidden="false" customHeight="false" outlineLevel="0" collapsed="false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customFormat="false" ht="15.75" hidden="false" customHeight="false" outlineLevel="0" collapsed="false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customFormat="false" ht="15.75" hidden="false" customHeight="false" outlineLevel="0" collapsed="false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customFormat="false" ht="15.75" hidden="false" customHeight="false" outlineLevel="0" collapsed="false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customFormat="false" ht="15.75" hidden="false" customHeight="false" outlineLevel="0" collapsed="false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customFormat="false" ht="15.75" hidden="false" customHeight="false" outlineLevel="0" collapsed="false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customFormat="false" ht="15.75" hidden="false" customHeight="false" outlineLevel="0" collapsed="false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customFormat="false" ht="15.75" hidden="false" customHeight="false" outlineLevel="0" collapsed="false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customFormat="false" ht="15.75" hidden="false" customHeight="false" outlineLevel="0" collapsed="false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customFormat="false" ht="15.75" hidden="false" customHeight="false" outlineLevel="0" collapsed="false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customFormat="false" ht="15.75" hidden="false" customHeight="false" outlineLevel="0" collapsed="false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customFormat="false" ht="15.75" hidden="false" customHeight="false" outlineLevel="0" collapsed="false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customFormat="false" ht="15.75" hidden="false" customHeight="false" outlineLevel="0" collapsed="false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customFormat="false" ht="15.75" hidden="false" customHeight="false" outlineLevel="0" collapsed="false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customFormat="false" ht="15.75" hidden="false" customHeight="false" outlineLevel="0" collapsed="false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customFormat="false" ht="15.75" hidden="false" customHeight="false" outlineLevel="0" collapsed="false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customFormat="false" ht="15.75" hidden="false" customHeight="false" outlineLevel="0" collapsed="false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customFormat="false" ht="15.75" hidden="false" customHeight="false" outlineLevel="0" collapsed="false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customFormat="false" ht="15.75" hidden="false" customHeight="false" outlineLevel="0" collapsed="false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customFormat="false" ht="15.75" hidden="false" customHeight="false" outlineLevel="0" collapsed="false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customFormat="false" ht="15.75" hidden="false" customHeight="false" outlineLevel="0" collapsed="false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customFormat="false" ht="15.75" hidden="false" customHeight="false" outlineLevel="0" collapsed="false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customFormat="false" ht="15.75" hidden="false" customHeight="false" outlineLevel="0" collapsed="false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customFormat="false" ht="15.75" hidden="false" customHeight="false" outlineLevel="0" collapsed="false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customFormat="false" ht="15.75" hidden="false" customHeight="false" outlineLevel="0" collapsed="false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customFormat="false" ht="15.75" hidden="false" customHeight="false" outlineLevel="0" collapsed="false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customFormat="false" ht="15.75" hidden="false" customHeight="false" outlineLevel="0" collapsed="false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customFormat="false" ht="15.75" hidden="false" customHeight="false" outlineLevel="0" collapsed="false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customFormat="false" ht="15.75" hidden="false" customHeight="false" outlineLevel="0" collapsed="false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customFormat="false" ht="15.75" hidden="false" customHeight="false" outlineLevel="0" collapsed="false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customFormat="false" ht="15.75" hidden="false" customHeight="false" outlineLevel="0" collapsed="false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customFormat="false" ht="15.75" hidden="false" customHeight="false" outlineLevel="0" collapsed="false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customFormat="false" ht="15.75" hidden="false" customHeight="false" outlineLevel="0" collapsed="false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customFormat="false" ht="15.75" hidden="false" customHeight="false" outlineLevel="0" collapsed="false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customFormat="false" ht="15.75" hidden="false" customHeight="false" outlineLevel="0" collapsed="false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customFormat="false" ht="15.75" hidden="false" customHeight="false" outlineLevel="0" collapsed="false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customFormat="false" ht="15.75" hidden="false" customHeight="false" outlineLevel="0" collapsed="false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customFormat="false" ht="15.75" hidden="false" customHeight="false" outlineLevel="0" collapsed="false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customFormat="false" ht="15.75" hidden="false" customHeight="false" outlineLevel="0" collapsed="false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customFormat="false" ht="15.75" hidden="false" customHeight="false" outlineLevel="0" collapsed="false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customFormat="false" ht="15.75" hidden="false" customHeight="false" outlineLevel="0" collapsed="false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customFormat="false" ht="15.75" hidden="false" customHeight="false" outlineLevel="0" collapsed="false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customFormat="false" ht="15.75" hidden="false" customHeight="false" outlineLevel="0" collapsed="false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customFormat="false" ht="15.75" hidden="false" customHeight="false" outlineLevel="0" collapsed="false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customFormat="false" ht="15.75" hidden="false" customHeight="false" outlineLevel="0" collapsed="false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customFormat="false" ht="15.75" hidden="false" customHeight="false" outlineLevel="0" collapsed="false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customFormat="false" ht="15.75" hidden="false" customHeight="false" outlineLevel="0" collapsed="false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customFormat="false" ht="15.75" hidden="false" customHeight="false" outlineLevel="0" collapsed="false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customFormat="false" ht="15.75" hidden="false" customHeight="false" outlineLevel="0" collapsed="false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customFormat="false" ht="15.75" hidden="false" customHeight="false" outlineLevel="0" collapsed="false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customFormat="false" ht="15.75" hidden="false" customHeight="false" outlineLevel="0" collapsed="false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customFormat="false" ht="15.75" hidden="false" customHeight="false" outlineLevel="0" collapsed="false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customFormat="false" ht="15.75" hidden="false" customHeight="false" outlineLevel="0" collapsed="false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customFormat="false" ht="15.75" hidden="false" customHeight="false" outlineLevel="0" collapsed="false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customFormat="false" ht="15.75" hidden="false" customHeight="false" outlineLevel="0" collapsed="false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customFormat="false" ht="15.75" hidden="false" customHeight="false" outlineLevel="0" collapsed="false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customFormat="false" ht="15.75" hidden="false" customHeight="false" outlineLevel="0" collapsed="false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customFormat="false" ht="15.75" hidden="false" customHeight="false" outlineLevel="0" collapsed="false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customFormat="false" ht="15.75" hidden="false" customHeight="false" outlineLevel="0" collapsed="false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customFormat="false" ht="15.75" hidden="false" customHeight="false" outlineLevel="0" collapsed="false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customFormat="false" ht="15.75" hidden="false" customHeight="false" outlineLevel="0" collapsed="false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customFormat="false" ht="15.75" hidden="false" customHeight="false" outlineLevel="0" collapsed="false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customFormat="false" ht="15.75" hidden="false" customHeight="false" outlineLevel="0" collapsed="false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customFormat="false" ht="15.75" hidden="false" customHeight="false" outlineLevel="0" collapsed="false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customFormat="false" ht="15.75" hidden="false" customHeight="false" outlineLevel="0" collapsed="false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customFormat="false" ht="15.75" hidden="false" customHeight="false" outlineLevel="0" collapsed="false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customFormat="false" ht="15.75" hidden="false" customHeight="false" outlineLevel="0" collapsed="false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customFormat="false" ht="15.75" hidden="false" customHeight="false" outlineLevel="0" collapsed="false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customFormat="false" ht="15.75" hidden="false" customHeight="false" outlineLevel="0" collapsed="false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customFormat="false" ht="15.75" hidden="false" customHeight="false" outlineLevel="0" collapsed="false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customFormat="false" ht="15.75" hidden="false" customHeight="false" outlineLevel="0" collapsed="false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customFormat="false" ht="15.75" hidden="false" customHeight="false" outlineLevel="0" collapsed="false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customFormat="false" ht="15.75" hidden="false" customHeight="false" outlineLevel="0" collapsed="false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customFormat="false" ht="15.75" hidden="false" customHeight="false" outlineLevel="0" collapsed="false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customFormat="false" ht="15.75" hidden="false" customHeight="false" outlineLevel="0" collapsed="false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customFormat="false" ht="15.75" hidden="false" customHeight="false" outlineLevel="0" collapsed="false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customFormat="false" ht="15.75" hidden="false" customHeight="false" outlineLevel="0" collapsed="false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customFormat="false" ht="15.75" hidden="false" customHeight="false" outlineLevel="0" collapsed="false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customFormat="false" ht="15.75" hidden="false" customHeight="false" outlineLevel="0" collapsed="false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customFormat="false" ht="15.75" hidden="false" customHeight="false" outlineLevel="0" collapsed="false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customFormat="false" ht="15.75" hidden="false" customHeight="false" outlineLevel="0" collapsed="false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customFormat="false" ht="15.75" hidden="false" customHeight="false" outlineLevel="0" collapsed="false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customFormat="false" ht="15.75" hidden="false" customHeight="false" outlineLevel="0" collapsed="false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customFormat="false" ht="15.75" hidden="false" customHeight="false" outlineLevel="0" collapsed="false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customFormat="false" ht="15.75" hidden="false" customHeight="false" outlineLevel="0" collapsed="false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customFormat="false" ht="15.75" hidden="false" customHeight="false" outlineLevel="0" collapsed="false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customFormat="false" ht="15.75" hidden="false" customHeight="false" outlineLevel="0" collapsed="false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customFormat="false" ht="15.75" hidden="false" customHeight="false" outlineLevel="0" collapsed="false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customFormat="false" ht="15.75" hidden="false" customHeight="false" outlineLevel="0" collapsed="false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customFormat="false" ht="15.75" hidden="false" customHeight="false" outlineLevel="0" collapsed="false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customFormat="false" ht="15.75" hidden="false" customHeight="false" outlineLevel="0" collapsed="false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customFormat="false" ht="15.75" hidden="false" customHeight="false" outlineLevel="0" collapsed="false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customFormat="false" ht="15.75" hidden="false" customHeight="false" outlineLevel="0" collapsed="false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customFormat="false" ht="15.75" hidden="false" customHeight="false" outlineLevel="0" collapsed="false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customFormat="false" ht="15.75" hidden="false" customHeight="false" outlineLevel="0" collapsed="false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customFormat="false" ht="15.75" hidden="false" customHeight="false" outlineLevel="0" collapsed="false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customFormat="false" ht="15.75" hidden="false" customHeight="false" outlineLevel="0" collapsed="false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customFormat="false" ht="15.75" hidden="false" customHeight="false" outlineLevel="0" collapsed="false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customFormat="false" ht="15.75" hidden="false" customHeight="false" outlineLevel="0" collapsed="false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customFormat="false" ht="15.75" hidden="false" customHeight="false" outlineLevel="0" collapsed="false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customFormat="false" ht="15.75" hidden="false" customHeight="false" outlineLevel="0" collapsed="false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customFormat="false" ht="15.75" hidden="false" customHeight="false" outlineLevel="0" collapsed="false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customFormat="false" ht="15.75" hidden="false" customHeight="false" outlineLevel="0" collapsed="false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customFormat="false" ht="15.75" hidden="false" customHeight="false" outlineLevel="0" collapsed="false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customFormat="false" ht="15.75" hidden="false" customHeight="false" outlineLevel="0" collapsed="false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customFormat="false" ht="15.75" hidden="false" customHeight="false" outlineLevel="0" collapsed="false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customFormat="false" ht="15.75" hidden="false" customHeight="false" outlineLevel="0" collapsed="false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customFormat="false" ht="15.75" hidden="false" customHeight="false" outlineLevel="0" collapsed="false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customFormat="false" ht="15.75" hidden="false" customHeight="false" outlineLevel="0" collapsed="false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customFormat="false" ht="15.75" hidden="false" customHeight="false" outlineLevel="0" collapsed="false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customFormat="false" ht="15.75" hidden="false" customHeight="false" outlineLevel="0" collapsed="false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customFormat="false" ht="15.75" hidden="false" customHeight="false" outlineLevel="0" collapsed="false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customFormat="false" ht="15.75" hidden="false" customHeight="false" outlineLevel="0" collapsed="false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customFormat="false" ht="15.75" hidden="false" customHeight="false" outlineLevel="0" collapsed="false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customFormat="false" ht="15.75" hidden="false" customHeight="false" outlineLevel="0" collapsed="false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customFormat="false" ht="15.75" hidden="false" customHeight="false" outlineLevel="0" collapsed="false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customFormat="false" ht="15.75" hidden="false" customHeight="false" outlineLevel="0" collapsed="false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customFormat="false" ht="15.75" hidden="false" customHeight="false" outlineLevel="0" collapsed="false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customFormat="false" ht="15.75" hidden="false" customHeight="false" outlineLevel="0" collapsed="false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customFormat="false" ht="15.75" hidden="false" customHeight="false" outlineLevel="0" collapsed="false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customFormat="false" ht="15.75" hidden="false" customHeight="false" outlineLevel="0" collapsed="false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customFormat="false" ht="15.75" hidden="false" customHeight="false" outlineLevel="0" collapsed="false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customFormat="false" ht="15.75" hidden="false" customHeight="false" outlineLevel="0" collapsed="false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customFormat="false" ht="15.75" hidden="false" customHeight="false" outlineLevel="0" collapsed="false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customFormat="false" ht="15.75" hidden="false" customHeight="false" outlineLevel="0" collapsed="false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customFormat="false" ht="15.75" hidden="false" customHeight="false" outlineLevel="0" collapsed="false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customFormat="false" ht="15.75" hidden="false" customHeight="false" outlineLevel="0" collapsed="false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customFormat="false" ht="15.75" hidden="false" customHeight="false" outlineLevel="0" collapsed="false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customFormat="false" ht="15.75" hidden="false" customHeight="false" outlineLevel="0" collapsed="false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customFormat="false" ht="15.75" hidden="false" customHeight="false" outlineLevel="0" collapsed="false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customFormat="false" ht="15.75" hidden="false" customHeight="false" outlineLevel="0" collapsed="false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customFormat="false" ht="15.75" hidden="false" customHeight="false" outlineLevel="0" collapsed="false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customFormat="false" ht="15.75" hidden="false" customHeight="false" outlineLevel="0" collapsed="false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customFormat="false" ht="15.75" hidden="false" customHeight="false" outlineLevel="0" collapsed="false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customFormat="false" ht="15.75" hidden="false" customHeight="false" outlineLevel="0" collapsed="false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customFormat="false" ht="15.75" hidden="false" customHeight="false" outlineLevel="0" collapsed="false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customFormat="false" ht="15.75" hidden="false" customHeight="false" outlineLevel="0" collapsed="false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customFormat="false" ht="15.75" hidden="false" customHeight="false" outlineLevel="0" collapsed="false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customFormat="false" ht="15.75" hidden="false" customHeight="false" outlineLevel="0" collapsed="false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customFormat="false" ht="15.75" hidden="false" customHeight="false" outlineLevel="0" collapsed="false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customFormat="false" ht="15.75" hidden="false" customHeight="false" outlineLevel="0" collapsed="false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customFormat="false" ht="15.75" hidden="false" customHeight="false" outlineLevel="0" collapsed="false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customFormat="false" ht="15.75" hidden="false" customHeight="false" outlineLevel="0" collapsed="false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customFormat="false" ht="15.75" hidden="false" customHeight="false" outlineLevel="0" collapsed="false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customFormat="false" ht="15.75" hidden="false" customHeight="false" outlineLevel="0" collapsed="false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customFormat="false" ht="15.75" hidden="false" customHeight="false" outlineLevel="0" collapsed="false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customFormat="false" ht="15.75" hidden="false" customHeight="false" outlineLevel="0" collapsed="false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customFormat="false" ht="15.75" hidden="false" customHeight="false" outlineLevel="0" collapsed="false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customFormat="false" ht="15.75" hidden="false" customHeight="false" outlineLevel="0" collapsed="false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customFormat="false" ht="15.75" hidden="false" customHeight="false" outlineLevel="0" collapsed="false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customFormat="false" ht="15.75" hidden="false" customHeight="false" outlineLevel="0" collapsed="false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customFormat="false" ht="15.75" hidden="false" customHeight="false" outlineLevel="0" collapsed="false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customFormat="false" ht="15.75" hidden="false" customHeight="false" outlineLevel="0" collapsed="false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customFormat="false" ht="15.75" hidden="false" customHeight="false" outlineLevel="0" collapsed="false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customFormat="false" ht="15.75" hidden="false" customHeight="false" outlineLevel="0" collapsed="false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customFormat="false" ht="15.75" hidden="false" customHeight="false" outlineLevel="0" collapsed="false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customFormat="false" ht="15.75" hidden="false" customHeight="false" outlineLevel="0" collapsed="false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customFormat="false" ht="15.75" hidden="false" customHeight="false" outlineLevel="0" collapsed="false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customFormat="false" ht="15.75" hidden="false" customHeight="false" outlineLevel="0" collapsed="false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customFormat="false" ht="15.75" hidden="false" customHeight="false" outlineLevel="0" collapsed="false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customFormat="false" ht="15.75" hidden="false" customHeight="false" outlineLevel="0" collapsed="false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customFormat="false" ht="15.75" hidden="false" customHeight="false" outlineLevel="0" collapsed="false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customFormat="false" ht="15.75" hidden="false" customHeight="false" outlineLevel="0" collapsed="false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customFormat="false" ht="15.75" hidden="false" customHeight="false" outlineLevel="0" collapsed="false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customFormat="false" ht="15.75" hidden="false" customHeight="false" outlineLevel="0" collapsed="false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customFormat="false" ht="15.75" hidden="false" customHeight="false" outlineLevel="0" collapsed="false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customFormat="false" ht="15.75" hidden="false" customHeight="false" outlineLevel="0" collapsed="false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customFormat="false" ht="15.75" hidden="false" customHeight="false" outlineLevel="0" collapsed="false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customFormat="false" ht="15.75" hidden="false" customHeight="false" outlineLevel="0" collapsed="false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customFormat="false" ht="15.75" hidden="false" customHeight="false" outlineLevel="0" collapsed="false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customFormat="false" ht="15.75" hidden="false" customHeight="false" outlineLevel="0" collapsed="false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customFormat="false" ht="15.75" hidden="false" customHeight="false" outlineLevel="0" collapsed="false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customFormat="false" ht="15.75" hidden="false" customHeight="false" outlineLevel="0" collapsed="false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customFormat="false" ht="15.75" hidden="false" customHeight="false" outlineLevel="0" collapsed="false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customFormat="false" ht="15.75" hidden="false" customHeight="false" outlineLevel="0" collapsed="false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customFormat="false" ht="15.75" hidden="false" customHeight="false" outlineLevel="0" collapsed="false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customFormat="false" ht="15.75" hidden="false" customHeight="false" outlineLevel="0" collapsed="false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customFormat="false" ht="15.75" hidden="false" customHeight="false" outlineLevel="0" collapsed="false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customFormat="false" ht="15.75" hidden="false" customHeight="false" outlineLevel="0" collapsed="false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customFormat="false" ht="15.75" hidden="false" customHeight="false" outlineLevel="0" collapsed="false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customFormat="false" ht="15.75" hidden="false" customHeight="false" outlineLevel="0" collapsed="false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customFormat="false" ht="15.75" hidden="false" customHeight="false" outlineLevel="0" collapsed="false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customFormat="false" ht="15.75" hidden="false" customHeight="false" outlineLevel="0" collapsed="false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customFormat="false" ht="15.75" hidden="false" customHeight="false" outlineLevel="0" collapsed="false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customFormat="false" ht="15.75" hidden="false" customHeight="false" outlineLevel="0" collapsed="false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customFormat="false" ht="15.75" hidden="false" customHeight="false" outlineLevel="0" collapsed="false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customFormat="false" ht="15.75" hidden="false" customHeight="false" outlineLevel="0" collapsed="false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customFormat="false" ht="15.75" hidden="false" customHeight="false" outlineLevel="0" collapsed="false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customFormat="false" ht="15.75" hidden="false" customHeight="false" outlineLevel="0" collapsed="false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customFormat="false" ht="15.75" hidden="false" customHeight="false" outlineLevel="0" collapsed="false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customFormat="false" ht="15.75" hidden="false" customHeight="false" outlineLevel="0" collapsed="false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customFormat="false" ht="15.75" hidden="false" customHeight="false" outlineLevel="0" collapsed="false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customFormat="false" ht="15.75" hidden="false" customHeight="false" outlineLevel="0" collapsed="false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customFormat="false" ht="15.75" hidden="false" customHeight="false" outlineLevel="0" collapsed="false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customFormat="false" ht="15.75" hidden="false" customHeight="false" outlineLevel="0" collapsed="false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customFormat="false" ht="15.75" hidden="false" customHeight="false" outlineLevel="0" collapsed="false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customFormat="false" ht="15.75" hidden="false" customHeight="false" outlineLevel="0" collapsed="false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customFormat="false" ht="15.75" hidden="false" customHeight="false" outlineLevel="0" collapsed="false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customFormat="false" ht="15.75" hidden="false" customHeight="false" outlineLevel="0" collapsed="false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customFormat="false" ht="15.75" hidden="false" customHeight="false" outlineLevel="0" collapsed="false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customFormat="false" ht="15.75" hidden="false" customHeight="false" outlineLevel="0" collapsed="false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customFormat="false" ht="15.75" hidden="false" customHeight="false" outlineLevel="0" collapsed="false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customFormat="false" ht="15.75" hidden="false" customHeight="false" outlineLevel="0" collapsed="false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customFormat="false" ht="15.75" hidden="false" customHeight="false" outlineLevel="0" collapsed="false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customFormat="false" ht="15.75" hidden="false" customHeight="false" outlineLevel="0" collapsed="false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customFormat="false" ht="15.75" hidden="false" customHeight="false" outlineLevel="0" collapsed="false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customFormat="false" ht="15.75" hidden="false" customHeight="false" outlineLevel="0" collapsed="false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customFormat="false" ht="15.75" hidden="false" customHeight="false" outlineLevel="0" collapsed="false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customFormat="false" ht="15.75" hidden="false" customHeight="false" outlineLevel="0" collapsed="false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customFormat="false" ht="15.75" hidden="false" customHeight="false" outlineLevel="0" collapsed="false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customFormat="false" ht="15.75" hidden="false" customHeight="false" outlineLevel="0" collapsed="false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customFormat="false" ht="15.75" hidden="false" customHeight="false" outlineLevel="0" collapsed="false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customFormat="false" ht="15.75" hidden="false" customHeight="false" outlineLevel="0" collapsed="false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customFormat="false" ht="15.75" hidden="false" customHeight="false" outlineLevel="0" collapsed="false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customFormat="false" ht="15.75" hidden="false" customHeight="false" outlineLevel="0" collapsed="false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customFormat="false" ht="15.75" hidden="false" customHeight="false" outlineLevel="0" collapsed="false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customFormat="false" ht="15.75" hidden="false" customHeight="false" outlineLevel="0" collapsed="false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customFormat="false" ht="15.75" hidden="false" customHeight="false" outlineLevel="0" collapsed="false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customFormat="false" ht="15.75" hidden="false" customHeight="false" outlineLevel="0" collapsed="false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customFormat="false" ht="15.75" hidden="false" customHeight="false" outlineLevel="0" collapsed="false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customFormat="false" ht="15.75" hidden="false" customHeight="false" outlineLevel="0" collapsed="false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customFormat="false" ht="15.75" hidden="false" customHeight="false" outlineLevel="0" collapsed="false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customFormat="false" ht="15.75" hidden="false" customHeight="false" outlineLevel="0" collapsed="false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customFormat="false" ht="15.75" hidden="false" customHeight="false" outlineLevel="0" collapsed="false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customFormat="false" ht="15.75" hidden="false" customHeight="false" outlineLevel="0" collapsed="false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customFormat="false" ht="15.75" hidden="false" customHeight="false" outlineLevel="0" collapsed="false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customFormat="false" ht="15.75" hidden="false" customHeight="false" outlineLevel="0" collapsed="false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customFormat="false" ht="15.75" hidden="false" customHeight="false" outlineLevel="0" collapsed="false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customFormat="false" ht="15.75" hidden="false" customHeight="false" outlineLevel="0" collapsed="false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customFormat="false" ht="15.75" hidden="false" customHeight="false" outlineLevel="0" collapsed="false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customFormat="false" ht="15.75" hidden="false" customHeight="false" outlineLevel="0" collapsed="false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customFormat="false" ht="15.75" hidden="false" customHeight="false" outlineLevel="0" collapsed="false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customFormat="false" ht="15.75" hidden="false" customHeight="false" outlineLevel="0" collapsed="false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customFormat="false" ht="15.75" hidden="false" customHeight="false" outlineLevel="0" collapsed="false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customFormat="false" ht="15.75" hidden="false" customHeight="false" outlineLevel="0" collapsed="false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customFormat="false" ht="15.75" hidden="false" customHeight="false" outlineLevel="0" collapsed="false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customFormat="false" ht="15.75" hidden="false" customHeight="false" outlineLevel="0" collapsed="false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customFormat="false" ht="15.75" hidden="false" customHeight="false" outlineLevel="0" collapsed="false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customFormat="false" ht="15.75" hidden="false" customHeight="false" outlineLevel="0" collapsed="false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customFormat="false" ht="15.75" hidden="false" customHeight="false" outlineLevel="0" collapsed="false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customFormat="false" ht="15.75" hidden="false" customHeight="false" outlineLevel="0" collapsed="false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customFormat="false" ht="15.75" hidden="false" customHeight="false" outlineLevel="0" collapsed="false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customFormat="false" ht="15.75" hidden="false" customHeight="false" outlineLevel="0" collapsed="false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customFormat="false" ht="15.75" hidden="false" customHeight="false" outlineLevel="0" collapsed="false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customFormat="false" ht="15.75" hidden="false" customHeight="false" outlineLevel="0" collapsed="false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customFormat="false" ht="15.75" hidden="false" customHeight="false" outlineLevel="0" collapsed="false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customFormat="false" ht="15.75" hidden="false" customHeight="false" outlineLevel="0" collapsed="false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customFormat="false" ht="15.75" hidden="false" customHeight="false" outlineLevel="0" collapsed="false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customFormat="false" ht="15.75" hidden="false" customHeight="false" outlineLevel="0" collapsed="false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customFormat="false" ht="15.75" hidden="false" customHeight="false" outlineLevel="0" collapsed="false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customFormat="false" ht="15.75" hidden="false" customHeight="false" outlineLevel="0" collapsed="false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customFormat="false" ht="15.75" hidden="false" customHeight="false" outlineLevel="0" collapsed="false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customFormat="false" ht="15.75" hidden="false" customHeight="false" outlineLevel="0" collapsed="false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customFormat="false" ht="15.75" hidden="false" customHeight="false" outlineLevel="0" collapsed="false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customFormat="false" ht="15.75" hidden="false" customHeight="false" outlineLevel="0" collapsed="false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customFormat="false" ht="15.75" hidden="false" customHeight="false" outlineLevel="0" collapsed="false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customFormat="false" ht="15.75" hidden="false" customHeight="false" outlineLevel="0" collapsed="false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customFormat="false" ht="15.75" hidden="false" customHeight="false" outlineLevel="0" collapsed="false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customFormat="false" ht="15.75" hidden="false" customHeight="false" outlineLevel="0" collapsed="false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customFormat="false" ht="15.75" hidden="false" customHeight="false" outlineLevel="0" collapsed="false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customFormat="false" ht="15.75" hidden="false" customHeight="false" outlineLevel="0" collapsed="false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customFormat="false" ht="15.75" hidden="false" customHeight="false" outlineLevel="0" collapsed="false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customFormat="false" ht="15.75" hidden="false" customHeight="false" outlineLevel="0" collapsed="false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customFormat="false" ht="15.75" hidden="false" customHeight="false" outlineLevel="0" collapsed="false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customFormat="false" ht="15.75" hidden="false" customHeight="false" outlineLevel="0" collapsed="false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customFormat="false" ht="15.75" hidden="false" customHeight="false" outlineLevel="0" collapsed="false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customFormat="false" ht="15.75" hidden="false" customHeight="false" outlineLevel="0" collapsed="false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customFormat="false" ht="15.75" hidden="false" customHeight="false" outlineLevel="0" collapsed="false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customFormat="false" ht="15.75" hidden="false" customHeight="false" outlineLevel="0" collapsed="false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customFormat="false" ht="15.75" hidden="false" customHeight="false" outlineLevel="0" collapsed="false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customFormat="false" ht="15.75" hidden="false" customHeight="false" outlineLevel="0" collapsed="false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customFormat="false" ht="15.75" hidden="false" customHeight="false" outlineLevel="0" collapsed="false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customFormat="false" ht="15.75" hidden="false" customHeight="false" outlineLevel="0" collapsed="false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customFormat="false" ht="15.75" hidden="false" customHeight="false" outlineLevel="0" collapsed="false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customFormat="false" ht="15.75" hidden="false" customHeight="false" outlineLevel="0" collapsed="false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customFormat="false" ht="15.75" hidden="false" customHeight="false" outlineLevel="0" collapsed="false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customFormat="false" ht="15.75" hidden="false" customHeight="false" outlineLevel="0" collapsed="false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customFormat="false" ht="15.75" hidden="false" customHeight="false" outlineLevel="0" collapsed="false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customFormat="false" ht="15.75" hidden="false" customHeight="false" outlineLevel="0" collapsed="false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customFormat="false" ht="15.75" hidden="false" customHeight="false" outlineLevel="0" collapsed="false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customFormat="false" ht="15.75" hidden="false" customHeight="false" outlineLevel="0" collapsed="false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customFormat="false" ht="15.75" hidden="false" customHeight="false" outlineLevel="0" collapsed="false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customFormat="false" ht="15.75" hidden="false" customHeight="false" outlineLevel="0" collapsed="false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customFormat="false" ht="15.75" hidden="false" customHeight="false" outlineLevel="0" collapsed="false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customFormat="false" ht="15.75" hidden="false" customHeight="false" outlineLevel="0" collapsed="false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customFormat="false" ht="15.75" hidden="false" customHeight="false" outlineLevel="0" collapsed="false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customFormat="false" ht="15.75" hidden="false" customHeight="false" outlineLevel="0" collapsed="false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customFormat="false" ht="15.75" hidden="false" customHeight="false" outlineLevel="0" collapsed="false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customFormat="false" ht="15.75" hidden="false" customHeight="false" outlineLevel="0" collapsed="false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customFormat="false" ht="15.75" hidden="false" customHeight="false" outlineLevel="0" collapsed="false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customFormat="false" ht="15.75" hidden="false" customHeight="false" outlineLevel="0" collapsed="false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customFormat="false" ht="15.75" hidden="false" customHeight="false" outlineLevel="0" collapsed="false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customFormat="false" ht="15.75" hidden="false" customHeight="false" outlineLevel="0" collapsed="false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customFormat="false" ht="15.75" hidden="false" customHeight="false" outlineLevel="0" collapsed="false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customFormat="false" ht="15.75" hidden="false" customHeight="false" outlineLevel="0" collapsed="false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customFormat="false" ht="15.75" hidden="false" customHeight="false" outlineLevel="0" collapsed="false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customFormat="false" ht="15.75" hidden="false" customHeight="false" outlineLevel="0" collapsed="false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customFormat="false" ht="15.75" hidden="false" customHeight="false" outlineLevel="0" collapsed="false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customFormat="false" ht="15.75" hidden="false" customHeight="false" outlineLevel="0" collapsed="false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customFormat="false" ht="15.75" hidden="false" customHeight="false" outlineLevel="0" collapsed="false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customFormat="false" ht="15.75" hidden="false" customHeight="false" outlineLevel="0" collapsed="false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customFormat="false" ht="15.75" hidden="false" customHeight="false" outlineLevel="0" collapsed="false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customFormat="false" ht="15.75" hidden="false" customHeight="false" outlineLevel="0" collapsed="false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customFormat="false" ht="15.75" hidden="false" customHeight="false" outlineLevel="0" collapsed="false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customFormat="false" ht="15.75" hidden="false" customHeight="false" outlineLevel="0" collapsed="false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customFormat="false" ht="15.75" hidden="false" customHeight="false" outlineLevel="0" collapsed="false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customFormat="false" ht="15.75" hidden="false" customHeight="false" outlineLevel="0" collapsed="false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customFormat="false" ht="15.75" hidden="false" customHeight="false" outlineLevel="0" collapsed="false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customFormat="false" ht="15.75" hidden="false" customHeight="false" outlineLevel="0" collapsed="false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customFormat="false" ht="15.75" hidden="false" customHeight="false" outlineLevel="0" collapsed="false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customFormat="false" ht="15.75" hidden="false" customHeight="false" outlineLevel="0" collapsed="false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customFormat="false" ht="15.75" hidden="false" customHeight="false" outlineLevel="0" collapsed="false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customFormat="false" ht="15.75" hidden="false" customHeight="false" outlineLevel="0" collapsed="false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customFormat="false" ht="15.75" hidden="false" customHeight="false" outlineLevel="0" collapsed="false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customFormat="false" ht="15.75" hidden="false" customHeight="false" outlineLevel="0" collapsed="false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customFormat="false" ht="15.75" hidden="false" customHeight="false" outlineLevel="0" collapsed="false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customFormat="false" ht="15.75" hidden="false" customHeight="false" outlineLevel="0" collapsed="false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customFormat="false" ht="15.75" hidden="false" customHeight="false" outlineLevel="0" collapsed="false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customFormat="false" ht="15.75" hidden="false" customHeight="false" outlineLevel="0" collapsed="false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customFormat="false" ht="15.75" hidden="false" customHeight="false" outlineLevel="0" collapsed="false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customFormat="false" ht="15.75" hidden="false" customHeight="false" outlineLevel="0" collapsed="false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customFormat="false" ht="15.75" hidden="false" customHeight="false" outlineLevel="0" collapsed="false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customFormat="false" ht="15.75" hidden="false" customHeight="false" outlineLevel="0" collapsed="false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customFormat="false" ht="15.75" hidden="false" customHeight="false" outlineLevel="0" collapsed="false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customFormat="false" ht="15.75" hidden="false" customHeight="false" outlineLevel="0" collapsed="false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customFormat="false" ht="15.75" hidden="false" customHeight="false" outlineLevel="0" collapsed="false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customFormat="false" ht="15.75" hidden="false" customHeight="false" outlineLevel="0" collapsed="false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customFormat="false" ht="15.75" hidden="false" customHeight="false" outlineLevel="0" collapsed="false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customFormat="false" ht="15.75" hidden="false" customHeight="false" outlineLevel="0" collapsed="false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customFormat="false" ht="15.75" hidden="false" customHeight="false" outlineLevel="0" collapsed="false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customFormat="false" ht="15.75" hidden="false" customHeight="false" outlineLevel="0" collapsed="false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customFormat="false" ht="15.75" hidden="false" customHeight="false" outlineLevel="0" collapsed="false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customFormat="false" ht="15.75" hidden="false" customHeight="false" outlineLevel="0" collapsed="false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customFormat="false" ht="15.75" hidden="false" customHeight="false" outlineLevel="0" collapsed="false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customFormat="false" ht="15.75" hidden="false" customHeight="false" outlineLevel="0" collapsed="false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customFormat="false" ht="15.75" hidden="false" customHeight="false" outlineLevel="0" collapsed="false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customFormat="false" ht="15.75" hidden="false" customHeight="false" outlineLevel="0" collapsed="false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customFormat="false" ht="15.75" hidden="false" customHeight="false" outlineLevel="0" collapsed="false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customFormat="false" ht="15.75" hidden="false" customHeight="false" outlineLevel="0" collapsed="false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customFormat="false" ht="15.75" hidden="false" customHeight="false" outlineLevel="0" collapsed="false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customFormat="false" ht="15.75" hidden="false" customHeight="false" outlineLevel="0" collapsed="false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customFormat="false" ht="15.75" hidden="false" customHeight="false" outlineLevel="0" collapsed="false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customFormat="false" ht="15.75" hidden="false" customHeight="false" outlineLevel="0" collapsed="false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customFormat="false" ht="15.75" hidden="false" customHeight="false" outlineLevel="0" collapsed="false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customFormat="false" ht="15.75" hidden="false" customHeight="false" outlineLevel="0" collapsed="false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customFormat="false" ht="15.75" hidden="false" customHeight="false" outlineLevel="0" collapsed="false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customFormat="false" ht="15.75" hidden="false" customHeight="false" outlineLevel="0" collapsed="false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customFormat="false" ht="15.75" hidden="false" customHeight="false" outlineLevel="0" collapsed="false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customFormat="false" ht="15.75" hidden="false" customHeight="false" outlineLevel="0" collapsed="false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customFormat="false" ht="15.75" hidden="false" customHeight="false" outlineLevel="0" collapsed="false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customFormat="false" ht="15.75" hidden="false" customHeight="false" outlineLevel="0" collapsed="false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customFormat="false" ht="15.75" hidden="false" customHeight="false" outlineLevel="0" collapsed="false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customFormat="false" ht="15.75" hidden="false" customHeight="false" outlineLevel="0" collapsed="false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customFormat="false" ht="15.75" hidden="false" customHeight="false" outlineLevel="0" collapsed="false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customFormat="false" ht="15.75" hidden="false" customHeight="false" outlineLevel="0" collapsed="false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customFormat="false" ht="15.75" hidden="false" customHeight="false" outlineLevel="0" collapsed="false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customFormat="false" ht="15.75" hidden="false" customHeight="false" outlineLevel="0" collapsed="false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customFormat="false" ht="15.75" hidden="false" customHeight="false" outlineLevel="0" collapsed="false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customFormat="false" ht="15.75" hidden="false" customHeight="false" outlineLevel="0" collapsed="false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customFormat="false" ht="15.75" hidden="false" customHeight="false" outlineLevel="0" collapsed="false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customFormat="false" ht="15.75" hidden="false" customHeight="false" outlineLevel="0" collapsed="false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customFormat="false" ht="15.75" hidden="false" customHeight="false" outlineLevel="0" collapsed="false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customFormat="false" ht="15.75" hidden="false" customHeight="false" outlineLevel="0" collapsed="false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customFormat="false" ht="15.75" hidden="false" customHeight="false" outlineLevel="0" collapsed="false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customFormat="false" ht="15.75" hidden="false" customHeight="false" outlineLevel="0" collapsed="false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customFormat="false" ht="15.75" hidden="false" customHeight="false" outlineLevel="0" collapsed="false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customFormat="false" ht="15.75" hidden="false" customHeight="false" outlineLevel="0" collapsed="false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customFormat="false" ht="15.75" hidden="false" customHeight="false" outlineLevel="0" collapsed="false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customFormat="false" ht="15.75" hidden="false" customHeight="false" outlineLevel="0" collapsed="false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customFormat="false" ht="15.75" hidden="false" customHeight="false" outlineLevel="0" collapsed="false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customFormat="false" ht="15.75" hidden="false" customHeight="false" outlineLevel="0" collapsed="false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customFormat="false" ht="15.75" hidden="false" customHeight="false" outlineLevel="0" collapsed="false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customFormat="false" ht="15.75" hidden="false" customHeight="false" outlineLevel="0" collapsed="false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customFormat="false" ht="15.75" hidden="false" customHeight="false" outlineLevel="0" collapsed="false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customFormat="false" ht="15.75" hidden="false" customHeight="false" outlineLevel="0" collapsed="false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customFormat="false" ht="15.75" hidden="false" customHeight="false" outlineLevel="0" collapsed="false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customFormat="false" ht="15.75" hidden="false" customHeight="false" outlineLevel="0" collapsed="false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customFormat="false" ht="15.75" hidden="false" customHeight="false" outlineLevel="0" collapsed="false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customFormat="false" ht="15.75" hidden="false" customHeight="false" outlineLevel="0" collapsed="false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customFormat="false" ht="15.75" hidden="false" customHeight="false" outlineLevel="0" collapsed="false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customFormat="false" ht="15.75" hidden="false" customHeight="false" outlineLevel="0" collapsed="false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customFormat="false" ht="15.75" hidden="false" customHeight="false" outlineLevel="0" collapsed="false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customFormat="false" ht="15.75" hidden="false" customHeight="false" outlineLevel="0" collapsed="false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customFormat="false" ht="15.75" hidden="false" customHeight="false" outlineLevel="0" collapsed="false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customFormat="false" ht="15.75" hidden="false" customHeight="false" outlineLevel="0" collapsed="false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customFormat="false" ht="15.75" hidden="false" customHeight="false" outlineLevel="0" collapsed="false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customFormat="false" ht="15.75" hidden="false" customHeight="false" outlineLevel="0" collapsed="false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customFormat="false" ht="15.75" hidden="false" customHeight="false" outlineLevel="0" collapsed="false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customFormat="false" ht="15.75" hidden="false" customHeight="false" outlineLevel="0" collapsed="false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customFormat="false" ht="15.75" hidden="false" customHeight="false" outlineLevel="0" collapsed="false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customFormat="false" ht="15.75" hidden="false" customHeight="false" outlineLevel="0" collapsed="false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customFormat="false" ht="15.75" hidden="false" customHeight="false" outlineLevel="0" collapsed="false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customFormat="false" ht="15.75" hidden="false" customHeight="false" outlineLevel="0" collapsed="false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customFormat="false" ht="15.75" hidden="false" customHeight="false" outlineLevel="0" collapsed="false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customFormat="false" ht="15.75" hidden="false" customHeight="false" outlineLevel="0" collapsed="false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customFormat="false" ht="15.75" hidden="false" customHeight="false" outlineLevel="0" collapsed="false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customFormat="false" ht="15.75" hidden="false" customHeight="false" outlineLevel="0" collapsed="false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customFormat="false" ht="15.75" hidden="false" customHeight="false" outlineLevel="0" collapsed="false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customFormat="false" ht="15.75" hidden="false" customHeight="false" outlineLevel="0" collapsed="false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customFormat="false" ht="15.75" hidden="false" customHeight="false" outlineLevel="0" collapsed="false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customFormat="false" ht="15.75" hidden="false" customHeight="false" outlineLevel="0" collapsed="false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customFormat="false" ht="15.75" hidden="false" customHeight="false" outlineLevel="0" collapsed="false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customFormat="false" ht="15.75" hidden="false" customHeight="false" outlineLevel="0" collapsed="false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customFormat="false" ht="15.75" hidden="false" customHeight="false" outlineLevel="0" collapsed="false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customFormat="false" ht="15.75" hidden="false" customHeight="false" outlineLevel="0" collapsed="false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customFormat="false" ht="15.75" hidden="false" customHeight="false" outlineLevel="0" collapsed="false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customFormat="false" ht="15.75" hidden="false" customHeight="false" outlineLevel="0" collapsed="false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customFormat="false" ht="15.75" hidden="false" customHeight="false" outlineLevel="0" collapsed="false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customFormat="false" ht="15.75" hidden="false" customHeight="false" outlineLevel="0" collapsed="false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customFormat="false" ht="15.75" hidden="false" customHeight="false" outlineLevel="0" collapsed="false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customFormat="false" ht="15.75" hidden="false" customHeight="false" outlineLevel="0" collapsed="false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customFormat="false" ht="15.75" hidden="false" customHeight="false" outlineLevel="0" collapsed="false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customFormat="false" ht="15.75" hidden="false" customHeight="false" outlineLevel="0" collapsed="false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customFormat="false" ht="15.75" hidden="false" customHeight="false" outlineLevel="0" collapsed="false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customFormat="false" ht="15.75" hidden="false" customHeight="false" outlineLevel="0" collapsed="false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customFormat="false" ht="15.75" hidden="false" customHeight="false" outlineLevel="0" collapsed="false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customFormat="false" ht="15.75" hidden="false" customHeight="false" outlineLevel="0" collapsed="false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customFormat="false" ht="15.75" hidden="false" customHeight="false" outlineLevel="0" collapsed="false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customFormat="false" ht="15.75" hidden="false" customHeight="false" outlineLevel="0" collapsed="false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customFormat="false" ht="15.75" hidden="false" customHeight="false" outlineLevel="0" collapsed="false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customFormat="false" ht="15.75" hidden="false" customHeight="false" outlineLevel="0" collapsed="false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customFormat="false" ht="15.75" hidden="false" customHeight="false" outlineLevel="0" collapsed="false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customFormat="false" ht="15.75" hidden="false" customHeight="false" outlineLevel="0" collapsed="false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customFormat="false" ht="15.75" hidden="false" customHeight="false" outlineLevel="0" collapsed="false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customFormat="false" ht="15.75" hidden="false" customHeight="false" outlineLevel="0" collapsed="false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customFormat="false" ht="15.75" hidden="false" customHeight="false" outlineLevel="0" collapsed="false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customFormat="false" ht="15.75" hidden="false" customHeight="false" outlineLevel="0" collapsed="false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customFormat="false" ht="15.75" hidden="false" customHeight="false" outlineLevel="0" collapsed="false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customFormat="false" ht="15.75" hidden="false" customHeight="false" outlineLevel="0" collapsed="false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customFormat="false" ht="15.75" hidden="false" customHeight="false" outlineLevel="0" collapsed="false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customFormat="false" ht="15.75" hidden="false" customHeight="false" outlineLevel="0" collapsed="false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customFormat="false" ht="15.75" hidden="false" customHeight="false" outlineLevel="0" collapsed="false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customFormat="false" ht="15.75" hidden="false" customHeight="false" outlineLevel="0" collapsed="false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customFormat="false" ht="15.75" hidden="false" customHeight="false" outlineLevel="0" collapsed="false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customFormat="false" ht="15.75" hidden="false" customHeight="false" outlineLevel="0" collapsed="false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customFormat="false" ht="15.75" hidden="false" customHeight="false" outlineLevel="0" collapsed="false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customFormat="false" ht="15.75" hidden="false" customHeight="false" outlineLevel="0" collapsed="false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customFormat="false" ht="15.75" hidden="false" customHeight="false" outlineLevel="0" collapsed="false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customFormat="false" ht="15.75" hidden="false" customHeight="false" outlineLevel="0" collapsed="false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customFormat="false" ht="15.75" hidden="false" customHeight="false" outlineLevel="0" collapsed="false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customFormat="false" ht="15.75" hidden="false" customHeight="false" outlineLevel="0" collapsed="false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customFormat="false" ht="15.75" hidden="false" customHeight="false" outlineLevel="0" collapsed="false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customFormat="false" ht="15.75" hidden="false" customHeight="false" outlineLevel="0" collapsed="false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customFormat="false" ht="15.75" hidden="false" customHeight="false" outlineLevel="0" collapsed="false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customFormat="false" ht="15.75" hidden="false" customHeight="false" outlineLevel="0" collapsed="false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customFormat="false" ht="15.75" hidden="false" customHeight="false" outlineLevel="0" collapsed="false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customFormat="false" ht="15.75" hidden="false" customHeight="false" outlineLevel="0" collapsed="false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customFormat="false" ht="15.75" hidden="false" customHeight="false" outlineLevel="0" collapsed="false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customFormat="false" ht="15.75" hidden="false" customHeight="false" outlineLevel="0" collapsed="false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customFormat="false" ht="15.75" hidden="false" customHeight="false" outlineLevel="0" collapsed="false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customFormat="false" ht="15.75" hidden="false" customHeight="false" outlineLevel="0" collapsed="false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customFormat="false" ht="15.75" hidden="false" customHeight="false" outlineLevel="0" collapsed="false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customFormat="false" ht="15.75" hidden="false" customHeight="false" outlineLevel="0" collapsed="false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customFormat="false" ht="15.75" hidden="false" customHeight="false" outlineLevel="0" collapsed="false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customFormat="false" ht="15.75" hidden="false" customHeight="false" outlineLevel="0" collapsed="false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customFormat="false" ht="15.75" hidden="false" customHeight="false" outlineLevel="0" collapsed="false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customFormat="false" ht="15.75" hidden="false" customHeight="false" outlineLevel="0" collapsed="false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customFormat="false" ht="15.75" hidden="false" customHeight="false" outlineLevel="0" collapsed="false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customFormat="false" ht="15.75" hidden="false" customHeight="false" outlineLevel="0" collapsed="false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customFormat="false" ht="15.75" hidden="false" customHeight="false" outlineLevel="0" collapsed="false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customFormat="false" ht="15.75" hidden="false" customHeight="false" outlineLevel="0" collapsed="false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customFormat="false" ht="15.75" hidden="false" customHeight="false" outlineLevel="0" collapsed="false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customFormat="false" ht="15.75" hidden="false" customHeight="false" outlineLevel="0" collapsed="false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customFormat="false" ht="15.75" hidden="false" customHeight="false" outlineLevel="0" collapsed="false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customFormat="false" ht="15.75" hidden="false" customHeight="false" outlineLevel="0" collapsed="false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customFormat="false" ht="15.75" hidden="false" customHeight="false" outlineLevel="0" collapsed="false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customFormat="false" ht="15.75" hidden="false" customHeight="false" outlineLevel="0" collapsed="false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customFormat="false" ht="15.75" hidden="false" customHeight="false" outlineLevel="0" collapsed="false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customFormat="false" ht="15.75" hidden="false" customHeight="false" outlineLevel="0" collapsed="false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customFormat="false" ht="15.75" hidden="false" customHeight="false" outlineLevel="0" collapsed="false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customFormat="false" ht="15.75" hidden="false" customHeight="false" outlineLevel="0" collapsed="false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customFormat="false" ht="15.75" hidden="false" customHeight="false" outlineLevel="0" collapsed="false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customFormat="false" ht="15.75" hidden="false" customHeight="false" outlineLevel="0" collapsed="false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customFormat="false" ht="15.75" hidden="false" customHeight="false" outlineLevel="0" collapsed="false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customFormat="false" ht="15.75" hidden="false" customHeight="false" outlineLevel="0" collapsed="false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customFormat="false" ht="15.75" hidden="false" customHeight="false" outlineLevel="0" collapsed="false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41" t="s">
        <v>38</v>
      </c>
      <c r="B1" s="141" t="s">
        <v>37</v>
      </c>
      <c r="C1" s="141" t="s">
        <v>40</v>
      </c>
      <c r="D1" s="141" t="s">
        <v>34</v>
      </c>
      <c r="E1" s="141" t="s">
        <v>47</v>
      </c>
      <c r="F1" s="141" t="s">
        <v>39</v>
      </c>
      <c r="G1" s="141" t="s">
        <v>41</v>
      </c>
      <c r="H1" s="141" t="s">
        <v>36</v>
      </c>
      <c r="I1" s="141" t="s">
        <v>35</v>
      </c>
    </row>
    <row r="2" customFormat="false" ht="15.75" hidden="false" customHeight="false" outlineLevel="0" collapsed="false">
      <c r="A2" s="141" t="str">
        <f aca="false">Scoring!BK8</f>
        <v/>
      </c>
      <c r="B2" s="141" t="str">
        <f aca="false">Scoring!BJ8</f>
        <v/>
      </c>
      <c r="C2" s="141" t="n">
        <f aca="false">Scoring!C8</f>
        <v>0</v>
      </c>
      <c r="D2" s="142" t="str">
        <f aca="false">Scoring!BG8</f>
        <v/>
      </c>
      <c r="E2" s="141" t="str">
        <f aca="false">Scoring!AG8</f>
        <v/>
      </c>
      <c r="F2" s="141" t="n">
        <f aca="false">Scoring!B8</f>
        <v>0</v>
      </c>
      <c r="G2" s="141" t="n">
        <f aca="false">Scoring!D8</f>
        <v>0</v>
      </c>
      <c r="H2" s="141" t="str">
        <f aca="false">Scoring!BI8</f>
        <v/>
      </c>
      <c r="I2" s="143" t="str">
        <f aca="false">Scoring!BH8</f>
        <v/>
      </c>
    </row>
    <row r="3" customFormat="false" ht="15.75" hidden="false" customHeight="false" outlineLevel="0" collapsed="false">
      <c r="A3" s="141" t="str">
        <f aca="false">Scoring!BK9</f>
        <v/>
      </c>
      <c r="B3" s="141" t="str">
        <f aca="false">Scoring!BJ9</f>
        <v/>
      </c>
      <c r="C3" s="141" t="n">
        <f aca="false">Scoring!C9</f>
        <v>0</v>
      </c>
      <c r="D3" s="142" t="str">
        <f aca="false">Scoring!BG9</f>
        <v/>
      </c>
      <c r="E3" s="141" t="str">
        <f aca="false">Scoring!AG9</f>
        <v/>
      </c>
      <c r="F3" s="141" t="n">
        <f aca="false">Scoring!B9</f>
        <v>0</v>
      </c>
      <c r="G3" s="141" t="n">
        <f aca="false">Scoring!D9</f>
        <v>0</v>
      </c>
      <c r="H3" s="141" t="str">
        <f aca="false">Scoring!BI9</f>
        <v/>
      </c>
      <c r="I3" s="143" t="str">
        <f aca="false">Scoring!BH9</f>
        <v/>
      </c>
    </row>
    <row r="4" customFormat="false" ht="15.75" hidden="false" customHeight="false" outlineLevel="0" collapsed="false">
      <c r="A4" s="141" t="str">
        <f aca="false">Scoring!BK10</f>
        <v/>
      </c>
      <c r="B4" s="141" t="str">
        <f aca="false">Scoring!BJ10</f>
        <v/>
      </c>
      <c r="C4" s="141" t="n">
        <f aca="false">Scoring!C10</f>
        <v>0</v>
      </c>
      <c r="D4" s="142" t="str">
        <f aca="false">Scoring!BG10</f>
        <v/>
      </c>
      <c r="E4" s="141" t="str">
        <f aca="false">Scoring!AG10</f>
        <v/>
      </c>
      <c r="F4" s="141" t="n">
        <f aca="false">Scoring!B10</f>
        <v>0</v>
      </c>
      <c r="G4" s="141" t="n">
        <f aca="false">Scoring!D10</f>
        <v>0</v>
      </c>
      <c r="H4" s="141" t="str">
        <f aca="false">Scoring!BI10</f>
        <v/>
      </c>
      <c r="I4" s="143" t="str">
        <f aca="false">Scoring!BH10</f>
        <v/>
      </c>
    </row>
    <row r="5" customFormat="false" ht="15.75" hidden="false" customHeight="false" outlineLevel="0" collapsed="false">
      <c r="A5" s="141" t="str">
        <f aca="false">Scoring!BK11</f>
        <v/>
      </c>
      <c r="B5" s="141" t="str">
        <f aca="false">Scoring!BJ11</f>
        <v/>
      </c>
      <c r="C5" s="141" t="n">
        <f aca="false">Scoring!C11</f>
        <v>0</v>
      </c>
      <c r="D5" s="142" t="str">
        <f aca="false">Scoring!BG11</f>
        <v/>
      </c>
      <c r="E5" s="141" t="str">
        <f aca="false">Scoring!AG11</f>
        <v/>
      </c>
      <c r="F5" s="141" t="n">
        <f aca="false">Scoring!B11</f>
        <v>0</v>
      </c>
      <c r="G5" s="141" t="n">
        <f aca="false">Scoring!D11</f>
        <v>0</v>
      </c>
      <c r="H5" s="141" t="str">
        <f aca="false">Scoring!BI11</f>
        <v/>
      </c>
      <c r="I5" s="143" t="str">
        <f aca="false">Scoring!BH11</f>
        <v/>
      </c>
    </row>
    <row r="6" customFormat="false" ht="15.75" hidden="false" customHeight="false" outlineLevel="0" collapsed="false">
      <c r="A6" s="141" t="str">
        <f aca="false">Scoring!BK12</f>
        <v/>
      </c>
      <c r="B6" s="141" t="str">
        <f aca="false">Scoring!BJ12</f>
        <v/>
      </c>
      <c r="C6" s="141" t="n">
        <f aca="false">Scoring!C12</f>
        <v>0</v>
      </c>
      <c r="D6" s="142" t="str">
        <f aca="false">Scoring!BG12</f>
        <v/>
      </c>
      <c r="E6" s="141" t="str">
        <f aca="false">Scoring!AG12</f>
        <v/>
      </c>
      <c r="F6" s="141" t="n">
        <f aca="false">Scoring!B12</f>
        <v>0</v>
      </c>
      <c r="G6" s="141" t="n">
        <f aca="false">Scoring!D12</f>
        <v>0</v>
      </c>
      <c r="H6" s="141" t="str">
        <f aca="false">Scoring!BI12</f>
        <v/>
      </c>
      <c r="I6" s="143" t="str">
        <f aca="false">Scoring!BH12</f>
        <v/>
      </c>
    </row>
    <row r="7" customFormat="false" ht="15.75" hidden="false" customHeight="false" outlineLevel="0" collapsed="false">
      <c r="A7" s="141" t="str">
        <f aca="false">Scoring!BK13</f>
        <v/>
      </c>
      <c r="B7" s="141" t="str">
        <f aca="false">Scoring!BJ13</f>
        <v/>
      </c>
      <c r="C7" s="141" t="n">
        <f aca="false">Scoring!C13</f>
        <v>0</v>
      </c>
      <c r="D7" s="142" t="str">
        <f aca="false">Scoring!BG13</f>
        <v/>
      </c>
      <c r="E7" s="141" t="str">
        <f aca="false">Scoring!AG13</f>
        <v/>
      </c>
      <c r="F7" s="141" t="n">
        <f aca="false">Scoring!B13</f>
        <v>0</v>
      </c>
      <c r="G7" s="141" t="n">
        <f aca="false">Scoring!D13</f>
        <v>0</v>
      </c>
      <c r="H7" s="141" t="str">
        <f aca="false">Scoring!BI13</f>
        <v/>
      </c>
      <c r="I7" s="143" t="str">
        <f aca="false">Scoring!BH13</f>
        <v/>
      </c>
    </row>
    <row r="8" customFormat="false" ht="15.75" hidden="false" customHeight="false" outlineLevel="0" collapsed="false">
      <c r="A8" s="141" t="str">
        <f aca="false">Scoring!BK14</f>
        <v/>
      </c>
      <c r="B8" s="141" t="str">
        <f aca="false">Scoring!BJ14</f>
        <v/>
      </c>
      <c r="C8" s="141" t="n">
        <f aca="false">Scoring!C14</f>
        <v>0</v>
      </c>
      <c r="D8" s="142" t="str">
        <f aca="false">Scoring!BG14</f>
        <v/>
      </c>
      <c r="E8" s="141" t="str">
        <f aca="false">Scoring!AG14</f>
        <v/>
      </c>
      <c r="F8" s="141" t="n">
        <f aca="false">Scoring!B14</f>
        <v>0</v>
      </c>
      <c r="G8" s="141" t="n">
        <f aca="false">Scoring!D14</f>
        <v>0</v>
      </c>
      <c r="H8" s="141" t="str">
        <f aca="false">Scoring!BI14</f>
        <v/>
      </c>
      <c r="I8" s="143" t="str">
        <f aca="false">Scoring!BH14</f>
        <v/>
      </c>
    </row>
    <row r="9" customFormat="false" ht="15.75" hidden="false" customHeight="false" outlineLevel="0" collapsed="false">
      <c r="A9" s="141" t="str">
        <f aca="false">Scoring!BK15</f>
        <v/>
      </c>
      <c r="B9" s="141" t="str">
        <f aca="false">Scoring!BJ15</f>
        <v/>
      </c>
      <c r="C9" s="141" t="n">
        <f aca="false">Scoring!C15</f>
        <v>0</v>
      </c>
      <c r="D9" s="142" t="str">
        <f aca="false">Scoring!BG15</f>
        <v/>
      </c>
      <c r="E9" s="141" t="str">
        <f aca="false">Scoring!AG15</f>
        <v/>
      </c>
      <c r="F9" s="141" t="n">
        <f aca="false">Scoring!B15</f>
        <v>0</v>
      </c>
      <c r="G9" s="141" t="n">
        <f aca="false">Scoring!D15</f>
        <v>0</v>
      </c>
      <c r="H9" s="141" t="str">
        <f aca="false">Scoring!BI15</f>
        <v/>
      </c>
      <c r="I9" s="143" t="str">
        <f aca="false">Scoring!BH15</f>
        <v/>
      </c>
    </row>
    <row r="10" customFormat="false" ht="15.75" hidden="false" customHeight="false" outlineLevel="0" collapsed="false">
      <c r="A10" s="141" t="str">
        <f aca="false">Scoring!BK16</f>
        <v/>
      </c>
      <c r="B10" s="141" t="str">
        <f aca="false">Scoring!BJ16</f>
        <v/>
      </c>
      <c r="C10" s="141" t="n">
        <f aca="false">Scoring!C16</f>
        <v>0</v>
      </c>
      <c r="D10" s="142" t="str">
        <f aca="false">Scoring!BG16</f>
        <v/>
      </c>
      <c r="E10" s="141" t="str">
        <f aca="false">Scoring!AG16</f>
        <v/>
      </c>
      <c r="F10" s="141" t="n">
        <f aca="false">Scoring!B16</f>
        <v>0</v>
      </c>
      <c r="G10" s="141" t="n">
        <f aca="false">Scoring!D16</f>
        <v>0</v>
      </c>
      <c r="H10" s="141" t="str">
        <f aca="false">Scoring!BI16</f>
        <v/>
      </c>
      <c r="I10" s="143" t="str">
        <f aca="false">Scoring!BH16</f>
        <v/>
      </c>
    </row>
    <row r="11" customFormat="false" ht="15.75" hidden="false" customHeight="false" outlineLevel="0" collapsed="false">
      <c r="A11" s="141" t="str">
        <f aca="false">Scoring!BK17</f>
        <v/>
      </c>
      <c r="B11" s="141" t="str">
        <f aca="false">Scoring!BJ17</f>
        <v/>
      </c>
      <c r="C11" s="141" t="n">
        <f aca="false">Scoring!C17</f>
        <v>0</v>
      </c>
      <c r="D11" s="142" t="str">
        <f aca="false">Scoring!BG17</f>
        <v/>
      </c>
      <c r="E11" s="141" t="str">
        <f aca="false">Scoring!AG17</f>
        <v/>
      </c>
      <c r="F11" s="141" t="n">
        <f aca="false">Scoring!B17</f>
        <v>0</v>
      </c>
      <c r="G11" s="141" t="n">
        <f aca="false">Scoring!D17</f>
        <v>0</v>
      </c>
      <c r="H11" s="141" t="str">
        <f aca="false">Scoring!BI17</f>
        <v/>
      </c>
      <c r="I11" s="143" t="str">
        <f aca="false">Scoring!BH17</f>
        <v/>
      </c>
    </row>
    <row r="12" customFormat="false" ht="15.75" hidden="false" customHeight="false" outlineLevel="0" collapsed="false">
      <c r="A12" s="141" t="str">
        <f aca="false">Scoring!BK18</f>
        <v/>
      </c>
      <c r="B12" s="141" t="str">
        <f aca="false">Scoring!BJ18</f>
        <v/>
      </c>
      <c r="C12" s="141" t="n">
        <f aca="false">Scoring!C18</f>
        <v>0</v>
      </c>
      <c r="D12" s="142" t="str">
        <f aca="false">Scoring!BG18</f>
        <v/>
      </c>
      <c r="E12" s="141" t="str">
        <f aca="false">Scoring!AG18</f>
        <v/>
      </c>
      <c r="F12" s="141" t="n">
        <f aca="false">Scoring!B18</f>
        <v>0</v>
      </c>
      <c r="G12" s="141" t="n">
        <f aca="false">Scoring!D18</f>
        <v>0</v>
      </c>
      <c r="H12" s="141" t="str">
        <f aca="false">Scoring!BI18</f>
        <v/>
      </c>
      <c r="I12" s="143" t="str">
        <f aca="false">Scoring!BH18</f>
        <v/>
      </c>
    </row>
    <row r="13" customFormat="false" ht="15.75" hidden="false" customHeight="false" outlineLevel="0" collapsed="false">
      <c r="A13" s="141" t="str">
        <f aca="false">Scoring!BK19</f>
        <v/>
      </c>
      <c r="B13" s="141" t="str">
        <f aca="false">Scoring!BJ19</f>
        <v/>
      </c>
      <c r="C13" s="141" t="n">
        <f aca="false">Scoring!C19</f>
        <v>0</v>
      </c>
      <c r="D13" s="142" t="str">
        <f aca="false">Scoring!BG19</f>
        <v/>
      </c>
      <c r="E13" s="141" t="str">
        <f aca="false">Scoring!AG19</f>
        <v/>
      </c>
      <c r="F13" s="141" t="n">
        <f aca="false">Scoring!B19</f>
        <v>0</v>
      </c>
      <c r="G13" s="141" t="n">
        <f aca="false">Scoring!D19</f>
        <v>0</v>
      </c>
      <c r="H13" s="141" t="str">
        <f aca="false">Scoring!BI19</f>
        <v/>
      </c>
      <c r="I13" s="143" t="str">
        <f aca="false">Scoring!BH19</f>
        <v/>
      </c>
    </row>
    <row r="14" customFormat="false" ht="15.75" hidden="false" customHeight="false" outlineLevel="0" collapsed="false">
      <c r="A14" s="141" t="str">
        <f aca="false">Scoring!BK20</f>
        <v/>
      </c>
      <c r="B14" s="141" t="str">
        <f aca="false">Scoring!BJ20</f>
        <v/>
      </c>
      <c r="C14" s="141" t="n">
        <f aca="false">Scoring!C20</f>
        <v>0</v>
      </c>
      <c r="D14" s="142" t="str">
        <f aca="false">Scoring!BG20</f>
        <v/>
      </c>
      <c r="E14" s="141" t="str">
        <f aca="false">Scoring!AG20</f>
        <v/>
      </c>
      <c r="F14" s="141" t="n">
        <f aca="false">Scoring!B20</f>
        <v>0</v>
      </c>
      <c r="G14" s="141" t="n">
        <f aca="false">Scoring!D20</f>
        <v>0</v>
      </c>
      <c r="H14" s="141" t="str">
        <f aca="false">Scoring!BI20</f>
        <v/>
      </c>
      <c r="I14" s="143" t="str">
        <f aca="false">Scoring!BH20</f>
        <v/>
      </c>
    </row>
    <row r="15" customFormat="false" ht="15.75" hidden="false" customHeight="false" outlineLevel="0" collapsed="false">
      <c r="A15" s="141" t="str">
        <f aca="false">Scoring!BK21</f>
        <v/>
      </c>
      <c r="B15" s="141" t="str">
        <f aca="false">Scoring!BJ21</f>
        <v/>
      </c>
      <c r="C15" s="141" t="n">
        <f aca="false">Scoring!C21</f>
        <v>0</v>
      </c>
      <c r="D15" s="142" t="str">
        <f aca="false">Scoring!BG21</f>
        <v/>
      </c>
      <c r="E15" s="141" t="str">
        <f aca="false">Scoring!AG21</f>
        <v/>
      </c>
      <c r="F15" s="141" t="n">
        <f aca="false">Scoring!B21</f>
        <v>0</v>
      </c>
      <c r="G15" s="141" t="n">
        <f aca="false">Scoring!D21</f>
        <v>0</v>
      </c>
      <c r="H15" s="141" t="str">
        <f aca="false">Scoring!BI21</f>
        <v/>
      </c>
      <c r="I15" s="143" t="str">
        <f aca="false">Scoring!BH21</f>
        <v/>
      </c>
    </row>
    <row r="16" customFormat="false" ht="15.75" hidden="false" customHeight="false" outlineLevel="0" collapsed="false">
      <c r="A16" s="141" t="str">
        <f aca="false">Scoring!BK22</f>
        <v/>
      </c>
      <c r="B16" s="141" t="str">
        <f aca="false">Scoring!BJ22</f>
        <v/>
      </c>
      <c r="C16" s="141" t="n">
        <f aca="false">Scoring!C22</f>
        <v>0</v>
      </c>
      <c r="D16" s="142" t="str">
        <f aca="false">Scoring!BG22</f>
        <v/>
      </c>
      <c r="E16" s="141" t="str">
        <f aca="false">Scoring!AG22</f>
        <v/>
      </c>
      <c r="F16" s="141" t="n">
        <f aca="false">Scoring!B22</f>
        <v>0</v>
      </c>
      <c r="G16" s="141" t="n">
        <f aca="false">Scoring!D22</f>
        <v>0</v>
      </c>
      <c r="H16" s="141" t="str">
        <f aca="false">Scoring!BI22</f>
        <v/>
      </c>
      <c r="I16" s="143" t="str">
        <f aca="false">Scoring!BH22</f>
        <v/>
      </c>
    </row>
    <row r="17" customFormat="false" ht="15.75" hidden="false" customHeight="false" outlineLevel="0" collapsed="false">
      <c r="A17" s="141" t="str">
        <f aca="false">Scoring!BK23</f>
        <v/>
      </c>
      <c r="B17" s="141" t="str">
        <f aca="false">Scoring!BJ23</f>
        <v/>
      </c>
      <c r="C17" s="141" t="n">
        <f aca="false">Scoring!C23</f>
        <v>0</v>
      </c>
      <c r="D17" s="142" t="str">
        <f aca="false">Scoring!BG23</f>
        <v/>
      </c>
      <c r="E17" s="141" t="str">
        <f aca="false">Scoring!AG23</f>
        <v/>
      </c>
      <c r="F17" s="141" t="n">
        <f aca="false">Scoring!B23</f>
        <v>0</v>
      </c>
      <c r="G17" s="141" t="n">
        <f aca="false">Scoring!D23</f>
        <v>0</v>
      </c>
      <c r="H17" s="141" t="str">
        <f aca="false">Scoring!BI23</f>
        <v/>
      </c>
      <c r="I17" s="143" t="str">
        <f aca="false">Scoring!BH23</f>
        <v/>
      </c>
    </row>
    <row r="18" customFormat="false" ht="15.75" hidden="false" customHeight="false" outlineLevel="0" collapsed="false">
      <c r="A18" s="141" t="str">
        <f aca="false">Scoring!BK24</f>
        <v/>
      </c>
      <c r="B18" s="141" t="str">
        <f aca="false">Scoring!BJ24</f>
        <v/>
      </c>
      <c r="C18" s="141" t="n">
        <f aca="false">Scoring!C24</f>
        <v>0</v>
      </c>
      <c r="D18" s="142" t="str">
        <f aca="false">Scoring!BG24</f>
        <v/>
      </c>
      <c r="E18" s="141" t="str">
        <f aca="false">Scoring!AG24</f>
        <v/>
      </c>
      <c r="F18" s="141" t="n">
        <f aca="false">Scoring!B24</f>
        <v>0</v>
      </c>
      <c r="G18" s="141" t="n">
        <f aca="false">Scoring!D24</f>
        <v>0</v>
      </c>
      <c r="H18" s="141" t="str">
        <f aca="false">Scoring!BI24</f>
        <v/>
      </c>
      <c r="I18" s="143" t="str">
        <f aca="false">Scoring!BH24</f>
        <v/>
      </c>
    </row>
    <row r="19" customFormat="false" ht="15.75" hidden="false" customHeight="false" outlineLevel="0" collapsed="false">
      <c r="A19" s="141" t="str">
        <f aca="false">Scoring!BK25</f>
        <v/>
      </c>
      <c r="B19" s="141" t="str">
        <f aca="false">Scoring!BJ25</f>
        <v/>
      </c>
      <c r="C19" s="141" t="n">
        <f aca="false">Scoring!C25</f>
        <v>0</v>
      </c>
      <c r="D19" s="142" t="str">
        <f aca="false">Scoring!BG25</f>
        <v/>
      </c>
      <c r="E19" s="141" t="str">
        <f aca="false">Scoring!AG25</f>
        <v/>
      </c>
      <c r="F19" s="141" t="n">
        <f aca="false">Scoring!B25</f>
        <v>0</v>
      </c>
      <c r="G19" s="141" t="n">
        <f aca="false">Scoring!D25</f>
        <v>0</v>
      </c>
      <c r="H19" s="141" t="str">
        <f aca="false">Scoring!BI25</f>
        <v/>
      </c>
      <c r="I19" s="143" t="str">
        <f aca="false">Scoring!BH25</f>
        <v/>
      </c>
    </row>
    <row r="20" customFormat="false" ht="15.75" hidden="false" customHeight="false" outlineLevel="0" collapsed="false">
      <c r="A20" s="141" t="str">
        <f aca="false">Scoring!BK26</f>
        <v/>
      </c>
      <c r="B20" s="141" t="str">
        <f aca="false">Scoring!BJ26</f>
        <v/>
      </c>
      <c r="C20" s="141" t="n">
        <f aca="false">Scoring!C26</f>
        <v>0</v>
      </c>
      <c r="D20" s="142" t="str">
        <f aca="false">Scoring!BG26</f>
        <v/>
      </c>
      <c r="E20" s="141" t="str">
        <f aca="false">Scoring!AG26</f>
        <v/>
      </c>
      <c r="F20" s="141" t="n">
        <f aca="false">Scoring!B26</f>
        <v>0</v>
      </c>
      <c r="G20" s="141" t="n">
        <f aca="false">Scoring!D26</f>
        <v>0</v>
      </c>
      <c r="H20" s="141" t="str">
        <f aca="false">Scoring!BI26</f>
        <v/>
      </c>
      <c r="I20" s="143" t="str">
        <f aca="false">Scoring!BH26</f>
        <v/>
      </c>
    </row>
    <row r="21" customFormat="false" ht="15.75" hidden="false" customHeight="false" outlineLevel="0" collapsed="false">
      <c r="A21" s="141" t="str">
        <f aca="false">Scoring!BK27</f>
        <v/>
      </c>
      <c r="B21" s="141" t="str">
        <f aca="false">Scoring!BJ27</f>
        <v/>
      </c>
      <c r="C21" s="141" t="n">
        <f aca="false">Scoring!C27</f>
        <v>0</v>
      </c>
      <c r="D21" s="142" t="str">
        <f aca="false">Scoring!BG27</f>
        <v/>
      </c>
      <c r="E21" s="141" t="str">
        <f aca="false">Scoring!AG27</f>
        <v/>
      </c>
      <c r="F21" s="141" t="n">
        <f aca="false">Scoring!B27</f>
        <v>0</v>
      </c>
      <c r="G21" s="141" t="n">
        <f aca="false">Scoring!D27</f>
        <v>0</v>
      </c>
      <c r="H21" s="141" t="str">
        <f aca="false">Scoring!BI27</f>
        <v/>
      </c>
      <c r="I21" s="143" t="str">
        <f aca="false">Scoring!BH27</f>
        <v/>
      </c>
    </row>
    <row r="22" customFormat="false" ht="15.75" hidden="false" customHeight="false" outlineLevel="0" collapsed="false">
      <c r="A22" s="141" t="str">
        <f aca="false">Scoring!BK28</f>
        <v/>
      </c>
      <c r="B22" s="141" t="str">
        <f aca="false">Scoring!BJ28</f>
        <v/>
      </c>
      <c r="C22" s="141" t="n">
        <f aca="false">Scoring!C28</f>
        <v>0</v>
      </c>
      <c r="D22" s="142" t="str">
        <f aca="false">Scoring!BG28</f>
        <v/>
      </c>
      <c r="E22" s="141" t="str">
        <f aca="false">Scoring!AG28</f>
        <v/>
      </c>
      <c r="F22" s="141" t="n">
        <f aca="false">Scoring!B28</f>
        <v>0</v>
      </c>
      <c r="G22" s="141" t="n">
        <f aca="false">Scoring!D28</f>
        <v>0</v>
      </c>
      <c r="H22" s="141" t="str">
        <f aca="false">Scoring!BI28</f>
        <v/>
      </c>
      <c r="I22" s="143" t="str">
        <f aca="false">Scoring!BH28</f>
        <v/>
      </c>
    </row>
    <row r="23" customFormat="false" ht="15.75" hidden="false" customHeight="false" outlineLevel="0" collapsed="false">
      <c r="A23" s="141" t="str">
        <f aca="false">Scoring!BK29</f>
        <v/>
      </c>
      <c r="B23" s="141" t="str">
        <f aca="false">Scoring!BJ29</f>
        <v/>
      </c>
      <c r="C23" s="141" t="n">
        <f aca="false">Scoring!C29</f>
        <v>0</v>
      </c>
      <c r="D23" s="142" t="str">
        <f aca="false">Scoring!BG29</f>
        <v/>
      </c>
      <c r="E23" s="141" t="str">
        <f aca="false">Scoring!AG29</f>
        <v/>
      </c>
      <c r="F23" s="141" t="n">
        <f aca="false">Scoring!B29</f>
        <v>0</v>
      </c>
      <c r="G23" s="141" t="n">
        <f aca="false">Scoring!D29</f>
        <v>0</v>
      </c>
      <c r="H23" s="141" t="str">
        <f aca="false">Scoring!BI29</f>
        <v/>
      </c>
      <c r="I23" s="143" t="str">
        <f aca="false">Scoring!BH29</f>
        <v/>
      </c>
    </row>
    <row r="24" customFormat="false" ht="15.75" hidden="false" customHeight="false" outlineLevel="0" collapsed="false">
      <c r="A24" s="141" t="str">
        <f aca="false">Scoring!BK30</f>
        <v/>
      </c>
      <c r="B24" s="141" t="str">
        <f aca="false">Scoring!BJ30</f>
        <v/>
      </c>
      <c r="C24" s="141" t="n">
        <f aca="false">Scoring!C30</f>
        <v>0</v>
      </c>
      <c r="D24" s="142" t="str">
        <f aca="false">Scoring!BG30</f>
        <v/>
      </c>
      <c r="E24" s="141" t="str">
        <f aca="false">Scoring!AG30</f>
        <v/>
      </c>
      <c r="F24" s="141" t="n">
        <f aca="false">Scoring!B30</f>
        <v>0</v>
      </c>
      <c r="G24" s="141" t="n">
        <f aca="false">Scoring!D30</f>
        <v>0</v>
      </c>
      <c r="H24" s="141" t="str">
        <f aca="false">Scoring!BI30</f>
        <v/>
      </c>
      <c r="I24" s="143" t="str">
        <f aca="false">Scoring!BH30</f>
        <v/>
      </c>
    </row>
    <row r="25" customFormat="false" ht="15.75" hidden="false" customHeight="false" outlineLevel="0" collapsed="false">
      <c r="A25" s="141" t="str">
        <f aca="false">Scoring!BK31</f>
        <v/>
      </c>
      <c r="B25" s="141" t="str">
        <f aca="false">Scoring!BJ31</f>
        <v/>
      </c>
      <c r="C25" s="141" t="n">
        <f aca="false">Scoring!C31</f>
        <v>0</v>
      </c>
      <c r="D25" s="142" t="str">
        <f aca="false">Scoring!BG31</f>
        <v/>
      </c>
      <c r="E25" s="141" t="str">
        <f aca="false">Scoring!AG31</f>
        <v/>
      </c>
      <c r="F25" s="141" t="n">
        <f aca="false">Scoring!B31</f>
        <v>0</v>
      </c>
      <c r="G25" s="141" t="n">
        <f aca="false">Scoring!D31</f>
        <v>0</v>
      </c>
      <c r="H25" s="141" t="str">
        <f aca="false">Scoring!BI31</f>
        <v/>
      </c>
      <c r="I25" s="143" t="str">
        <f aca="false">Scoring!BH31</f>
        <v/>
      </c>
    </row>
    <row r="26" customFormat="false" ht="15.75" hidden="false" customHeight="false" outlineLevel="0" collapsed="false">
      <c r="A26" s="141" t="str">
        <f aca="false">Scoring!BK32</f>
        <v/>
      </c>
      <c r="B26" s="141" t="str">
        <f aca="false">Scoring!BJ32</f>
        <v/>
      </c>
      <c r="C26" s="141" t="n">
        <f aca="false">Scoring!C32</f>
        <v>0</v>
      </c>
      <c r="D26" s="142" t="str">
        <f aca="false">Scoring!BG32</f>
        <v/>
      </c>
      <c r="E26" s="141" t="str">
        <f aca="false">Scoring!AG32</f>
        <v/>
      </c>
      <c r="F26" s="141" t="n">
        <f aca="false">Scoring!B32</f>
        <v>0</v>
      </c>
      <c r="G26" s="141" t="n">
        <f aca="false">Scoring!D32</f>
        <v>0</v>
      </c>
      <c r="H26" s="141" t="str">
        <f aca="false">Scoring!BI32</f>
        <v/>
      </c>
      <c r="I26" s="143" t="str">
        <f aca="false">Scoring!BH32</f>
        <v/>
      </c>
    </row>
    <row r="27" customFormat="false" ht="15.75" hidden="false" customHeight="false" outlineLevel="0" collapsed="false">
      <c r="A27" s="141" t="str">
        <f aca="false">Scoring!BK33</f>
        <v/>
      </c>
      <c r="B27" s="141" t="str">
        <f aca="false">Scoring!BJ33</f>
        <v/>
      </c>
      <c r="C27" s="141" t="n">
        <f aca="false">Scoring!C33</f>
        <v>0</v>
      </c>
      <c r="D27" s="142" t="str">
        <f aca="false">Scoring!BG33</f>
        <v/>
      </c>
      <c r="E27" s="141" t="str">
        <f aca="false">Scoring!AG33</f>
        <v/>
      </c>
      <c r="F27" s="141" t="n">
        <f aca="false">Scoring!B33</f>
        <v>0</v>
      </c>
      <c r="G27" s="141" t="n">
        <f aca="false">Scoring!D33</f>
        <v>0</v>
      </c>
      <c r="H27" s="141" t="str">
        <f aca="false">Scoring!BI33</f>
        <v/>
      </c>
      <c r="I27" s="143" t="str">
        <f aca="false">Scoring!BH33</f>
        <v/>
      </c>
    </row>
    <row r="28" customFormat="false" ht="15.75" hidden="false" customHeight="false" outlineLevel="0" collapsed="false">
      <c r="A28" s="141" t="str">
        <f aca="false">Scoring!BK34</f>
        <v/>
      </c>
      <c r="B28" s="141" t="str">
        <f aca="false">Scoring!BJ34</f>
        <v/>
      </c>
      <c r="C28" s="141" t="n">
        <f aca="false">Scoring!C34</f>
        <v>0</v>
      </c>
      <c r="D28" s="142" t="str">
        <f aca="false">Scoring!BG34</f>
        <v/>
      </c>
      <c r="E28" s="141" t="str">
        <f aca="false">Scoring!AG34</f>
        <v/>
      </c>
      <c r="F28" s="141" t="n">
        <f aca="false">Scoring!B34</f>
        <v>0</v>
      </c>
      <c r="G28" s="141" t="n">
        <f aca="false">Scoring!D34</f>
        <v>0</v>
      </c>
      <c r="H28" s="141" t="str">
        <f aca="false">Scoring!BI34</f>
        <v/>
      </c>
      <c r="I28" s="143" t="str">
        <f aca="false">Scoring!BH34</f>
        <v/>
      </c>
    </row>
    <row r="29" customFormat="false" ht="15.75" hidden="false" customHeight="false" outlineLevel="0" collapsed="false">
      <c r="A29" s="141" t="str">
        <f aca="false">Scoring!BK35</f>
        <v/>
      </c>
      <c r="B29" s="141" t="str">
        <f aca="false">Scoring!BJ35</f>
        <v/>
      </c>
      <c r="C29" s="141" t="n">
        <f aca="false">Scoring!C35</f>
        <v>0</v>
      </c>
      <c r="D29" s="142" t="str">
        <f aca="false">Scoring!BG35</f>
        <v/>
      </c>
      <c r="E29" s="141" t="str">
        <f aca="false">Scoring!AG35</f>
        <v/>
      </c>
      <c r="F29" s="141" t="n">
        <f aca="false">Scoring!B35</f>
        <v>0</v>
      </c>
      <c r="G29" s="141" t="n">
        <f aca="false">Scoring!D35</f>
        <v>0</v>
      </c>
      <c r="H29" s="141" t="str">
        <f aca="false">Scoring!BI35</f>
        <v/>
      </c>
      <c r="I29" s="143" t="str">
        <f aca="false">Scoring!BH35</f>
        <v/>
      </c>
    </row>
    <row r="30" customFormat="false" ht="15.75" hidden="false" customHeight="false" outlineLevel="0" collapsed="false">
      <c r="A30" s="141" t="str">
        <f aca="false">Scoring!BK36</f>
        <v/>
      </c>
      <c r="B30" s="141" t="str">
        <f aca="false">Scoring!BJ36</f>
        <v/>
      </c>
      <c r="C30" s="141" t="n">
        <f aca="false">Scoring!C36</f>
        <v>0</v>
      </c>
      <c r="D30" s="142" t="str">
        <f aca="false">Scoring!BG36</f>
        <v/>
      </c>
      <c r="E30" s="141" t="str">
        <f aca="false">Scoring!AG36</f>
        <v/>
      </c>
      <c r="F30" s="141" t="n">
        <f aca="false">Scoring!B36</f>
        <v>0</v>
      </c>
      <c r="G30" s="141" t="n">
        <f aca="false">Scoring!D36</f>
        <v>0</v>
      </c>
      <c r="H30" s="141" t="str">
        <f aca="false">Scoring!BI36</f>
        <v/>
      </c>
      <c r="I30" s="143" t="str">
        <f aca="false">Scoring!BH36</f>
        <v/>
      </c>
    </row>
    <row r="31" customFormat="false" ht="15.75" hidden="false" customHeight="false" outlineLevel="0" collapsed="false">
      <c r="A31" s="141" t="str">
        <f aca="false">Scoring!BK37</f>
        <v/>
      </c>
      <c r="B31" s="141" t="str">
        <f aca="false">Scoring!BJ37</f>
        <v/>
      </c>
      <c r="C31" s="141" t="n">
        <f aca="false">Scoring!C37</f>
        <v>0</v>
      </c>
      <c r="D31" s="142" t="str">
        <f aca="false">Scoring!BG37</f>
        <v/>
      </c>
      <c r="E31" s="141" t="str">
        <f aca="false">Scoring!AG37</f>
        <v/>
      </c>
      <c r="F31" s="141" t="n">
        <f aca="false">Scoring!B37</f>
        <v>0</v>
      </c>
      <c r="G31" s="141" t="n">
        <f aca="false">Scoring!D37</f>
        <v>0</v>
      </c>
      <c r="H31" s="141" t="str">
        <f aca="false">Scoring!BI37</f>
        <v/>
      </c>
      <c r="I31" s="143" t="str">
        <f aca="false">Scoring!BH37</f>
        <v/>
      </c>
    </row>
    <row r="32" customFormat="false" ht="15.75" hidden="false" customHeight="false" outlineLevel="0" collapsed="false">
      <c r="A32" s="141" t="str">
        <f aca="false">Scoring!BK38</f>
        <v/>
      </c>
      <c r="B32" s="141" t="str">
        <f aca="false">Scoring!BJ38</f>
        <v/>
      </c>
      <c r="C32" s="141" t="n">
        <f aca="false">Scoring!C38</f>
        <v>0</v>
      </c>
      <c r="D32" s="142" t="str">
        <f aca="false">Scoring!BG38</f>
        <v/>
      </c>
      <c r="E32" s="141" t="str">
        <f aca="false">Scoring!AG38</f>
        <v/>
      </c>
      <c r="F32" s="141" t="n">
        <f aca="false">Scoring!B38</f>
        <v>0</v>
      </c>
      <c r="G32" s="141" t="n">
        <f aca="false">Scoring!D38</f>
        <v>0</v>
      </c>
      <c r="H32" s="141" t="str">
        <f aca="false">Scoring!BI38</f>
        <v/>
      </c>
      <c r="I32" s="143" t="str">
        <f aca="false">Scoring!BH38</f>
        <v/>
      </c>
    </row>
    <row r="33" customFormat="false" ht="15.75" hidden="false" customHeight="false" outlineLevel="0" collapsed="false">
      <c r="A33" s="141" t="str">
        <f aca="false">Scoring!BK39</f>
        <v/>
      </c>
      <c r="B33" s="141" t="str">
        <f aca="false">Scoring!BJ39</f>
        <v/>
      </c>
      <c r="C33" s="141" t="n">
        <f aca="false">Scoring!C39</f>
        <v>0</v>
      </c>
      <c r="D33" s="142" t="str">
        <f aca="false">Scoring!BG39</f>
        <v/>
      </c>
      <c r="E33" s="141" t="str">
        <f aca="false">Scoring!AG39</f>
        <v/>
      </c>
      <c r="F33" s="141" t="n">
        <f aca="false">Scoring!B39</f>
        <v>0</v>
      </c>
      <c r="G33" s="141" t="n">
        <f aca="false">Scoring!D39</f>
        <v>0</v>
      </c>
      <c r="H33" s="141" t="str">
        <f aca="false">Scoring!BI39</f>
        <v/>
      </c>
      <c r="I33" s="143" t="str">
        <f aca="false">Scoring!BH39</f>
        <v/>
      </c>
    </row>
    <row r="34" customFormat="false" ht="15.75" hidden="false" customHeight="false" outlineLevel="0" collapsed="false">
      <c r="A34" s="141" t="str">
        <f aca="false">Scoring!BK40</f>
        <v/>
      </c>
      <c r="B34" s="141" t="str">
        <f aca="false">Scoring!BJ40</f>
        <v/>
      </c>
      <c r="C34" s="141" t="n">
        <f aca="false">Scoring!C40</f>
        <v>0</v>
      </c>
      <c r="D34" s="142" t="str">
        <f aca="false">Scoring!BG40</f>
        <v/>
      </c>
      <c r="E34" s="141" t="str">
        <f aca="false">Scoring!AG40</f>
        <v/>
      </c>
      <c r="F34" s="141" t="n">
        <f aca="false">Scoring!B40</f>
        <v>0</v>
      </c>
      <c r="G34" s="141" t="n">
        <f aca="false">Scoring!D40</f>
        <v>0</v>
      </c>
      <c r="H34" s="141" t="str">
        <f aca="false">Scoring!BI40</f>
        <v/>
      </c>
      <c r="I34" s="143" t="str">
        <f aca="false">Scoring!BH40</f>
        <v/>
      </c>
    </row>
    <row r="35" customFormat="false" ht="15.75" hidden="false" customHeight="false" outlineLevel="0" collapsed="false">
      <c r="A35" s="141" t="str">
        <f aca="false">Scoring!BK41</f>
        <v/>
      </c>
      <c r="B35" s="141" t="str">
        <f aca="false">Scoring!BJ41</f>
        <v/>
      </c>
      <c r="C35" s="141" t="n">
        <f aca="false">Scoring!C41</f>
        <v>0</v>
      </c>
      <c r="D35" s="142" t="str">
        <f aca="false">Scoring!BG41</f>
        <v/>
      </c>
      <c r="E35" s="141" t="str">
        <f aca="false">Scoring!AG41</f>
        <v/>
      </c>
      <c r="F35" s="141" t="n">
        <f aca="false">Scoring!B41</f>
        <v>0</v>
      </c>
      <c r="G35" s="141" t="n">
        <f aca="false">Scoring!D41</f>
        <v>0</v>
      </c>
      <c r="H35" s="141" t="str">
        <f aca="false">Scoring!BI41</f>
        <v/>
      </c>
      <c r="I35" s="143" t="str">
        <f aca="false">Scoring!BH41</f>
        <v/>
      </c>
    </row>
    <row r="36" customFormat="false" ht="15.75" hidden="false" customHeight="false" outlineLevel="0" collapsed="false">
      <c r="A36" s="141" t="str">
        <f aca="false">Scoring!BK42</f>
        <v/>
      </c>
      <c r="B36" s="141" t="str">
        <f aca="false">Scoring!BJ42</f>
        <v/>
      </c>
      <c r="C36" s="141" t="n">
        <f aca="false">Scoring!C42</f>
        <v>0</v>
      </c>
      <c r="D36" s="142" t="str">
        <f aca="false">Scoring!BG42</f>
        <v/>
      </c>
      <c r="E36" s="141" t="str">
        <f aca="false">Scoring!AG42</f>
        <v/>
      </c>
      <c r="F36" s="141" t="n">
        <f aca="false">Scoring!B42</f>
        <v>0</v>
      </c>
      <c r="G36" s="141" t="n">
        <f aca="false">Scoring!D42</f>
        <v>0</v>
      </c>
      <c r="H36" s="141" t="str">
        <f aca="false">Scoring!BI42</f>
        <v/>
      </c>
      <c r="I36" s="143" t="str">
        <f aca="false">Scoring!BH42</f>
        <v/>
      </c>
    </row>
    <row r="37" customFormat="false" ht="15.75" hidden="false" customHeight="false" outlineLevel="0" collapsed="false">
      <c r="A37" s="141" t="str">
        <f aca="false">Scoring!BK43</f>
        <v/>
      </c>
      <c r="B37" s="141" t="str">
        <f aca="false">Scoring!BJ43</f>
        <v/>
      </c>
      <c r="C37" s="141" t="n">
        <f aca="false">Scoring!C43</f>
        <v>0</v>
      </c>
      <c r="D37" s="142" t="str">
        <f aca="false">Scoring!BG43</f>
        <v/>
      </c>
      <c r="E37" s="141" t="str">
        <f aca="false">Scoring!AG43</f>
        <v/>
      </c>
      <c r="F37" s="141" t="n">
        <f aca="false">Scoring!B43</f>
        <v>0</v>
      </c>
      <c r="G37" s="141" t="n">
        <f aca="false">Scoring!D43</f>
        <v>0</v>
      </c>
      <c r="H37" s="141" t="str">
        <f aca="false">Scoring!BI43</f>
        <v/>
      </c>
      <c r="I37" s="143" t="str">
        <f aca="false">Scoring!BH43</f>
        <v/>
      </c>
    </row>
    <row r="38" customFormat="false" ht="15.75" hidden="false" customHeight="false" outlineLevel="0" collapsed="false">
      <c r="A38" s="141" t="str">
        <f aca="false">Scoring!BK44</f>
        <v/>
      </c>
      <c r="B38" s="141" t="str">
        <f aca="false">Scoring!BJ44</f>
        <v/>
      </c>
      <c r="C38" s="141" t="n">
        <f aca="false">Scoring!C44</f>
        <v>0</v>
      </c>
      <c r="D38" s="142" t="str">
        <f aca="false">Scoring!BG44</f>
        <v/>
      </c>
      <c r="E38" s="141" t="str">
        <f aca="false">Scoring!AG44</f>
        <v/>
      </c>
      <c r="F38" s="141" t="n">
        <f aca="false">Scoring!B44</f>
        <v>0</v>
      </c>
      <c r="G38" s="141" t="n">
        <f aca="false">Scoring!D44</f>
        <v>0</v>
      </c>
      <c r="H38" s="141" t="str">
        <f aca="false">Scoring!BI44</f>
        <v/>
      </c>
      <c r="I38" s="143" t="str">
        <f aca="false">Scoring!BH44</f>
        <v/>
      </c>
    </row>
    <row r="39" customFormat="false" ht="15.75" hidden="false" customHeight="false" outlineLevel="0" collapsed="false">
      <c r="A39" s="141" t="str">
        <f aca="false">Scoring!BK45</f>
        <v/>
      </c>
      <c r="B39" s="141" t="str">
        <f aca="false">Scoring!BJ45</f>
        <v/>
      </c>
      <c r="C39" s="141" t="n">
        <f aca="false">Scoring!C45</f>
        <v>0</v>
      </c>
      <c r="D39" s="142" t="str">
        <f aca="false">Scoring!BG45</f>
        <v/>
      </c>
      <c r="E39" s="141" t="str">
        <f aca="false">Scoring!AG45</f>
        <v/>
      </c>
      <c r="F39" s="141" t="n">
        <f aca="false">Scoring!B45</f>
        <v>0</v>
      </c>
      <c r="G39" s="141" t="n">
        <f aca="false">Scoring!D45</f>
        <v>0</v>
      </c>
      <c r="H39" s="141" t="str">
        <f aca="false">Scoring!BI45</f>
        <v/>
      </c>
      <c r="I39" s="143" t="str">
        <f aca="false">Scoring!BH45</f>
        <v/>
      </c>
    </row>
    <row r="40" customFormat="false" ht="15.75" hidden="false" customHeight="false" outlineLevel="0" collapsed="false">
      <c r="A40" s="141" t="str">
        <f aca="false">Scoring!BK46</f>
        <v/>
      </c>
      <c r="B40" s="141" t="str">
        <f aca="false">Scoring!BJ46</f>
        <v/>
      </c>
      <c r="C40" s="141" t="n">
        <f aca="false">Scoring!C46</f>
        <v>0</v>
      </c>
      <c r="D40" s="142" t="str">
        <f aca="false">Scoring!BG46</f>
        <v/>
      </c>
      <c r="E40" s="141" t="str">
        <f aca="false">Scoring!AG46</f>
        <v/>
      </c>
      <c r="F40" s="141" t="n">
        <f aca="false">Scoring!B46</f>
        <v>0</v>
      </c>
      <c r="G40" s="141" t="n">
        <f aca="false">Scoring!D46</f>
        <v>0</v>
      </c>
      <c r="H40" s="141" t="str">
        <f aca="false">Scoring!BI46</f>
        <v/>
      </c>
      <c r="I40" s="143" t="str">
        <f aca="false">Scoring!BH46</f>
        <v/>
      </c>
    </row>
    <row r="41" customFormat="false" ht="15.75" hidden="false" customHeight="false" outlineLevel="0" collapsed="false">
      <c r="A41" s="141" t="str">
        <f aca="false">Scoring!BK47</f>
        <v/>
      </c>
      <c r="B41" s="141" t="str">
        <f aca="false">Scoring!BJ47</f>
        <v/>
      </c>
      <c r="C41" s="141" t="n">
        <f aca="false">Scoring!C47</f>
        <v>0</v>
      </c>
      <c r="D41" s="142" t="str">
        <f aca="false">Scoring!BG47</f>
        <v/>
      </c>
      <c r="E41" s="141" t="str">
        <f aca="false">Scoring!AG47</f>
        <v/>
      </c>
      <c r="F41" s="141" t="n">
        <f aca="false">Scoring!B47</f>
        <v>0</v>
      </c>
      <c r="G41" s="141" t="n">
        <f aca="false">Scoring!D47</f>
        <v>0</v>
      </c>
      <c r="H41" s="141" t="str">
        <f aca="false">Scoring!BI47</f>
        <v/>
      </c>
      <c r="I41" s="143" t="str">
        <f aca="false">Scoring!BH47</f>
        <v/>
      </c>
    </row>
    <row r="42" customFormat="false" ht="15.75" hidden="false" customHeight="false" outlineLevel="0" collapsed="false">
      <c r="A42" s="141" t="str">
        <f aca="false">Scoring!BK48</f>
        <v/>
      </c>
      <c r="B42" s="141" t="str">
        <f aca="false">Scoring!BJ48</f>
        <v/>
      </c>
      <c r="C42" s="141" t="n">
        <f aca="false">Scoring!C48</f>
        <v>0</v>
      </c>
      <c r="D42" s="142" t="str">
        <f aca="false">Scoring!BG48</f>
        <v/>
      </c>
      <c r="E42" s="141" t="str">
        <f aca="false">Scoring!AG48</f>
        <v/>
      </c>
      <c r="F42" s="141" t="n">
        <f aca="false">Scoring!B48</f>
        <v>0</v>
      </c>
      <c r="G42" s="141" t="n">
        <f aca="false">Scoring!D48</f>
        <v>0</v>
      </c>
      <c r="H42" s="141" t="str">
        <f aca="false">Scoring!BI48</f>
        <v/>
      </c>
      <c r="I42" s="143" t="str">
        <f aca="false">Scoring!BH48</f>
        <v/>
      </c>
    </row>
    <row r="43" customFormat="false" ht="15.75" hidden="false" customHeight="false" outlineLevel="0" collapsed="false">
      <c r="A43" s="141" t="str">
        <f aca="false">Scoring!BK49</f>
        <v/>
      </c>
      <c r="B43" s="141" t="str">
        <f aca="false">Scoring!BJ49</f>
        <v/>
      </c>
      <c r="C43" s="141" t="n">
        <f aca="false">Scoring!C49</f>
        <v>0</v>
      </c>
      <c r="D43" s="142" t="str">
        <f aca="false">Scoring!BG49</f>
        <v/>
      </c>
      <c r="E43" s="141" t="str">
        <f aca="false">Scoring!AG49</f>
        <v/>
      </c>
      <c r="F43" s="141" t="n">
        <f aca="false">Scoring!B49</f>
        <v>0</v>
      </c>
      <c r="G43" s="141" t="n">
        <f aca="false">Scoring!D49</f>
        <v>0</v>
      </c>
      <c r="H43" s="141" t="str">
        <f aca="false">Scoring!BI49</f>
        <v/>
      </c>
      <c r="I43" s="143" t="str">
        <f aca="false">Scoring!BH49</f>
        <v/>
      </c>
    </row>
    <row r="44" customFormat="false" ht="15.75" hidden="false" customHeight="false" outlineLevel="0" collapsed="false">
      <c r="A44" s="141" t="str">
        <f aca="false">Scoring!BK50</f>
        <v/>
      </c>
      <c r="B44" s="141" t="str">
        <f aca="false">Scoring!BJ50</f>
        <v/>
      </c>
      <c r="C44" s="141" t="n">
        <f aca="false">Scoring!C50</f>
        <v>0</v>
      </c>
      <c r="D44" s="142" t="str">
        <f aca="false">Scoring!BG50</f>
        <v/>
      </c>
      <c r="E44" s="141" t="str">
        <f aca="false">Scoring!AG50</f>
        <v/>
      </c>
      <c r="F44" s="141" t="n">
        <f aca="false">Scoring!B50</f>
        <v>0</v>
      </c>
      <c r="G44" s="141" t="n">
        <f aca="false">Scoring!D50</f>
        <v>0</v>
      </c>
      <c r="H44" s="141" t="str">
        <f aca="false">Scoring!BI50</f>
        <v/>
      </c>
      <c r="I44" s="143" t="str">
        <f aca="false">Scoring!BH50</f>
        <v/>
      </c>
    </row>
    <row r="45" customFormat="false" ht="15.75" hidden="false" customHeight="false" outlineLevel="0" collapsed="false">
      <c r="A45" s="141" t="str">
        <f aca="false">Scoring!BK51</f>
        <v/>
      </c>
      <c r="B45" s="141" t="str">
        <f aca="false">Scoring!BJ51</f>
        <v/>
      </c>
      <c r="C45" s="141" t="n">
        <f aca="false">Scoring!C51</f>
        <v>0</v>
      </c>
      <c r="D45" s="142" t="str">
        <f aca="false">Scoring!BG51</f>
        <v/>
      </c>
      <c r="E45" s="141" t="str">
        <f aca="false">Scoring!AG51</f>
        <v/>
      </c>
      <c r="F45" s="141" t="n">
        <f aca="false">Scoring!B51</f>
        <v>0</v>
      </c>
      <c r="G45" s="141" t="n">
        <f aca="false">Scoring!D51</f>
        <v>0</v>
      </c>
      <c r="H45" s="141" t="str">
        <f aca="false">Scoring!BI51</f>
        <v/>
      </c>
      <c r="I45" s="143" t="str">
        <f aca="false">Scoring!BH51</f>
        <v/>
      </c>
    </row>
    <row r="46" customFormat="false" ht="15.75" hidden="false" customHeight="false" outlineLevel="0" collapsed="false">
      <c r="A46" s="141" t="str">
        <f aca="false">Scoring!BK52</f>
        <v/>
      </c>
      <c r="B46" s="141" t="str">
        <f aca="false">Scoring!BJ52</f>
        <v/>
      </c>
      <c r="C46" s="141" t="n">
        <f aca="false">Scoring!C52</f>
        <v>0</v>
      </c>
      <c r="D46" s="142" t="str">
        <f aca="false">Scoring!BG52</f>
        <v/>
      </c>
      <c r="E46" s="141" t="str">
        <f aca="false">Scoring!AG52</f>
        <v/>
      </c>
      <c r="F46" s="141" t="n">
        <f aca="false">Scoring!B52</f>
        <v>0</v>
      </c>
      <c r="G46" s="141" t="n">
        <f aca="false">Scoring!D52</f>
        <v>0</v>
      </c>
      <c r="H46" s="141" t="str">
        <f aca="false">Scoring!BI52</f>
        <v/>
      </c>
      <c r="I46" s="143" t="str">
        <f aca="false">Scoring!BH52</f>
        <v/>
      </c>
    </row>
    <row r="47" customFormat="false" ht="15.75" hidden="false" customHeight="false" outlineLevel="0" collapsed="false">
      <c r="A47" s="141" t="str">
        <f aca="false">Scoring!BK53</f>
        <v/>
      </c>
      <c r="B47" s="141" t="str">
        <f aca="false">Scoring!BJ53</f>
        <v/>
      </c>
      <c r="C47" s="141" t="n">
        <f aca="false">Scoring!C53</f>
        <v>0</v>
      </c>
      <c r="D47" s="142" t="str">
        <f aca="false">Scoring!BG53</f>
        <v/>
      </c>
      <c r="E47" s="141" t="str">
        <f aca="false">Scoring!AG53</f>
        <v/>
      </c>
      <c r="F47" s="141" t="n">
        <f aca="false">Scoring!B53</f>
        <v>0</v>
      </c>
      <c r="G47" s="141" t="n">
        <f aca="false">Scoring!D53</f>
        <v>0</v>
      </c>
      <c r="H47" s="141" t="str">
        <f aca="false">Scoring!BI53</f>
        <v/>
      </c>
      <c r="I47" s="143" t="str">
        <f aca="false">Scoring!BH53</f>
        <v/>
      </c>
    </row>
    <row r="48" customFormat="false" ht="15.75" hidden="false" customHeight="false" outlineLevel="0" collapsed="false">
      <c r="A48" s="141" t="str">
        <f aca="false">Scoring!BK54</f>
        <v/>
      </c>
      <c r="B48" s="141" t="str">
        <f aca="false">Scoring!BJ54</f>
        <v/>
      </c>
      <c r="C48" s="141" t="n">
        <f aca="false">Scoring!C54</f>
        <v>0</v>
      </c>
      <c r="D48" s="142" t="str">
        <f aca="false">Scoring!BG54</f>
        <v/>
      </c>
      <c r="E48" s="141" t="str">
        <f aca="false">Scoring!AG54</f>
        <v/>
      </c>
      <c r="F48" s="141" t="n">
        <f aca="false">Scoring!B54</f>
        <v>0</v>
      </c>
      <c r="G48" s="141" t="n">
        <f aca="false">Scoring!D54</f>
        <v>0</v>
      </c>
      <c r="H48" s="141" t="str">
        <f aca="false">Scoring!BI54</f>
        <v/>
      </c>
      <c r="I48" s="143" t="str">
        <f aca="false">Scoring!BH54</f>
        <v/>
      </c>
    </row>
    <row r="49" customFormat="false" ht="15.75" hidden="false" customHeight="false" outlineLevel="0" collapsed="false">
      <c r="A49" s="141" t="str">
        <f aca="false">Scoring!BK55</f>
        <v/>
      </c>
      <c r="B49" s="141" t="str">
        <f aca="false">Scoring!BJ55</f>
        <v/>
      </c>
      <c r="C49" s="141" t="n">
        <f aca="false">Scoring!C55</f>
        <v>0</v>
      </c>
      <c r="D49" s="142" t="str">
        <f aca="false">Scoring!BG55</f>
        <v/>
      </c>
      <c r="E49" s="141" t="str">
        <f aca="false">Scoring!AG55</f>
        <v/>
      </c>
      <c r="F49" s="141" t="n">
        <f aca="false">Scoring!B55</f>
        <v>0</v>
      </c>
      <c r="G49" s="141" t="n">
        <f aca="false">Scoring!D55</f>
        <v>0</v>
      </c>
      <c r="H49" s="141" t="str">
        <f aca="false">Scoring!BI55</f>
        <v/>
      </c>
      <c r="I49" s="143" t="str">
        <f aca="false">Scoring!BH55</f>
        <v/>
      </c>
    </row>
    <row r="50" customFormat="false" ht="15.75" hidden="false" customHeight="false" outlineLevel="0" collapsed="false">
      <c r="A50" s="141" t="str">
        <f aca="false">Scoring!BK56</f>
        <v/>
      </c>
      <c r="B50" s="141" t="str">
        <f aca="false">Scoring!BJ56</f>
        <v/>
      </c>
      <c r="C50" s="141" t="n">
        <f aca="false">Scoring!C56</f>
        <v>0</v>
      </c>
      <c r="D50" s="142" t="str">
        <f aca="false">Scoring!BG56</f>
        <v/>
      </c>
      <c r="E50" s="141" t="str">
        <f aca="false">Scoring!AG56</f>
        <v/>
      </c>
      <c r="F50" s="141" t="n">
        <f aca="false">Scoring!B56</f>
        <v>0</v>
      </c>
      <c r="G50" s="141" t="n">
        <f aca="false">Scoring!D56</f>
        <v>0</v>
      </c>
      <c r="H50" s="141" t="str">
        <f aca="false">Scoring!BI56</f>
        <v/>
      </c>
      <c r="I50" s="143" t="str">
        <f aca="false">Scoring!BH56</f>
        <v/>
      </c>
    </row>
    <row r="51" customFormat="false" ht="15.75" hidden="false" customHeight="false" outlineLevel="0" collapsed="false">
      <c r="A51" s="141" t="str">
        <f aca="false">Scoring!BK57</f>
        <v/>
      </c>
      <c r="B51" s="141" t="str">
        <f aca="false">Scoring!BJ57</f>
        <v/>
      </c>
      <c r="C51" s="141" t="n">
        <f aca="false">Scoring!C57</f>
        <v>0</v>
      </c>
      <c r="D51" s="142" t="str">
        <f aca="false">Scoring!BG57</f>
        <v/>
      </c>
      <c r="E51" s="141" t="str">
        <f aca="false">Scoring!AG57</f>
        <v/>
      </c>
      <c r="F51" s="141" t="n">
        <f aca="false">Scoring!B57</f>
        <v>0</v>
      </c>
      <c r="G51" s="141" t="n">
        <f aca="false">Scoring!D57</f>
        <v>0</v>
      </c>
      <c r="H51" s="141" t="str">
        <f aca="false">Scoring!BI57</f>
        <v/>
      </c>
      <c r="I51" s="143" t="str">
        <f aca="false">Scoring!BH57</f>
        <v/>
      </c>
    </row>
    <row r="52" customFormat="false" ht="15.75" hidden="false" customHeight="false" outlineLevel="0" collapsed="false">
      <c r="A52" s="141" t="str">
        <f aca="false">Scoring!BK58</f>
        <v/>
      </c>
      <c r="B52" s="141" t="str">
        <f aca="false">Scoring!BJ58</f>
        <v/>
      </c>
      <c r="C52" s="141" t="n">
        <f aca="false">Scoring!C58</f>
        <v>0</v>
      </c>
      <c r="D52" s="142" t="str">
        <f aca="false">Scoring!BG58</f>
        <v/>
      </c>
      <c r="E52" s="141" t="str">
        <f aca="false">Scoring!AG58</f>
        <v/>
      </c>
      <c r="F52" s="141" t="n">
        <f aca="false">Scoring!B58</f>
        <v>0</v>
      </c>
      <c r="G52" s="141" t="n">
        <f aca="false">Scoring!D58</f>
        <v>0</v>
      </c>
      <c r="H52" s="141" t="str">
        <f aca="false">Scoring!BI58</f>
        <v/>
      </c>
      <c r="I52" s="143" t="str">
        <f aca="false">Scoring!BH58</f>
        <v/>
      </c>
    </row>
    <row r="53" customFormat="false" ht="15.75" hidden="false" customHeight="false" outlineLevel="0" collapsed="false">
      <c r="A53" s="141" t="str">
        <f aca="false">Scoring!BK59</f>
        <v/>
      </c>
      <c r="B53" s="141" t="str">
        <f aca="false">Scoring!BJ59</f>
        <v/>
      </c>
      <c r="C53" s="141" t="n">
        <f aca="false">Scoring!C59</f>
        <v>0</v>
      </c>
      <c r="D53" s="142" t="str">
        <f aca="false">Scoring!BG59</f>
        <v/>
      </c>
      <c r="E53" s="141" t="str">
        <f aca="false">Scoring!AG59</f>
        <v/>
      </c>
      <c r="F53" s="141" t="n">
        <f aca="false">Scoring!B59</f>
        <v>0</v>
      </c>
      <c r="G53" s="141" t="n">
        <f aca="false">Scoring!D59</f>
        <v>0</v>
      </c>
      <c r="H53" s="141" t="str">
        <f aca="false">Scoring!BI59</f>
        <v/>
      </c>
      <c r="I53" s="143" t="str">
        <f aca="false">Scoring!BH59</f>
        <v/>
      </c>
    </row>
    <row r="54" customFormat="false" ht="15.75" hidden="false" customHeight="false" outlineLevel="0" collapsed="false">
      <c r="A54" s="141" t="str">
        <f aca="false">Scoring!BK60</f>
        <v/>
      </c>
      <c r="B54" s="141" t="str">
        <f aca="false">Scoring!BJ60</f>
        <v/>
      </c>
      <c r="C54" s="141" t="n">
        <f aca="false">Scoring!C60</f>
        <v>0</v>
      </c>
      <c r="D54" s="142" t="str">
        <f aca="false">Scoring!BG60</f>
        <v/>
      </c>
      <c r="E54" s="141" t="str">
        <f aca="false">Scoring!AG60</f>
        <v/>
      </c>
      <c r="F54" s="141" t="n">
        <f aca="false">Scoring!B60</f>
        <v>0</v>
      </c>
      <c r="G54" s="141" t="n">
        <f aca="false">Scoring!D60</f>
        <v>0</v>
      </c>
      <c r="H54" s="141" t="str">
        <f aca="false">Scoring!BI60</f>
        <v/>
      </c>
      <c r="I54" s="143" t="str">
        <f aca="false">Scoring!BH60</f>
        <v/>
      </c>
    </row>
    <row r="55" customFormat="false" ht="15.75" hidden="false" customHeight="false" outlineLevel="0" collapsed="false">
      <c r="A55" s="141" t="str">
        <f aca="false">Scoring!BK61</f>
        <v/>
      </c>
      <c r="B55" s="141" t="str">
        <f aca="false">Scoring!BJ61</f>
        <v/>
      </c>
      <c r="C55" s="141" t="n">
        <f aca="false">Scoring!C61</f>
        <v>0</v>
      </c>
      <c r="D55" s="142" t="str">
        <f aca="false">Scoring!BG61</f>
        <v/>
      </c>
      <c r="E55" s="141" t="str">
        <f aca="false">Scoring!AG61</f>
        <v/>
      </c>
      <c r="F55" s="141" t="n">
        <f aca="false">Scoring!B61</f>
        <v>0</v>
      </c>
      <c r="G55" s="141" t="n">
        <f aca="false">Scoring!D61</f>
        <v>0</v>
      </c>
      <c r="H55" s="141" t="str">
        <f aca="false">Scoring!BI61</f>
        <v/>
      </c>
      <c r="I55" s="143" t="str">
        <f aca="false">Scoring!BH61</f>
        <v/>
      </c>
    </row>
    <row r="56" customFormat="false" ht="15.75" hidden="false" customHeight="false" outlineLevel="0" collapsed="false">
      <c r="A56" s="141" t="str">
        <f aca="false">Scoring!BK62</f>
        <v/>
      </c>
      <c r="B56" s="141" t="str">
        <f aca="false">Scoring!BJ62</f>
        <v/>
      </c>
      <c r="C56" s="141" t="n">
        <f aca="false">Scoring!C62</f>
        <v>0</v>
      </c>
      <c r="D56" s="142" t="str">
        <f aca="false">Scoring!BG62</f>
        <v/>
      </c>
      <c r="E56" s="141" t="str">
        <f aca="false">Scoring!AG62</f>
        <v/>
      </c>
      <c r="F56" s="141" t="n">
        <f aca="false">Scoring!B62</f>
        <v>0</v>
      </c>
      <c r="G56" s="141" t="n">
        <f aca="false">Scoring!D62</f>
        <v>0</v>
      </c>
      <c r="H56" s="141" t="str">
        <f aca="false">Scoring!BI62</f>
        <v/>
      </c>
      <c r="I56" s="143" t="str">
        <f aca="false">Scoring!BH62</f>
        <v/>
      </c>
    </row>
    <row r="57" customFormat="false" ht="15.75" hidden="false" customHeight="false" outlineLevel="0" collapsed="false">
      <c r="A57" s="141" t="str">
        <f aca="false">Scoring!BK63</f>
        <v/>
      </c>
      <c r="B57" s="141" t="str">
        <f aca="false">Scoring!BJ63</f>
        <v/>
      </c>
      <c r="C57" s="141" t="n">
        <f aca="false">Scoring!C63</f>
        <v>0</v>
      </c>
      <c r="D57" s="142" t="str">
        <f aca="false">Scoring!BG63</f>
        <v/>
      </c>
      <c r="E57" s="141" t="str">
        <f aca="false">Scoring!AG63</f>
        <v/>
      </c>
      <c r="F57" s="141" t="n">
        <f aca="false">Scoring!B63</f>
        <v>0</v>
      </c>
      <c r="G57" s="141" t="n">
        <f aca="false">Scoring!D63</f>
        <v>0</v>
      </c>
      <c r="H57" s="141" t="str">
        <f aca="false">Scoring!BI63</f>
        <v/>
      </c>
      <c r="I57" s="143" t="str">
        <f aca="false">Scoring!BH63</f>
        <v/>
      </c>
    </row>
    <row r="58" customFormat="false" ht="15.75" hidden="false" customHeight="false" outlineLevel="0" collapsed="false">
      <c r="A58" s="141" t="str">
        <f aca="false">Scoring!BK64</f>
        <v/>
      </c>
      <c r="B58" s="141" t="str">
        <f aca="false">Scoring!BJ64</f>
        <v/>
      </c>
      <c r="C58" s="141" t="n">
        <f aca="false">Scoring!C64</f>
        <v>0</v>
      </c>
      <c r="D58" s="142" t="str">
        <f aca="false">Scoring!BG64</f>
        <v/>
      </c>
      <c r="E58" s="141" t="str">
        <f aca="false">Scoring!AG64</f>
        <v/>
      </c>
      <c r="F58" s="141" t="n">
        <f aca="false">Scoring!B64</f>
        <v>0</v>
      </c>
      <c r="G58" s="141" t="n">
        <f aca="false">Scoring!D64</f>
        <v>0</v>
      </c>
      <c r="H58" s="141" t="str">
        <f aca="false">Scoring!BI64</f>
        <v/>
      </c>
      <c r="I58" s="143" t="str">
        <f aca="false">Scoring!BH64</f>
        <v/>
      </c>
    </row>
    <row r="59" customFormat="false" ht="15.75" hidden="false" customHeight="false" outlineLevel="0" collapsed="false">
      <c r="A59" s="141" t="str">
        <f aca="false">Scoring!BK65</f>
        <v/>
      </c>
      <c r="B59" s="141" t="str">
        <f aca="false">Scoring!BJ65</f>
        <v/>
      </c>
      <c r="C59" s="141" t="n">
        <f aca="false">Scoring!C65</f>
        <v>0</v>
      </c>
      <c r="D59" s="142" t="str">
        <f aca="false">Scoring!BG65</f>
        <v/>
      </c>
      <c r="E59" s="141" t="str">
        <f aca="false">Scoring!AG65</f>
        <v/>
      </c>
      <c r="F59" s="141" t="n">
        <f aca="false">Scoring!B65</f>
        <v>0</v>
      </c>
      <c r="G59" s="141" t="n">
        <f aca="false">Scoring!D65</f>
        <v>0</v>
      </c>
      <c r="H59" s="141" t="str">
        <f aca="false">Scoring!BI65</f>
        <v/>
      </c>
      <c r="I59" s="143" t="str">
        <f aca="false">Scoring!BH65</f>
        <v/>
      </c>
    </row>
    <row r="60" customFormat="false" ht="15.75" hidden="false" customHeight="false" outlineLevel="0" collapsed="false">
      <c r="A60" s="141" t="str">
        <f aca="false">Scoring!BK66</f>
        <v/>
      </c>
      <c r="B60" s="141" t="str">
        <f aca="false">Scoring!BJ66</f>
        <v/>
      </c>
      <c r="C60" s="141" t="n">
        <f aca="false">Scoring!C66</f>
        <v>0</v>
      </c>
      <c r="D60" s="142" t="str">
        <f aca="false">Scoring!BG66</f>
        <v/>
      </c>
      <c r="E60" s="141" t="str">
        <f aca="false">Scoring!AG66</f>
        <v/>
      </c>
      <c r="F60" s="141" t="n">
        <f aca="false">Scoring!B66</f>
        <v>0</v>
      </c>
      <c r="G60" s="141" t="n">
        <f aca="false">Scoring!D66</f>
        <v>0</v>
      </c>
      <c r="H60" s="141" t="str">
        <f aca="false">Scoring!BI66</f>
        <v/>
      </c>
      <c r="I60" s="143" t="str">
        <f aca="false">Scoring!BH66</f>
        <v/>
      </c>
    </row>
    <row r="61" customFormat="false" ht="15.75" hidden="false" customHeight="false" outlineLevel="0" collapsed="false">
      <c r="A61" s="141" t="str">
        <f aca="false">Scoring!BK67</f>
        <v/>
      </c>
      <c r="B61" s="141" t="str">
        <f aca="false">Scoring!BJ67</f>
        <v/>
      </c>
      <c r="C61" s="141" t="n">
        <f aca="false">Scoring!C67</f>
        <v>0</v>
      </c>
      <c r="D61" s="142" t="str">
        <f aca="false">Scoring!BG67</f>
        <v/>
      </c>
      <c r="E61" s="141" t="str">
        <f aca="false">Scoring!AG67</f>
        <v/>
      </c>
      <c r="F61" s="141" t="n">
        <f aca="false">Scoring!B67</f>
        <v>0</v>
      </c>
      <c r="G61" s="141" t="n">
        <f aca="false">Scoring!D67</f>
        <v>0</v>
      </c>
      <c r="H61" s="141" t="str">
        <f aca="false">Scoring!BI67</f>
        <v/>
      </c>
      <c r="I61" s="143" t="str">
        <f aca="false">Scoring!BH67</f>
        <v/>
      </c>
    </row>
    <row r="62" customFormat="false" ht="15.75" hidden="false" customHeight="false" outlineLevel="0" collapsed="false">
      <c r="A62" s="141" t="str">
        <f aca="false">Scoring!BK68</f>
        <v/>
      </c>
      <c r="B62" s="141" t="str">
        <f aca="false">Scoring!BJ68</f>
        <v/>
      </c>
      <c r="C62" s="141" t="n">
        <f aca="false">Scoring!C68</f>
        <v>0</v>
      </c>
      <c r="D62" s="142" t="str">
        <f aca="false">Scoring!BG68</f>
        <v/>
      </c>
      <c r="E62" s="141" t="str">
        <f aca="false">Scoring!AG68</f>
        <v/>
      </c>
      <c r="F62" s="141" t="n">
        <f aca="false">Scoring!B68</f>
        <v>0</v>
      </c>
      <c r="G62" s="141" t="n">
        <f aca="false">Scoring!D68</f>
        <v>0</v>
      </c>
      <c r="H62" s="141" t="str">
        <f aca="false">Scoring!BI68</f>
        <v/>
      </c>
      <c r="I62" s="143" t="str">
        <f aca="false">Scoring!BH68</f>
        <v/>
      </c>
    </row>
    <row r="63" customFormat="false" ht="15.75" hidden="false" customHeight="false" outlineLevel="0" collapsed="false">
      <c r="A63" s="141" t="str">
        <f aca="false">Scoring!BK69</f>
        <v/>
      </c>
      <c r="B63" s="141" t="str">
        <f aca="false">Scoring!BJ69</f>
        <v/>
      </c>
      <c r="C63" s="141" t="n">
        <f aca="false">Scoring!C69</f>
        <v>0</v>
      </c>
      <c r="D63" s="142" t="str">
        <f aca="false">Scoring!BG69</f>
        <v/>
      </c>
      <c r="E63" s="141" t="str">
        <f aca="false">Scoring!AG69</f>
        <v/>
      </c>
      <c r="F63" s="141" t="n">
        <f aca="false">Scoring!B69</f>
        <v>0</v>
      </c>
      <c r="G63" s="141" t="n">
        <f aca="false">Scoring!D69</f>
        <v>0</v>
      </c>
      <c r="H63" s="141" t="str">
        <f aca="false">Scoring!BI69</f>
        <v/>
      </c>
      <c r="I63" s="143" t="str">
        <f aca="false">Scoring!BH69</f>
        <v/>
      </c>
    </row>
    <row r="64" customFormat="false" ht="15.75" hidden="false" customHeight="false" outlineLevel="0" collapsed="false">
      <c r="A64" s="141" t="str">
        <f aca="false">Scoring!BK70</f>
        <v/>
      </c>
      <c r="B64" s="141" t="str">
        <f aca="false">Scoring!BJ70</f>
        <v/>
      </c>
      <c r="C64" s="141" t="n">
        <f aca="false">Scoring!C70</f>
        <v>0</v>
      </c>
      <c r="D64" s="142" t="str">
        <f aca="false">Scoring!BG70</f>
        <v/>
      </c>
      <c r="E64" s="141" t="str">
        <f aca="false">Scoring!AG70</f>
        <v/>
      </c>
      <c r="F64" s="141" t="n">
        <f aca="false">Scoring!B70</f>
        <v>0</v>
      </c>
      <c r="G64" s="141" t="n">
        <f aca="false">Scoring!D70</f>
        <v>0</v>
      </c>
      <c r="H64" s="141" t="str">
        <f aca="false">Scoring!BI70</f>
        <v/>
      </c>
      <c r="I64" s="143" t="str">
        <f aca="false">Scoring!BH70</f>
        <v/>
      </c>
    </row>
    <row r="65" customFormat="false" ht="15.75" hidden="false" customHeight="false" outlineLevel="0" collapsed="false">
      <c r="A65" s="141" t="str">
        <f aca="false">Scoring!BK71</f>
        <v/>
      </c>
      <c r="B65" s="141" t="str">
        <f aca="false">Scoring!BJ71</f>
        <v/>
      </c>
      <c r="C65" s="141" t="n">
        <f aca="false">Scoring!C71</f>
        <v>0</v>
      </c>
      <c r="D65" s="142" t="str">
        <f aca="false">Scoring!BG71</f>
        <v/>
      </c>
      <c r="E65" s="141" t="str">
        <f aca="false">Scoring!AG71</f>
        <v/>
      </c>
      <c r="F65" s="141" t="n">
        <f aca="false">Scoring!B71</f>
        <v>0</v>
      </c>
      <c r="G65" s="141" t="n">
        <f aca="false">Scoring!D71</f>
        <v>0</v>
      </c>
      <c r="H65" s="141" t="str">
        <f aca="false">Scoring!BI71</f>
        <v/>
      </c>
      <c r="I65" s="143" t="str">
        <f aca="false">Scoring!BH71</f>
        <v/>
      </c>
    </row>
    <row r="66" customFormat="false" ht="15.75" hidden="false" customHeight="false" outlineLevel="0" collapsed="false">
      <c r="A66" s="141" t="str">
        <f aca="false">Scoring!BK72</f>
        <v/>
      </c>
      <c r="B66" s="141" t="str">
        <f aca="false">Scoring!BJ72</f>
        <v/>
      </c>
      <c r="C66" s="141" t="n">
        <f aca="false">Scoring!C72</f>
        <v>0</v>
      </c>
      <c r="D66" s="142" t="str">
        <f aca="false">Scoring!BG72</f>
        <v/>
      </c>
      <c r="E66" s="141" t="str">
        <f aca="false">Scoring!AG72</f>
        <v/>
      </c>
      <c r="F66" s="141" t="n">
        <f aca="false">Scoring!B72</f>
        <v>0</v>
      </c>
      <c r="G66" s="141" t="n">
        <f aca="false">Scoring!D72</f>
        <v>0</v>
      </c>
      <c r="H66" s="141" t="str">
        <f aca="false">Scoring!BI72</f>
        <v/>
      </c>
      <c r="I66" s="143" t="str">
        <f aca="false">Scoring!BH72</f>
        <v/>
      </c>
    </row>
    <row r="67" customFormat="false" ht="15.75" hidden="false" customHeight="false" outlineLevel="0" collapsed="false">
      <c r="A67" s="141" t="str">
        <f aca="false">Scoring!BK73</f>
        <v/>
      </c>
      <c r="B67" s="141" t="str">
        <f aca="false">Scoring!BJ73</f>
        <v/>
      </c>
      <c r="C67" s="141" t="n">
        <f aca="false">Scoring!C73</f>
        <v>0</v>
      </c>
      <c r="D67" s="142" t="str">
        <f aca="false">Scoring!BG73</f>
        <v/>
      </c>
      <c r="E67" s="141" t="str">
        <f aca="false">Scoring!AG73</f>
        <v/>
      </c>
      <c r="F67" s="141" t="n">
        <f aca="false">Scoring!B73</f>
        <v>0</v>
      </c>
      <c r="G67" s="141" t="n">
        <f aca="false">Scoring!D73</f>
        <v>0</v>
      </c>
      <c r="H67" s="141" t="str">
        <f aca="false">Scoring!BI73</f>
        <v/>
      </c>
      <c r="I67" s="143" t="str">
        <f aca="false">Scoring!BH73</f>
        <v/>
      </c>
    </row>
    <row r="68" customFormat="false" ht="15.75" hidden="false" customHeight="false" outlineLevel="0" collapsed="false">
      <c r="A68" s="141" t="str">
        <f aca="false">Scoring!BK74</f>
        <v/>
      </c>
      <c r="B68" s="141" t="str">
        <f aca="false">Scoring!BJ74</f>
        <v/>
      </c>
      <c r="C68" s="141" t="n">
        <f aca="false">Scoring!C74</f>
        <v>0</v>
      </c>
      <c r="D68" s="142" t="str">
        <f aca="false">Scoring!BG74</f>
        <v/>
      </c>
      <c r="E68" s="141" t="str">
        <f aca="false">Scoring!AG74</f>
        <v/>
      </c>
      <c r="F68" s="141" t="n">
        <f aca="false">Scoring!B74</f>
        <v>0</v>
      </c>
      <c r="G68" s="141" t="n">
        <f aca="false">Scoring!D74</f>
        <v>0</v>
      </c>
      <c r="H68" s="141" t="str">
        <f aca="false">Scoring!BI74</f>
        <v/>
      </c>
      <c r="I68" s="143" t="str">
        <f aca="false">Scoring!BH74</f>
        <v/>
      </c>
    </row>
    <row r="69" customFormat="false" ht="15.75" hidden="false" customHeight="false" outlineLevel="0" collapsed="false">
      <c r="A69" s="141" t="str">
        <f aca="false">Scoring!BK75</f>
        <v/>
      </c>
      <c r="B69" s="141" t="str">
        <f aca="false">Scoring!BJ75</f>
        <v/>
      </c>
      <c r="C69" s="141" t="n">
        <f aca="false">Scoring!C75</f>
        <v>0</v>
      </c>
      <c r="D69" s="142" t="str">
        <f aca="false">Scoring!BG75</f>
        <v/>
      </c>
      <c r="E69" s="141" t="str">
        <f aca="false">Scoring!AG75</f>
        <v/>
      </c>
      <c r="F69" s="141" t="n">
        <f aca="false">Scoring!B75</f>
        <v>0</v>
      </c>
      <c r="G69" s="141" t="n">
        <f aca="false">Scoring!D75</f>
        <v>0</v>
      </c>
      <c r="H69" s="141" t="str">
        <f aca="false">Scoring!BI75</f>
        <v/>
      </c>
      <c r="I69" s="143" t="str">
        <f aca="false">Scoring!BH75</f>
        <v/>
      </c>
    </row>
    <row r="70" customFormat="false" ht="15.75" hidden="false" customHeight="false" outlineLevel="0" collapsed="false">
      <c r="A70" s="141" t="str">
        <f aca="false">Scoring!BK76</f>
        <v/>
      </c>
      <c r="B70" s="141" t="str">
        <f aca="false">Scoring!BJ76</f>
        <v/>
      </c>
      <c r="C70" s="141" t="n">
        <f aca="false">Scoring!C76</f>
        <v>0</v>
      </c>
      <c r="D70" s="142" t="str">
        <f aca="false">Scoring!BG76</f>
        <v/>
      </c>
      <c r="E70" s="141" t="str">
        <f aca="false">Scoring!AG76</f>
        <v/>
      </c>
      <c r="F70" s="141" t="n">
        <f aca="false">Scoring!B76</f>
        <v>0</v>
      </c>
      <c r="G70" s="141" t="n">
        <f aca="false">Scoring!D76</f>
        <v>0</v>
      </c>
      <c r="H70" s="141" t="str">
        <f aca="false">Scoring!BI76</f>
        <v/>
      </c>
      <c r="I70" s="143" t="str">
        <f aca="false">Scoring!BH76</f>
        <v/>
      </c>
    </row>
    <row r="71" customFormat="false" ht="15.75" hidden="false" customHeight="false" outlineLevel="0" collapsed="false">
      <c r="A71" s="141" t="str">
        <f aca="false">Scoring!BK77</f>
        <v/>
      </c>
      <c r="B71" s="141" t="str">
        <f aca="false">Scoring!BJ77</f>
        <v/>
      </c>
      <c r="C71" s="141" t="n">
        <f aca="false">Scoring!C77</f>
        <v>0</v>
      </c>
      <c r="D71" s="142" t="str">
        <f aca="false">Scoring!BG77</f>
        <v/>
      </c>
      <c r="E71" s="141" t="str">
        <f aca="false">Scoring!AG77</f>
        <v/>
      </c>
      <c r="F71" s="141" t="n">
        <f aca="false">Scoring!B77</f>
        <v>0</v>
      </c>
      <c r="G71" s="141" t="n">
        <f aca="false">Scoring!D77</f>
        <v>0</v>
      </c>
      <c r="H71" s="141" t="str">
        <f aca="false">Scoring!BI77</f>
        <v/>
      </c>
      <c r="I71" s="143" t="str">
        <f aca="false">Scoring!BH77</f>
        <v/>
      </c>
    </row>
    <row r="72" customFormat="false" ht="15.75" hidden="false" customHeight="false" outlineLevel="0" collapsed="false">
      <c r="A72" s="141" t="str">
        <f aca="false">Scoring!BK78</f>
        <v/>
      </c>
      <c r="B72" s="141" t="str">
        <f aca="false">Scoring!BJ78</f>
        <v/>
      </c>
      <c r="C72" s="141" t="n">
        <f aca="false">Scoring!C78</f>
        <v>0</v>
      </c>
      <c r="D72" s="142" t="str">
        <f aca="false">Scoring!BG78</f>
        <v/>
      </c>
      <c r="E72" s="141" t="str">
        <f aca="false">Scoring!AG78</f>
        <v/>
      </c>
      <c r="F72" s="141" t="n">
        <f aca="false">Scoring!B78</f>
        <v>0</v>
      </c>
      <c r="G72" s="141" t="n">
        <f aca="false">Scoring!D78</f>
        <v>0</v>
      </c>
      <c r="H72" s="141" t="str">
        <f aca="false">Scoring!BI78</f>
        <v/>
      </c>
      <c r="I72" s="143" t="str">
        <f aca="false">Scoring!BH78</f>
        <v/>
      </c>
    </row>
    <row r="73" customFormat="false" ht="15.75" hidden="false" customHeight="false" outlineLevel="0" collapsed="false">
      <c r="A73" s="141" t="str">
        <f aca="false">Scoring!BK79</f>
        <v/>
      </c>
      <c r="B73" s="141" t="str">
        <f aca="false">Scoring!BJ79</f>
        <v/>
      </c>
      <c r="C73" s="141" t="n">
        <f aca="false">Scoring!C79</f>
        <v>0</v>
      </c>
      <c r="D73" s="142" t="str">
        <f aca="false">Scoring!BG79</f>
        <v/>
      </c>
      <c r="E73" s="141" t="str">
        <f aca="false">Scoring!AG79</f>
        <v/>
      </c>
      <c r="F73" s="141" t="n">
        <f aca="false">Scoring!B79</f>
        <v>0</v>
      </c>
      <c r="G73" s="141" t="n">
        <f aca="false">Scoring!D79</f>
        <v>0</v>
      </c>
      <c r="H73" s="141" t="str">
        <f aca="false">Scoring!BI79</f>
        <v/>
      </c>
      <c r="I73" s="143" t="str">
        <f aca="false">Scoring!BH79</f>
        <v/>
      </c>
    </row>
    <row r="74" customFormat="false" ht="15.75" hidden="false" customHeight="false" outlineLevel="0" collapsed="false">
      <c r="A74" s="141" t="str">
        <f aca="false">Scoring!BK80</f>
        <v/>
      </c>
      <c r="B74" s="141" t="str">
        <f aca="false">Scoring!BJ80</f>
        <v/>
      </c>
      <c r="C74" s="141" t="n">
        <f aca="false">Scoring!C80</f>
        <v>0</v>
      </c>
      <c r="D74" s="142" t="str">
        <f aca="false">Scoring!BG80</f>
        <v/>
      </c>
      <c r="E74" s="141" t="str">
        <f aca="false">Scoring!AG80</f>
        <v/>
      </c>
      <c r="F74" s="141" t="n">
        <f aca="false">Scoring!B80</f>
        <v>0</v>
      </c>
      <c r="G74" s="141" t="n">
        <f aca="false">Scoring!D80</f>
        <v>0</v>
      </c>
      <c r="H74" s="141" t="str">
        <f aca="false">Scoring!BI80</f>
        <v/>
      </c>
      <c r="I74" s="143" t="str">
        <f aca="false">Scoring!BH80</f>
        <v/>
      </c>
    </row>
    <row r="75" customFormat="false" ht="15.75" hidden="false" customHeight="false" outlineLevel="0" collapsed="false">
      <c r="A75" s="141" t="str">
        <f aca="false">Scoring!BK81</f>
        <v/>
      </c>
      <c r="B75" s="141" t="str">
        <f aca="false">Scoring!BJ81</f>
        <v/>
      </c>
      <c r="C75" s="141" t="n">
        <f aca="false">Scoring!C81</f>
        <v>0</v>
      </c>
      <c r="D75" s="142" t="str">
        <f aca="false">Scoring!BG81</f>
        <v/>
      </c>
      <c r="E75" s="141" t="str">
        <f aca="false">Scoring!AG81</f>
        <v/>
      </c>
      <c r="F75" s="141" t="n">
        <f aca="false">Scoring!B81</f>
        <v>0</v>
      </c>
      <c r="G75" s="141" t="n">
        <f aca="false">Scoring!D81</f>
        <v>0</v>
      </c>
      <c r="H75" s="141" t="str">
        <f aca="false">Scoring!BI81</f>
        <v/>
      </c>
      <c r="I75" s="143" t="str">
        <f aca="false">Scoring!BH81</f>
        <v/>
      </c>
    </row>
    <row r="76" customFormat="false" ht="15.75" hidden="false" customHeight="false" outlineLevel="0" collapsed="false">
      <c r="A76" s="141" t="str">
        <f aca="false">Scoring!BK82</f>
        <v/>
      </c>
      <c r="B76" s="141" t="str">
        <f aca="false">Scoring!BJ82</f>
        <v/>
      </c>
      <c r="C76" s="141" t="n">
        <f aca="false">Scoring!C82</f>
        <v>0</v>
      </c>
      <c r="D76" s="142" t="str">
        <f aca="false">Scoring!BG82</f>
        <v/>
      </c>
      <c r="E76" s="141" t="str">
        <f aca="false">Scoring!AG82</f>
        <v/>
      </c>
      <c r="F76" s="141" t="n">
        <f aca="false">Scoring!B82</f>
        <v>0</v>
      </c>
      <c r="G76" s="141" t="n">
        <f aca="false">Scoring!D82</f>
        <v>0</v>
      </c>
      <c r="H76" s="141" t="str">
        <f aca="false">Scoring!BI82</f>
        <v/>
      </c>
      <c r="I76" s="143" t="str">
        <f aca="false">Scoring!BH82</f>
        <v/>
      </c>
    </row>
    <row r="77" customFormat="false" ht="15.75" hidden="false" customHeight="false" outlineLevel="0" collapsed="false">
      <c r="A77" s="141" t="str">
        <f aca="false">Scoring!BK83</f>
        <v/>
      </c>
      <c r="B77" s="141" t="str">
        <f aca="false">Scoring!BJ83</f>
        <v/>
      </c>
      <c r="C77" s="141" t="n">
        <f aca="false">Scoring!C83</f>
        <v>0</v>
      </c>
      <c r="D77" s="142" t="str">
        <f aca="false">Scoring!BG83</f>
        <v/>
      </c>
      <c r="E77" s="141" t="str">
        <f aca="false">Scoring!AG83</f>
        <v/>
      </c>
      <c r="F77" s="141" t="n">
        <f aca="false">Scoring!B83</f>
        <v>0</v>
      </c>
      <c r="G77" s="141" t="n">
        <f aca="false">Scoring!D83</f>
        <v>0</v>
      </c>
      <c r="H77" s="141" t="str">
        <f aca="false">Scoring!BI83</f>
        <v/>
      </c>
      <c r="I77" s="143" t="str">
        <f aca="false">Scoring!BH83</f>
        <v/>
      </c>
    </row>
    <row r="78" customFormat="false" ht="15.75" hidden="false" customHeight="false" outlineLevel="0" collapsed="false">
      <c r="A78" s="141" t="str">
        <f aca="false">Scoring!BK84</f>
        <v/>
      </c>
      <c r="B78" s="141" t="str">
        <f aca="false">Scoring!BJ84</f>
        <v/>
      </c>
      <c r="C78" s="141" t="n">
        <f aca="false">Scoring!C84</f>
        <v>0</v>
      </c>
      <c r="D78" s="142" t="str">
        <f aca="false">Scoring!BG84</f>
        <v/>
      </c>
      <c r="E78" s="141" t="str">
        <f aca="false">Scoring!AG84</f>
        <v/>
      </c>
      <c r="F78" s="141" t="n">
        <f aca="false">Scoring!B84</f>
        <v>0</v>
      </c>
      <c r="G78" s="141" t="n">
        <f aca="false">Scoring!D84</f>
        <v>0</v>
      </c>
      <c r="H78" s="141" t="str">
        <f aca="false">Scoring!BI84</f>
        <v/>
      </c>
      <c r="I78" s="143" t="str">
        <f aca="false">Scoring!BH84</f>
        <v/>
      </c>
    </row>
    <row r="79" customFormat="false" ht="15.75" hidden="false" customHeight="false" outlineLevel="0" collapsed="false">
      <c r="A79" s="141" t="str">
        <f aca="false">Scoring!BK85</f>
        <v/>
      </c>
      <c r="B79" s="141" t="str">
        <f aca="false">Scoring!BJ85</f>
        <v/>
      </c>
      <c r="C79" s="141" t="n">
        <f aca="false">Scoring!C85</f>
        <v>0</v>
      </c>
      <c r="D79" s="142" t="str">
        <f aca="false">Scoring!BG85</f>
        <v/>
      </c>
      <c r="E79" s="141" t="str">
        <f aca="false">Scoring!AG85</f>
        <v/>
      </c>
      <c r="F79" s="141" t="n">
        <f aca="false">Scoring!B85</f>
        <v>0</v>
      </c>
      <c r="G79" s="141" t="n">
        <f aca="false">Scoring!D85</f>
        <v>0</v>
      </c>
      <c r="H79" s="141" t="str">
        <f aca="false">Scoring!BI85</f>
        <v/>
      </c>
      <c r="I79" s="143" t="str">
        <f aca="false">Scoring!BH85</f>
        <v/>
      </c>
    </row>
    <row r="80" customFormat="false" ht="15.75" hidden="false" customHeight="false" outlineLevel="0" collapsed="false">
      <c r="A80" s="141" t="str">
        <f aca="false">Scoring!BK86</f>
        <v/>
      </c>
      <c r="B80" s="141" t="str">
        <f aca="false">Scoring!BJ86</f>
        <v/>
      </c>
      <c r="C80" s="141" t="n">
        <f aca="false">Scoring!C86</f>
        <v>0</v>
      </c>
      <c r="D80" s="142" t="str">
        <f aca="false">Scoring!BG86</f>
        <v/>
      </c>
      <c r="E80" s="141" t="str">
        <f aca="false">Scoring!AG86</f>
        <v/>
      </c>
      <c r="F80" s="141" t="n">
        <f aca="false">Scoring!B86</f>
        <v>0</v>
      </c>
      <c r="G80" s="141" t="n">
        <f aca="false">Scoring!D86</f>
        <v>0</v>
      </c>
      <c r="H80" s="141" t="str">
        <f aca="false">Scoring!BI86</f>
        <v/>
      </c>
      <c r="I80" s="143" t="str">
        <f aca="false">Scoring!BH86</f>
        <v/>
      </c>
    </row>
    <row r="81" customFormat="false" ht="15.75" hidden="false" customHeight="false" outlineLevel="0" collapsed="false">
      <c r="A81" s="141" t="str">
        <f aca="false">Scoring!BK87</f>
        <v/>
      </c>
      <c r="B81" s="141" t="str">
        <f aca="false">Scoring!BJ87</f>
        <v/>
      </c>
      <c r="C81" s="141" t="n">
        <f aca="false">Scoring!C87</f>
        <v>0</v>
      </c>
      <c r="D81" s="142" t="str">
        <f aca="false">Scoring!BG87</f>
        <v/>
      </c>
      <c r="E81" s="141" t="str">
        <f aca="false">Scoring!AG87</f>
        <v/>
      </c>
      <c r="F81" s="141" t="n">
        <f aca="false">Scoring!B87</f>
        <v>0</v>
      </c>
      <c r="G81" s="141" t="n">
        <f aca="false">Scoring!D87</f>
        <v>0</v>
      </c>
      <c r="H81" s="141" t="str">
        <f aca="false">Scoring!BI87</f>
        <v/>
      </c>
      <c r="I81" s="143" t="str">
        <f aca="false">Scoring!BH87</f>
        <v/>
      </c>
    </row>
    <row r="82" customFormat="false" ht="15.75" hidden="false" customHeight="false" outlineLevel="0" collapsed="false">
      <c r="A82" s="141" t="str">
        <f aca="false">Scoring!BK88</f>
        <v/>
      </c>
      <c r="B82" s="141" t="str">
        <f aca="false">Scoring!BJ88</f>
        <v/>
      </c>
      <c r="C82" s="141" t="n">
        <f aca="false">Scoring!C88</f>
        <v>0</v>
      </c>
      <c r="D82" s="142" t="str">
        <f aca="false">Scoring!BG88</f>
        <v/>
      </c>
      <c r="E82" s="141" t="str">
        <f aca="false">Scoring!AG88</f>
        <v/>
      </c>
      <c r="F82" s="141" t="n">
        <f aca="false">Scoring!B88</f>
        <v>0</v>
      </c>
      <c r="G82" s="141" t="n">
        <f aca="false">Scoring!D88</f>
        <v>0</v>
      </c>
      <c r="H82" s="141" t="str">
        <f aca="false">Scoring!BI88</f>
        <v/>
      </c>
      <c r="I82" s="143" t="str">
        <f aca="false">Scoring!BH88</f>
        <v/>
      </c>
    </row>
    <row r="83" customFormat="false" ht="15.75" hidden="false" customHeight="false" outlineLevel="0" collapsed="false">
      <c r="A83" s="141" t="str">
        <f aca="false">Scoring!BK89</f>
        <v/>
      </c>
      <c r="B83" s="141" t="str">
        <f aca="false">Scoring!BJ89</f>
        <v/>
      </c>
      <c r="C83" s="141" t="n">
        <f aca="false">Scoring!C89</f>
        <v>0</v>
      </c>
      <c r="D83" s="142" t="str">
        <f aca="false">Scoring!BG89</f>
        <v/>
      </c>
      <c r="E83" s="141" t="str">
        <f aca="false">Scoring!AG89</f>
        <v/>
      </c>
      <c r="F83" s="141" t="n">
        <f aca="false">Scoring!B89</f>
        <v>0</v>
      </c>
      <c r="G83" s="141" t="n">
        <f aca="false">Scoring!D89</f>
        <v>0</v>
      </c>
      <c r="H83" s="141" t="str">
        <f aca="false">Scoring!BI89</f>
        <v/>
      </c>
      <c r="I83" s="143" t="str">
        <f aca="false">Scoring!BH89</f>
        <v/>
      </c>
    </row>
    <row r="84" customFormat="false" ht="15.75" hidden="false" customHeight="false" outlineLevel="0" collapsed="false">
      <c r="A84" s="141" t="str">
        <f aca="false">Scoring!BK90</f>
        <v/>
      </c>
      <c r="B84" s="141" t="str">
        <f aca="false">Scoring!BJ90</f>
        <v/>
      </c>
      <c r="C84" s="141" t="n">
        <f aca="false">Scoring!C90</f>
        <v>0</v>
      </c>
      <c r="D84" s="142" t="str">
        <f aca="false">Scoring!BG90</f>
        <v/>
      </c>
      <c r="E84" s="141" t="str">
        <f aca="false">Scoring!AG90</f>
        <v/>
      </c>
      <c r="F84" s="141" t="n">
        <f aca="false">Scoring!B90</f>
        <v>0</v>
      </c>
      <c r="G84" s="141" t="n">
        <f aca="false">Scoring!D90</f>
        <v>0</v>
      </c>
      <c r="H84" s="141" t="str">
        <f aca="false">Scoring!BI90</f>
        <v/>
      </c>
      <c r="I84" s="143" t="str">
        <f aca="false">Scoring!BH90</f>
        <v/>
      </c>
    </row>
    <row r="85" customFormat="false" ht="15.75" hidden="false" customHeight="false" outlineLevel="0" collapsed="false">
      <c r="A85" s="141" t="str">
        <f aca="false">Scoring!BK91</f>
        <v/>
      </c>
      <c r="B85" s="141" t="str">
        <f aca="false">Scoring!BJ91</f>
        <v/>
      </c>
      <c r="C85" s="141" t="n">
        <f aca="false">Scoring!C91</f>
        <v>0</v>
      </c>
      <c r="D85" s="142" t="str">
        <f aca="false">Scoring!BG91</f>
        <v/>
      </c>
      <c r="E85" s="141" t="str">
        <f aca="false">Scoring!AG91</f>
        <v/>
      </c>
      <c r="F85" s="141" t="n">
        <f aca="false">Scoring!B91</f>
        <v>0</v>
      </c>
      <c r="G85" s="141" t="n">
        <f aca="false">Scoring!D91</f>
        <v>0</v>
      </c>
      <c r="H85" s="141" t="str">
        <f aca="false">Scoring!BI91</f>
        <v/>
      </c>
      <c r="I85" s="143" t="str">
        <f aca="false">Scoring!BH91</f>
        <v/>
      </c>
    </row>
    <row r="86" customFormat="false" ht="15.75" hidden="false" customHeight="false" outlineLevel="0" collapsed="false">
      <c r="A86" s="141" t="str">
        <f aca="false">Scoring!BK92</f>
        <v/>
      </c>
      <c r="B86" s="141" t="str">
        <f aca="false">Scoring!BJ92</f>
        <v/>
      </c>
      <c r="C86" s="141" t="n">
        <f aca="false">Scoring!C92</f>
        <v>0</v>
      </c>
      <c r="D86" s="142" t="str">
        <f aca="false">Scoring!BG92</f>
        <v/>
      </c>
      <c r="E86" s="141" t="str">
        <f aca="false">Scoring!AG92</f>
        <v/>
      </c>
      <c r="F86" s="141" t="n">
        <f aca="false">Scoring!B92</f>
        <v>0</v>
      </c>
      <c r="G86" s="141" t="n">
        <f aca="false">Scoring!D92</f>
        <v>0</v>
      </c>
      <c r="H86" s="141" t="str">
        <f aca="false">Scoring!BI92</f>
        <v/>
      </c>
      <c r="I86" s="143" t="str">
        <f aca="false">Scoring!BH92</f>
        <v/>
      </c>
    </row>
    <row r="87" customFormat="false" ht="15.75" hidden="false" customHeight="false" outlineLevel="0" collapsed="false">
      <c r="A87" s="141" t="str">
        <f aca="false">Scoring!BK93</f>
        <v/>
      </c>
      <c r="B87" s="141" t="str">
        <f aca="false">Scoring!BJ93</f>
        <v/>
      </c>
      <c r="C87" s="141" t="n">
        <f aca="false">Scoring!C93</f>
        <v>0</v>
      </c>
      <c r="D87" s="142" t="str">
        <f aca="false">Scoring!BG93</f>
        <v/>
      </c>
      <c r="E87" s="141" t="str">
        <f aca="false">Scoring!AG93</f>
        <v/>
      </c>
      <c r="F87" s="141" t="n">
        <f aca="false">Scoring!B93</f>
        <v>0</v>
      </c>
      <c r="G87" s="141" t="n">
        <f aca="false">Scoring!D93</f>
        <v>0</v>
      </c>
      <c r="H87" s="141" t="str">
        <f aca="false">Scoring!BI93</f>
        <v/>
      </c>
      <c r="I87" s="143" t="str">
        <f aca="false">Scoring!BH93</f>
        <v/>
      </c>
    </row>
    <row r="88" customFormat="false" ht="15.75" hidden="false" customHeight="false" outlineLevel="0" collapsed="false">
      <c r="A88" s="141" t="str">
        <f aca="false">Scoring!BK94</f>
        <v/>
      </c>
      <c r="B88" s="141" t="str">
        <f aca="false">Scoring!BJ94</f>
        <v/>
      </c>
      <c r="C88" s="141" t="n">
        <f aca="false">Scoring!C94</f>
        <v>0</v>
      </c>
      <c r="D88" s="142" t="str">
        <f aca="false">Scoring!BG94</f>
        <v/>
      </c>
      <c r="E88" s="141" t="str">
        <f aca="false">Scoring!AG94</f>
        <v/>
      </c>
      <c r="F88" s="141" t="n">
        <f aca="false">Scoring!B94</f>
        <v>0</v>
      </c>
      <c r="G88" s="141" t="n">
        <f aca="false">Scoring!D94</f>
        <v>0</v>
      </c>
      <c r="H88" s="141" t="str">
        <f aca="false">Scoring!BI94</f>
        <v/>
      </c>
      <c r="I88" s="143" t="str">
        <f aca="false">Scoring!BH94</f>
        <v/>
      </c>
    </row>
    <row r="89" customFormat="false" ht="15.75" hidden="false" customHeight="false" outlineLevel="0" collapsed="false">
      <c r="A89" s="141" t="str">
        <f aca="false">Scoring!BK95</f>
        <v/>
      </c>
      <c r="B89" s="141" t="str">
        <f aca="false">Scoring!BJ95</f>
        <v/>
      </c>
      <c r="C89" s="141" t="n">
        <f aca="false">Scoring!C95</f>
        <v>0</v>
      </c>
      <c r="D89" s="142" t="str">
        <f aca="false">Scoring!BG95</f>
        <v/>
      </c>
      <c r="E89" s="141" t="str">
        <f aca="false">Scoring!AG95</f>
        <v/>
      </c>
      <c r="F89" s="141" t="n">
        <f aca="false">Scoring!B95</f>
        <v>0</v>
      </c>
      <c r="G89" s="141" t="n">
        <f aca="false">Scoring!D95</f>
        <v>0</v>
      </c>
      <c r="H89" s="141" t="str">
        <f aca="false">Scoring!BI95</f>
        <v/>
      </c>
      <c r="I89" s="143" t="str">
        <f aca="false">Scoring!BH95</f>
        <v/>
      </c>
    </row>
    <row r="90" customFormat="false" ht="15.75" hidden="false" customHeight="false" outlineLevel="0" collapsed="false">
      <c r="A90" s="141" t="str">
        <f aca="false">Scoring!BK96</f>
        <v/>
      </c>
      <c r="B90" s="141" t="str">
        <f aca="false">Scoring!BJ96</f>
        <v/>
      </c>
      <c r="C90" s="141" t="n">
        <f aca="false">Scoring!C96</f>
        <v>0</v>
      </c>
      <c r="D90" s="142" t="str">
        <f aca="false">Scoring!BG96</f>
        <v/>
      </c>
      <c r="E90" s="141" t="str">
        <f aca="false">Scoring!AG96</f>
        <v/>
      </c>
      <c r="F90" s="141" t="n">
        <f aca="false">Scoring!B96</f>
        <v>0</v>
      </c>
      <c r="G90" s="141" t="n">
        <f aca="false">Scoring!D96</f>
        <v>0</v>
      </c>
      <c r="H90" s="141" t="str">
        <f aca="false">Scoring!BI96</f>
        <v/>
      </c>
      <c r="I90" s="143" t="str">
        <f aca="false">Scoring!BH96</f>
        <v/>
      </c>
    </row>
    <row r="91" customFormat="false" ht="15.75" hidden="false" customHeight="false" outlineLevel="0" collapsed="false">
      <c r="A91" s="141" t="str">
        <f aca="false">Scoring!BK97</f>
        <v/>
      </c>
      <c r="B91" s="141" t="str">
        <f aca="false">Scoring!BJ97</f>
        <v/>
      </c>
      <c r="C91" s="141" t="n">
        <f aca="false">Scoring!C97</f>
        <v>0</v>
      </c>
      <c r="D91" s="142" t="str">
        <f aca="false">Scoring!BG97</f>
        <v/>
      </c>
      <c r="E91" s="141" t="str">
        <f aca="false">Scoring!AG97</f>
        <v/>
      </c>
      <c r="F91" s="141" t="n">
        <f aca="false">Scoring!B97</f>
        <v>0</v>
      </c>
      <c r="G91" s="141" t="n">
        <f aca="false">Scoring!D97</f>
        <v>0</v>
      </c>
      <c r="H91" s="141" t="str">
        <f aca="false">Scoring!BI97</f>
        <v/>
      </c>
      <c r="I91" s="143" t="str">
        <f aca="false">Scoring!BH97</f>
        <v/>
      </c>
    </row>
    <row r="92" customFormat="false" ht="15.75" hidden="false" customHeight="false" outlineLevel="0" collapsed="false">
      <c r="A92" s="141" t="str">
        <f aca="false">Scoring!BK98</f>
        <v/>
      </c>
      <c r="B92" s="141" t="str">
        <f aca="false">Scoring!BJ98</f>
        <v/>
      </c>
      <c r="C92" s="141" t="n">
        <f aca="false">Scoring!C98</f>
        <v>0</v>
      </c>
      <c r="D92" s="142" t="str">
        <f aca="false">Scoring!BG98</f>
        <v/>
      </c>
      <c r="E92" s="141" t="str">
        <f aca="false">Scoring!AG98</f>
        <v/>
      </c>
      <c r="F92" s="141" t="n">
        <f aca="false">Scoring!B98</f>
        <v>0</v>
      </c>
      <c r="G92" s="141" t="n">
        <f aca="false">Scoring!D98</f>
        <v>0</v>
      </c>
      <c r="H92" s="141" t="str">
        <f aca="false">Scoring!BI98</f>
        <v/>
      </c>
      <c r="I92" s="143" t="str">
        <f aca="false">Scoring!BH98</f>
        <v/>
      </c>
    </row>
    <row r="93" customFormat="false" ht="15.75" hidden="false" customHeight="false" outlineLevel="0" collapsed="false">
      <c r="A93" s="141" t="str">
        <f aca="false">Scoring!BK99</f>
        <v/>
      </c>
      <c r="B93" s="141" t="str">
        <f aca="false">Scoring!BJ99</f>
        <v/>
      </c>
      <c r="C93" s="141" t="n">
        <f aca="false">Scoring!C99</f>
        <v>0</v>
      </c>
      <c r="D93" s="142" t="str">
        <f aca="false">Scoring!BG99</f>
        <v/>
      </c>
      <c r="E93" s="141" t="str">
        <f aca="false">Scoring!AG99</f>
        <v/>
      </c>
      <c r="F93" s="141" t="n">
        <f aca="false">Scoring!B99</f>
        <v>0</v>
      </c>
      <c r="G93" s="141" t="n">
        <f aca="false">Scoring!D99</f>
        <v>0</v>
      </c>
      <c r="H93" s="141" t="str">
        <f aca="false">Scoring!BI99</f>
        <v/>
      </c>
      <c r="I93" s="143" t="str">
        <f aca="false">Scoring!BH99</f>
        <v/>
      </c>
    </row>
    <row r="94" customFormat="false" ht="15.75" hidden="false" customHeight="false" outlineLevel="0" collapsed="false">
      <c r="A94" s="141" t="str">
        <f aca="false">Scoring!BK100</f>
        <v/>
      </c>
      <c r="B94" s="141" t="str">
        <f aca="false">Scoring!BJ100</f>
        <v/>
      </c>
      <c r="C94" s="141" t="n">
        <f aca="false">Scoring!C100</f>
        <v>0</v>
      </c>
      <c r="D94" s="142" t="str">
        <f aca="false">Scoring!BG100</f>
        <v/>
      </c>
      <c r="E94" s="141" t="str">
        <f aca="false">Scoring!AG100</f>
        <v/>
      </c>
      <c r="F94" s="141" t="n">
        <f aca="false">Scoring!B100</f>
        <v>0</v>
      </c>
      <c r="G94" s="141" t="n">
        <f aca="false">Scoring!D100</f>
        <v>0</v>
      </c>
      <c r="H94" s="141" t="str">
        <f aca="false">Scoring!BI100</f>
        <v/>
      </c>
      <c r="I94" s="143" t="str">
        <f aca="false">Scoring!BH100</f>
        <v/>
      </c>
    </row>
    <row r="95" customFormat="false" ht="15.75" hidden="false" customHeight="false" outlineLevel="0" collapsed="false">
      <c r="A95" s="141" t="str">
        <f aca="false">Scoring!BK101</f>
        <v/>
      </c>
      <c r="B95" s="141" t="str">
        <f aca="false">Scoring!BJ101</f>
        <v/>
      </c>
      <c r="C95" s="141" t="n">
        <f aca="false">Scoring!C101</f>
        <v>0</v>
      </c>
      <c r="D95" s="142" t="str">
        <f aca="false">Scoring!BG101</f>
        <v/>
      </c>
      <c r="E95" s="141" t="str">
        <f aca="false">Scoring!AG101</f>
        <v/>
      </c>
      <c r="F95" s="141" t="n">
        <f aca="false">Scoring!B101</f>
        <v>0</v>
      </c>
      <c r="G95" s="141" t="n">
        <f aca="false">Scoring!D101</f>
        <v>0</v>
      </c>
      <c r="H95" s="141" t="str">
        <f aca="false">Scoring!BI101</f>
        <v/>
      </c>
      <c r="I95" s="143" t="str">
        <f aca="false">Scoring!BH101</f>
        <v/>
      </c>
    </row>
    <row r="96" customFormat="false" ht="15.75" hidden="false" customHeight="false" outlineLevel="0" collapsed="false">
      <c r="A96" s="141" t="str">
        <f aca="false">Scoring!BK102</f>
        <v/>
      </c>
      <c r="B96" s="141" t="str">
        <f aca="false">Scoring!BJ102</f>
        <v/>
      </c>
      <c r="C96" s="141" t="n">
        <f aca="false">Scoring!C102</f>
        <v>0</v>
      </c>
      <c r="D96" s="142" t="str">
        <f aca="false">Scoring!BG102</f>
        <v/>
      </c>
      <c r="E96" s="141" t="str">
        <f aca="false">Scoring!AG102</f>
        <v/>
      </c>
      <c r="F96" s="141" t="n">
        <f aca="false">Scoring!B102</f>
        <v>0</v>
      </c>
      <c r="G96" s="141" t="n">
        <f aca="false">Scoring!D102</f>
        <v>0</v>
      </c>
      <c r="H96" s="141" t="str">
        <f aca="false">Scoring!BI102</f>
        <v/>
      </c>
      <c r="I96" s="143" t="str">
        <f aca="false">Scoring!BH102</f>
        <v/>
      </c>
    </row>
    <row r="97" customFormat="false" ht="15.75" hidden="false" customHeight="false" outlineLevel="0" collapsed="false">
      <c r="A97" s="141" t="str">
        <f aca="false">Scoring!BK103</f>
        <v/>
      </c>
      <c r="B97" s="141" t="str">
        <f aca="false">Scoring!BJ103</f>
        <v/>
      </c>
      <c r="C97" s="141" t="n">
        <f aca="false">Scoring!C103</f>
        <v>0</v>
      </c>
      <c r="D97" s="142" t="str">
        <f aca="false">Scoring!BG103</f>
        <v/>
      </c>
      <c r="E97" s="141" t="str">
        <f aca="false">Scoring!AG103</f>
        <v/>
      </c>
      <c r="F97" s="141" t="n">
        <f aca="false">Scoring!B103</f>
        <v>0</v>
      </c>
      <c r="G97" s="141" t="n">
        <f aca="false">Scoring!D103</f>
        <v>0</v>
      </c>
      <c r="H97" s="141" t="str">
        <f aca="false">Scoring!BI103</f>
        <v/>
      </c>
      <c r="I97" s="143" t="str">
        <f aca="false">Scoring!BH103</f>
        <v/>
      </c>
    </row>
    <row r="98" customFormat="false" ht="15.75" hidden="false" customHeight="false" outlineLevel="0" collapsed="false">
      <c r="A98" s="141" t="str">
        <f aca="false">Scoring!BK104</f>
        <v/>
      </c>
      <c r="B98" s="141" t="str">
        <f aca="false">Scoring!BJ104</f>
        <v/>
      </c>
      <c r="C98" s="141" t="n">
        <f aca="false">Scoring!C104</f>
        <v>0</v>
      </c>
      <c r="D98" s="142" t="str">
        <f aca="false">Scoring!BG104</f>
        <v/>
      </c>
      <c r="E98" s="141" t="str">
        <f aca="false">Scoring!AG104</f>
        <v/>
      </c>
      <c r="F98" s="141" t="n">
        <f aca="false">Scoring!B104</f>
        <v>0</v>
      </c>
      <c r="G98" s="141" t="n">
        <f aca="false">Scoring!D104</f>
        <v>0</v>
      </c>
      <c r="H98" s="141" t="str">
        <f aca="false">Scoring!BI104</f>
        <v/>
      </c>
      <c r="I98" s="143" t="str">
        <f aca="false">Scoring!BH104</f>
        <v/>
      </c>
    </row>
    <row r="99" customFormat="false" ht="15.75" hidden="false" customHeight="false" outlineLevel="0" collapsed="false">
      <c r="A99" s="141" t="str">
        <f aca="false">Scoring!BK105</f>
        <v/>
      </c>
      <c r="B99" s="141" t="str">
        <f aca="false">Scoring!BJ105</f>
        <v/>
      </c>
      <c r="C99" s="141" t="n">
        <f aca="false">Scoring!C105</f>
        <v>0</v>
      </c>
      <c r="D99" s="142" t="str">
        <f aca="false">Scoring!BG105</f>
        <v/>
      </c>
      <c r="E99" s="141" t="str">
        <f aca="false">Scoring!AG105</f>
        <v/>
      </c>
      <c r="F99" s="141" t="n">
        <f aca="false">Scoring!B105</f>
        <v>0</v>
      </c>
      <c r="G99" s="141" t="n">
        <f aca="false">Scoring!D105</f>
        <v>0</v>
      </c>
      <c r="H99" s="141" t="str">
        <f aca="false">Scoring!BI105</f>
        <v/>
      </c>
      <c r="I99" s="143" t="str">
        <f aca="false">Scoring!BH105</f>
        <v/>
      </c>
    </row>
    <row r="100" customFormat="false" ht="15.75" hidden="false" customHeight="false" outlineLevel="0" collapsed="false">
      <c r="A100" s="141" t="str">
        <f aca="false">Scoring!BK106</f>
        <v/>
      </c>
      <c r="B100" s="141" t="str">
        <f aca="false">Scoring!BJ106</f>
        <v/>
      </c>
      <c r="C100" s="141" t="n">
        <f aca="false">Scoring!C106</f>
        <v>0</v>
      </c>
      <c r="D100" s="142" t="str">
        <f aca="false">Scoring!BG106</f>
        <v/>
      </c>
      <c r="E100" s="141" t="str">
        <f aca="false">Scoring!AG106</f>
        <v/>
      </c>
      <c r="F100" s="141" t="n">
        <f aca="false">Scoring!B106</f>
        <v>0</v>
      </c>
      <c r="G100" s="141" t="n">
        <f aca="false">Scoring!D106</f>
        <v>0</v>
      </c>
      <c r="H100" s="141" t="str">
        <f aca="false">Scoring!BI106</f>
        <v/>
      </c>
      <c r="I100" s="143" t="str">
        <f aca="false">Scoring!BH106</f>
        <v/>
      </c>
    </row>
    <row r="101" customFormat="false" ht="15.75" hidden="false" customHeight="false" outlineLevel="0" collapsed="false">
      <c r="A101" s="141" t="str">
        <f aca="false">Scoring!BK107</f>
        <v/>
      </c>
      <c r="B101" s="141" t="str">
        <f aca="false">Scoring!BJ107</f>
        <v/>
      </c>
      <c r="C101" s="141" t="n">
        <f aca="false">Scoring!C107</f>
        <v>0</v>
      </c>
      <c r="D101" s="142" t="str">
        <f aca="false">Scoring!BG107</f>
        <v/>
      </c>
      <c r="E101" s="141" t="str">
        <f aca="false">Scoring!AG107</f>
        <v/>
      </c>
      <c r="F101" s="141" t="n">
        <f aca="false">Scoring!B107</f>
        <v>0</v>
      </c>
      <c r="G101" s="141" t="n">
        <f aca="false">Scoring!D107</f>
        <v>0</v>
      </c>
      <c r="H101" s="141" t="str">
        <f aca="false">Scoring!BI107</f>
        <v/>
      </c>
      <c r="I101" s="143" t="str">
        <f aca="false">Scoring!BH107</f>
        <v/>
      </c>
    </row>
    <row r="102" customFormat="false" ht="15.75" hidden="false" customHeight="false" outlineLevel="0" collapsed="false">
      <c r="A102" s="141" t="str">
        <f aca="false">Scoring!BK108</f>
        <v/>
      </c>
      <c r="B102" s="141" t="str">
        <f aca="false">Scoring!BJ108</f>
        <v/>
      </c>
      <c r="C102" s="141" t="n">
        <f aca="false">Scoring!C108</f>
        <v>0</v>
      </c>
      <c r="D102" s="142" t="str">
        <f aca="false">Scoring!BG108</f>
        <v/>
      </c>
      <c r="E102" s="141" t="str">
        <f aca="false">Scoring!AG108</f>
        <v/>
      </c>
      <c r="F102" s="141" t="n">
        <f aca="false">Scoring!B108</f>
        <v>0</v>
      </c>
      <c r="G102" s="141" t="n">
        <f aca="false">Scoring!D108</f>
        <v>0</v>
      </c>
      <c r="H102" s="141" t="str">
        <f aca="false">Scoring!BI108</f>
        <v/>
      </c>
      <c r="I102" s="143" t="str">
        <f aca="false">Scoring!BH108</f>
        <v/>
      </c>
    </row>
    <row r="103" customFormat="false" ht="15.75" hidden="false" customHeight="false" outlineLevel="0" collapsed="false">
      <c r="A103" s="141" t="str">
        <f aca="false">Scoring!BK109</f>
        <v/>
      </c>
      <c r="B103" s="141" t="str">
        <f aca="false">Scoring!BJ109</f>
        <v/>
      </c>
      <c r="C103" s="141" t="n">
        <f aca="false">Scoring!C109</f>
        <v>0</v>
      </c>
      <c r="D103" s="142" t="str">
        <f aca="false">Scoring!BG109</f>
        <v/>
      </c>
      <c r="E103" s="141" t="str">
        <f aca="false">Scoring!AG109</f>
        <v/>
      </c>
      <c r="F103" s="141" t="n">
        <f aca="false">Scoring!B109</f>
        <v>0</v>
      </c>
      <c r="G103" s="141" t="n">
        <f aca="false">Scoring!D109</f>
        <v>0</v>
      </c>
      <c r="H103" s="141" t="str">
        <f aca="false">Scoring!BI109</f>
        <v/>
      </c>
      <c r="I103" s="143" t="str">
        <f aca="false">Scoring!BH109</f>
        <v/>
      </c>
    </row>
    <row r="104" customFormat="false" ht="15.75" hidden="false" customHeight="false" outlineLevel="0" collapsed="false">
      <c r="A104" s="141" t="str">
        <f aca="false">Scoring!BK110</f>
        <v/>
      </c>
      <c r="B104" s="141" t="str">
        <f aca="false">Scoring!BJ110</f>
        <v/>
      </c>
      <c r="C104" s="141" t="n">
        <f aca="false">Scoring!C110</f>
        <v>0</v>
      </c>
      <c r="D104" s="142" t="str">
        <f aca="false">Scoring!BG110</f>
        <v/>
      </c>
      <c r="E104" s="141" t="str">
        <f aca="false">Scoring!AG110</f>
        <v/>
      </c>
      <c r="F104" s="141" t="n">
        <f aca="false">Scoring!B110</f>
        <v>0</v>
      </c>
      <c r="G104" s="141" t="n">
        <f aca="false">Scoring!D110</f>
        <v>0</v>
      </c>
      <c r="H104" s="141" t="str">
        <f aca="false">Scoring!BI110</f>
        <v/>
      </c>
      <c r="I104" s="143" t="str">
        <f aca="false">Scoring!BH110</f>
        <v/>
      </c>
    </row>
    <row r="105" customFormat="false" ht="15.75" hidden="false" customHeight="false" outlineLevel="0" collapsed="false">
      <c r="A105" s="141" t="str">
        <f aca="false">Scoring!BK111</f>
        <v/>
      </c>
      <c r="B105" s="141" t="str">
        <f aca="false">Scoring!BJ111</f>
        <v/>
      </c>
      <c r="C105" s="141" t="n">
        <f aca="false">Scoring!C111</f>
        <v>0</v>
      </c>
      <c r="D105" s="142" t="str">
        <f aca="false">Scoring!BG111</f>
        <v/>
      </c>
      <c r="E105" s="141" t="str">
        <f aca="false">Scoring!AG111</f>
        <v/>
      </c>
      <c r="F105" s="141" t="n">
        <f aca="false">Scoring!B111</f>
        <v>0</v>
      </c>
      <c r="G105" s="141" t="n">
        <f aca="false">Scoring!D111</f>
        <v>0</v>
      </c>
      <c r="H105" s="141" t="str">
        <f aca="false">Scoring!BI111</f>
        <v/>
      </c>
      <c r="I105" s="143" t="str">
        <f aca="false">Scoring!BH111</f>
        <v/>
      </c>
    </row>
    <row r="106" customFormat="false" ht="15.75" hidden="false" customHeight="false" outlineLevel="0" collapsed="false">
      <c r="A106" s="141" t="str">
        <f aca="false">Scoring!BK112</f>
        <v/>
      </c>
      <c r="B106" s="141" t="str">
        <f aca="false">Scoring!BJ112</f>
        <v/>
      </c>
      <c r="C106" s="141" t="n">
        <f aca="false">Scoring!C112</f>
        <v>0</v>
      </c>
      <c r="D106" s="142" t="str">
        <f aca="false">Scoring!BG112</f>
        <v/>
      </c>
      <c r="E106" s="141" t="str">
        <f aca="false">Scoring!AG112</f>
        <v/>
      </c>
      <c r="F106" s="141" t="n">
        <f aca="false">Scoring!B112</f>
        <v>0</v>
      </c>
      <c r="G106" s="141" t="n">
        <f aca="false">Scoring!D112</f>
        <v>0</v>
      </c>
      <c r="H106" s="141" t="str">
        <f aca="false">Scoring!BI112</f>
        <v/>
      </c>
      <c r="I106" s="143" t="str">
        <f aca="false">Scoring!BH112</f>
        <v/>
      </c>
    </row>
    <row r="107" customFormat="false" ht="15.75" hidden="false" customHeight="false" outlineLevel="0" collapsed="false">
      <c r="A107" s="141" t="str">
        <f aca="false">Scoring!BK113</f>
        <v/>
      </c>
      <c r="B107" s="141" t="str">
        <f aca="false">Scoring!BJ113</f>
        <v/>
      </c>
      <c r="C107" s="141" t="n">
        <f aca="false">Scoring!C113</f>
        <v>0</v>
      </c>
      <c r="D107" s="142" t="str">
        <f aca="false">Scoring!BG113</f>
        <v/>
      </c>
      <c r="E107" s="141" t="str">
        <f aca="false">Scoring!AG113</f>
        <v/>
      </c>
      <c r="F107" s="141" t="n">
        <f aca="false">Scoring!B113</f>
        <v>0</v>
      </c>
      <c r="G107" s="141" t="n">
        <f aca="false">Scoring!D113</f>
        <v>0</v>
      </c>
      <c r="H107" s="141" t="str">
        <f aca="false">Scoring!BI113</f>
        <v/>
      </c>
      <c r="I107" s="143" t="str">
        <f aca="false">Scoring!BH113</f>
        <v/>
      </c>
    </row>
    <row r="108" customFormat="false" ht="15.75" hidden="false" customHeight="false" outlineLevel="0" collapsed="false">
      <c r="A108" s="141" t="str">
        <f aca="false">Scoring!BK114</f>
        <v/>
      </c>
      <c r="B108" s="141" t="str">
        <f aca="false">Scoring!BJ114</f>
        <v/>
      </c>
      <c r="C108" s="141" t="n">
        <f aca="false">Scoring!C114</f>
        <v>0</v>
      </c>
      <c r="D108" s="142" t="str">
        <f aca="false">Scoring!BG114</f>
        <v/>
      </c>
      <c r="E108" s="141" t="str">
        <f aca="false">Scoring!AG114</f>
        <v/>
      </c>
      <c r="F108" s="141" t="n">
        <f aca="false">Scoring!B114</f>
        <v>0</v>
      </c>
      <c r="G108" s="141" t="n">
        <f aca="false">Scoring!D114</f>
        <v>0</v>
      </c>
      <c r="H108" s="141" t="str">
        <f aca="false">Scoring!BI114</f>
        <v/>
      </c>
      <c r="I108" s="143" t="str">
        <f aca="false">Scoring!BH114</f>
        <v/>
      </c>
    </row>
    <row r="109" customFormat="false" ht="15.75" hidden="false" customHeight="false" outlineLevel="0" collapsed="false">
      <c r="A109" s="141" t="str">
        <f aca="false">Scoring!BK115</f>
        <v/>
      </c>
      <c r="B109" s="141" t="str">
        <f aca="false">Scoring!BJ115</f>
        <v/>
      </c>
      <c r="C109" s="141" t="n">
        <f aca="false">Scoring!C115</f>
        <v>0</v>
      </c>
      <c r="D109" s="142" t="str">
        <f aca="false">Scoring!BG115</f>
        <v/>
      </c>
      <c r="E109" s="141" t="str">
        <f aca="false">Scoring!AG115</f>
        <v/>
      </c>
      <c r="F109" s="141" t="n">
        <f aca="false">Scoring!B115</f>
        <v>0</v>
      </c>
      <c r="G109" s="141" t="n">
        <f aca="false">Scoring!D115</f>
        <v>0</v>
      </c>
      <c r="H109" s="141" t="str">
        <f aca="false">Scoring!BI115</f>
        <v/>
      </c>
      <c r="I109" s="143" t="str">
        <f aca="false">Scoring!BH115</f>
        <v/>
      </c>
    </row>
    <row r="110" customFormat="false" ht="15.75" hidden="false" customHeight="false" outlineLevel="0" collapsed="false">
      <c r="A110" s="141" t="str">
        <f aca="false">Scoring!BK116</f>
        <v/>
      </c>
      <c r="B110" s="141" t="str">
        <f aca="false">Scoring!BJ116</f>
        <v/>
      </c>
      <c r="C110" s="141" t="n">
        <f aca="false">Scoring!C116</f>
        <v>0</v>
      </c>
      <c r="D110" s="142" t="str">
        <f aca="false">Scoring!BG116</f>
        <v/>
      </c>
      <c r="E110" s="141" t="str">
        <f aca="false">Scoring!AG116</f>
        <v/>
      </c>
      <c r="F110" s="141" t="n">
        <f aca="false">Scoring!B116</f>
        <v>0</v>
      </c>
      <c r="G110" s="141" t="n">
        <f aca="false">Scoring!D116</f>
        <v>0</v>
      </c>
      <c r="H110" s="141" t="str">
        <f aca="false">Scoring!BI116</f>
        <v/>
      </c>
      <c r="I110" s="143" t="str">
        <f aca="false">Scoring!BH116</f>
        <v/>
      </c>
    </row>
    <row r="111" customFormat="false" ht="15.75" hidden="false" customHeight="false" outlineLevel="0" collapsed="false">
      <c r="A111" s="141" t="str">
        <f aca="false">Scoring!BK117</f>
        <v/>
      </c>
      <c r="B111" s="141" t="str">
        <f aca="false">Scoring!BJ117</f>
        <v/>
      </c>
      <c r="C111" s="141" t="n">
        <f aca="false">Scoring!C117</f>
        <v>0</v>
      </c>
      <c r="D111" s="142" t="str">
        <f aca="false">Scoring!BG117</f>
        <v/>
      </c>
      <c r="E111" s="141" t="str">
        <f aca="false">Scoring!AG117</f>
        <v/>
      </c>
      <c r="F111" s="141" t="n">
        <f aca="false">Scoring!B117</f>
        <v>0</v>
      </c>
      <c r="G111" s="141" t="n">
        <f aca="false">Scoring!D117</f>
        <v>0</v>
      </c>
      <c r="H111" s="141" t="str">
        <f aca="false">Scoring!BI117</f>
        <v/>
      </c>
      <c r="I111" s="143" t="str">
        <f aca="false">Scoring!BH117</f>
        <v/>
      </c>
    </row>
    <row r="112" customFormat="false" ht="15.75" hidden="false" customHeight="false" outlineLevel="0" collapsed="false">
      <c r="A112" s="141" t="str">
        <f aca="false">Scoring!BK118</f>
        <v/>
      </c>
      <c r="B112" s="141" t="str">
        <f aca="false">Scoring!BJ118</f>
        <v/>
      </c>
      <c r="C112" s="141" t="n">
        <f aca="false">Scoring!C118</f>
        <v>0</v>
      </c>
      <c r="D112" s="142" t="str">
        <f aca="false">Scoring!BG118</f>
        <v/>
      </c>
      <c r="E112" s="141" t="str">
        <f aca="false">Scoring!AG118</f>
        <v/>
      </c>
      <c r="F112" s="141" t="n">
        <f aca="false">Scoring!B118</f>
        <v>0</v>
      </c>
      <c r="G112" s="141" t="n">
        <f aca="false">Scoring!D118</f>
        <v>0</v>
      </c>
      <c r="H112" s="141" t="str">
        <f aca="false">Scoring!BI118</f>
        <v/>
      </c>
      <c r="I112" s="143" t="str">
        <f aca="false">Scoring!BH118</f>
        <v/>
      </c>
    </row>
    <row r="113" customFormat="false" ht="15.75" hidden="false" customHeight="false" outlineLevel="0" collapsed="false">
      <c r="A113" s="141" t="str">
        <f aca="false">Scoring!BK119</f>
        <v/>
      </c>
      <c r="B113" s="141" t="str">
        <f aca="false">Scoring!BJ119</f>
        <v/>
      </c>
      <c r="C113" s="141" t="n">
        <f aca="false">Scoring!C119</f>
        <v>0</v>
      </c>
      <c r="D113" s="142" t="str">
        <f aca="false">Scoring!BG119</f>
        <v/>
      </c>
      <c r="E113" s="141" t="str">
        <f aca="false">Scoring!AG119</f>
        <v/>
      </c>
      <c r="F113" s="141" t="n">
        <f aca="false">Scoring!B119</f>
        <v>0</v>
      </c>
      <c r="G113" s="141" t="n">
        <f aca="false">Scoring!D119</f>
        <v>0</v>
      </c>
      <c r="H113" s="141" t="str">
        <f aca="false">Scoring!BI119</f>
        <v/>
      </c>
      <c r="I113" s="143" t="str">
        <f aca="false">Scoring!BH119</f>
        <v/>
      </c>
    </row>
    <row r="114" customFormat="false" ht="15.75" hidden="false" customHeight="false" outlineLevel="0" collapsed="false">
      <c r="A114" s="141" t="str">
        <f aca="false">Scoring!BK120</f>
        <v/>
      </c>
      <c r="B114" s="141" t="str">
        <f aca="false">Scoring!BJ120</f>
        <v/>
      </c>
      <c r="C114" s="141" t="n">
        <f aca="false">Scoring!C120</f>
        <v>0</v>
      </c>
      <c r="D114" s="142" t="str">
        <f aca="false">Scoring!BG120</f>
        <v/>
      </c>
      <c r="E114" s="141" t="str">
        <f aca="false">Scoring!AG120</f>
        <v/>
      </c>
      <c r="F114" s="141" t="n">
        <f aca="false">Scoring!B120</f>
        <v>0</v>
      </c>
      <c r="G114" s="141" t="n">
        <f aca="false">Scoring!D120</f>
        <v>0</v>
      </c>
      <c r="H114" s="141" t="str">
        <f aca="false">Scoring!BI120</f>
        <v/>
      </c>
      <c r="I114" s="143" t="str">
        <f aca="false">Scoring!BH120</f>
        <v/>
      </c>
    </row>
    <row r="115" customFormat="false" ht="15.75" hidden="false" customHeight="false" outlineLevel="0" collapsed="false">
      <c r="A115" s="141" t="str">
        <f aca="false">Scoring!BK121</f>
        <v/>
      </c>
      <c r="B115" s="141" t="str">
        <f aca="false">Scoring!BJ121</f>
        <v/>
      </c>
      <c r="C115" s="141" t="n">
        <f aca="false">Scoring!C121</f>
        <v>0</v>
      </c>
      <c r="D115" s="142" t="str">
        <f aca="false">Scoring!BG121</f>
        <v/>
      </c>
      <c r="E115" s="141" t="str">
        <f aca="false">Scoring!AG121</f>
        <v/>
      </c>
      <c r="F115" s="141" t="n">
        <f aca="false">Scoring!B121</f>
        <v>0</v>
      </c>
      <c r="G115" s="141" t="n">
        <f aca="false">Scoring!D121</f>
        <v>0</v>
      </c>
      <c r="H115" s="141" t="str">
        <f aca="false">Scoring!BI121</f>
        <v/>
      </c>
      <c r="I115" s="143" t="str">
        <f aca="false">Scoring!BH121</f>
        <v/>
      </c>
    </row>
    <row r="116" customFormat="false" ht="15.75" hidden="false" customHeight="false" outlineLevel="0" collapsed="false">
      <c r="A116" s="141" t="str">
        <f aca="false">Scoring!BK122</f>
        <v/>
      </c>
      <c r="B116" s="141" t="str">
        <f aca="false">Scoring!BJ122</f>
        <v/>
      </c>
      <c r="C116" s="141" t="n">
        <f aca="false">Scoring!C122</f>
        <v>0</v>
      </c>
      <c r="D116" s="142" t="str">
        <f aca="false">Scoring!BG122</f>
        <v/>
      </c>
      <c r="E116" s="141" t="str">
        <f aca="false">Scoring!AG122</f>
        <v/>
      </c>
      <c r="F116" s="141" t="n">
        <f aca="false">Scoring!B122</f>
        <v>0</v>
      </c>
      <c r="G116" s="141" t="n">
        <f aca="false">Scoring!D122</f>
        <v>0</v>
      </c>
      <c r="H116" s="141" t="str">
        <f aca="false">Scoring!BI122</f>
        <v/>
      </c>
      <c r="I116" s="143" t="str">
        <f aca="false">Scoring!BH122</f>
        <v/>
      </c>
    </row>
    <row r="117" customFormat="false" ht="15.75" hidden="false" customHeight="false" outlineLevel="0" collapsed="false">
      <c r="A117" s="141" t="str">
        <f aca="false">Scoring!BK123</f>
        <v/>
      </c>
      <c r="B117" s="141" t="str">
        <f aca="false">Scoring!BJ123</f>
        <v/>
      </c>
      <c r="C117" s="141" t="n">
        <f aca="false">Scoring!C123</f>
        <v>0</v>
      </c>
      <c r="D117" s="142" t="str">
        <f aca="false">Scoring!BG123</f>
        <v/>
      </c>
      <c r="E117" s="141" t="str">
        <f aca="false">Scoring!AG123</f>
        <v/>
      </c>
      <c r="F117" s="141" t="n">
        <f aca="false">Scoring!B123</f>
        <v>0</v>
      </c>
      <c r="G117" s="141" t="n">
        <f aca="false">Scoring!D123</f>
        <v>0</v>
      </c>
      <c r="H117" s="141" t="str">
        <f aca="false">Scoring!BI123</f>
        <v/>
      </c>
      <c r="I117" s="143" t="str">
        <f aca="false">Scoring!BH123</f>
        <v/>
      </c>
    </row>
    <row r="118" customFormat="false" ht="15.75" hidden="false" customHeight="false" outlineLevel="0" collapsed="false">
      <c r="A118" s="141" t="str">
        <f aca="false">Scoring!BK124</f>
        <v/>
      </c>
      <c r="B118" s="141" t="str">
        <f aca="false">Scoring!BJ124</f>
        <v/>
      </c>
      <c r="C118" s="141" t="n">
        <f aca="false">Scoring!C124</f>
        <v>0</v>
      </c>
      <c r="D118" s="142" t="str">
        <f aca="false">Scoring!BG124</f>
        <v/>
      </c>
      <c r="E118" s="141" t="str">
        <f aca="false">Scoring!AG124</f>
        <v/>
      </c>
      <c r="F118" s="141" t="n">
        <f aca="false">Scoring!B124</f>
        <v>0</v>
      </c>
      <c r="G118" s="141" t="n">
        <f aca="false">Scoring!D124</f>
        <v>0</v>
      </c>
      <c r="H118" s="141" t="str">
        <f aca="false">Scoring!BI124</f>
        <v/>
      </c>
      <c r="I118" s="143" t="str">
        <f aca="false">Scoring!BH124</f>
        <v/>
      </c>
    </row>
    <row r="119" customFormat="false" ht="15.75" hidden="false" customHeight="false" outlineLevel="0" collapsed="false">
      <c r="A119" s="141" t="str">
        <f aca="false">Scoring!BK125</f>
        <v/>
      </c>
      <c r="B119" s="141" t="str">
        <f aca="false">Scoring!BJ125</f>
        <v/>
      </c>
      <c r="C119" s="141" t="n">
        <f aca="false">Scoring!C125</f>
        <v>0</v>
      </c>
      <c r="D119" s="142" t="str">
        <f aca="false">Scoring!BG125</f>
        <v/>
      </c>
      <c r="E119" s="141" t="str">
        <f aca="false">Scoring!AG125</f>
        <v/>
      </c>
      <c r="F119" s="141" t="n">
        <f aca="false">Scoring!B125</f>
        <v>0</v>
      </c>
      <c r="G119" s="141" t="n">
        <f aca="false">Scoring!D125</f>
        <v>0</v>
      </c>
      <c r="H119" s="141" t="str">
        <f aca="false">Scoring!BI125</f>
        <v/>
      </c>
      <c r="I119" s="143" t="str">
        <f aca="false">Scoring!BH125</f>
        <v/>
      </c>
    </row>
    <row r="120" customFormat="false" ht="15.75" hidden="false" customHeight="false" outlineLevel="0" collapsed="false">
      <c r="A120" s="141" t="str">
        <f aca="false">Scoring!BK126</f>
        <v/>
      </c>
      <c r="B120" s="141" t="str">
        <f aca="false">Scoring!BJ126</f>
        <v/>
      </c>
      <c r="C120" s="141" t="n">
        <f aca="false">Scoring!C126</f>
        <v>0</v>
      </c>
      <c r="D120" s="142" t="str">
        <f aca="false">Scoring!BG126</f>
        <v/>
      </c>
      <c r="E120" s="141" t="str">
        <f aca="false">Scoring!AG126</f>
        <v/>
      </c>
      <c r="F120" s="141" t="n">
        <f aca="false">Scoring!B126</f>
        <v>0</v>
      </c>
      <c r="G120" s="141" t="n">
        <f aca="false">Scoring!D126</f>
        <v>0</v>
      </c>
      <c r="H120" s="141" t="str">
        <f aca="false">Scoring!BI126</f>
        <v/>
      </c>
      <c r="I120" s="143" t="str">
        <f aca="false">Scoring!BH126</f>
        <v/>
      </c>
    </row>
    <row r="121" customFormat="false" ht="15.75" hidden="false" customHeight="false" outlineLevel="0" collapsed="false">
      <c r="A121" s="141" t="str">
        <f aca="false">Scoring!BK127</f>
        <v/>
      </c>
      <c r="B121" s="141" t="str">
        <f aca="false">Scoring!BJ127</f>
        <v/>
      </c>
      <c r="C121" s="141" t="n">
        <f aca="false">Scoring!C127</f>
        <v>0</v>
      </c>
      <c r="D121" s="142" t="str">
        <f aca="false">Scoring!BG127</f>
        <v/>
      </c>
      <c r="E121" s="141" t="str">
        <f aca="false">Scoring!AG127</f>
        <v/>
      </c>
      <c r="F121" s="141" t="n">
        <f aca="false">Scoring!B127</f>
        <v>0</v>
      </c>
      <c r="G121" s="141" t="n">
        <f aca="false">Scoring!D127</f>
        <v>0</v>
      </c>
      <c r="H121" s="141" t="str">
        <f aca="false">Scoring!BI127</f>
        <v/>
      </c>
      <c r="I121" s="143" t="str">
        <f aca="false">Scoring!BH127</f>
        <v/>
      </c>
    </row>
    <row r="122" customFormat="false" ht="15.75" hidden="false" customHeight="false" outlineLevel="0" collapsed="false">
      <c r="A122" s="141" t="str">
        <f aca="false">Scoring!BK128</f>
        <v/>
      </c>
      <c r="B122" s="141" t="str">
        <f aca="false">Scoring!BJ128</f>
        <v/>
      </c>
      <c r="C122" s="141" t="n">
        <f aca="false">Scoring!C128</f>
        <v>0</v>
      </c>
      <c r="D122" s="142" t="str">
        <f aca="false">Scoring!BG128</f>
        <v/>
      </c>
      <c r="E122" s="141" t="str">
        <f aca="false">Scoring!AG128</f>
        <v/>
      </c>
      <c r="F122" s="141" t="n">
        <f aca="false">Scoring!B128</f>
        <v>0</v>
      </c>
      <c r="G122" s="141" t="n">
        <f aca="false">Scoring!D128</f>
        <v>0</v>
      </c>
      <c r="H122" s="141" t="str">
        <f aca="false">Scoring!BI128</f>
        <v/>
      </c>
      <c r="I122" s="143" t="str">
        <f aca="false">Scoring!BH128</f>
        <v/>
      </c>
    </row>
    <row r="123" customFormat="false" ht="15.75" hidden="false" customHeight="false" outlineLevel="0" collapsed="false">
      <c r="A123" s="141" t="str">
        <f aca="false">Scoring!BK129</f>
        <v/>
      </c>
      <c r="B123" s="141" t="str">
        <f aca="false">Scoring!BJ129</f>
        <v/>
      </c>
      <c r="C123" s="141" t="n">
        <f aca="false">Scoring!C129</f>
        <v>0</v>
      </c>
      <c r="D123" s="142" t="str">
        <f aca="false">Scoring!BG129</f>
        <v/>
      </c>
      <c r="E123" s="141" t="str">
        <f aca="false">Scoring!AG129</f>
        <v/>
      </c>
      <c r="F123" s="141" t="n">
        <f aca="false">Scoring!B129</f>
        <v>0</v>
      </c>
      <c r="G123" s="141" t="n">
        <f aca="false">Scoring!D129</f>
        <v>0</v>
      </c>
      <c r="H123" s="141" t="str">
        <f aca="false">Scoring!BI129</f>
        <v/>
      </c>
      <c r="I123" s="143" t="str">
        <f aca="false">Scoring!BH129</f>
        <v/>
      </c>
    </row>
    <row r="124" customFormat="false" ht="15.75" hidden="false" customHeight="false" outlineLevel="0" collapsed="false">
      <c r="A124" s="141" t="str">
        <f aca="false">Scoring!BK130</f>
        <v/>
      </c>
      <c r="B124" s="141" t="str">
        <f aca="false">Scoring!BJ130</f>
        <v/>
      </c>
      <c r="C124" s="141" t="n">
        <f aca="false">Scoring!C130</f>
        <v>0</v>
      </c>
      <c r="D124" s="142" t="str">
        <f aca="false">Scoring!BG130</f>
        <v/>
      </c>
      <c r="E124" s="141" t="str">
        <f aca="false">Scoring!AG130</f>
        <v/>
      </c>
      <c r="F124" s="141" t="n">
        <f aca="false">Scoring!B130</f>
        <v>0</v>
      </c>
      <c r="G124" s="141" t="n">
        <f aca="false">Scoring!D130</f>
        <v>0</v>
      </c>
      <c r="H124" s="141" t="str">
        <f aca="false">Scoring!BI130</f>
        <v/>
      </c>
      <c r="I124" s="143" t="str">
        <f aca="false">Scoring!BH130</f>
        <v/>
      </c>
    </row>
    <row r="125" customFormat="false" ht="15.75" hidden="false" customHeight="false" outlineLevel="0" collapsed="false">
      <c r="A125" s="141" t="str">
        <f aca="false">Scoring!BK131</f>
        <v/>
      </c>
      <c r="B125" s="141" t="str">
        <f aca="false">Scoring!BJ131</f>
        <v/>
      </c>
      <c r="C125" s="141" t="n">
        <f aca="false">Scoring!C131</f>
        <v>0</v>
      </c>
      <c r="D125" s="142" t="str">
        <f aca="false">Scoring!BG131</f>
        <v/>
      </c>
      <c r="E125" s="141" t="str">
        <f aca="false">Scoring!AG131</f>
        <v/>
      </c>
      <c r="F125" s="141" t="n">
        <f aca="false">Scoring!B131</f>
        <v>0</v>
      </c>
      <c r="G125" s="141" t="n">
        <f aca="false">Scoring!D131</f>
        <v>0</v>
      </c>
      <c r="H125" s="141" t="str">
        <f aca="false">Scoring!BI131</f>
        <v/>
      </c>
      <c r="I125" s="143" t="str">
        <f aca="false">Scoring!BH131</f>
        <v/>
      </c>
    </row>
    <row r="126" customFormat="false" ht="15.75" hidden="false" customHeight="false" outlineLevel="0" collapsed="false">
      <c r="A126" s="141" t="str">
        <f aca="false">Scoring!BK132</f>
        <v/>
      </c>
      <c r="B126" s="141" t="str">
        <f aca="false">Scoring!BJ132</f>
        <v/>
      </c>
      <c r="C126" s="141" t="n">
        <f aca="false">Scoring!C132</f>
        <v>0</v>
      </c>
      <c r="D126" s="142" t="str">
        <f aca="false">Scoring!BG132</f>
        <v/>
      </c>
      <c r="E126" s="141" t="str">
        <f aca="false">Scoring!AG132</f>
        <v/>
      </c>
      <c r="F126" s="141" t="n">
        <f aca="false">Scoring!B132</f>
        <v>0</v>
      </c>
      <c r="G126" s="141" t="n">
        <f aca="false">Scoring!D132</f>
        <v>0</v>
      </c>
      <c r="H126" s="141" t="str">
        <f aca="false">Scoring!BI132</f>
        <v/>
      </c>
      <c r="I126" s="143" t="str">
        <f aca="false">Scoring!BH132</f>
        <v/>
      </c>
    </row>
    <row r="127" customFormat="false" ht="15.75" hidden="false" customHeight="false" outlineLevel="0" collapsed="false">
      <c r="A127" s="141" t="str">
        <f aca="false">Scoring!BK133</f>
        <v/>
      </c>
      <c r="B127" s="141" t="str">
        <f aca="false">Scoring!BJ133</f>
        <v/>
      </c>
      <c r="C127" s="141" t="n">
        <f aca="false">Scoring!C133</f>
        <v>0</v>
      </c>
      <c r="D127" s="142" t="str">
        <f aca="false">Scoring!BG133</f>
        <v/>
      </c>
      <c r="E127" s="141" t="str">
        <f aca="false">Scoring!AG133</f>
        <v/>
      </c>
      <c r="F127" s="141" t="n">
        <f aca="false">Scoring!B133</f>
        <v>0</v>
      </c>
      <c r="G127" s="141" t="n">
        <f aca="false">Scoring!D133</f>
        <v>0</v>
      </c>
      <c r="H127" s="141" t="str">
        <f aca="false">Scoring!BI133</f>
        <v/>
      </c>
      <c r="I127" s="143" t="str">
        <f aca="false">Scoring!BH133</f>
        <v/>
      </c>
    </row>
    <row r="128" customFormat="false" ht="15.75" hidden="false" customHeight="false" outlineLevel="0" collapsed="false">
      <c r="A128" s="141" t="str">
        <f aca="false">Scoring!BK134</f>
        <v/>
      </c>
      <c r="B128" s="141" t="str">
        <f aca="false">Scoring!BJ134</f>
        <v/>
      </c>
      <c r="C128" s="141" t="n">
        <f aca="false">Scoring!C134</f>
        <v>0</v>
      </c>
      <c r="D128" s="142" t="str">
        <f aca="false">Scoring!BG134</f>
        <v/>
      </c>
      <c r="E128" s="141" t="str">
        <f aca="false">Scoring!AG134</f>
        <v/>
      </c>
      <c r="F128" s="141" t="n">
        <f aca="false">Scoring!B134</f>
        <v>0</v>
      </c>
      <c r="G128" s="141" t="n">
        <f aca="false">Scoring!D134</f>
        <v>0</v>
      </c>
      <c r="H128" s="141" t="str">
        <f aca="false">Scoring!BI134</f>
        <v/>
      </c>
      <c r="I128" s="143" t="str">
        <f aca="false">Scoring!BH134</f>
        <v/>
      </c>
    </row>
    <row r="129" customFormat="false" ht="15.75" hidden="false" customHeight="false" outlineLevel="0" collapsed="false">
      <c r="A129" s="141" t="str">
        <f aca="false">Scoring!BK135</f>
        <v/>
      </c>
      <c r="B129" s="141" t="str">
        <f aca="false">Scoring!BJ135</f>
        <v/>
      </c>
      <c r="C129" s="141" t="n">
        <f aca="false">Scoring!C135</f>
        <v>0</v>
      </c>
      <c r="D129" s="142" t="str">
        <f aca="false">Scoring!BG135</f>
        <v/>
      </c>
      <c r="E129" s="141" t="str">
        <f aca="false">Scoring!AG135</f>
        <v/>
      </c>
      <c r="F129" s="141" t="n">
        <f aca="false">Scoring!B135</f>
        <v>0</v>
      </c>
      <c r="G129" s="141" t="n">
        <f aca="false">Scoring!D135</f>
        <v>0</v>
      </c>
      <c r="H129" s="141" t="str">
        <f aca="false">Scoring!BI135</f>
        <v/>
      </c>
      <c r="I129" s="143" t="str">
        <f aca="false">Scoring!BH135</f>
        <v/>
      </c>
    </row>
    <row r="130" customFormat="false" ht="15.75" hidden="false" customHeight="false" outlineLevel="0" collapsed="false">
      <c r="A130" s="141" t="str">
        <f aca="false">Scoring!BK136</f>
        <v/>
      </c>
      <c r="B130" s="141" t="str">
        <f aca="false">Scoring!BJ136</f>
        <v/>
      </c>
      <c r="C130" s="141" t="n">
        <f aca="false">Scoring!C136</f>
        <v>0</v>
      </c>
      <c r="D130" s="142" t="str">
        <f aca="false">Scoring!BG136</f>
        <v/>
      </c>
      <c r="E130" s="141" t="str">
        <f aca="false">Scoring!AG136</f>
        <v/>
      </c>
      <c r="F130" s="141" t="n">
        <f aca="false">Scoring!B136</f>
        <v>0</v>
      </c>
      <c r="G130" s="141" t="n">
        <f aca="false">Scoring!D136</f>
        <v>0</v>
      </c>
      <c r="H130" s="141" t="str">
        <f aca="false">Scoring!BI136</f>
        <v/>
      </c>
      <c r="I130" s="143" t="str">
        <f aca="false">Scoring!BH136</f>
        <v/>
      </c>
    </row>
    <row r="131" customFormat="false" ht="15.75" hidden="false" customHeight="false" outlineLevel="0" collapsed="false">
      <c r="A131" s="141" t="str">
        <f aca="false">Scoring!BK137</f>
        <v/>
      </c>
      <c r="B131" s="141" t="str">
        <f aca="false">Scoring!BJ137</f>
        <v/>
      </c>
      <c r="C131" s="141" t="n">
        <f aca="false">Scoring!C137</f>
        <v>0</v>
      </c>
      <c r="D131" s="142" t="str">
        <f aca="false">Scoring!BG137</f>
        <v/>
      </c>
      <c r="E131" s="141" t="str">
        <f aca="false">Scoring!AG137</f>
        <v/>
      </c>
      <c r="F131" s="141" t="n">
        <f aca="false">Scoring!B137</f>
        <v>0</v>
      </c>
      <c r="G131" s="141" t="n">
        <f aca="false">Scoring!D137</f>
        <v>0</v>
      </c>
      <c r="H131" s="141" t="str">
        <f aca="false">Scoring!BI137</f>
        <v/>
      </c>
      <c r="I131" s="143" t="str">
        <f aca="false">Scoring!BH137</f>
        <v/>
      </c>
    </row>
    <row r="132" customFormat="false" ht="15.75" hidden="false" customHeight="false" outlineLevel="0" collapsed="false">
      <c r="A132" s="141" t="str">
        <f aca="false">Scoring!BK138</f>
        <v/>
      </c>
      <c r="B132" s="141" t="str">
        <f aca="false">Scoring!BJ138</f>
        <v/>
      </c>
      <c r="C132" s="141" t="n">
        <f aca="false">Scoring!C138</f>
        <v>0</v>
      </c>
      <c r="D132" s="142" t="str">
        <f aca="false">Scoring!BG138</f>
        <v/>
      </c>
      <c r="E132" s="141" t="str">
        <f aca="false">Scoring!AG138</f>
        <v/>
      </c>
      <c r="F132" s="141" t="n">
        <f aca="false">Scoring!B138</f>
        <v>0</v>
      </c>
      <c r="G132" s="141" t="n">
        <f aca="false">Scoring!D138</f>
        <v>0</v>
      </c>
      <c r="H132" s="141" t="str">
        <f aca="false">Scoring!BI138</f>
        <v/>
      </c>
      <c r="I132" s="143" t="str">
        <f aca="false">Scoring!BH138</f>
        <v/>
      </c>
    </row>
    <row r="133" customFormat="false" ht="15.75" hidden="false" customHeight="false" outlineLevel="0" collapsed="false">
      <c r="A133" s="141" t="str">
        <f aca="false">Scoring!BK139</f>
        <v/>
      </c>
      <c r="B133" s="141" t="str">
        <f aca="false">Scoring!BJ139</f>
        <v/>
      </c>
      <c r="C133" s="141" t="n">
        <f aca="false">Scoring!C139</f>
        <v>0</v>
      </c>
      <c r="D133" s="142" t="str">
        <f aca="false">Scoring!BG139</f>
        <v/>
      </c>
      <c r="E133" s="141" t="str">
        <f aca="false">Scoring!AG139</f>
        <v/>
      </c>
      <c r="F133" s="141" t="n">
        <f aca="false">Scoring!B139</f>
        <v>0</v>
      </c>
      <c r="G133" s="141" t="n">
        <f aca="false">Scoring!D139</f>
        <v>0</v>
      </c>
      <c r="H133" s="141" t="str">
        <f aca="false">Scoring!BI139</f>
        <v/>
      </c>
      <c r="I133" s="143" t="str">
        <f aca="false">Scoring!BH139</f>
        <v/>
      </c>
    </row>
    <row r="134" customFormat="false" ht="15.75" hidden="false" customHeight="false" outlineLevel="0" collapsed="false">
      <c r="A134" s="141" t="str">
        <f aca="false">Scoring!BK140</f>
        <v/>
      </c>
      <c r="B134" s="141" t="str">
        <f aca="false">Scoring!BJ140</f>
        <v/>
      </c>
      <c r="C134" s="141" t="n">
        <f aca="false">Scoring!C140</f>
        <v>0</v>
      </c>
      <c r="D134" s="142" t="str">
        <f aca="false">Scoring!BG140</f>
        <v/>
      </c>
      <c r="E134" s="141" t="str">
        <f aca="false">Scoring!AG140</f>
        <v/>
      </c>
      <c r="F134" s="141" t="n">
        <f aca="false">Scoring!B140</f>
        <v>0</v>
      </c>
      <c r="G134" s="141" t="n">
        <f aca="false">Scoring!D140</f>
        <v>0</v>
      </c>
      <c r="H134" s="141" t="str">
        <f aca="false">Scoring!BI140</f>
        <v/>
      </c>
      <c r="I134" s="143" t="str">
        <f aca="false">Scoring!BH140</f>
        <v/>
      </c>
    </row>
    <row r="135" customFormat="false" ht="15.75" hidden="false" customHeight="false" outlineLevel="0" collapsed="false">
      <c r="A135" s="141" t="str">
        <f aca="false">Scoring!BK141</f>
        <v/>
      </c>
      <c r="B135" s="141" t="str">
        <f aca="false">Scoring!BJ141</f>
        <v/>
      </c>
      <c r="C135" s="141" t="n">
        <f aca="false">Scoring!C141</f>
        <v>0</v>
      </c>
      <c r="D135" s="142" t="str">
        <f aca="false">Scoring!BG141</f>
        <v/>
      </c>
      <c r="E135" s="141" t="str">
        <f aca="false">Scoring!AG141</f>
        <v/>
      </c>
      <c r="F135" s="141" t="n">
        <f aca="false">Scoring!B141</f>
        <v>0</v>
      </c>
      <c r="G135" s="141" t="n">
        <f aca="false">Scoring!D141</f>
        <v>0</v>
      </c>
      <c r="H135" s="141" t="str">
        <f aca="false">Scoring!BI141</f>
        <v/>
      </c>
      <c r="I135" s="143" t="str">
        <f aca="false">Scoring!BH141</f>
        <v/>
      </c>
    </row>
    <row r="136" customFormat="false" ht="15.75" hidden="false" customHeight="false" outlineLevel="0" collapsed="false">
      <c r="A136" s="141" t="str">
        <f aca="false">Scoring!BK142</f>
        <v/>
      </c>
      <c r="B136" s="141" t="str">
        <f aca="false">Scoring!BJ142</f>
        <v/>
      </c>
      <c r="C136" s="141" t="n">
        <f aca="false">Scoring!C142</f>
        <v>0</v>
      </c>
      <c r="D136" s="142" t="str">
        <f aca="false">Scoring!BG142</f>
        <v/>
      </c>
      <c r="E136" s="141" t="str">
        <f aca="false">Scoring!AG142</f>
        <v/>
      </c>
      <c r="F136" s="141" t="n">
        <f aca="false">Scoring!B142</f>
        <v>0</v>
      </c>
      <c r="G136" s="141" t="n">
        <f aca="false">Scoring!D142</f>
        <v>0</v>
      </c>
      <c r="H136" s="141" t="str">
        <f aca="false">Scoring!BI142</f>
        <v/>
      </c>
      <c r="I136" s="143" t="str">
        <f aca="false">Scoring!BH142</f>
        <v/>
      </c>
    </row>
    <row r="137" customFormat="false" ht="15.75" hidden="false" customHeight="false" outlineLevel="0" collapsed="false">
      <c r="A137" s="141" t="str">
        <f aca="false">Scoring!BK143</f>
        <v/>
      </c>
      <c r="B137" s="141" t="str">
        <f aca="false">Scoring!BJ143</f>
        <v/>
      </c>
      <c r="C137" s="141" t="n">
        <f aca="false">Scoring!C143</f>
        <v>0</v>
      </c>
      <c r="D137" s="142" t="str">
        <f aca="false">Scoring!BG143</f>
        <v/>
      </c>
      <c r="E137" s="141" t="str">
        <f aca="false">Scoring!AG143</f>
        <v/>
      </c>
      <c r="F137" s="141" t="n">
        <f aca="false">Scoring!B143</f>
        <v>0</v>
      </c>
      <c r="G137" s="141" t="n">
        <f aca="false">Scoring!D143</f>
        <v>0</v>
      </c>
      <c r="H137" s="141" t="str">
        <f aca="false">Scoring!BI143</f>
        <v/>
      </c>
      <c r="I137" s="143" t="str">
        <f aca="false">Scoring!BH143</f>
        <v/>
      </c>
    </row>
    <row r="138" customFormat="false" ht="15.75" hidden="false" customHeight="false" outlineLevel="0" collapsed="false">
      <c r="A138" s="141" t="str">
        <f aca="false">Scoring!BK144</f>
        <v/>
      </c>
      <c r="B138" s="141" t="str">
        <f aca="false">Scoring!BJ144</f>
        <v/>
      </c>
      <c r="C138" s="141" t="n">
        <f aca="false">Scoring!C144</f>
        <v>0</v>
      </c>
      <c r="D138" s="142" t="str">
        <f aca="false">Scoring!BG144</f>
        <v/>
      </c>
      <c r="E138" s="141" t="str">
        <f aca="false">Scoring!AG144</f>
        <v/>
      </c>
      <c r="F138" s="141" t="n">
        <f aca="false">Scoring!B144</f>
        <v>0</v>
      </c>
      <c r="G138" s="141" t="n">
        <f aca="false">Scoring!D144</f>
        <v>0</v>
      </c>
      <c r="H138" s="141" t="str">
        <f aca="false">Scoring!BI144</f>
        <v/>
      </c>
      <c r="I138" s="143" t="str">
        <f aca="false">Scoring!BH144</f>
        <v/>
      </c>
    </row>
    <row r="139" customFormat="false" ht="15.75" hidden="false" customHeight="false" outlineLevel="0" collapsed="false">
      <c r="A139" s="141" t="str">
        <f aca="false">Scoring!BK145</f>
        <v/>
      </c>
      <c r="B139" s="141" t="str">
        <f aca="false">Scoring!BJ145</f>
        <v/>
      </c>
      <c r="C139" s="141" t="n">
        <f aca="false">Scoring!C145</f>
        <v>0</v>
      </c>
      <c r="D139" s="142" t="str">
        <f aca="false">Scoring!BG145</f>
        <v/>
      </c>
      <c r="E139" s="141" t="str">
        <f aca="false">Scoring!AG145</f>
        <v/>
      </c>
      <c r="F139" s="141" t="n">
        <f aca="false">Scoring!B145</f>
        <v>0</v>
      </c>
      <c r="G139" s="141" t="n">
        <f aca="false">Scoring!D145</f>
        <v>0</v>
      </c>
      <c r="H139" s="141" t="str">
        <f aca="false">Scoring!BI145</f>
        <v/>
      </c>
      <c r="I139" s="143" t="str">
        <f aca="false">Scoring!BH145</f>
        <v/>
      </c>
    </row>
    <row r="140" customFormat="false" ht="15.75" hidden="false" customHeight="false" outlineLevel="0" collapsed="false">
      <c r="A140" s="141" t="str">
        <f aca="false">Scoring!BK146</f>
        <v/>
      </c>
      <c r="B140" s="141" t="str">
        <f aca="false">Scoring!BJ146</f>
        <v/>
      </c>
      <c r="C140" s="141" t="n">
        <f aca="false">Scoring!C146</f>
        <v>0</v>
      </c>
      <c r="D140" s="142" t="str">
        <f aca="false">Scoring!BG146</f>
        <v/>
      </c>
      <c r="E140" s="141" t="str">
        <f aca="false">Scoring!AG146</f>
        <v/>
      </c>
      <c r="F140" s="141" t="n">
        <f aca="false">Scoring!B146</f>
        <v>0</v>
      </c>
      <c r="G140" s="141" t="n">
        <f aca="false">Scoring!D146</f>
        <v>0</v>
      </c>
      <c r="H140" s="141" t="str">
        <f aca="false">Scoring!BI146</f>
        <v/>
      </c>
      <c r="I140" s="143" t="str">
        <f aca="false">Scoring!BH146</f>
        <v/>
      </c>
    </row>
    <row r="141" customFormat="false" ht="15.75" hidden="false" customHeight="false" outlineLevel="0" collapsed="false">
      <c r="A141" s="141" t="str">
        <f aca="false">Scoring!BK147</f>
        <v/>
      </c>
      <c r="B141" s="141" t="str">
        <f aca="false">Scoring!BJ147</f>
        <v/>
      </c>
      <c r="C141" s="141" t="n">
        <f aca="false">Scoring!C147</f>
        <v>0</v>
      </c>
      <c r="D141" s="142" t="str">
        <f aca="false">Scoring!BG147</f>
        <v/>
      </c>
      <c r="E141" s="141" t="str">
        <f aca="false">Scoring!AG147</f>
        <v/>
      </c>
      <c r="F141" s="141" t="n">
        <f aca="false">Scoring!B147</f>
        <v>0</v>
      </c>
      <c r="G141" s="141" t="n">
        <f aca="false">Scoring!D147</f>
        <v>0</v>
      </c>
      <c r="H141" s="141" t="str">
        <f aca="false">Scoring!BI147</f>
        <v/>
      </c>
      <c r="I141" s="143" t="str">
        <f aca="false">Scoring!BH147</f>
        <v/>
      </c>
    </row>
    <row r="142" customFormat="false" ht="15.75" hidden="false" customHeight="false" outlineLevel="0" collapsed="false">
      <c r="A142" s="141" t="str">
        <f aca="false">Scoring!BK148</f>
        <v/>
      </c>
      <c r="B142" s="141" t="str">
        <f aca="false">Scoring!BJ148</f>
        <v/>
      </c>
      <c r="C142" s="141" t="n">
        <f aca="false">Scoring!C148</f>
        <v>0</v>
      </c>
      <c r="D142" s="142" t="str">
        <f aca="false">Scoring!BG148</f>
        <v/>
      </c>
      <c r="E142" s="141" t="str">
        <f aca="false">Scoring!AG148</f>
        <v/>
      </c>
      <c r="F142" s="141" t="n">
        <f aca="false">Scoring!B148</f>
        <v>0</v>
      </c>
      <c r="G142" s="141" t="n">
        <f aca="false">Scoring!D148</f>
        <v>0</v>
      </c>
      <c r="H142" s="141" t="str">
        <f aca="false">Scoring!BI148</f>
        <v/>
      </c>
      <c r="I142" s="143" t="str">
        <f aca="false">Scoring!BH148</f>
        <v/>
      </c>
    </row>
    <row r="143" customFormat="false" ht="15.75" hidden="false" customHeight="false" outlineLevel="0" collapsed="false">
      <c r="A143" s="141" t="str">
        <f aca="false">Scoring!BK149</f>
        <v/>
      </c>
      <c r="B143" s="141" t="str">
        <f aca="false">Scoring!BJ149</f>
        <v/>
      </c>
      <c r="C143" s="141" t="n">
        <f aca="false">Scoring!C149</f>
        <v>0</v>
      </c>
      <c r="D143" s="142" t="str">
        <f aca="false">Scoring!BG149</f>
        <v/>
      </c>
      <c r="E143" s="141" t="str">
        <f aca="false">Scoring!AG149</f>
        <v/>
      </c>
      <c r="F143" s="141" t="n">
        <f aca="false">Scoring!B149</f>
        <v>0</v>
      </c>
      <c r="G143" s="141" t="n">
        <f aca="false">Scoring!D149</f>
        <v>0</v>
      </c>
      <c r="H143" s="141" t="str">
        <f aca="false">Scoring!BI149</f>
        <v/>
      </c>
      <c r="I143" s="143" t="str">
        <f aca="false">Scoring!BH149</f>
        <v/>
      </c>
    </row>
    <row r="144" customFormat="false" ht="15.75" hidden="false" customHeight="false" outlineLevel="0" collapsed="false">
      <c r="A144" s="141" t="str">
        <f aca="false">Scoring!BK150</f>
        <v/>
      </c>
      <c r="B144" s="141" t="str">
        <f aca="false">Scoring!BJ150</f>
        <v/>
      </c>
      <c r="C144" s="141" t="n">
        <f aca="false">Scoring!C150</f>
        <v>0</v>
      </c>
      <c r="D144" s="142" t="str">
        <f aca="false">Scoring!BG150</f>
        <v/>
      </c>
      <c r="E144" s="141" t="str">
        <f aca="false">Scoring!AG150</f>
        <v/>
      </c>
      <c r="F144" s="141" t="n">
        <f aca="false">Scoring!B150</f>
        <v>0</v>
      </c>
      <c r="G144" s="141" t="n">
        <f aca="false">Scoring!D150</f>
        <v>0</v>
      </c>
      <c r="H144" s="141" t="str">
        <f aca="false">Scoring!BI150</f>
        <v/>
      </c>
      <c r="I144" s="143" t="str">
        <f aca="false">Scoring!BH150</f>
        <v/>
      </c>
    </row>
    <row r="145" customFormat="false" ht="15.75" hidden="false" customHeight="false" outlineLevel="0" collapsed="false">
      <c r="A145" s="141" t="str">
        <f aca="false">Scoring!BK151</f>
        <v/>
      </c>
      <c r="B145" s="141" t="str">
        <f aca="false">Scoring!BJ151</f>
        <v/>
      </c>
      <c r="C145" s="141" t="n">
        <f aca="false">Scoring!C151</f>
        <v>0</v>
      </c>
      <c r="D145" s="142" t="str">
        <f aca="false">Scoring!BG151</f>
        <v/>
      </c>
      <c r="E145" s="141" t="str">
        <f aca="false">Scoring!AG151</f>
        <v/>
      </c>
      <c r="F145" s="141" t="n">
        <f aca="false">Scoring!B151</f>
        <v>0</v>
      </c>
      <c r="G145" s="141" t="n">
        <f aca="false">Scoring!D151</f>
        <v>0</v>
      </c>
      <c r="H145" s="141" t="str">
        <f aca="false">Scoring!BI151</f>
        <v/>
      </c>
      <c r="I145" s="143" t="str">
        <f aca="false">Scoring!BH151</f>
        <v/>
      </c>
    </row>
    <row r="146" customFormat="false" ht="15.75" hidden="false" customHeight="false" outlineLevel="0" collapsed="false">
      <c r="A146" s="141" t="str">
        <f aca="false">Scoring!BK152</f>
        <v/>
      </c>
      <c r="B146" s="141" t="str">
        <f aca="false">Scoring!BJ152</f>
        <v/>
      </c>
      <c r="C146" s="141" t="n">
        <f aca="false">Scoring!C152</f>
        <v>0</v>
      </c>
      <c r="D146" s="142" t="str">
        <f aca="false">Scoring!BG152</f>
        <v/>
      </c>
      <c r="E146" s="141" t="str">
        <f aca="false">Scoring!AG152</f>
        <v/>
      </c>
      <c r="F146" s="141" t="n">
        <f aca="false">Scoring!B152</f>
        <v>0</v>
      </c>
      <c r="G146" s="141" t="n">
        <f aca="false">Scoring!D152</f>
        <v>0</v>
      </c>
      <c r="H146" s="141" t="str">
        <f aca="false">Scoring!BI152</f>
        <v/>
      </c>
      <c r="I146" s="143" t="str">
        <f aca="false">Scoring!BH152</f>
        <v/>
      </c>
    </row>
    <row r="147" customFormat="false" ht="15.75" hidden="false" customHeight="false" outlineLevel="0" collapsed="false">
      <c r="A147" s="141" t="str">
        <f aca="false">Scoring!BK153</f>
        <v/>
      </c>
      <c r="B147" s="141" t="str">
        <f aca="false">Scoring!BJ153</f>
        <v/>
      </c>
      <c r="C147" s="141" t="n">
        <f aca="false">Scoring!C153</f>
        <v>0</v>
      </c>
      <c r="D147" s="142" t="str">
        <f aca="false">Scoring!BG153</f>
        <v/>
      </c>
      <c r="E147" s="141" t="str">
        <f aca="false">Scoring!AG153</f>
        <v/>
      </c>
      <c r="F147" s="141" t="n">
        <f aca="false">Scoring!B153</f>
        <v>0</v>
      </c>
      <c r="G147" s="141" t="n">
        <f aca="false">Scoring!D153</f>
        <v>0</v>
      </c>
      <c r="H147" s="141" t="str">
        <f aca="false">Scoring!BI153</f>
        <v/>
      </c>
      <c r="I147" s="143" t="str">
        <f aca="false">Scoring!BH153</f>
        <v/>
      </c>
    </row>
    <row r="148" customFormat="false" ht="15.75" hidden="false" customHeight="false" outlineLevel="0" collapsed="false">
      <c r="A148" s="141" t="str">
        <f aca="false">Scoring!BK154</f>
        <v/>
      </c>
      <c r="B148" s="141" t="str">
        <f aca="false">Scoring!BJ154</f>
        <v/>
      </c>
      <c r="C148" s="141" t="n">
        <f aca="false">Scoring!C154</f>
        <v>0</v>
      </c>
      <c r="D148" s="142" t="str">
        <f aca="false">Scoring!BG154</f>
        <v/>
      </c>
      <c r="E148" s="141" t="str">
        <f aca="false">Scoring!AG154</f>
        <v/>
      </c>
      <c r="F148" s="141" t="n">
        <f aca="false">Scoring!B154</f>
        <v>0</v>
      </c>
      <c r="G148" s="141" t="n">
        <f aca="false">Scoring!D154</f>
        <v>0</v>
      </c>
      <c r="H148" s="141" t="str">
        <f aca="false">Scoring!BI154</f>
        <v/>
      </c>
      <c r="I148" s="143" t="str">
        <f aca="false">Scoring!BH154</f>
        <v/>
      </c>
    </row>
    <row r="149" customFormat="false" ht="15.75" hidden="false" customHeight="false" outlineLevel="0" collapsed="false">
      <c r="A149" s="141" t="str">
        <f aca="false">Scoring!BK155</f>
        <v/>
      </c>
      <c r="B149" s="141" t="str">
        <f aca="false">Scoring!BJ155</f>
        <v/>
      </c>
      <c r="C149" s="141" t="n">
        <f aca="false">Scoring!C155</f>
        <v>0</v>
      </c>
      <c r="D149" s="142" t="str">
        <f aca="false">Scoring!BG155</f>
        <v/>
      </c>
      <c r="E149" s="141" t="str">
        <f aca="false">Scoring!AG155</f>
        <v/>
      </c>
      <c r="F149" s="141" t="n">
        <f aca="false">Scoring!B155</f>
        <v>0</v>
      </c>
      <c r="G149" s="141" t="n">
        <f aca="false">Scoring!D155</f>
        <v>0</v>
      </c>
      <c r="H149" s="141" t="str">
        <f aca="false">Scoring!BI155</f>
        <v/>
      </c>
      <c r="I149" s="143" t="str">
        <f aca="false">Scoring!BH155</f>
        <v/>
      </c>
    </row>
    <row r="150" customFormat="false" ht="15.75" hidden="false" customHeight="false" outlineLevel="0" collapsed="false">
      <c r="A150" s="141" t="str">
        <f aca="false">Scoring!BK156</f>
        <v/>
      </c>
      <c r="B150" s="141" t="str">
        <f aca="false">Scoring!BJ156</f>
        <v/>
      </c>
      <c r="C150" s="141" t="n">
        <f aca="false">Scoring!C156</f>
        <v>0</v>
      </c>
      <c r="D150" s="142" t="str">
        <f aca="false">Scoring!BG156</f>
        <v/>
      </c>
      <c r="E150" s="141" t="str">
        <f aca="false">Scoring!AG156</f>
        <v/>
      </c>
      <c r="F150" s="141" t="n">
        <f aca="false">Scoring!B156</f>
        <v>0</v>
      </c>
      <c r="G150" s="141" t="n">
        <f aca="false">Scoring!D156</f>
        <v>0</v>
      </c>
      <c r="H150" s="141" t="str">
        <f aca="false">Scoring!BI156</f>
        <v/>
      </c>
      <c r="I150" s="143" t="str">
        <f aca="false">Scoring!BH156</f>
        <v/>
      </c>
    </row>
    <row r="151" customFormat="false" ht="15.75" hidden="false" customHeight="false" outlineLevel="0" collapsed="false">
      <c r="A151" s="141" t="str">
        <f aca="false">Scoring!BK157</f>
        <v/>
      </c>
      <c r="B151" s="141" t="str">
        <f aca="false">Scoring!BJ157</f>
        <v/>
      </c>
      <c r="C151" s="141" t="n">
        <f aca="false">Scoring!C157</f>
        <v>0</v>
      </c>
      <c r="D151" s="142" t="str">
        <f aca="false">Scoring!BG157</f>
        <v/>
      </c>
      <c r="E151" s="141" t="str">
        <f aca="false">Scoring!AG157</f>
        <v/>
      </c>
      <c r="F151" s="141" t="n">
        <f aca="false">Scoring!B157</f>
        <v>0</v>
      </c>
      <c r="G151" s="141" t="n">
        <f aca="false">Scoring!D157</f>
        <v>0</v>
      </c>
      <c r="H151" s="141" t="str">
        <f aca="false">Scoring!BI157</f>
        <v/>
      </c>
      <c r="I151" s="143" t="str">
        <f aca="false">Scoring!BH157</f>
        <v/>
      </c>
    </row>
    <row r="152" customFormat="false" ht="15.75" hidden="false" customHeight="false" outlineLevel="0" collapsed="false">
      <c r="A152" s="141" t="str">
        <f aca="false">Scoring!BK158</f>
        <v/>
      </c>
      <c r="B152" s="141" t="str">
        <f aca="false">Scoring!BJ158</f>
        <v/>
      </c>
      <c r="C152" s="141" t="n">
        <f aca="false">Scoring!C158</f>
        <v>0</v>
      </c>
      <c r="D152" s="142" t="str">
        <f aca="false">Scoring!BG158</f>
        <v/>
      </c>
      <c r="E152" s="141" t="str">
        <f aca="false">Scoring!AG158</f>
        <v/>
      </c>
      <c r="F152" s="141" t="n">
        <f aca="false">Scoring!B158</f>
        <v>0</v>
      </c>
      <c r="G152" s="141" t="n">
        <f aca="false">Scoring!D158</f>
        <v>0</v>
      </c>
      <c r="H152" s="141" t="str">
        <f aca="false">Scoring!BI158</f>
        <v/>
      </c>
      <c r="I152" s="143" t="str">
        <f aca="false">Scoring!BH158</f>
        <v/>
      </c>
    </row>
    <row r="153" customFormat="false" ht="15.75" hidden="false" customHeight="false" outlineLevel="0" collapsed="false">
      <c r="A153" s="141" t="str">
        <f aca="false">Scoring!BK159</f>
        <v/>
      </c>
      <c r="B153" s="141" t="str">
        <f aca="false">Scoring!BJ159</f>
        <v/>
      </c>
      <c r="C153" s="141" t="n">
        <f aca="false">Scoring!C159</f>
        <v>0</v>
      </c>
      <c r="D153" s="142" t="str">
        <f aca="false">Scoring!BG159</f>
        <v/>
      </c>
      <c r="E153" s="141" t="str">
        <f aca="false">Scoring!AG159</f>
        <v/>
      </c>
      <c r="F153" s="141" t="n">
        <f aca="false">Scoring!B159</f>
        <v>0</v>
      </c>
      <c r="G153" s="141" t="n">
        <f aca="false">Scoring!D159</f>
        <v>0</v>
      </c>
      <c r="H153" s="141" t="str">
        <f aca="false">Scoring!BI159</f>
        <v/>
      </c>
      <c r="I153" s="143" t="str">
        <f aca="false">Scoring!BH159</f>
        <v/>
      </c>
    </row>
    <row r="154" customFormat="false" ht="15.75" hidden="false" customHeight="false" outlineLevel="0" collapsed="false">
      <c r="A154" s="141" t="str">
        <f aca="false">Scoring!BK160</f>
        <v/>
      </c>
      <c r="B154" s="141" t="str">
        <f aca="false">Scoring!BJ160</f>
        <v/>
      </c>
      <c r="C154" s="141" t="n">
        <f aca="false">Scoring!C160</f>
        <v>0</v>
      </c>
      <c r="D154" s="142" t="str">
        <f aca="false">Scoring!BG160</f>
        <v/>
      </c>
      <c r="E154" s="141" t="str">
        <f aca="false">Scoring!AG160</f>
        <v/>
      </c>
      <c r="F154" s="141" t="n">
        <f aca="false">Scoring!B160</f>
        <v>0</v>
      </c>
      <c r="G154" s="141" t="n">
        <f aca="false">Scoring!D160</f>
        <v>0</v>
      </c>
      <c r="H154" s="141" t="str">
        <f aca="false">Scoring!BI160</f>
        <v/>
      </c>
      <c r="I154" s="143" t="str">
        <f aca="false">Scoring!BH160</f>
        <v/>
      </c>
    </row>
    <row r="155" customFormat="false" ht="15.75" hidden="false" customHeight="false" outlineLevel="0" collapsed="false">
      <c r="A155" s="141" t="str">
        <f aca="false">Scoring!BK161</f>
        <v/>
      </c>
      <c r="B155" s="141" t="str">
        <f aca="false">Scoring!BJ161</f>
        <v/>
      </c>
      <c r="C155" s="141" t="n">
        <f aca="false">Scoring!C161</f>
        <v>0</v>
      </c>
      <c r="D155" s="142" t="str">
        <f aca="false">Scoring!BG161</f>
        <v/>
      </c>
      <c r="E155" s="141" t="str">
        <f aca="false">Scoring!AG161</f>
        <v/>
      </c>
      <c r="F155" s="141" t="n">
        <f aca="false">Scoring!B161</f>
        <v>0</v>
      </c>
      <c r="G155" s="141" t="n">
        <f aca="false">Scoring!D161</f>
        <v>0</v>
      </c>
      <c r="H155" s="141" t="str">
        <f aca="false">Scoring!BI161</f>
        <v/>
      </c>
      <c r="I155" s="143" t="str">
        <f aca="false">Scoring!BH161</f>
        <v/>
      </c>
    </row>
    <row r="156" customFormat="false" ht="15.75" hidden="false" customHeight="false" outlineLevel="0" collapsed="false">
      <c r="A156" s="141" t="str">
        <f aca="false">Scoring!BK162</f>
        <v/>
      </c>
      <c r="B156" s="141" t="str">
        <f aca="false">Scoring!BJ162</f>
        <v/>
      </c>
      <c r="C156" s="141" t="n">
        <f aca="false">Scoring!C162</f>
        <v>0</v>
      </c>
      <c r="D156" s="142" t="str">
        <f aca="false">Scoring!BG162</f>
        <v/>
      </c>
      <c r="E156" s="141" t="str">
        <f aca="false">Scoring!AG162</f>
        <v/>
      </c>
      <c r="F156" s="141" t="n">
        <f aca="false">Scoring!B162</f>
        <v>0</v>
      </c>
      <c r="G156" s="141" t="n">
        <f aca="false">Scoring!D162</f>
        <v>0</v>
      </c>
      <c r="H156" s="141" t="str">
        <f aca="false">Scoring!BI162</f>
        <v/>
      </c>
      <c r="I156" s="143" t="str">
        <f aca="false">Scoring!BH162</f>
        <v/>
      </c>
    </row>
    <row r="157" customFormat="false" ht="15.75" hidden="false" customHeight="false" outlineLevel="0" collapsed="false">
      <c r="A157" s="141" t="str">
        <f aca="false">Scoring!BK163</f>
        <v/>
      </c>
      <c r="B157" s="141" t="str">
        <f aca="false">Scoring!BJ163</f>
        <v/>
      </c>
      <c r="C157" s="141" t="n">
        <f aca="false">Scoring!C163</f>
        <v>0</v>
      </c>
      <c r="D157" s="142" t="str">
        <f aca="false">Scoring!BG163</f>
        <v/>
      </c>
      <c r="E157" s="141" t="str">
        <f aca="false">Scoring!AG163</f>
        <v/>
      </c>
      <c r="F157" s="141" t="n">
        <f aca="false">Scoring!B163</f>
        <v>0</v>
      </c>
      <c r="G157" s="141" t="n">
        <f aca="false">Scoring!D163</f>
        <v>0</v>
      </c>
      <c r="H157" s="141" t="str">
        <f aca="false">Scoring!BI163</f>
        <v/>
      </c>
      <c r="I157" s="143" t="str">
        <f aca="false">Scoring!BH163</f>
        <v/>
      </c>
    </row>
    <row r="158" customFormat="false" ht="15.75" hidden="false" customHeight="false" outlineLevel="0" collapsed="false">
      <c r="A158" s="141" t="str">
        <f aca="false">Scoring!BK164</f>
        <v/>
      </c>
      <c r="B158" s="141" t="str">
        <f aca="false">Scoring!BJ164</f>
        <v/>
      </c>
      <c r="C158" s="141" t="n">
        <f aca="false">Scoring!C164</f>
        <v>0</v>
      </c>
      <c r="D158" s="142" t="str">
        <f aca="false">Scoring!BG164</f>
        <v/>
      </c>
      <c r="E158" s="141" t="str">
        <f aca="false">Scoring!AG164</f>
        <v/>
      </c>
      <c r="F158" s="141" t="n">
        <f aca="false">Scoring!B164</f>
        <v>0</v>
      </c>
      <c r="G158" s="141" t="n">
        <f aca="false">Scoring!D164</f>
        <v>0</v>
      </c>
      <c r="H158" s="141" t="str">
        <f aca="false">Scoring!BI164</f>
        <v/>
      </c>
      <c r="I158" s="143" t="str">
        <f aca="false">Scoring!BH164</f>
        <v/>
      </c>
    </row>
    <row r="159" customFormat="false" ht="15.75" hidden="false" customHeight="false" outlineLevel="0" collapsed="false">
      <c r="A159" s="141" t="str">
        <f aca="false">Scoring!BK165</f>
        <v/>
      </c>
      <c r="B159" s="141" t="str">
        <f aca="false">Scoring!BJ165</f>
        <v/>
      </c>
      <c r="C159" s="141" t="n">
        <f aca="false">Scoring!C165</f>
        <v>0</v>
      </c>
      <c r="D159" s="142" t="str">
        <f aca="false">Scoring!BG165</f>
        <v/>
      </c>
      <c r="E159" s="141" t="str">
        <f aca="false">Scoring!AG165</f>
        <v/>
      </c>
      <c r="F159" s="141" t="n">
        <f aca="false">Scoring!B165</f>
        <v>0</v>
      </c>
      <c r="G159" s="141" t="n">
        <f aca="false">Scoring!D165</f>
        <v>0</v>
      </c>
      <c r="H159" s="141" t="str">
        <f aca="false">Scoring!BI165</f>
        <v/>
      </c>
      <c r="I159" s="143" t="str">
        <f aca="false">Scoring!BH165</f>
        <v/>
      </c>
    </row>
    <row r="160" customFormat="false" ht="15.75" hidden="false" customHeight="false" outlineLevel="0" collapsed="false">
      <c r="A160" s="141" t="str">
        <f aca="false">Scoring!BK166</f>
        <v/>
      </c>
      <c r="B160" s="141" t="str">
        <f aca="false">Scoring!BJ166</f>
        <v/>
      </c>
      <c r="C160" s="141" t="n">
        <f aca="false">Scoring!C166</f>
        <v>0</v>
      </c>
      <c r="D160" s="142" t="str">
        <f aca="false">Scoring!BG166</f>
        <v/>
      </c>
      <c r="E160" s="141" t="str">
        <f aca="false">Scoring!AG166</f>
        <v/>
      </c>
      <c r="F160" s="141" t="n">
        <f aca="false">Scoring!B166</f>
        <v>0</v>
      </c>
      <c r="G160" s="141" t="n">
        <f aca="false">Scoring!D166</f>
        <v>0</v>
      </c>
      <c r="H160" s="141" t="str">
        <f aca="false">Scoring!BI166</f>
        <v/>
      </c>
      <c r="I160" s="143" t="str">
        <f aca="false">Scoring!BH166</f>
        <v/>
      </c>
    </row>
    <row r="161" customFormat="false" ht="15.75" hidden="false" customHeight="false" outlineLevel="0" collapsed="false">
      <c r="A161" s="141" t="str">
        <f aca="false">Scoring!BK167</f>
        <v/>
      </c>
      <c r="B161" s="141" t="str">
        <f aca="false">Scoring!BJ167</f>
        <v/>
      </c>
      <c r="C161" s="141" t="n">
        <f aca="false">Scoring!C167</f>
        <v>0</v>
      </c>
      <c r="D161" s="142" t="str">
        <f aca="false">Scoring!BG167</f>
        <v/>
      </c>
      <c r="E161" s="141" t="str">
        <f aca="false">Scoring!AG167</f>
        <v/>
      </c>
      <c r="F161" s="141" t="n">
        <f aca="false">Scoring!B167</f>
        <v>0</v>
      </c>
      <c r="G161" s="141" t="n">
        <f aca="false">Scoring!D167</f>
        <v>0</v>
      </c>
      <c r="H161" s="141" t="str">
        <f aca="false">Scoring!BI167</f>
        <v/>
      </c>
      <c r="I161" s="143" t="str">
        <f aca="false">Scoring!BH167</f>
        <v/>
      </c>
    </row>
    <row r="162" customFormat="false" ht="15.75" hidden="false" customHeight="false" outlineLevel="0" collapsed="false">
      <c r="A162" s="141" t="str">
        <f aca="false">Scoring!BK168</f>
        <v/>
      </c>
      <c r="B162" s="141" t="str">
        <f aca="false">Scoring!BJ168</f>
        <v/>
      </c>
      <c r="C162" s="141" t="n">
        <f aca="false">Scoring!C168</f>
        <v>0</v>
      </c>
      <c r="D162" s="142" t="str">
        <f aca="false">Scoring!BG168</f>
        <v/>
      </c>
      <c r="E162" s="141" t="str">
        <f aca="false">Scoring!AG168</f>
        <v/>
      </c>
      <c r="F162" s="141" t="n">
        <f aca="false">Scoring!B168</f>
        <v>0</v>
      </c>
      <c r="G162" s="141" t="n">
        <f aca="false">Scoring!D168</f>
        <v>0</v>
      </c>
      <c r="H162" s="141" t="str">
        <f aca="false">Scoring!BI168</f>
        <v/>
      </c>
      <c r="I162" s="143" t="str">
        <f aca="false">Scoring!BH168</f>
        <v/>
      </c>
    </row>
    <row r="163" customFormat="false" ht="15.75" hidden="false" customHeight="false" outlineLevel="0" collapsed="false">
      <c r="A163" s="141" t="str">
        <f aca="false">Scoring!BK169</f>
        <v/>
      </c>
      <c r="B163" s="141" t="str">
        <f aca="false">Scoring!BJ169</f>
        <v/>
      </c>
      <c r="C163" s="141" t="n">
        <f aca="false">Scoring!C169</f>
        <v>0</v>
      </c>
      <c r="D163" s="142" t="str">
        <f aca="false">Scoring!BG169</f>
        <v/>
      </c>
      <c r="E163" s="141" t="str">
        <f aca="false">Scoring!AG169</f>
        <v/>
      </c>
      <c r="F163" s="141" t="n">
        <f aca="false">Scoring!B169</f>
        <v>0</v>
      </c>
      <c r="G163" s="141" t="n">
        <f aca="false">Scoring!D169</f>
        <v>0</v>
      </c>
      <c r="H163" s="141" t="str">
        <f aca="false">Scoring!BI169</f>
        <v/>
      </c>
      <c r="I163" s="143" t="str">
        <f aca="false">Scoring!BH169</f>
        <v/>
      </c>
    </row>
    <row r="164" customFormat="false" ht="15.75" hidden="false" customHeight="false" outlineLevel="0" collapsed="false">
      <c r="A164" s="141" t="str">
        <f aca="false">Scoring!BK170</f>
        <v/>
      </c>
      <c r="B164" s="141" t="str">
        <f aca="false">Scoring!BJ170</f>
        <v/>
      </c>
      <c r="C164" s="141" t="n">
        <f aca="false">Scoring!C170</f>
        <v>0</v>
      </c>
      <c r="D164" s="142" t="str">
        <f aca="false">Scoring!BG170</f>
        <v/>
      </c>
      <c r="E164" s="141" t="str">
        <f aca="false">Scoring!AG170</f>
        <v/>
      </c>
      <c r="F164" s="141" t="n">
        <f aca="false">Scoring!B170</f>
        <v>0</v>
      </c>
      <c r="G164" s="141" t="n">
        <f aca="false">Scoring!D170</f>
        <v>0</v>
      </c>
      <c r="H164" s="141" t="str">
        <f aca="false">Scoring!BI170</f>
        <v/>
      </c>
      <c r="I164" s="143" t="str">
        <f aca="false">Scoring!BH170</f>
        <v/>
      </c>
    </row>
    <row r="165" customFormat="false" ht="15.75" hidden="false" customHeight="false" outlineLevel="0" collapsed="false">
      <c r="A165" s="141" t="str">
        <f aca="false">Scoring!BK171</f>
        <v/>
      </c>
      <c r="B165" s="141" t="str">
        <f aca="false">Scoring!BJ171</f>
        <v/>
      </c>
      <c r="C165" s="141" t="n">
        <f aca="false">Scoring!C171</f>
        <v>0</v>
      </c>
      <c r="D165" s="142" t="str">
        <f aca="false">Scoring!BG171</f>
        <v/>
      </c>
      <c r="E165" s="141" t="str">
        <f aca="false">Scoring!AG171</f>
        <v/>
      </c>
      <c r="F165" s="141" t="n">
        <f aca="false">Scoring!B171</f>
        <v>0</v>
      </c>
      <c r="G165" s="141" t="n">
        <f aca="false">Scoring!D171</f>
        <v>0</v>
      </c>
      <c r="H165" s="141" t="str">
        <f aca="false">Scoring!BI171</f>
        <v/>
      </c>
      <c r="I165" s="143" t="str">
        <f aca="false">Scoring!BH171</f>
        <v/>
      </c>
    </row>
    <row r="166" customFormat="false" ht="15.75" hidden="false" customHeight="false" outlineLevel="0" collapsed="false">
      <c r="A166" s="141" t="str">
        <f aca="false">Scoring!BK172</f>
        <v/>
      </c>
      <c r="B166" s="141" t="str">
        <f aca="false">Scoring!BJ172</f>
        <v/>
      </c>
      <c r="C166" s="141" t="n">
        <f aca="false">Scoring!C172</f>
        <v>0</v>
      </c>
      <c r="D166" s="142" t="str">
        <f aca="false">Scoring!BG172</f>
        <v/>
      </c>
      <c r="E166" s="141" t="str">
        <f aca="false">Scoring!AG172</f>
        <v/>
      </c>
      <c r="F166" s="141" t="n">
        <f aca="false">Scoring!B172</f>
        <v>0</v>
      </c>
      <c r="G166" s="141" t="n">
        <f aca="false">Scoring!D172</f>
        <v>0</v>
      </c>
      <c r="H166" s="141" t="str">
        <f aca="false">Scoring!BI172</f>
        <v/>
      </c>
      <c r="I166" s="143" t="str">
        <f aca="false">Scoring!BH172</f>
        <v/>
      </c>
    </row>
    <row r="167" customFormat="false" ht="15.75" hidden="false" customHeight="false" outlineLevel="0" collapsed="false">
      <c r="A167" s="141" t="str">
        <f aca="false">Scoring!BK173</f>
        <v/>
      </c>
      <c r="B167" s="141" t="str">
        <f aca="false">Scoring!BJ173</f>
        <v/>
      </c>
      <c r="C167" s="141" t="n">
        <f aca="false">Scoring!C173</f>
        <v>0</v>
      </c>
      <c r="D167" s="142" t="str">
        <f aca="false">Scoring!BG173</f>
        <v/>
      </c>
      <c r="E167" s="141" t="str">
        <f aca="false">Scoring!AG173</f>
        <v/>
      </c>
      <c r="F167" s="141" t="n">
        <f aca="false">Scoring!B173</f>
        <v>0</v>
      </c>
      <c r="G167" s="141" t="n">
        <f aca="false">Scoring!D173</f>
        <v>0</v>
      </c>
      <c r="H167" s="141" t="str">
        <f aca="false">Scoring!BI173</f>
        <v/>
      </c>
      <c r="I167" s="143" t="str">
        <f aca="false">Scoring!BH173</f>
        <v/>
      </c>
    </row>
    <row r="168" customFormat="false" ht="15.75" hidden="false" customHeight="false" outlineLevel="0" collapsed="false">
      <c r="A168" s="141" t="str">
        <f aca="false">Scoring!BK174</f>
        <v/>
      </c>
      <c r="B168" s="141" t="str">
        <f aca="false">Scoring!BJ174</f>
        <v/>
      </c>
      <c r="C168" s="141" t="n">
        <f aca="false">Scoring!C174</f>
        <v>0</v>
      </c>
      <c r="D168" s="142" t="str">
        <f aca="false">Scoring!BG174</f>
        <v/>
      </c>
      <c r="E168" s="141" t="str">
        <f aca="false">Scoring!AG174</f>
        <v/>
      </c>
      <c r="F168" s="141" t="n">
        <f aca="false">Scoring!B174</f>
        <v>0</v>
      </c>
      <c r="G168" s="141" t="n">
        <f aca="false">Scoring!D174</f>
        <v>0</v>
      </c>
      <c r="H168" s="141" t="str">
        <f aca="false">Scoring!BI174</f>
        <v/>
      </c>
      <c r="I168" s="143" t="str">
        <f aca="false">Scoring!BH174</f>
        <v/>
      </c>
    </row>
    <row r="169" customFormat="false" ht="15.75" hidden="false" customHeight="false" outlineLevel="0" collapsed="false">
      <c r="A169" s="141" t="str">
        <f aca="false">Scoring!BK175</f>
        <v/>
      </c>
      <c r="B169" s="141" t="str">
        <f aca="false">Scoring!BJ175</f>
        <v/>
      </c>
      <c r="C169" s="141" t="n">
        <f aca="false">Scoring!C175</f>
        <v>0</v>
      </c>
      <c r="D169" s="142" t="str">
        <f aca="false">Scoring!BG175</f>
        <v/>
      </c>
      <c r="E169" s="141" t="str">
        <f aca="false">Scoring!AG175</f>
        <v/>
      </c>
      <c r="F169" s="141" t="n">
        <f aca="false">Scoring!B175</f>
        <v>0</v>
      </c>
      <c r="G169" s="141" t="n">
        <f aca="false">Scoring!D175</f>
        <v>0</v>
      </c>
      <c r="H169" s="141" t="str">
        <f aca="false">Scoring!BI175</f>
        <v/>
      </c>
      <c r="I169" s="143" t="str">
        <f aca="false">Scoring!BH175</f>
        <v/>
      </c>
    </row>
    <row r="170" customFormat="false" ht="15.75" hidden="false" customHeight="false" outlineLevel="0" collapsed="false">
      <c r="A170" s="141" t="str">
        <f aca="false">Scoring!BK176</f>
        <v/>
      </c>
      <c r="B170" s="141" t="str">
        <f aca="false">Scoring!BJ176</f>
        <v/>
      </c>
      <c r="C170" s="141" t="n">
        <f aca="false">Scoring!C176</f>
        <v>0</v>
      </c>
      <c r="D170" s="142" t="str">
        <f aca="false">Scoring!BG176</f>
        <v/>
      </c>
      <c r="E170" s="141" t="str">
        <f aca="false">Scoring!AG176</f>
        <v/>
      </c>
      <c r="F170" s="141" t="n">
        <f aca="false">Scoring!B176</f>
        <v>0</v>
      </c>
      <c r="G170" s="141" t="n">
        <f aca="false">Scoring!D176</f>
        <v>0</v>
      </c>
      <c r="H170" s="141" t="str">
        <f aca="false">Scoring!BI176</f>
        <v/>
      </c>
      <c r="I170" s="143" t="str">
        <f aca="false">Scoring!BH176</f>
        <v/>
      </c>
    </row>
    <row r="171" customFormat="false" ht="15.75" hidden="false" customHeight="false" outlineLevel="0" collapsed="false">
      <c r="A171" s="141" t="str">
        <f aca="false">Scoring!BK177</f>
        <v/>
      </c>
      <c r="B171" s="141" t="str">
        <f aca="false">Scoring!BJ177</f>
        <v/>
      </c>
      <c r="C171" s="141" t="n">
        <f aca="false">Scoring!C177</f>
        <v>0</v>
      </c>
      <c r="D171" s="142" t="str">
        <f aca="false">Scoring!BG177</f>
        <v/>
      </c>
      <c r="E171" s="141" t="str">
        <f aca="false">Scoring!AG177</f>
        <v/>
      </c>
      <c r="F171" s="141" t="n">
        <f aca="false">Scoring!B177</f>
        <v>0</v>
      </c>
      <c r="G171" s="141" t="n">
        <f aca="false">Scoring!D177</f>
        <v>0</v>
      </c>
      <c r="H171" s="141" t="str">
        <f aca="false">Scoring!BI177</f>
        <v/>
      </c>
      <c r="I171" s="143" t="str">
        <f aca="false">Scoring!BH177</f>
        <v/>
      </c>
    </row>
    <row r="172" customFormat="false" ht="15.75" hidden="false" customHeight="false" outlineLevel="0" collapsed="false">
      <c r="A172" s="141" t="str">
        <f aca="false">Scoring!BK178</f>
        <v/>
      </c>
      <c r="B172" s="141" t="str">
        <f aca="false">Scoring!BJ178</f>
        <v/>
      </c>
      <c r="C172" s="141" t="n">
        <f aca="false">Scoring!C178</f>
        <v>0</v>
      </c>
      <c r="D172" s="142" t="str">
        <f aca="false">Scoring!BG178</f>
        <v/>
      </c>
      <c r="E172" s="141" t="str">
        <f aca="false">Scoring!AG178</f>
        <v/>
      </c>
      <c r="F172" s="141" t="n">
        <f aca="false">Scoring!B178</f>
        <v>0</v>
      </c>
      <c r="G172" s="141" t="n">
        <f aca="false">Scoring!D178</f>
        <v>0</v>
      </c>
      <c r="H172" s="141" t="str">
        <f aca="false">Scoring!BI178</f>
        <v/>
      </c>
      <c r="I172" s="143" t="str">
        <f aca="false">Scoring!BH178</f>
        <v/>
      </c>
    </row>
    <row r="173" customFormat="false" ht="15.75" hidden="false" customHeight="false" outlineLevel="0" collapsed="false">
      <c r="A173" s="141" t="str">
        <f aca="false">Scoring!BK179</f>
        <v/>
      </c>
      <c r="B173" s="141" t="str">
        <f aca="false">Scoring!BJ179</f>
        <v/>
      </c>
      <c r="C173" s="141" t="n">
        <f aca="false">Scoring!C179</f>
        <v>0</v>
      </c>
      <c r="D173" s="142" t="str">
        <f aca="false">Scoring!BG179</f>
        <v/>
      </c>
      <c r="E173" s="141" t="str">
        <f aca="false">Scoring!AG179</f>
        <v/>
      </c>
      <c r="F173" s="141" t="n">
        <f aca="false">Scoring!B179</f>
        <v>0</v>
      </c>
      <c r="G173" s="141" t="n">
        <f aca="false">Scoring!D179</f>
        <v>0</v>
      </c>
      <c r="H173" s="141" t="str">
        <f aca="false">Scoring!BI179</f>
        <v/>
      </c>
      <c r="I173" s="143" t="str">
        <f aca="false">Scoring!BH179</f>
        <v/>
      </c>
    </row>
    <row r="174" customFormat="false" ht="15.75" hidden="false" customHeight="false" outlineLevel="0" collapsed="false">
      <c r="A174" s="141" t="str">
        <f aca="false">Scoring!BK180</f>
        <v/>
      </c>
      <c r="B174" s="141" t="str">
        <f aca="false">Scoring!BJ180</f>
        <v/>
      </c>
      <c r="C174" s="141" t="n">
        <f aca="false">Scoring!C180</f>
        <v>0</v>
      </c>
      <c r="D174" s="142" t="str">
        <f aca="false">Scoring!BG180</f>
        <v/>
      </c>
      <c r="E174" s="141" t="str">
        <f aca="false">Scoring!AG180</f>
        <v/>
      </c>
      <c r="F174" s="141" t="n">
        <f aca="false">Scoring!B180</f>
        <v>0</v>
      </c>
      <c r="G174" s="141" t="n">
        <f aca="false">Scoring!D180</f>
        <v>0</v>
      </c>
      <c r="H174" s="141" t="str">
        <f aca="false">Scoring!BI180</f>
        <v/>
      </c>
      <c r="I174" s="143" t="str">
        <f aca="false">Scoring!BH180</f>
        <v/>
      </c>
    </row>
    <row r="175" customFormat="false" ht="15.75" hidden="false" customHeight="false" outlineLevel="0" collapsed="false">
      <c r="A175" s="141" t="str">
        <f aca="false">Scoring!BK181</f>
        <v/>
      </c>
      <c r="B175" s="141" t="str">
        <f aca="false">Scoring!BJ181</f>
        <v/>
      </c>
      <c r="C175" s="141" t="n">
        <f aca="false">Scoring!C181</f>
        <v>0</v>
      </c>
      <c r="D175" s="142" t="str">
        <f aca="false">Scoring!BG181</f>
        <v/>
      </c>
      <c r="E175" s="141" t="str">
        <f aca="false">Scoring!AG181</f>
        <v/>
      </c>
      <c r="F175" s="141" t="n">
        <f aca="false">Scoring!B181</f>
        <v>0</v>
      </c>
      <c r="G175" s="141" t="n">
        <f aca="false">Scoring!D181</f>
        <v>0</v>
      </c>
      <c r="H175" s="141" t="str">
        <f aca="false">Scoring!BI181</f>
        <v/>
      </c>
      <c r="I175" s="143" t="str">
        <f aca="false">Scoring!BH181</f>
        <v/>
      </c>
    </row>
    <row r="176" customFormat="false" ht="15.75" hidden="false" customHeight="false" outlineLevel="0" collapsed="false">
      <c r="A176" s="141" t="str">
        <f aca="false">Scoring!BK182</f>
        <v/>
      </c>
      <c r="B176" s="141" t="str">
        <f aca="false">Scoring!BJ182</f>
        <v/>
      </c>
      <c r="C176" s="141" t="n">
        <f aca="false">Scoring!C182</f>
        <v>0</v>
      </c>
      <c r="D176" s="142" t="str">
        <f aca="false">Scoring!BG182</f>
        <v/>
      </c>
      <c r="E176" s="141" t="str">
        <f aca="false">Scoring!AG182</f>
        <v/>
      </c>
      <c r="F176" s="141" t="n">
        <f aca="false">Scoring!B182</f>
        <v>0</v>
      </c>
      <c r="G176" s="141" t="n">
        <f aca="false">Scoring!D182</f>
        <v>0</v>
      </c>
      <c r="H176" s="141" t="str">
        <f aca="false">Scoring!BI182</f>
        <v/>
      </c>
      <c r="I176" s="143" t="str">
        <f aca="false">Scoring!BH182</f>
        <v/>
      </c>
    </row>
    <row r="177" customFormat="false" ht="15.75" hidden="false" customHeight="false" outlineLevel="0" collapsed="false">
      <c r="A177" s="141" t="str">
        <f aca="false">Scoring!BK183</f>
        <v/>
      </c>
      <c r="B177" s="141" t="str">
        <f aca="false">Scoring!BJ183</f>
        <v/>
      </c>
      <c r="C177" s="141" t="n">
        <f aca="false">Scoring!C183</f>
        <v>0</v>
      </c>
      <c r="D177" s="142" t="str">
        <f aca="false">Scoring!BG183</f>
        <v/>
      </c>
      <c r="E177" s="141" t="str">
        <f aca="false">Scoring!AG183</f>
        <v/>
      </c>
      <c r="F177" s="141" t="n">
        <f aca="false">Scoring!B183</f>
        <v>0</v>
      </c>
      <c r="G177" s="141" t="n">
        <f aca="false">Scoring!D183</f>
        <v>0</v>
      </c>
      <c r="H177" s="141" t="str">
        <f aca="false">Scoring!BI183</f>
        <v/>
      </c>
      <c r="I177" s="143" t="str">
        <f aca="false">Scoring!BH183</f>
        <v/>
      </c>
    </row>
    <row r="178" customFormat="false" ht="15.75" hidden="false" customHeight="false" outlineLevel="0" collapsed="false">
      <c r="A178" s="141" t="str">
        <f aca="false">Scoring!BK184</f>
        <v/>
      </c>
      <c r="B178" s="141" t="str">
        <f aca="false">Scoring!BJ184</f>
        <v/>
      </c>
      <c r="C178" s="141" t="n">
        <f aca="false">Scoring!C184</f>
        <v>0</v>
      </c>
      <c r="D178" s="142" t="str">
        <f aca="false">Scoring!BG184</f>
        <v/>
      </c>
      <c r="E178" s="141" t="str">
        <f aca="false">Scoring!AG184</f>
        <v/>
      </c>
      <c r="F178" s="141" t="n">
        <f aca="false">Scoring!B184</f>
        <v>0</v>
      </c>
      <c r="G178" s="141" t="n">
        <f aca="false">Scoring!D184</f>
        <v>0</v>
      </c>
      <c r="H178" s="141" t="str">
        <f aca="false">Scoring!BI184</f>
        <v/>
      </c>
      <c r="I178" s="143" t="str">
        <f aca="false">Scoring!BH184</f>
        <v/>
      </c>
    </row>
    <row r="179" customFormat="false" ht="15.75" hidden="false" customHeight="false" outlineLevel="0" collapsed="false">
      <c r="A179" s="141" t="str">
        <f aca="false">Scoring!BK185</f>
        <v/>
      </c>
      <c r="B179" s="141" t="str">
        <f aca="false">Scoring!BJ185</f>
        <v/>
      </c>
      <c r="C179" s="141" t="n">
        <f aca="false">Scoring!C185</f>
        <v>0</v>
      </c>
      <c r="D179" s="142" t="str">
        <f aca="false">Scoring!BG185</f>
        <v/>
      </c>
      <c r="E179" s="141" t="str">
        <f aca="false">Scoring!AG185</f>
        <v/>
      </c>
      <c r="F179" s="141" t="n">
        <f aca="false">Scoring!B185</f>
        <v>0</v>
      </c>
      <c r="G179" s="141" t="n">
        <f aca="false">Scoring!D185</f>
        <v>0</v>
      </c>
      <c r="H179" s="141" t="str">
        <f aca="false">Scoring!BI185</f>
        <v/>
      </c>
      <c r="I179" s="143" t="str">
        <f aca="false">Scoring!BH185</f>
        <v/>
      </c>
    </row>
    <row r="180" customFormat="false" ht="15.75" hidden="false" customHeight="false" outlineLevel="0" collapsed="false">
      <c r="A180" s="141" t="str">
        <f aca="false">Scoring!BK186</f>
        <v/>
      </c>
      <c r="B180" s="141" t="str">
        <f aca="false">Scoring!BJ186</f>
        <v/>
      </c>
      <c r="C180" s="141" t="n">
        <f aca="false">Scoring!C186</f>
        <v>0</v>
      </c>
      <c r="D180" s="142" t="str">
        <f aca="false">Scoring!BG186</f>
        <v/>
      </c>
      <c r="E180" s="141" t="str">
        <f aca="false">Scoring!AG186</f>
        <v/>
      </c>
      <c r="F180" s="141" t="n">
        <f aca="false">Scoring!B186</f>
        <v>0</v>
      </c>
      <c r="G180" s="141" t="n">
        <f aca="false">Scoring!D186</f>
        <v>0</v>
      </c>
      <c r="H180" s="141" t="str">
        <f aca="false">Scoring!BI186</f>
        <v/>
      </c>
      <c r="I180" s="143" t="str">
        <f aca="false">Scoring!BH186</f>
        <v/>
      </c>
    </row>
    <row r="181" customFormat="false" ht="15.75" hidden="false" customHeight="false" outlineLevel="0" collapsed="false">
      <c r="A181" s="141" t="str">
        <f aca="false">Scoring!BK187</f>
        <v/>
      </c>
      <c r="B181" s="141" t="str">
        <f aca="false">Scoring!BJ187</f>
        <v/>
      </c>
      <c r="C181" s="141" t="n">
        <f aca="false">Scoring!C187</f>
        <v>0</v>
      </c>
      <c r="D181" s="142" t="str">
        <f aca="false">Scoring!BG187</f>
        <v/>
      </c>
      <c r="E181" s="141" t="str">
        <f aca="false">Scoring!AG187</f>
        <v/>
      </c>
      <c r="F181" s="141" t="n">
        <f aca="false">Scoring!B187</f>
        <v>0</v>
      </c>
      <c r="G181" s="141" t="n">
        <f aca="false">Scoring!D187</f>
        <v>0</v>
      </c>
      <c r="H181" s="141" t="str">
        <f aca="false">Scoring!BI187</f>
        <v/>
      </c>
      <c r="I181" s="143" t="str">
        <f aca="false">Scoring!BH187</f>
        <v/>
      </c>
    </row>
    <row r="182" customFormat="false" ht="15.75" hidden="false" customHeight="false" outlineLevel="0" collapsed="false">
      <c r="A182" s="141" t="str">
        <f aca="false">Scoring!BK188</f>
        <v/>
      </c>
      <c r="B182" s="141" t="str">
        <f aca="false">Scoring!BJ188</f>
        <v/>
      </c>
      <c r="C182" s="141" t="n">
        <f aca="false">Scoring!C188</f>
        <v>0</v>
      </c>
      <c r="D182" s="142" t="str">
        <f aca="false">Scoring!BG188</f>
        <v/>
      </c>
      <c r="E182" s="141" t="str">
        <f aca="false">Scoring!AG188</f>
        <v/>
      </c>
      <c r="F182" s="141" t="n">
        <f aca="false">Scoring!B188</f>
        <v>0</v>
      </c>
      <c r="G182" s="141" t="n">
        <f aca="false">Scoring!D188</f>
        <v>0</v>
      </c>
      <c r="H182" s="141" t="str">
        <f aca="false">Scoring!BI188</f>
        <v/>
      </c>
      <c r="I182" s="143" t="str">
        <f aca="false">Scoring!BH188</f>
        <v/>
      </c>
    </row>
    <row r="183" customFormat="false" ht="15.75" hidden="false" customHeight="false" outlineLevel="0" collapsed="false">
      <c r="A183" s="141" t="str">
        <f aca="false">Scoring!BK189</f>
        <v/>
      </c>
      <c r="B183" s="141" t="str">
        <f aca="false">Scoring!BJ189</f>
        <v/>
      </c>
      <c r="C183" s="141" t="n">
        <f aca="false">Scoring!C189</f>
        <v>0</v>
      </c>
      <c r="D183" s="142" t="str">
        <f aca="false">Scoring!BG189</f>
        <v/>
      </c>
      <c r="E183" s="141" t="str">
        <f aca="false">Scoring!AG189</f>
        <v/>
      </c>
      <c r="F183" s="141" t="n">
        <f aca="false">Scoring!B189</f>
        <v>0</v>
      </c>
      <c r="G183" s="141" t="n">
        <f aca="false">Scoring!D189</f>
        <v>0</v>
      </c>
      <c r="H183" s="141" t="str">
        <f aca="false">Scoring!BI189</f>
        <v/>
      </c>
      <c r="I183" s="143" t="str">
        <f aca="false">Scoring!BH189</f>
        <v/>
      </c>
    </row>
    <row r="184" customFormat="false" ht="15.75" hidden="false" customHeight="false" outlineLevel="0" collapsed="false">
      <c r="A184" s="141" t="str">
        <f aca="false">Scoring!BK190</f>
        <v/>
      </c>
      <c r="B184" s="141" t="str">
        <f aca="false">Scoring!BJ190</f>
        <v/>
      </c>
      <c r="C184" s="141" t="n">
        <f aca="false">Scoring!C190</f>
        <v>0</v>
      </c>
      <c r="D184" s="142" t="str">
        <f aca="false">Scoring!BG190</f>
        <v/>
      </c>
      <c r="E184" s="141" t="str">
        <f aca="false">Scoring!AG190</f>
        <v/>
      </c>
      <c r="F184" s="141" t="n">
        <f aca="false">Scoring!B190</f>
        <v>0</v>
      </c>
      <c r="G184" s="141" t="n">
        <f aca="false">Scoring!D190</f>
        <v>0</v>
      </c>
      <c r="H184" s="141" t="str">
        <f aca="false">Scoring!BI190</f>
        <v/>
      </c>
      <c r="I184" s="143" t="str">
        <f aca="false">Scoring!BH190</f>
        <v/>
      </c>
    </row>
    <row r="185" customFormat="false" ht="15.75" hidden="false" customHeight="false" outlineLevel="0" collapsed="false">
      <c r="A185" s="141" t="str">
        <f aca="false">Scoring!BK191</f>
        <v/>
      </c>
      <c r="B185" s="141" t="str">
        <f aca="false">Scoring!BJ191</f>
        <v/>
      </c>
      <c r="C185" s="141" t="n">
        <f aca="false">Scoring!C191</f>
        <v>0</v>
      </c>
      <c r="D185" s="142" t="str">
        <f aca="false">Scoring!BG191</f>
        <v/>
      </c>
      <c r="E185" s="141" t="str">
        <f aca="false">Scoring!AG191</f>
        <v/>
      </c>
      <c r="F185" s="141" t="n">
        <f aca="false">Scoring!B191</f>
        <v>0</v>
      </c>
      <c r="G185" s="141" t="n">
        <f aca="false">Scoring!D191</f>
        <v>0</v>
      </c>
      <c r="H185" s="141" t="str">
        <f aca="false">Scoring!BI191</f>
        <v/>
      </c>
      <c r="I185" s="143" t="str">
        <f aca="false">Scoring!BH191</f>
        <v/>
      </c>
    </row>
    <row r="186" customFormat="false" ht="15.75" hidden="false" customHeight="false" outlineLevel="0" collapsed="false">
      <c r="A186" s="141" t="str">
        <f aca="false">Scoring!BK192</f>
        <v/>
      </c>
      <c r="B186" s="141" t="str">
        <f aca="false">Scoring!BJ192</f>
        <v/>
      </c>
      <c r="C186" s="141" t="n">
        <f aca="false">Scoring!C192</f>
        <v>0</v>
      </c>
      <c r="D186" s="142" t="str">
        <f aca="false">Scoring!BG192</f>
        <v/>
      </c>
      <c r="E186" s="141" t="str">
        <f aca="false">Scoring!AG192</f>
        <v/>
      </c>
      <c r="F186" s="141" t="n">
        <f aca="false">Scoring!B192</f>
        <v>0</v>
      </c>
      <c r="G186" s="141" t="n">
        <f aca="false">Scoring!D192</f>
        <v>0</v>
      </c>
      <c r="H186" s="141" t="str">
        <f aca="false">Scoring!BI192</f>
        <v/>
      </c>
      <c r="I186" s="143" t="str">
        <f aca="false">Scoring!BH192</f>
        <v/>
      </c>
    </row>
    <row r="187" customFormat="false" ht="15.75" hidden="false" customHeight="false" outlineLevel="0" collapsed="false">
      <c r="A187" s="141" t="str">
        <f aca="false">Scoring!BK193</f>
        <v/>
      </c>
      <c r="B187" s="141" t="str">
        <f aca="false">Scoring!BJ193</f>
        <v/>
      </c>
      <c r="C187" s="141" t="n">
        <f aca="false">Scoring!C193</f>
        <v>0</v>
      </c>
      <c r="D187" s="142" t="str">
        <f aca="false">Scoring!BG193</f>
        <v/>
      </c>
      <c r="E187" s="141" t="str">
        <f aca="false">Scoring!AG193</f>
        <v/>
      </c>
      <c r="F187" s="141" t="n">
        <f aca="false">Scoring!B193</f>
        <v>0</v>
      </c>
      <c r="G187" s="141" t="n">
        <f aca="false">Scoring!D193</f>
        <v>0</v>
      </c>
      <c r="H187" s="141" t="str">
        <f aca="false">Scoring!BI193</f>
        <v/>
      </c>
      <c r="I187" s="143" t="str">
        <f aca="false">Scoring!BH193</f>
        <v/>
      </c>
    </row>
    <row r="188" customFormat="false" ht="15.75" hidden="false" customHeight="false" outlineLevel="0" collapsed="false">
      <c r="A188" s="141" t="str">
        <f aca="false">Scoring!BK194</f>
        <v/>
      </c>
      <c r="B188" s="141" t="str">
        <f aca="false">Scoring!BJ194</f>
        <v/>
      </c>
      <c r="C188" s="141" t="n">
        <f aca="false">Scoring!C194</f>
        <v>0</v>
      </c>
      <c r="D188" s="142" t="str">
        <f aca="false">Scoring!BG194</f>
        <v/>
      </c>
      <c r="E188" s="141" t="str">
        <f aca="false">Scoring!AG194</f>
        <v/>
      </c>
      <c r="F188" s="141" t="n">
        <f aca="false">Scoring!B194</f>
        <v>0</v>
      </c>
      <c r="G188" s="141" t="n">
        <f aca="false">Scoring!D194</f>
        <v>0</v>
      </c>
      <c r="H188" s="141" t="str">
        <f aca="false">Scoring!BI194</f>
        <v/>
      </c>
      <c r="I188" s="143" t="str">
        <f aca="false">Scoring!BH194</f>
        <v/>
      </c>
    </row>
    <row r="189" customFormat="false" ht="15.75" hidden="false" customHeight="false" outlineLevel="0" collapsed="false">
      <c r="A189" s="141" t="str">
        <f aca="false">Scoring!BK195</f>
        <v/>
      </c>
      <c r="B189" s="141" t="str">
        <f aca="false">Scoring!BJ195</f>
        <v/>
      </c>
      <c r="C189" s="141" t="n">
        <f aca="false">Scoring!C195</f>
        <v>0</v>
      </c>
      <c r="D189" s="142" t="str">
        <f aca="false">Scoring!BG195</f>
        <v/>
      </c>
      <c r="E189" s="141" t="str">
        <f aca="false">Scoring!AG195</f>
        <v/>
      </c>
      <c r="F189" s="141" t="n">
        <f aca="false">Scoring!B195</f>
        <v>0</v>
      </c>
      <c r="G189" s="141" t="n">
        <f aca="false">Scoring!D195</f>
        <v>0</v>
      </c>
      <c r="H189" s="141" t="str">
        <f aca="false">Scoring!BI195</f>
        <v/>
      </c>
      <c r="I189" s="143" t="str">
        <f aca="false">Scoring!BH195</f>
        <v/>
      </c>
    </row>
    <row r="190" customFormat="false" ht="15.75" hidden="false" customHeight="false" outlineLevel="0" collapsed="false">
      <c r="A190" s="141" t="str">
        <f aca="false">Scoring!BK196</f>
        <v/>
      </c>
      <c r="B190" s="141" t="str">
        <f aca="false">Scoring!BJ196</f>
        <v/>
      </c>
      <c r="C190" s="141" t="n">
        <f aca="false">Scoring!C196</f>
        <v>0</v>
      </c>
      <c r="D190" s="142" t="str">
        <f aca="false">Scoring!BG196</f>
        <v/>
      </c>
      <c r="E190" s="141" t="str">
        <f aca="false">Scoring!AG196</f>
        <v/>
      </c>
      <c r="F190" s="141" t="n">
        <f aca="false">Scoring!B196</f>
        <v>0</v>
      </c>
      <c r="G190" s="141" t="n">
        <f aca="false">Scoring!D196</f>
        <v>0</v>
      </c>
      <c r="H190" s="141" t="str">
        <f aca="false">Scoring!BI196</f>
        <v/>
      </c>
      <c r="I190" s="143" t="str">
        <f aca="false">Scoring!BH196</f>
        <v/>
      </c>
    </row>
    <row r="191" customFormat="false" ht="15.75" hidden="false" customHeight="false" outlineLevel="0" collapsed="false">
      <c r="A191" s="141" t="str">
        <f aca="false">Scoring!BK197</f>
        <v/>
      </c>
      <c r="B191" s="141" t="str">
        <f aca="false">Scoring!BJ197</f>
        <v/>
      </c>
      <c r="C191" s="141" t="n">
        <f aca="false">Scoring!C197</f>
        <v>0</v>
      </c>
      <c r="D191" s="142" t="str">
        <f aca="false">Scoring!BG197</f>
        <v/>
      </c>
      <c r="E191" s="141" t="str">
        <f aca="false">Scoring!AG197</f>
        <v/>
      </c>
      <c r="F191" s="141" t="n">
        <f aca="false">Scoring!B197</f>
        <v>0</v>
      </c>
      <c r="G191" s="141" t="n">
        <f aca="false">Scoring!D197</f>
        <v>0</v>
      </c>
      <c r="H191" s="141" t="str">
        <f aca="false">Scoring!BI197</f>
        <v/>
      </c>
      <c r="I191" s="143" t="str">
        <f aca="false">Scoring!BH197</f>
        <v/>
      </c>
    </row>
    <row r="192" customFormat="false" ht="15.75" hidden="false" customHeight="false" outlineLevel="0" collapsed="false">
      <c r="A192" s="141" t="str">
        <f aca="false">Scoring!BK198</f>
        <v/>
      </c>
      <c r="B192" s="141" t="str">
        <f aca="false">Scoring!BJ198</f>
        <v/>
      </c>
      <c r="C192" s="141" t="n">
        <f aca="false">Scoring!C198</f>
        <v>0</v>
      </c>
      <c r="D192" s="142" t="str">
        <f aca="false">Scoring!BG198</f>
        <v/>
      </c>
      <c r="E192" s="141" t="str">
        <f aca="false">Scoring!AG198</f>
        <v/>
      </c>
      <c r="F192" s="141" t="n">
        <f aca="false">Scoring!B198</f>
        <v>0</v>
      </c>
      <c r="G192" s="141" t="n">
        <f aca="false">Scoring!D198</f>
        <v>0</v>
      </c>
      <c r="H192" s="141" t="str">
        <f aca="false">Scoring!BI198</f>
        <v/>
      </c>
      <c r="I192" s="143" t="str">
        <f aca="false">Scoring!BH198</f>
        <v/>
      </c>
    </row>
    <row r="193" customFormat="false" ht="15.75" hidden="false" customHeight="false" outlineLevel="0" collapsed="false">
      <c r="A193" s="141" t="str">
        <f aca="false">Scoring!BK199</f>
        <v/>
      </c>
      <c r="B193" s="141" t="str">
        <f aca="false">Scoring!BJ199</f>
        <v/>
      </c>
      <c r="C193" s="141" t="n">
        <f aca="false">Scoring!C199</f>
        <v>0</v>
      </c>
      <c r="D193" s="142" t="str">
        <f aca="false">Scoring!BG199</f>
        <v/>
      </c>
      <c r="E193" s="141" t="str">
        <f aca="false">Scoring!AG199</f>
        <v/>
      </c>
      <c r="F193" s="141" t="n">
        <f aca="false">Scoring!B199</f>
        <v>0</v>
      </c>
      <c r="G193" s="141" t="n">
        <f aca="false">Scoring!D199</f>
        <v>0</v>
      </c>
      <c r="H193" s="141" t="str">
        <f aca="false">Scoring!BI199</f>
        <v/>
      </c>
      <c r="I193" s="143" t="str">
        <f aca="false">Scoring!BH199</f>
        <v/>
      </c>
    </row>
    <row r="194" customFormat="false" ht="15.75" hidden="false" customHeight="false" outlineLevel="0" collapsed="false">
      <c r="A194" s="141" t="str">
        <f aca="false">Scoring!BK200</f>
        <v/>
      </c>
      <c r="B194" s="141" t="str">
        <f aca="false">Scoring!BJ200</f>
        <v/>
      </c>
      <c r="C194" s="141" t="n">
        <f aca="false">Scoring!C200</f>
        <v>0</v>
      </c>
      <c r="D194" s="142" t="str">
        <f aca="false">Scoring!BG200</f>
        <v/>
      </c>
      <c r="E194" s="141" t="str">
        <f aca="false">Scoring!AG200</f>
        <v/>
      </c>
      <c r="F194" s="141" t="n">
        <f aca="false">Scoring!B200</f>
        <v>0</v>
      </c>
      <c r="G194" s="141" t="n">
        <f aca="false">Scoring!D200</f>
        <v>0</v>
      </c>
      <c r="H194" s="141" t="str">
        <f aca="false">Scoring!BI200</f>
        <v/>
      </c>
      <c r="I194" s="143" t="str">
        <f aca="false">Scoring!BH200</f>
        <v/>
      </c>
    </row>
    <row r="195" customFormat="false" ht="15.75" hidden="false" customHeight="false" outlineLevel="0" collapsed="false">
      <c r="A195" s="141" t="str">
        <f aca="false">Scoring!BK201</f>
        <v/>
      </c>
      <c r="B195" s="141" t="str">
        <f aca="false">Scoring!BJ201</f>
        <v/>
      </c>
      <c r="C195" s="141" t="n">
        <f aca="false">Scoring!C201</f>
        <v>0</v>
      </c>
      <c r="D195" s="142" t="str">
        <f aca="false">Scoring!BG201</f>
        <v/>
      </c>
      <c r="E195" s="141" t="str">
        <f aca="false">Scoring!AG201</f>
        <v/>
      </c>
      <c r="F195" s="141" t="n">
        <f aca="false">Scoring!B201</f>
        <v>0</v>
      </c>
      <c r="G195" s="141" t="n">
        <f aca="false">Scoring!D201</f>
        <v>0</v>
      </c>
      <c r="H195" s="141" t="str">
        <f aca="false">Scoring!BI201</f>
        <v/>
      </c>
      <c r="I195" s="143" t="str">
        <f aca="false">Scoring!BH201</f>
        <v/>
      </c>
    </row>
    <row r="196" customFormat="false" ht="15.75" hidden="false" customHeight="false" outlineLevel="0" collapsed="false">
      <c r="A196" s="141" t="str">
        <f aca="false">Scoring!BK202</f>
        <v/>
      </c>
      <c r="B196" s="141" t="str">
        <f aca="false">Scoring!BJ202</f>
        <v/>
      </c>
      <c r="C196" s="141" t="n">
        <f aca="false">Scoring!C202</f>
        <v>0</v>
      </c>
      <c r="D196" s="142" t="str">
        <f aca="false">Scoring!BG202</f>
        <v/>
      </c>
      <c r="E196" s="141" t="str">
        <f aca="false">Scoring!AG202</f>
        <v/>
      </c>
      <c r="F196" s="141" t="n">
        <f aca="false">Scoring!B202</f>
        <v>0</v>
      </c>
      <c r="G196" s="141" t="n">
        <f aca="false">Scoring!D202</f>
        <v>0</v>
      </c>
      <c r="H196" s="141" t="str">
        <f aca="false">Scoring!BI202</f>
        <v/>
      </c>
      <c r="I196" s="143" t="str">
        <f aca="false">Scoring!BH202</f>
        <v/>
      </c>
    </row>
    <row r="197" customFormat="false" ht="15.75" hidden="false" customHeight="false" outlineLevel="0" collapsed="false">
      <c r="A197" s="141" t="str">
        <f aca="false">Scoring!BK203</f>
        <v/>
      </c>
      <c r="B197" s="141" t="str">
        <f aca="false">Scoring!BJ203</f>
        <v/>
      </c>
      <c r="C197" s="141" t="n">
        <f aca="false">Scoring!C203</f>
        <v>0</v>
      </c>
      <c r="D197" s="142" t="str">
        <f aca="false">Scoring!BG203</f>
        <v/>
      </c>
      <c r="E197" s="141" t="str">
        <f aca="false">Scoring!AG203</f>
        <v/>
      </c>
      <c r="F197" s="141" t="n">
        <f aca="false">Scoring!B203</f>
        <v>0</v>
      </c>
      <c r="G197" s="141" t="n">
        <f aca="false">Scoring!D203</f>
        <v>0</v>
      </c>
      <c r="H197" s="141" t="str">
        <f aca="false">Scoring!BI203</f>
        <v/>
      </c>
      <c r="I197" s="143" t="str">
        <f aca="false">Scoring!BH203</f>
        <v/>
      </c>
    </row>
    <row r="198" customFormat="false" ht="15.75" hidden="false" customHeight="false" outlineLevel="0" collapsed="false">
      <c r="A198" s="141" t="str">
        <f aca="false">Scoring!BK204</f>
        <v/>
      </c>
      <c r="B198" s="141" t="str">
        <f aca="false">Scoring!BJ204</f>
        <v/>
      </c>
      <c r="C198" s="141" t="n">
        <f aca="false">Scoring!C204</f>
        <v>0</v>
      </c>
      <c r="D198" s="142" t="str">
        <f aca="false">Scoring!BG204</f>
        <v/>
      </c>
      <c r="E198" s="141" t="str">
        <f aca="false">Scoring!AG204</f>
        <v/>
      </c>
      <c r="F198" s="141" t="n">
        <f aca="false">Scoring!B204</f>
        <v>0</v>
      </c>
      <c r="G198" s="141" t="n">
        <f aca="false">Scoring!D204</f>
        <v>0</v>
      </c>
      <c r="H198" s="141" t="str">
        <f aca="false">Scoring!BI204</f>
        <v/>
      </c>
      <c r="I198" s="143" t="str">
        <f aca="false">Scoring!BH204</f>
        <v/>
      </c>
    </row>
    <row r="199" customFormat="false" ht="15.75" hidden="false" customHeight="false" outlineLevel="0" collapsed="false">
      <c r="A199" s="141" t="str">
        <f aca="false">Scoring!BK205</f>
        <v/>
      </c>
      <c r="B199" s="141" t="str">
        <f aca="false">Scoring!BJ205</f>
        <v/>
      </c>
      <c r="C199" s="141" t="n">
        <f aca="false">Scoring!C205</f>
        <v>0</v>
      </c>
      <c r="D199" s="142" t="str">
        <f aca="false">Scoring!BG205</f>
        <v/>
      </c>
      <c r="E199" s="141" t="str">
        <f aca="false">Scoring!AG205</f>
        <v/>
      </c>
      <c r="F199" s="141" t="n">
        <f aca="false">Scoring!B205</f>
        <v>0</v>
      </c>
      <c r="G199" s="141" t="n">
        <f aca="false">Scoring!D205</f>
        <v>0</v>
      </c>
      <c r="H199" s="141" t="str">
        <f aca="false">Scoring!BI205</f>
        <v/>
      </c>
      <c r="I199" s="143" t="str">
        <f aca="false">Scoring!BH205</f>
        <v/>
      </c>
    </row>
    <row r="200" customFormat="false" ht="15.75" hidden="false" customHeight="false" outlineLevel="0" collapsed="false">
      <c r="A200" s="141" t="str">
        <f aca="false">Scoring!BK206</f>
        <v/>
      </c>
      <c r="B200" s="141" t="str">
        <f aca="false">Scoring!BJ206</f>
        <v/>
      </c>
      <c r="C200" s="141" t="n">
        <f aca="false">Scoring!C206</f>
        <v>0</v>
      </c>
      <c r="D200" s="142" t="str">
        <f aca="false">Scoring!BG206</f>
        <v/>
      </c>
      <c r="E200" s="141" t="str">
        <f aca="false">Scoring!AG206</f>
        <v/>
      </c>
      <c r="F200" s="141" t="n">
        <f aca="false">Scoring!B206</f>
        <v>0</v>
      </c>
      <c r="G200" s="141" t="n">
        <f aca="false">Scoring!D206</f>
        <v>0</v>
      </c>
      <c r="H200" s="141" t="str">
        <f aca="false">Scoring!BI206</f>
        <v/>
      </c>
      <c r="I200" s="143" t="str">
        <f aca="false">Scoring!BH206</f>
        <v/>
      </c>
    </row>
    <row r="201" customFormat="false" ht="15.75" hidden="false" customHeight="false" outlineLevel="0" collapsed="false">
      <c r="A201" s="141" t="str">
        <f aca="false">Scoring!BK207</f>
        <v/>
      </c>
      <c r="B201" s="141" t="str">
        <f aca="false">Scoring!BJ207</f>
        <v/>
      </c>
      <c r="C201" s="141" t="n">
        <f aca="false">Scoring!C207</f>
        <v>0</v>
      </c>
      <c r="D201" s="142" t="str">
        <f aca="false">Scoring!BG207</f>
        <v/>
      </c>
      <c r="E201" s="141" t="str">
        <f aca="false">Scoring!AG207</f>
        <v/>
      </c>
      <c r="F201" s="141" t="n">
        <f aca="false">Scoring!B207</f>
        <v>0</v>
      </c>
      <c r="G201" s="141" t="n">
        <f aca="false">Scoring!D207</f>
        <v>0</v>
      </c>
      <c r="H201" s="141" t="str">
        <f aca="false">Scoring!BI207</f>
        <v/>
      </c>
      <c r="I201" s="143" t="str">
        <f aca="false">Scoring!BH207</f>
        <v/>
      </c>
    </row>
    <row r="202" customFormat="false" ht="15.75" hidden="false" customHeight="false" outlineLevel="0" collapsed="false">
      <c r="A202" s="141" t="str">
        <f aca="false">Scoring!BK208</f>
        <v/>
      </c>
      <c r="B202" s="141" t="str">
        <f aca="false">Scoring!BJ208</f>
        <v/>
      </c>
      <c r="C202" s="141" t="n">
        <f aca="false">Scoring!C208</f>
        <v>0</v>
      </c>
      <c r="D202" s="142" t="str">
        <f aca="false">Scoring!BG208</f>
        <v/>
      </c>
      <c r="E202" s="141" t="str">
        <f aca="false">Scoring!AG208</f>
        <v/>
      </c>
      <c r="F202" s="141" t="n">
        <f aca="false">Scoring!B208</f>
        <v>0</v>
      </c>
      <c r="G202" s="141" t="n">
        <f aca="false">Scoring!D208</f>
        <v>0</v>
      </c>
      <c r="H202" s="141" t="str">
        <f aca="false">Scoring!BI208</f>
        <v/>
      </c>
      <c r="I202" s="143" t="str">
        <f aca="false">Scoring!BH208</f>
        <v/>
      </c>
    </row>
    <row r="203" customFormat="false" ht="15.75" hidden="false" customHeight="false" outlineLevel="0" collapsed="false">
      <c r="A203" s="141" t="str">
        <f aca="false">Scoring!BK209</f>
        <v/>
      </c>
      <c r="B203" s="141" t="str">
        <f aca="false">Scoring!BJ209</f>
        <v/>
      </c>
      <c r="C203" s="141" t="n">
        <f aca="false">Scoring!C209</f>
        <v>0</v>
      </c>
      <c r="D203" s="142" t="str">
        <f aca="false">Scoring!BG209</f>
        <v/>
      </c>
      <c r="E203" s="141" t="str">
        <f aca="false">Scoring!AG209</f>
        <v/>
      </c>
      <c r="F203" s="141" t="n">
        <f aca="false">Scoring!B209</f>
        <v>0</v>
      </c>
      <c r="G203" s="141" t="n">
        <f aca="false">Scoring!D209</f>
        <v>0</v>
      </c>
      <c r="H203" s="141" t="str">
        <f aca="false">Scoring!BI209</f>
        <v/>
      </c>
      <c r="I203" s="143" t="str">
        <f aca="false">Scoring!BH209</f>
        <v/>
      </c>
    </row>
    <row r="204" customFormat="false" ht="15.75" hidden="false" customHeight="false" outlineLevel="0" collapsed="false">
      <c r="A204" s="141" t="str">
        <f aca="false">Scoring!BK210</f>
        <v/>
      </c>
      <c r="B204" s="141" t="str">
        <f aca="false">Scoring!BJ210</f>
        <v/>
      </c>
      <c r="C204" s="141" t="n">
        <f aca="false">Scoring!C210</f>
        <v>0</v>
      </c>
      <c r="D204" s="142" t="str">
        <f aca="false">Scoring!BG210</f>
        <v/>
      </c>
      <c r="E204" s="141" t="str">
        <f aca="false">Scoring!AG210</f>
        <v/>
      </c>
      <c r="F204" s="141" t="n">
        <f aca="false">Scoring!B210</f>
        <v>0</v>
      </c>
      <c r="G204" s="141" t="n">
        <f aca="false">Scoring!D210</f>
        <v>0</v>
      </c>
      <c r="H204" s="141" t="str">
        <f aca="false">Scoring!BI210</f>
        <v/>
      </c>
      <c r="I204" s="143" t="str">
        <f aca="false">Scoring!BH210</f>
        <v/>
      </c>
    </row>
    <row r="205" customFormat="false" ht="15.75" hidden="false" customHeight="false" outlineLevel="0" collapsed="false">
      <c r="A205" s="141" t="str">
        <f aca="false">Scoring!BK211</f>
        <v/>
      </c>
      <c r="B205" s="141" t="str">
        <f aca="false">Scoring!BJ211</f>
        <v/>
      </c>
      <c r="C205" s="141" t="n">
        <f aca="false">Scoring!C211</f>
        <v>0</v>
      </c>
      <c r="D205" s="142" t="str">
        <f aca="false">Scoring!BG211</f>
        <v/>
      </c>
      <c r="E205" s="141" t="str">
        <f aca="false">Scoring!AG211</f>
        <v/>
      </c>
      <c r="F205" s="141" t="n">
        <f aca="false">Scoring!B211</f>
        <v>0</v>
      </c>
      <c r="G205" s="141" t="n">
        <f aca="false">Scoring!D211</f>
        <v>0</v>
      </c>
      <c r="H205" s="141" t="str">
        <f aca="false">Scoring!BI211</f>
        <v/>
      </c>
      <c r="I205" s="143" t="str">
        <f aca="false">Scoring!BH211</f>
        <v/>
      </c>
    </row>
    <row r="206" customFormat="false" ht="15.75" hidden="false" customHeight="false" outlineLevel="0" collapsed="false">
      <c r="A206" s="141" t="str">
        <f aca="false">Scoring!BK212</f>
        <v/>
      </c>
      <c r="B206" s="141" t="str">
        <f aca="false">Scoring!BJ212</f>
        <v/>
      </c>
      <c r="C206" s="141" t="n">
        <f aca="false">Scoring!C212</f>
        <v>0</v>
      </c>
      <c r="D206" s="142" t="str">
        <f aca="false">Scoring!BG212</f>
        <v/>
      </c>
      <c r="E206" s="141" t="str">
        <f aca="false">Scoring!AG212</f>
        <v/>
      </c>
      <c r="F206" s="141" t="n">
        <f aca="false">Scoring!B212</f>
        <v>0</v>
      </c>
      <c r="G206" s="141" t="n">
        <f aca="false">Scoring!D212</f>
        <v>0</v>
      </c>
      <c r="H206" s="141" t="str">
        <f aca="false">Scoring!BI212</f>
        <v/>
      </c>
      <c r="I206" s="143" t="str">
        <f aca="false">Scoring!BH212</f>
        <v/>
      </c>
    </row>
    <row r="207" customFormat="false" ht="15.75" hidden="false" customHeight="false" outlineLevel="0" collapsed="false">
      <c r="A207" s="141" t="str">
        <f aca="false">Scoring!BK213</f>
        <v/>
      </c>
      <c r="B207" s="141" t="str">
        <f aca="false">Scoring!BJ213</f>
        <v/>
      </c>
      <c r="C207" s="141" t="n">
        <f aca="false">Scoring!C213</f>
        <v>0</v>
      </c>
      <c r="D207" s="142" t="str">
        <f aca="false">Scoring!BG213</f>
        <v/>
      </c>
      <c r="E207" s="141" t="str">
        <f aca="false">Scoring!AG213</f>
        <v/>
      </c>
      <c r="F207" s="141" t="n">
        <f aca="false">Scoring!B213</f>
        <v>0</v>
      </c>
      <c r="G207" s="141" t="n">
        <f aca="false">Scoring!D213</f>
        <v>0</v>
      </c>
      <c r="H207" s="141" t="str">
        <f aca="false">Scoring!BI213</f>
        <v/>
      </c>
      <c r="I207" s="143" t="str">
        <f aca="false">Scoring!BH213</f>
        <v/>
      </c>
    </row>
    <row r="208" customFormat="false" ht="15.75" hidden="false" customHeight="false" outlineLevel="0" collapsed="false">
      <c r="A208" s="141" t="str">
        <f aca="false">Scoring!BK214</f>
        <v/>
      </c>
      <c r="B208" s="141" t="str">
        <f aca="false">Scoring!BJ214</f>
        <v/>
      </c>
      <c r="C208" s="141" t="n">
        <f aca="false">Scoring!C214</f>
        <v>0</v>
      </c>
      <c r="D208" s="142" t="str">
        <f aca="false">Scoring!BG214</f>
        <v/>
      </c>
      <c r="E208" s="141" t="str">
        <f aca="false">Scoring!AG214</f>
        <v/>
      </c>
      <c r="F208" s="141" t="n">
        <f aca="false">Scoring!B214</f>
        <v>0</v>
      </c>
      <c r="G208" s="141" t="n">
        <f aca="false">Scoring!D214</f>
        <v>0</v>
      </c>
      <c r="H208" s="141" t="str">
        <f aca="false">Scoring!BI214</f>
        <v/>
      </c>
      <c r="I208" s="143" t="str">
        <f aca="false">Scoring!BH214</f>
        <v/>
      </c>
    </row>
    <row r="209" customFormat="false" ht="15.75" hidden="false" customHeight="false" outlineLevel="0" collapsed="false">
      <c r="A209" s="141" t="str">
        <f aca="false">Scoring!BK215</f>
        <v/>
      </c>
      <c r="B209" s="141" t="str">
        <f aca="false">Scoring!BJ215</f>
        <v/>
      </c>
      <c r="C209" s="141" t="n">
        <f aca="false">Scoring!C215</f>
        <v>0</v>
      </c>
      <c r="D209" s="142" t="str">
        <f aca="false">Scoring!BG215</f>
        <v/>
      </c>
      <c r="E209" s="141" t="str">
        <f aca="false">Scoring!AG215</f>
        <v/>
      </c>
      <c r="F209" s="141" t="n">
        <f aca="false">Scoring!B215</f>
        <v>0</v>
      </c>
      <c r="G209" s="141" t="n">
        <f aca="false">Scoring!D215</f>
        <v>0</v>
      </c>
      <c r="H209" s="141" t="str">
        <f aca="false">Scoring!BI215</f>
        <v/>
      </c>
      <c r="I209" s="143" t="str">
        <f aca="false">Scoring!BH215</f>
        <v/>
      </c>
    </row>
    <row r="210" customFormat="false" ht="15.75" hidden="false" customHeight="false" outlineLevel="0" collapsed="false">
      <c r="A210" s="141" t="str">
        <f aca="false">Scoring!BK216</f>
        <v/>
      </c>
      <c r="B210" s="141" t="str">
        <f aca="false">Scoring!BJ216</f>
        <v/>
      </c>
      <c r="C210" s="141" t="n">
        <f aca="false">Scoring!C216</f>
        <v>0</v>
      </c>
      <c r="D210" s="142" t="str">
        <f aca="false">Scoring!BG216</f>
        <v/>
      </c>
      <c r="E210" s="141" t="str">
        <f aca="false">Scoring!AG216</f>
        <v/>
      </c>
      <c r="F210" s="141" t="n">
        <f aca="false">Scoring!B216</f>
        <v>0</v>
      </c>
      <c r="G210" s="141" t="n">
        <f aca="false">Scoring!D216</f>
        <v>0</v>
      </c>
      <c r="H210" s="141" t="str">
        <f aca="false">Scoring!BI216</f>
        <v/>
      </c>
      <c r="I210" s="143" t="str">
        <f aca="false">Scoring!BH216</f>
        <v/>
      </c>
    </row>
    <row r="211" customFormat="false" ht="15.75" hidden="false" customHeight="false" outlineLevel="0" collapsed="false">
      <c r="A211" s="141" t="str">
        <f aca="false">Scoring!BK217</f>
        <v/>
      </c>
      <c r="B211" s="141" t="str">
        <f aca="false">Scoring!BJ217</f>
        <v/>
      </c>
      <c r="C211" s="141" t="n">
        <f aca="false">Scoring!C217</f>
        <v>0</v>
      </c>
      <c r="D211" s="142" t="str">
        <f aca="false">Scoring!BG217</f>
        <v/>
      </c>
      <c r="E211" s="141" t="str">
        <f aca="false">Scoring!AG217</f>
        <v/>
      </c>
      <c r="F211" s="141" t="n">
        <f aca="false">Scoring!B217</f>
        <v>0</v>
      </c>
      <c r="G211" s="141" t="n">
        <f aca="false">Scoring!D217</f>
        <v>0</v>
      </c>
      <c r="H211" s="141" t="str">
        <f aca="false">Scoring!BI217</f>
        <v/>
      </c>
      <c r="I211" s="143" t="str">
        <f aca="false">Scoring!BH217</f>
        <v/>
      </c>
    </row>
    <row r="212" customFormat="false" ht="15.75" hidden="false" customHeight="false" outlineLevel="0" collapsed="false">
      <c r="A212" s="141" t="str">
        <f aca="false">Scoring!BK218</f>
        <v/>
      </c>
      <c r="B212" s="141" t="str">
        <f aca="false">Scoring!BJ218</f>
        <v/>
      </c>
      <c r="C212" s="141" t="n">
        <f aca="false">Scoring!C218</f>
        <v>0</v>
      </c>
      <c r="D212" s="142" t="str">
        <f aca="false">Scoring!BG218</f>
        <v/>
      </c>
      <c r="E212" s="141" t="str">
        <f aca="false">Scoring!AG218</f>
        <v/>
      </c>
      <c r="F212" s="141" t="n">
        <f aca="false">Scoring!B218</f>
        <v>0</v>
      </c>
      <c r="G212" s="141" t="n">
        <f aca="false">Scoring!D218</f>
        <v>0</v>
      </c>
      <c r="H212" s="141" t="str">
        <f aca="false">Scoring!BI218</f>
        <v/>
      </c>
      <c r="I212" s="143" t="str">
        <f aca="false">Scoring!BH218</f>
        <v/>
      </c>
    </row>
    <row r="213" customFormat="false" ht="15.75" hidden="false" customHeight="false" outlineLevel="0" collapsed="false">
      <c r="A213" s="141" t="str">
        <f aca="false">Scoring!BK219</f>
        <v/>
      </c>
      <c r="B213" s="141" t="str">
        <f aca="false">Scoring!BJ219</f>
        <v/>
      </c>
      <c r="C213" s="141" t="n">
        <f aca="false">Scoring!C219</f>
        <v>0</v>
      </c>
      <c r="D213" s="142" t="str">
        <f aca="false">Scoring!BG219</f>
        <v/>
      </c>
      <c r="E213" s="141" t="str">
        <f aca="false">Scoring!AG219</f>
        <v/>
      </c>
      <c r="F213" s="141" t="n">
        <f aca="false">Scoring!B219</f>
        <v>0</v>
      </c>
      <c r="G213" s="141" t="n">
        <f aca="false">Scoring!D219</f>
        <v>0</v>
      </c>
      <c r="H213" s="141" t="str">
        <f aca="false">Scoring!BI219</f>
        <v/>
      </c>
      <c r="I213" s="143" t="str">
        <f aca="false">Scoring!BH219</f>
        <v/>
      </c>
    </row>
    <row r="214" customFormat="false" ht="15.75" hidden="false" customHeight="false" outlineLevel="0" collapsed="false">
      <c r="A214" s="141" t="str">
        <f aca="false">Scoring!BK220</f>
        <v/>
      </c>
      <c r="B214" s="141" t="str">
        <f aca="false">Scoring!BJ220</f>
        <v/>
      </c>
      <c r="C214" s="141" t="n">
        <f aca="false">Scoring!C220</f>
        <v>0</v>
      </c>
      <c r="D214" s="142" t="str">
        <f aca="false">Scoring!BG220</f>
        <v/>
      </c>
      <c r="E214" s="141" t="str">
        <f aca="false">Scoring!AG220</f>
        <v/>
      </c>
      <c r="F214" s="141" t="n">
        <f aca="false">Scoring!B220</f>
        <v>0</v>
      </c>
      <c r="G214" s="141" t="n">
        <f aca="false">Scoring!D220</f>
        <v>0</v>
      </c>
      <c r="H214" s="141" t="str">
        <f aca="false">Scoring!BI220</f>
        <v/>
      </c>
      <c r="I214" s="143" t="str">
        <f aca="false">Scoring!BH220</f>
        <v/>
      </c>
    </row>
    <row r="215" customFormat="false" ht="15.75" hidden="false" customHeight="false" outlineLevel="0" collapsed="false">
      <c r="A215" s="141" t="str">
        <f aca="false">Scoring!BK221</f>
        <v/>
      </c>
      <c r="B215" s="141" t="str">
        <f aca="false">Scoring!BJ221</f>
        <v/>
      </c>
      <c r="C215" s="141" t="n">
        <f aca="false">Scoring!C221</f>
        <v>0</v>
      </c>
      <c r="D215" s="142" t="str">
        <f aca="false">Scoring!BG221</f>
        <v/>
      </c>
      <c r="E215" s="141" t="str">
        <f aca="false">Scoring!AG221</f>
        <v/>
      </c>
      <c r="F215" s="141" t="n">
        <f aca="false">Scoring!B221</f>
        <v>0</v>
      </c>
      <c r="G215" s="141" t="n">
        <f aca="false">Scoring!D221</f>
        <v>0</v>
      </c>
      <c r="H215" s="141" t="str">
        <f aca="false">Scoring!BI221</f>
        <v/>
      </c>
      <c r="I215" s="143" t="str">
        <f aca="false">Scoring!BH221</f>
        <v/>
      </c>
    </row>
    <row r="216" customFormat="false" ht="15.75" hidden="false" customHeight="false" outlineLevel="0" collapsed="false">
      <c r="A216" s="141" t="str">
        <f aca="false">Scoring!BK222</f>
        <v/>
      </c>
      <c r="B216" s="141" t="str">
        <f aca="false">Scoring!BJ222</f>
        <v/>
      </c>
      <c r="C216" s="141" t="n">
        <f aca="false">Scoring!C222</f>
        <v>0</v>
      </c>
      <c r="D216" s="142" t="str">
        <f aca="false">Scoring!BG222</f>
        <v/>
      </c>
      <c r="E216" s="141" t="str">
        <f aca="false">Scoring!AG222</f>
        <v/>
      </c>
      <c r="F216" s="141" t="n">
        <f aca="false">Scoring!B222</f>
        <v>0</v>
      </c>
      <c r="G216" s="141" t="n">
        <f aca="false">Scoring!D222</f>
        <v>0</v>
      </c>
      <c r="H216" s="141" t="str">
        <f aca="false">Scoring!BI222</f>
        <v/>
      </c>
      <c r="I216" s="143" t="str">
        <f aca="false">Scoring!BH222</f>
        <v/>
      </c>
    </row>
    <row r="217" customFormat="false" ht="15.75" hidden="false" customHeight="false" outlineLevel="0" collapsed="false">
      <c r="A217" s="141" t="str">
        <f aca="false">Scoring!BK223</f>
        <v/>
      </c>
      <c r="B217" s="141" t="str">
        <f aca="false">Scoring!BJ223</f>
        <v/>
      </c>
      <c r="C217" s="141" t="n">
        <f aca="false">Scoring!C223</f>
        <v>0</v>
      </c>
      <c r="D217" s="142" t="str">
        <f aca="false">Scoring!BG223</f>
        <v/>
      </c>
      <c r="E217" s="141" t="str">
        <f aca="false">Scoring!AG223</f>
        <v/>
      </c>
      <c r="F217" s="141" t="n">
        <f aca="false">Scoring!B223</f>
        <v>0</v>
      </c>
      <c r="G217" s="141" t="n">
        <f aca="false">Scoring!D223</f>
        <v>0</v>
      </c>
      <c r="H217" s="141" t="str">
        <f aca="false">Scoring!BI223</f>
        <v/>
      </c>
      <c r="I217" s="143" t="str">
        <f aca="false">Scoring!BH223</f>
        <v/>
      </c>
    </row>
    <row r="218" customFormat="false" ht="15.75" hidden="false" customHeight="false" outlineLevel="0" collapsed="false">
      <c r="A218" s="141" t="str">
        <f aca="false">Scoring!BK224</f>
        <v/>
      </c>
      <c r="B218" s="141" t="str">
        <f aca="false">Scoring!BJ224</f>
        <v/>
      </c>
      <c r="C218" s="141" t="n">
        <f aca="false">Scoring!C224</f>
        <v>0</v>
      </c>
      <c r="D218" s="142" t="str">
        <f aca="false">Scoring!BG224</f>
        <v/>
      </c>
      <c r="E218" s="141" t="str">
        <f aca="false">Scoring!AG224</f>
        <v/>
      </c>
      <c r="F218" s="141" t="n">
        <f aca="false">Scoring!B224</f>
        <v>0</v>
      </c>
      <c r="G218" s="141" t="n">
        <f aca="false">Scoring!D224</f>
        <v>0</v>
      </c>
      <c r="H218" s="141" t="str">
        <f aca="false">Scoring!BI224</f>
        <v/>
      </c>
      <c r="I218" s="143" t="str">
        <f aca="false">Scoring!BH224</f>
        <v/>
      </c>
    </row>
    <row r="219" customFormat="false" ht="15.75" hidden="false" customHeight="false" outlineLevel="0" collapsed="false">
      <c r="A219" s="141" t="str">
        <f aca="false">Scoring!BK225</f>
        <v/>
      </c>
      <c r="B219" s="141" t="str">
        <f aca="false">Scoring!BJ225</f>
        <v/>
      </c>
      <c r="C219" s="141" t="n">
        <f aca="false">Scoring!C225</f>
        <v>0</v>
      </c>
      <c r="D219" s="142" t="str">
        <f aca="false">Scoring!BG225</f>
        <v/>
      </c>
      <c r="E219" s="141" t="str">
        <f aca="false">Scoring!AG225</f>
        <v/>
      </c>
      <c r="F219" s="141" t="n">
        <f aca="false">Scoring!B225</f>
        <v>0</v>
      </c>
      <c r="G219" s="141" t="n">
        <f aca="false">Scoring!D225</f>
        <v>0</v>
      </c>
      <c r="H219" s="141" t="str">
        <f aca="false">Scoring!BI225</f>
        <v/>
      </c>
      <c r="I219" s="143" t="str">
        <f aca="false">Scoring!BH225</f>
        <v/>
      </c>
    </row>
    <row r="220" customFormat="false" ht="15.75" hidden="false" customHeight="false" outlineLevel="0" collapsed="false">
      <c r="A220" s="141" t="str">
        <f aca="false">Scoring!BK226</f>
        <v/>
      </c>
      <c r="B220" s="141" t="str">
        <f aca="false">Scoring!BJ226</f>
        <v/>
      </c>
      <c r="C220" s="141" t="n">
        <f aca="false">Scoring!C226</f>
        <v>0</v>
      </c>
      <c r="D220" s="142" t="str">
        <f aca="false">Scoring!BG226</f>
        <v/>
      </c>
      <c r="E220" s="141" t="str">
        <f aca="false">Scoring!AG226</f>
        <v/>
      </c>
      <c r="F220" s="141" t="n">
        <f aca="false">Scoring!B226</f>
        <v>0</v>
      </c>
      <c r="G220" s="141" t="n">
        <f aca="false">Scoring!D226</f>
        <v>0</v>
      </c>
      <c r="H220" s="141" t="str">
        <f aca="false">Scoring!BI226</f>
        <v/>
      </c>
      <c r="I220" s="143" t="str">
        <f aca="false">Scoring!BH226</f>
        <v/>
      </c>
    </row>
    <row r="221" customFormat="false" ht="15.75" hidden="false" customHeight="false" outlineLevel="0" collapsed="false">
      <c r="A221" s="141" t="str">
        <f aca="false">Scoring!BK227</f>
        <v/>
      </c>
      <c r="B221" s="141" t="str">
        <f aca="false">Scoring!BJ227</f>
        <v/>
      </c>
      <c r="C221" s="141" t="n">
        <f aca="false">Scoring!C227</f>
        <v>0</v>
      </c>
      <c r="D221" s="142" t="str">
        <f aca="false">Scoring!BG227</f>
        <v/>
      </c>
      <c r="E221" s="141" t="str">
        <f aca="false">Scoring!AG227</f>
        <v/>
      </c>
      <c r="F221" s="141" t="n">
        <f aca="false">Scoring!B227</f>
        <v>0</v>
      </c>
      <c r="G221" s="141" t="n">
        <f aca="false">Scoring!D227</f>
        <v>0</v>
      </c>
      <c r="H221" s="141" t="str">
        <f aca="false">Scoring!BI227</f>
        <v/>
      </c>
      <c r="I221" s="143" t="str">
        <f aca="false">Scoring!BH227</f>
        <v/>
      </c>
    </row>
    <row r="222" customFormat="false" ht="15.75" hidden="false" customHeight="false" outlineLevel="0" collapsed="false">
      <c r="A222" s="141" t="str">
        <f aca="false">Scoring!BK228</f>
        <v/>
      </c>
      <c r="B222" s="141" t="str">
        <f aca="false">Scoring!BJ228</f>
        <v/>
      </c>
      <c r="C222" s="141" t="n">
        <f aca="false">Scoring!C228</f>
        <v>0</v>
      </c>
      <c r="D222" s="142" t="str">
        <f aca="false">Scoring!BG228</f>
        <v/>
      </c>
      <c r="E222" s="141" t="str">
        <f aca="false">Scoring!AG228</f>
        <v/>
      </c>
      <c r="F222" s="141" t="n">
        <f aca="false">Scoring!B228</f>
        <v>0</v>
      </c>
      <c r="G222" s="141" t="n">
        <f aca="false">Scoring!D228</f>
        <v>0</v>
      </c>
      <c r="H222" s="141" t="str">
        <f aca="false">Scoring!BI228</f>
        <v/>
      </c>
      <c r="I222" s="143" t="str">
        <f aca="false">Scoring!BH228</f>
        <v/>
      </c>
    </row>
    <row r="223" customFormat="false" ht="15.75" hidden="false" customHeight="false" outlineLevel="0" collapsed="false">
      <c r="A223" s="141" t="str">
        <f aca="false">Scoring!BK229</f>
        <v/>
      </c>
      <c r="B223" s="141" t="str">
        <f aca="false">Scoring!BJ229</f>
        <v/>
      </c>
      <c r="C223" s="141" t="n">
        <f aca="false">Scoring!C229</f>
        <v>0</v>
      </c>
      <c r="D223" s="142" t="str">
        <f aca="false">Scoring!BG229</f>
        <v/>
      </c>
      <c r="E223" s="141" t="str">
        <f aca="false">Scoring!AG229</f>
        <v/>
      </c>
      <c r="F223" s="141" t="n">
        <f aca="false">Scoring!B229</f>
        <v>0</v>
      </c>
      <c r="G223" s="141" t="n">
        <f aca="false">Scoring!D229</f>
        <v>0</v>
      </c>
      <c r="H223" s="141" t="str">
        <f aca="false">Scoring!BI229</f>
        <v/>
      </c>
      <c r="I223" s="143" t="str">
        <f aca="false">Scoring!BH229</f>
        <v/>
      </c>
    </row>
    <row r="224" customFormat="false" ht="15.75" hidden="false" customHeight="false" outlineLevel="0" collapsed="false">
      <c r="A224" s="141" t="str">
        <f aca="false">Scoring!BK230</f>
        <v/>
      </c>
      <c r="B224" s="141" t="str">
        <f aca="false">Scoring!BJ230</f>
        <v/>
      </c>
      <c r="C224" s="141" t="n">
        <f aca="false">Scoring!C230</f>
        <v>0</v>
      </c>
      <c r="D224" s="142" t="str">
        <f aca="false">Scoring!BG230</f>
        <v/>
      </c>
      <c r="E224" s="141" t="str">
        <f aca="false">Scoring!AG230</f>
        <v/>
      </c>
      <c r="F224" s="141" t="n">
        <f aca="false">Scoring!B230</f>
        <v>0</v>
      </c>
      <c r="G224" s="141" t="n">
        <f aca="false">Scoring!D230</f>
        <v>0</v>
      </c>
      <c r="H224" s="141" t="str">
        <f aca="false">Scoring!BI230</f>
        <v/>
      </c>
      <c r="I224" s="143" t="str">
        <f aca="false">Scoring!BH230</f>
        <v/>
      </c>
    </row>
    <row r="225" customFormat="false" ht="15.75" hidden="false" customHeight="false" outlineLevel="0" collapsed="false">
      <c r="A225" s="141" t="str">
        <f aca="false">Scoring!BK231</f>
        <v/>
      </c>
      <c r="B225" s="141" t="str">
        <f aca="false">Scoring!BJ231</f>
        <v/>
      </c>
      <c r="C225" s="141" t="n">
        <f aca="false">Scoring!C231</f>
        <v>0</v>
      </c>
      <c r="D225" s="142" t="str">
        <f aca="false">Scoring!BG231</f>
        <v/>
      </c>
      <c r="E225" s="141" t="str">
        <f aca="false">Scoring!AG231</f>
        <v/>
      </c>
      <c r="F225" s="141" t="n">
        <f aca="false">Scoring!B231</f>
        <v>0</v>
      </c>
      <c r="G225" s="141" t="n">
        <f aca="false">Scoring!D231</f>
        <v>0</v>
      </c>
      <c r="H225" s="141" t="str">
        <f aca="false">Scoring!BI231</f>
        <v/>
      </c>
      <c r="I225" s="143" t="str">
        <f aca="false">Scoring!BH231</f>
        <v/>
      </c>
    </row>
    <row r="226" customFormat="false" ht="15.75" hidden="false" customHeight="false" outlineLevel="0" collapsed="false">
      <c r="A226" s="141" t="str">
        <f aca="false">Scoring!BK232</f>
        <v/>
      </c>
      <c r="B226" s="141" t="str">
        <f aca="false">Scoring!BJ232</f>
        <v/>
      </c>
      <c r="C226" s="141" t="n">
        <f aca="false">Scoring!C232</f>
        <v>0</v>
      </c>
      <c r="D226" s="142" t="str">
        <f aca="false">Scoring!BG232</f>
        <v/>
      </c>
      <c r="E226" s="141" t="str">
        <f aca="false">Scoring!AG232</f>
        <v/>
      </c>
      <c r="F226" s="141" t="n">
        <f aca="false">Scoring!B232</f>
        <v>0</v>
      </c>
      <c r="G226" s="141" t="n">
        <f aca="false">Scoring!D232</f>
        <v>0</v>
      </c>
      <c r="H226" s="141" t="str">
        <f aca="false">Scoring!BI232</f>
        <v/>
      </c>
      <c r="I226" s="143" t="str">
        <f aca="false">Scoring!BH232</f>
        <v/>
      </c>
    </row>
    <row r="227" customFormat="false" ht="15.75" hidden="false" customHeight="false" outlineLevel="0" collapsed="false">
      <c r="A227" s="141" t="str">
        <f aca="false">Scoring!BK233</f>
        <v/>
      </c>
      <c r="B227" s="141" t="str">
        <f aca="false">Scoring!BJ233</f>
        <v/>
      </c>
      <c r="C227" s="141" t="n">
        <f aca="false">Scoring!C233</f>
        <v>0</v>
      </c>
      <c r="D227" s="142" t="str">
        <f aca="false">Scoring!BG233</f>
        <v/>
      </c>
      <c r="E227" s="141" t="str">
        <f aca="false">Scoring!AG233</f>
        <v/>
      </c>
      <c r="F227" s="141" t="n">
        <f aca="false">Scoring!B233</f>
        <v>0</v>
      </c>
      <c r="G227" s="141" t="n">
        <f aca="false">Scoring!D233</f>
        <v>0</v>
      </c>
      <c r="H227" s="141" t="str">
        <f aca="false">Scoring!BI233</f>
        <v/>
      </c>
      <c r="I227" s="143" t="str">
        <f aca="false">Scoring!BH233</f>
        <v/>
      </c>
    </row>
    <row r="228" customFormat="false" ht="15.75" hidden="false" customHeight="false" outlineLevel="0" collapsed="false">
      <c r="A228" s="141" t="str">
        <f aca="false">Scoring!BK234</f>
        <v/>
      </c>
      <c r="B228" s="141" t="str">
        <f aca="false">Scoring!BJ234</f>
        <v/>
      </c>
      <c r="C228" s="141" t="n">
        <f aca="false">Scoring!C234</f>
        <v>0</v>
      </c>
      <c r="D228" s="142" t="str">
        <f aca="false">Scoring!BG234</f>
        <v/>
      </c>
      <c r="E228" s="141" t="str">
        <f aca="false">Scoring!AG234</f>
        <v/>
      </c>
      <c r="F228" s="141" t="n">
        <f aca="false">Scoring!B234</f>
        <v>0</v>
      </c>
      <c r="G228" s="141" t="n">
        <f aca="false">Scoring!D234</f>
        <v>0</v>
      </c>
      <c r="H228" s="141" t="str">
        <f aca="false">Scoring!BI234</f>
        <v/>
      </c>
      <c r="I228" s="143" t="str">
        <f aca="false">Scoring!BH234</f>
        <v/>
      </c>
    </row>
    <row r="229" customFormat="false" ht="15.75" hidden="false" customHeight="false" outlineLevel="0" collapsed="false">
      <c r="A229" s="141" t="str">
        <f aca="false">Scoring!BK235</f>
        <v/>
      </c>
      <c r="B229" s="141" t="str">
        <f aca="false">Scoring!BJ235</f>
        <v/>
      </c>
      <c r="C229" s="141" t="n">
        <f aca="false">Scoring!C235</f>
        <v>0</v>
      </c>
      <c r="D229" s="142" t="str">
        <f aca="false">Scoring!BG235</f>
        <v/>
      </c>
      <c r="E229" s="141" t="str">
        <f aca="false">Scoring!AG235</f>
        <v/>
      </c>
      <c r="F229" s="141" t="n">
        <f aca="false">Scoring!B235</f>
        <v>0</v>
      </c>
      <c r="G229" s="141" t="n">
        <f aca="false">Scoring!D235</f>
        <v>0</v>
      </c>
      <c r="H229" s="141" t="str">
        <f aca="false">Scoring!BI235</f>
        <v/>
      </c>
      <c r="I229" s="143" t="str">
        <f aca="false">Scoring!BH235</f>
        <v/>
      </c>
    </row>
    <row r="230" customFormat="false" ht="15.75" hidden="false" customHeight="false" outlineLevel="0" collapsed="false">
      <c r="A230" s="141" t="str">
        <f aca="false">Scoring!BK236</f>
        <v/>
      </c>
      <c r="B230" s="141" t="str">
        <f aca="false">Scoring!BJ236</f>
        <v/>
      </c>
      <c r="C230" s="141" t="n">
        <f aca="false">Scoring!C236</f>
        <v>0</v>
      </c>
      <c r="D230" s="142" t="str">
        <f aca="false">Scoring!BG236</f>
        <v/>
      </c>
      <c r="E230" s="141" t="str">
        <f aca="false">Scoring!AG236</f>
        <v/>
      </c>
      <c r="F230" s="141" t="n">
        <f aca="false">Scoring!B236</f>
        <v>0</v>
      </c>
      <c r="G230" s="141" t="n">
        <f aca="false">Scoring!D236</f>
        <v>0</v>
      </c>
      <c r="H230" s="141" t="str">
        <f aca="false">Scoring!BI236</f>
        <v/>
      </c>
      <c r="I230" s="143" t="str">
        <f aca="false">Scoring!BH236</f>
        <v/>
      </c>
    </row>
    <row r="231" customFormat="false" ht="15.75" hidden="false" customHeight="false" outlineLevel="0" collapsed="false">
      <c r="A231" s="141" t="str">
        <f aca="false">Scoring!BK237</f>
        <v/>
      </c>
      <c r="B231" s="141" t="str">
        <f aca="false">Scoring!BJ237</f>
        <v/>
      </c>
      <c r="C231" s="141" t="n">
        <f aca="false">Scoring!C237</f>
        <v>0</v>
      </c>
      <c r="D231" s="142" t="str">
        <f aca="false">Scoring!BG237</f>
        <v/>
      </c>
      <c r="E231" s="141" t="str">
        <f aca="false">Scoring!AG237</f>
        <v/>
      </c>
      <c r="F231" s="141" t="n">
        <f aca="false">Scoring!B237</f>
        <v>0</v>
      </c>
      <c r="G231" s="141" t="n">
        <f aca="false">Scoring!D237</f>
        <v>0</v>
      </c>
      <c r="H231" s="141" t="str">
        <f aca="false">Scoring!BI237</f>
        <v/>
      </c>
      <c r="I231" s="143" t="str">
        <f aca="false">Scoring!BH237</f>
        <v/>
      </c>
    </row>
    <row r="232" customFormat="false" ht="15.75" hidden="false" customHeight="false" outlineLevel="0" collapsed="false">
      <c r="A232" s="141" t="str">
        <f aca="false">Scoring!BK238</f>
        <v/>
      </c>
      <c r="B232" s="141" t="str">
        <f aca="false">Scoring!BJ238</f>
        <v/>
      </c>
      <c r="C232" s="141" t="n">
        <f aca="false">Scoring!C238</f>
        <v>0</v>
      </c>
      <c r="D232" s="142" t="str">
        <f aca="false">Scoring!BG238</f>
        <v/>
      </c>
      <c r="E232" s="141" t="str">
        <f aca="false">Scoring!AG238</f>
        <v/>
      </c>
      <c r="F232" s="141" t="n">
        <f aca="false">Scoring!B238</f>
        <v>0</v>
      </c>
      <c r="G232" s="141" t="n">
        <f aca="false">Scoring!D238</f>
        <v>0</v>
      </c>
      <c r="H232" s="141" t="str">
        <f aca="false">Scoring!BI238</f>
        <v/>
      </c>
      <c r="I232" s="143" t="str">
        <f aca="false">Scoring!BH238</f>
        <v/>
      </c>
    </row>
    <row r="233" customFormat="false" ht="15.75" hidden="false" customHeight="false" outlineLevel="0" collapsed="false">
      <c r="A233" s="141" t="str">
        <f aca="false">Scoring!BK239</f>
        <v/>
      </c>
      <c r="B233" s="141" t="str">
        <f aca="false">Scoring!BJ239</f>
        <v/>
      </c>
      <c r="C233" s="141" t="n">
        <f aca="false">Scoring!C239</f>
        <v>0</v>
      </c>
      <c r="D233" s="142" t="str">
        <f aca="false">Scoring!BG239</f>
        <v/>
      </c>
      <c r="E233" s="141" t="str">
        <f aca="false">Scoring!AG239</f>
        <v/>
      </c>
      <c r="F233" s="141" t="n">
        <f aca="false">Scoring!B239</f>
        <v>0</v>
      </c>
      <c r="G233" s="141" t="n">
        <f aca="false">Scoring!D239</f>
        <v>0</v>
      </c>
      <c r="H233" s="141" t="str">
        <f aca="false">Scoring!BI239</f>
        <v/>
      </c>
      <c r="I233" s="143" t="str">
        <f aca="false">Scoring!BH239</f>
        <v/>
      </c>
    </row>
    <row r="234" customFormat="false" ht="15.75" hidden="false" customHeight="false" outlineLevel="0" collapsed="false">
      <c r="A234" s="141" t="str">
        <f aca="false">Scoring!BK240</f>
        <v/>
      </c>
      <c r="B234" s="141" t="str">
        <f aca="false">Scoring!BJ240</f>
        <v/>
      </c>
      <c r="C234" s="141" t="n">
        <f aca="false">Scoring!C240</f>
        <v>0</v>
      </c>
      <c r="D234" s="142" t="str">
        <f aca="false">Scoring!BG240</f>
        <v/>
      </c>
      <c r="E234" s="141" t="str">
        <f aca="false">Scoring!AG240</f>
        <v/>
      </c>
      <c r="F234" s="141" t="n">
        <f aca="false">Scoring!B240</f>
        <v>0</v>
      </c>
      <c r="G234" s="141" t="n">
        <f aca="false">Scoring!D240</f>
        <v>0</v>
      </c>
      <c r="H234" s="141" t="str">
        <f aca="false">Scoring!BI240</f>
        <v/>
      </c>
      <c r="I234" s="143" t="str">
        <f aca="false">Scoring!BH240</f>
        <v/>
      </c>
    </row>
    <row r="235" customFormat="false" ht="15.75" hidden="false" customHeight="false" outlineLevel="0" collapsed="false">
      <c r="A235" s="141" t="str">
        <f aca="false">Scoring!BK241</f>
        <v/>
      </c>
      <c r="B235" s="141" t="str">
        <f aca="false">Scoring!BJ241</f>
        <v/>
      </c>
      <c r="C235" s="141" t="n">
        <f aca="false">Scoring!C241</f>
        <v>0</v>
      </c>
      <c r="D235" s="142" t="str">
        <f aca="false">Scoring!BG241</f>
        <v/>
      </c>
      <c r="E235" s="141" t="str">
        <f aca="false">Scoring!AG241</f>
        <v/>
      </c>
      <c r="F235" s="141" t="n">
        <f aca="false">Scoring!B241</f>
        <v>0</v>
      </c>
      <c r="G235" s="141" t="n">
        <f aca="false">Scoring!D241</f>
        <v>0</v>
      </c>
      <c r="H235" s="141" t="str">
        <f aca="false">Scoring!BI241</f>
        <v/>
      </c>
      <c r="I235" s="143" t="str">
        <f aca="false">Scoring!BH241</f>
        <v/>
      </c>
    </row>
    <row r="236" customFormat="false" ht="15.75" hidden="false" customHeight="false" outlineLevel="0" collapsed="false">
      <c r="A236" s="141" t="str">
        <f aca="false">Scoring!BK242</f>
        <v/>
      </c>
      <c r="B236" s="141" t="str">
        <f aca="false">Scoring!BJ242</f>
        <v/>
      </c>
      <c r="C236" s="141" t="n">
        <f aca="false">Scoring!C242</f>
        <v>0</v>
      </c>
      <c r="D236" s="142" t="str">
        <f aca="false">Scoring!BG242</f>
        <v/>
      </c>
      <c r="E236" s="141" t="str">
        <f aca="false">Scoring!AG242</f>
        <v/>
      </c>
      <c r="F236" s="141" t="n">
        <f aca="false">Scoring!B242</f>
        <v>0</v>
      </c>
      <c r="G236" s="141" t="n">
        <f aca="false">Scoring!D242</f>
        <v>0</v>
      </c>
      <c r="H236" s="141" t="str">
        <f aca="false">Scoring!BI242</f>
        <v/>
      </c>
      <c r="I236" s="143" t="str">
        <f aca="false">Scoring!BH242</f>
        <v/>
      </c>
    </row>
    <row r="237" customFormat="false" ht="15.75" hidden="false" customHeight="false" outlineLevel="0" collapsed="false">
      <c r="A237" s="141" t="str">
        <f aca="false">Scoring!BK243</f>
        <v/>
      </c>
      <c r="B237" s="141" t="str">
        <f aca="false">Scoring!BJ243</f>
        <v/>
      </c>
      <c r="C237" s="141" t="n">
        <f aca="false">Scoring!C243</f>
        <v>0</v>
      </c>
      <c r="D237" s="142" t="str">
        <f aca="false">Scoring!BG243</f>
        <v/>
      </c>
      <c r="E237" s="141" t="str">
        <f aca="false">Scoring!AG243</f>
        <v/>
      </c>
      <c r="F237" s="141" t="n">
        <f aca="false">Scoring!B243</f>
        <v>0</v>
      </c>
      <c r="G237" s="141" t="n">
        <f aca="false">Scoring!D243</f>
        <v>0</v>
      </c>
      <c r="H237" s="141" t="str">
        <f aca="false">Scoring!BI243</f>
        <v/>
      </c>
      <c r="I237" s="143" t="str">
        <f aca="false">Scoring!BH243</f>
        <v/>
      </c>
    </row>
    <row r="238" customFormat="false" ht="15.75" hidden="false" customHeight="false" outlineLevel="0" collapsed="false">
      <c r="A238" s="141" t="str">
        <f aca="false">Scoring!BK244</f>
        <v/>
      </c>
      <c r="B238" s="141" t="str">
        <f aca="false">Scoring!BJ244</f>
        <v/>
      </c>
      <c r="C238" s="141" t="n">
        <f aca="false">Scoring!C244</f>
        <v>0</v>
      </c>
      <c r="D238" s="142" t="str">
        <f aca="false">Scoring!BG244</f>
        <v/>
      </c>
      <c r="E238" s="141" t="str">
        <f aca="false">Scoring!AG244</f>
        <v/>
      </c>
      <c r="F238" s="141" t="n">
        <f aca="false">Scoring!B244</f>
        <v>0</v>
      </c>
      <c r="G238" s="141" t="n">
        <f aca="false">Scoring!D244</f>
        <v>0</v>
      </c>
      <c r="H238" s="141" t="str">
        <f aca="false">Scoring!BI244</f>
        <v/>
      </c>
      <c r="I238" s="143" t="str">
        <f aca="false">Scoring!BH244</f>
        <v/>
      </c>
    </row>
    <row r="239" customFormat="false" ht="15.75" hidden="false" customHeight="false" outlineLevel="0" collapsed="false">
      <c r="A239" s="141" t="str">
        <f aca="false">Scoring!BK245</f>
        <v/>
      </c>
      <c r="B239" s="141" t="str">
        <f aca="false">Scoring!BJ245</f>
        <v/>
      </c>
      <c r="C239" s="141" t="n">
        <f aca="false">Scoring!C245</f>
        <v>0</v>
      </c>
      <c r="D239" s="142" t="str">
        <f aca="false">Scoring!BG245</f>
        <v/>
      </c>
      <c r="E239" s="141" t="str">
        <f aca="false">Scoring!AG245</f>
        <v/>
      </c>
      <c r="F239" s="141" t="n">
        <f aca="false">Scoring!B245</f>
        <v>0</v>
      </c>
      <c r="G239" s="141" t="n">
        <f aca="false">Scoring!D245</f>
        <v>0</v>
      </c>
      <c r="H239" s="141" t="str">
        <f aca="false">Scoring!BI245</f>
        <v/>
      </c>
      <c r="I239" s="143" t="str">
        <f aca="false">Scoring!BH245</f>
        <v/>
      </c>
    </row>
    <row r="240" customFormat="false" ht="15.75" hidden="false" customHeight="false" outlineLevel="0" collapsed="false">
      <c r="A240" s="141" t="str">
        <f aca="false">Scoring!BK246</f>
        <v/>
      </c>
      <c r="B240" s="141" t="str">
        <f aca="false">Scoring!BJ246</f>
        <v/>
      </c>
      <c r="C240" s="141" t="n">
        <f aca="false">Scoring!C246</f>
        <v>0</v>
      </c>
      <c r="D240" s="142" t="str">
        <f aca="false">Scoring!BG246</f>
        <v/>
      </c>
      <c r="E240" s="141" t="str">
        <f aca="false">Scoring!AG246</f>
        <v/>
      </c>
      <c r="F240" s="141" t="n">
        <f aca="false">Scoring!B246</f>
        <v>0</v>
      </c>
      <c r="G240" s="141" t="n">
        <f aca="false">Scoring!D246</f>
        <v>0</v>
      </c>
      <c r="H240" s="141" t="str">
        <f aca="false">Scoring!BI246</f>
        <v/>
      </c>
      <c r="I240" s="143" t="str">
        <f aca="false">Scoring!BH246</f>
        <v/>
      </c>
    </row>
    <row r="241" customFormat="false" ht="15.75" hidden="false" customHeight="false" outlineLevel="0" collapsed="false">
      <c r="A241" s="141" t="str">
        <f aca="false">Scoring!BK247</f>
        <v/>
      </c>
      <c r="B241" s="141" t="str">
        <f aca="false">Scoring!BJ247</f>
        <v/>
      </c>
      <c r="C241" s="141" t="n">
        <f aca="false">Scoring!C247</f>
        <v>0</v>
      </c>
      <c r="D241" s="142" t="str">
        <f aca="false">Scoring!BG247</f>
        <v/>
      </c>
      <c r="E241" s="141" t="str">
        <f aca="false">Scoring!AG247</f>
        <v/>
      </c>
      <c r="F241" s="141" t="n">
        <f aca="false">Scoring!B247</f>
        <v>0</v>
      </c>
      <c r="G241" s="141" t="n">
        <f aca="false">Scoring!D247</f>
        <v>0</v>
      </c>
      <c r="H241" s="141" t="str">
        <f aca="false">Scoring!BI247</f>
        <v/>
      </c>
      <c r="I241" s="143" t="str">
        <f aca="false">Scoring!BH247</f>
        <v/>
      </c>
    </row>
    <row r="242" customFormat="false" ht="15.75" hidden="false" customHeight="false" outlineLevel="0" collapsed="false">
      <c r="A242" s="141" t="str">
        <f aca="false">Scoring!BK248</f>
        <v/>
      </c>
      <c r="B242" s="141" t="str">
        <f aca="false">Scoring!BJ248</f>
        <v/>
      </c>
      <c r="C242" s="141" t="n">
        <f aca="false">Scoring!C248</f>
        <v>0</v>
      </c>
      <c r="D242" s="142" t="str">
        <f aca="false">Scoring!BG248</f>
        <v/>
      </c>
      <c r="E242" s="141" t="str">
        <f aca="false">Scoring!AG248</f>
        <v/>
      </c>
      <c r="F242" s="141" t="n">
        <f aca="false">Scoring!B248</f>
        <v>0</v>
      </c>
      <c r="G242" s="141" t="n">
        <f aca="false">Scoring!D248</f>
        <v>0</v>
      </c>
      <c r="H242" s="141" t="str">
        <f aca="false">Scoring!BI248</f>
        <v/>
      </c>
      <c r="I242" s="143" t="str">
        <f aca="false">Scoring!BH248</f>
        <v/>
      </c>
    </row>
    <row r="243" customFormat="false" ht="15.75" hidden="false" customHeight="false" outlineLevel="0" collapsed="false">
      <c r="A243" s="141" t="str">
        <f aca="false">Scoring!BK249</f>
        <v/>
      </c>
      <c r="B243" s="141" t="str">
        <f aca="false">Scoring!BJ249</f>
        <v/>
      </c>
      <c r="C243" s="141" t="n">
        <f aca="false">Scoring!C249</f>
        <v>0</v>
      </c>
      <c r="D243" s="142" t="str">
        <f aca="false">Scoring!BG249</f>
        <v/>
      </c>
      <c r="E243" s="141" t="str">
        <f aca="false">Scoring!AG249</f>
        <v/>
      </c>
      <c r="F243" s="141" t="n">
        <f aca="false">Scoring!B249</f>
        <v>0</v>
      </c>
      <c r="G243" s="141" t="n">
        <f aca="false">Scoring!D249</f>
        <v>0</v>
      </c>
      <c r="H243" s="141" t="str">
        <f aca="false">Scoring!BI249</f>
        <v/>
      </c>
      <c r="I243" s="143" t="str">
        <f aca="false">Scoring!BH249</f>
        <v/>
      </c>
    </row>
    <row r="244" customFormat="false" ht="15.75" hidden="false" customHeight="false" outlineLevel="0" collapsed="false">
      <c r="A244" s="141" t="str">
        <f aca="false">Scoring!BK250</f>
        <v/>
      </c>
      <c r="B244" s="141" t="str">
        <f aca="false">Scoring!BJ250</f>
        <v/>
      </c>
      <c r="C244" s="141" t="n">
        <f aca="false">Scoring!C250</f>
        <v>0</v>
      </c>
      <c r="D244" s="142" t="str">
        <f aca="false">Scoring!BG250</f>
        <v/>
      </c>
      <c r="E244" s="141" t="str">
        <f aca="false">Scoring!AG250</f>
        <v/>
      </c>
      <c r="F244" s="141" t="n">
        <f aca="false">Scoring!B250</f>
        <v>0</v>
      </c>
      <c r="G244" s="141" t="n">
        <f aca="false">Scoring!D250</f>
        <v>0</v>
      </c>
      <c r="H244" s="141" t="str">
        <f aca="false">Scoring!BI250</f>
        <v/>
      </c>
      <c r="I244" s="143" t="str">
        <f aca="false">Scoring!BH250</f>
        <v/>
      </c>
    </row>
    <row r="245" customFormat="false" ht="15.75" hidden="false" customHeight="false" outlineLevel="0" collapsed="false">
      <c r="A245" s="141" t="str">
        <f aca="false">Scoring!BK251</f>
        <v/>
      </c>
      <c r="B245" s="141" t="str">
        <f aca="false">Scoring!BJ251</f>
        <v/>
      </c>
      <c r="C245" s="141" t="n">
        <f aca="false">Scoring!C251</f>
        <v>0</v>
      </c>
      <c r="D245" s="142" t="str">
        <f aca="false">Scoring!BG251</f>
        <v/>
      </c>
      <c r="E245" s="141" t="str">
        <f aca="false">Scoring!AG251</f>
        <v/>
      </c>
      <c r="F245" s="141" t="n">
        <f aca="false">Scoring!B251</f>
        <v>0</v>
      </c>
      <c r="G245" s="141" t="n">
        <f aca="false">Scoring!D251</f>
        <v>0</v>
      </c>
      <c r="H245" s="141" t="str">
        <f aca="false">Scoring!BI251</f>
        <v/>
      </c>
      <c r="I245" s="143" t="str">
        <f aca="false">Scoring!BH251</f>
        <v/>
      </c>
    </row>
    <row r="246" customFormat="false" ht="15.75" hidden="false" customHeight="false" outlineLevel="0" collapsed="false">
      <c r="A246" s="141" t="str">
        <f aca="false">Scoring!BK252</f>
        <v/>
      </c>
      <c r="B246" s="141" t="str">
        <f aca="false">Scoring!BJ252</f>
        <v/>
      </c>
      <c r="C246" s="141" t="n">
        <f aca="false">Scoring!C252</f>
        <v>0</v>
      </c>
      <c r="D246" s="142" t="str">
        <f aca="false">Scoring!BG252</f>
        <v/>
      </c>
      <c r="E246" s="141" t="str">
        <f aca="false">Scoring!AG252</f>
        <v/>
      </c>
      <c r="F246" s="141" t="n">
        <f aca="false">Scoring!B252</f>
        <v>0</v>
      </c>
      <c r="G246" s="141" t="n">
        <f aca="false">Scoring!D252</f>
        <v>0</v>
      </c>
      <c r="H246" s="141" t="str">
        <f aca="false">Scoring!BI252</f>
        <v/>
      </c>
      <c r="I246" s="143" t="str">
        <f aca="false">Scoring!BH252</f>
        <v/>
      </c>
    </row>
    <row r="247" customFormat="false" ht="15.75" hidden="false" customHeight="false" outlineLevel="0" collapsed="false">
      <c r="A247" s="141" t="str">
        <f aca="false">Scoring!BK253</f>
        <v/>
      </c>
      <c r="B247" s="141" t="str">
        <f aca="false">Scoring!BJ253</f>
        <v/>
      </c>
      <c r="C247" s="141" t="n">
        <f aca="false">Scoring!C253</f>
        <v>0</v>
      </c>
      <c r="D247" s="142" t="str">
        <f aca="false">Scoring!BG253</f>
        <v/>
      </c>
      <c r="E247" s="141" t="str">
        <f aca="false">Scoring!AG253</f>
        <v/>
      </c>
      <c r="F247" s="141" t="n">
        <f aca="false">Scoring!B253</f>
        <v>0</v>
      </c>
      <c r="G247" s="141" t="n">
        <f aca="false">Scoring!D253</f>
        <v>0</v>
      </c>
      <c r="H247" s="141" t="str">
        <f aca="false">Scoring!BI253</f>
        <v/>
      </c>
      <c r="I247" s="143" t="str">
        <f aca="false">Scoring!BH253</f>
        <v/>
      </c>
    </row>
    <row r="248" customFormat="false" ht="15.75" hidden="false" customHeight="false" outlineLevel="0" collapsed="false">
      <c r="A248" s="141" t="str">
        <f aca="false">Scoring!BK254</f>
        <v/>
      </c>
      <c r="B248" s="141" t="str">
        <f aca="false">Scoring!BJ254</f>
        <v/>
      </c>
      <c r="C248" s="141" t="n">
        <f aca="false">Scoring!C254</f>
        <v>0</v>
      </c>
      <c r="D248" s="142" t="str">
        <f aca="false">Scoring!BG254</f>
        <v/>
      </c>
      <c r="E248" s="141" t="str">
        <f aca="false">Scoring!AG254</f>
        <v/>
      </c>
      <c r="F248" s="141" t="n">
        <f aca="false">Scoring!B254</f>
        <v>0</v>
      </c>
      <c r="G248" s="141" t="n">
        <f aca="false">Scoring!D254</f>
        <v>0</v>
      </c>
      <c r="H248" s="141" t="str">
        <f aca="false">Scoring!BI254</f>
        <v/>
      </c>
      <c r="I248" s="143" t="str">
        <f aca="false">Scoring!BH254</f>
        <v/>
      </c>
    </row>
    <row r="249" customFormat="false" ht="15.75" hidden="false" customHeight="false" outlineLevel="0" collapsed="false">
      <c r="A249" s="141" t="str">
        <f aca="false">Scoring!BK255</f>
        <v/>
      </c>
      <c r="B249" s="141" t="str">
        <f aca="false">Scoring!BJ255</f>
        <v/>
      </c>
      <c r="C249" s="141" t="n">
        <f aca="false">Scoring!C255</f>
        <v>0</v>
      </c>
      <c r="D249" s="142" t="str">
        <f aca="false">Scoring!BG255</f>
        <v/>
      </c>
      <c r="E249" s="141" t="str">
        <f aca="false">Scoring!AG255</f>
        <v/>
      </c>
      <c r="F249" s="141" t="n">
        <f aca="false">Scoring!B255</f>
        <v>0</v>
      </c>
      <c r="G249" s="141" t="n">
        <f aca="false">Scoring!D255</f>
        <v>0</v>
      </c>
      <c r="H249" s="141" t="str">
        <f aca="false">Scoring!BI255</f>
        <v/>
      </c>
      <c r="I249" s="143" t="str">
        <f aca="false">Scoring!BH255</f>
        <v/>
      </c>
    </row>
    <row r="250" customFormat="false" ht="15.75" hidden="false" customHeight="false" outlineLevel="0" collapsed="false">
      <c r="A250" s="141" t="str">
        <f aca="false">Scoring!BK256</f>
        <v/>
      </c>
      <c r="B250" s="141" t="str">
        <f aca="false">Scoring!BJ256</f>
        <v/>
      </c>
      <c r="C250" s="141" t="n">
        <f aca="false">Scoring!C256</f>
        <v>0</v>
      </c>
      <c r="D250" s="142" t="str">
        <f aca="false">Scoring!BG256</f>
        <v/>
      </c>
      <c r="E250" s="141" t="str">
        <f aca="false">Scoring!AG256</f>
        <v/>
      </c>
      <c r="F250" s="141" t="n">
        <f aca="false">Scoring!B256</f>
        <v>0</v>
      </c>
      <c r="G250" s="141" t="n">
        <f aca="false">Scoring!D256</f>
        <v>0</v>
      </c>
      <c r="H250" s="141" t="str">
        <f aca="false">Scoring!BI256</f>
        <v/>
      </c>
      <c r="I250" s="143" t="str">
        <f aca="false">Scoring!BH256</f>
        <v/>
      </c>
    </row>
    <row r="251" customFormat="false" ht="15.75" hidden="false" customHeight="false" outlineLevel="0" collapsed="false">
      <c r="A251" s="141" t="str">
        <f aca="false">Scoring!BK257</f>
        <v/>
      </c>
      <c r="B251" s="141" t="str">
        <f aca="false">Scoring!BJ257</f>
        <v/>
      </c>
      <c r="C251" s="141" t="n">
        <f aca="false">Scoring!C257</f>
        <v>0</v>
      </c>
      <c r="D251" s="142" t="str">
        <f aca="false">Scoring!BG257</f>
        <v/>
      </c>
      <c r="E251" s="141" t="str">
        <f aca="false">Scoring!AG257</f>
        <v/>
      </c>
      <c r="F251" s="141" t="n">
        <f aca="false">Scoring!B257</f>
        <v>0</v>
      </c>
      <c r="G251" s="141" t="n">
        <f aca="false">Scoring!D257</f>
        <v>0</v>
      </c>
      <c r="H251" s="141" t="str">
        <f aca="false">Scoring!BI257</f>
        <v/>
      </c>
      <c r="I251" s="143" t="str">
        <f aca="false">Scoring!BH257</f>
        <v/>
      </c>
    </row>
    <row r="252" customFormat="false" ht="15.75" hidden="false" customHeight="false" outlineLevel="0" collapsed="false">
      <c r="A252" s="141" t="str">
        <f aca="false">Scoring!BK258</f>
        <v/>
      </c>
      <c r="B252" s="141" t="str">
        <f aca="false">Scoring!BJ258</f>
        <v/>
      </c>
      <c r="C252" s="141" t="n">
        <f aca="false">Scoring!C258</f>
        <v>0</v>
      </c>
      <c r="D252" s="142" t="str">
        <f aca="false">Scoring!BG258</f>
        <v/>
      </c>
      <c r="E252" s="141" t="str">
        <f aca="false">Scoring!AG258</f>
        <v/>
      </c>
      <c r="F252" s="141" t="n">
        <f aca="false">Scoring!B258</f>
        <v>0</v>
      </c>
      <c r="G252" s="141" t="n">
        <f aca="false">Scoring!D258</f>
        <v>0</v>
      </c>
      <c r="H252" s="141" t="str">
        <f aca="false">Scoring!BI258</f>
        <v/>
      </c>
      <c r="I252" s="143" t="str">
        <f aca="false">Scoring!BH258</f>
        <v/>
      </c>
    </row>
    <row r="253" customFormat="false" ht="15.75" hidden="false" customHeight="false" outlineLevel="0" collapsed="false">
      <c r="A253" s="141" t="str">
        <f aca="false">Scoring!BK259</f>
        <v/>
      </c>
      <c r="B253" s="141" t="str">
        <f aca="false">Scoring!BJ259</f>
        <v/>
      </c>
      <c r="C253" s="141" t="n">
        <f aca="false">Scoring!C259</f>
        <v>0</v>
      </c>
      <c r="D253" s="142" t="str">
        <f aca="false">Scoring!BG259</f>
        <v/>
      </c>
      <c r="E253" s="141" t="str">
        <f aca="false">Scoring!AG259</f>
        <v/>
      </c>
      <c r="F253" s="141" t="n">
        <f aca="false">Scoring!B259</f>
        <v>0</v>
      </c>
      <c r="G253" s="141" t="n">
        <f aca="false">Scoring!D259</f>
        <v>0</v>
      </c>
      <c r="H253" s="141" t="str">
        <f aca="false">Scoring!BI259</f>
        <v/>
      </c>
      <c r="I253" s="143" t="str">
        <f aca="false">Scoring!BH259</f>
        <v/>
      </c>
    </row>
    <row r="254" customFormat="false" ht="15.75" hidden="false" customHeight="false" outlineLevel="0" collapsed="false">
      <c r="A254" s="141" t="str">
        <f aca="false">Scoring!BK260</f>
        <v/>
      </c>
      <c r="B254" s="141" t="str">
        <f aca="false">Scoring!BJ260</f>
        <v/>
      </c>
      <c r="C254" s="141" t="n">
        <f aca="false">Scoring!C260</f>
        <v>0</v>
      </c>
      <c r="D254" s="142" t="str">
        <f aca="false">Scoring!BG260</f>
        <v/>
      </c>
      <c r="E254" s="141" t="str">
        <f aca="false">Scoring!AG260</f>
        <v/>
      </c>
      <c r="F254" s="141" t="n">
        <f aca="false">Scoring!B260</f>
        <v>0</v>
      </c>
      <c r="G254" s="141" t="n">
        <f aca="false">Scoring!D260</f>
        <v>0</v>
      </c>
      <c r="H254" s="141" t="str">
        <f aca="false">Scoring!BI260</f>
        <v/>
      </c>
      <c r="I254" s="143" t="str">
        <f aca="false">Scoring!BH260</f>
        <v/>
      </c>
    </row>
    <row r="255" customFormat="false" ht="15.75" hidden="false" customHeight="false" outlineLevel="0" collapsed="false">
      <c r="A255" s="141" t="str">
        <f aca="false">Scoring!BK261</f>
        <v/>
      </c>
      <c r="B255" s="141" t="str">
        <f aca="false">Scoring!BJ261</f>
        <v/>
      </c>
      <c r="C255" s="141" t="n">
        <f aca="false">Scoring!C261</f>
        <v>0</v>
      </c>
      <c r="D255" s="142" t="str">
        <f aca="false">Scoring!BG261</f>
        <v/>
      </c>
      <c r="E255" s="141" t="str">
        <f aca="false">Scoring!AG261</f>
        <v/>
      </c>
      <c r="F255" s="141" t="n">
        <f aca="false">Scoring!B261</f>
        <v>0</v>
      </c>
      <c r="G255" s="141" t="n">
        <f aca="false">Scoring!D261</f>
        <v>0</v>
      </c>
      <c r="H255" s="141" t="str">
        <f aca="false">Scoring!BI261</f>
        <v/>
      </c>
      <c r="I255" s="143" t="str">
        <f aca="false">Scoring!BH261</f>
        <v/>
      </c>
    </row>
    <row r="256" customFormat="false" ht="15.75" hidden="false" customHeight="false" outlineLevel="0" collapsed="false">
      <c r="A256" s="141" t="str">
        <f aca="false">Scoring!BK262</f>
        <v/>
      </c>
      <c r="B256" s="141" t="str">
        <f aca="false">Scoring!BJ262</f>
        <v/>
      </c>
      <c r="C256" s="141" t="n">
        <f aca="false">Scoring!C262</f>
        <v>0</v>
      </c>
      <c r="D256" s="142" t="str">
        <f aca="false">Scoring!BG262</f>
        <v/>
      </c>
      <c r="E256" s="141" t="str">
        <f aca="false">Scoring!AG262</f>
        <v/>
      </c>
      <c r="F256" s="141" t="n">
        <f aca="false">Scoring!B262</f>
        <v>0</v>
      </c>
      <c r="G256" s="141" t="n">
        <f aca="false">Scoring!D262</f>
        <v>0</v>
      </c>
      <c r="H256" s="141" t="str">
        <f aca="false">Scoring!BI262</f>
        <v/>
      </c>
      <c r="I256" s="143" t="str">
        <f aca="false">Scoring!BH262</f>
        <v/>
      </c>
    </row>
    <row r="257" customFormat="false" ht="15.75" hidden="false" customHeight="false" outlineLevel="0" collapsed="false">
      <c r="A257" s="141" t="str">
        <f aca="false">Scoring!BK263</f>
        <v/>
      </c>
      <c r="B257" s="141" t="str">
        <f aca="false">Scoring!BJ263</f>
        <v/>
      </c>
      <c r="C257" s="141" t="n">
        <f aca="false">Scoring!C263</f>
        <v>0</v>
      </c>
      <c r="D257" s="142" t="str">
        <f aca="false">Scoring!BG263</f>
        <v/>
      </c>
      <c r="E257" s="141" t="str">
        <f aca="false">Scoring!AG263</f>
        <v/>
      </c>
      <c r="F257" s="141" t="n">
        <f aca="false">Scoring!B263</f>
        <v>0</v>
      </c>
      <c r="G257" s="141" t="n">
        <f aca="false">Scoring!D263</f>
        <v>0</v>
      </c>
      <c r="H257" s="141" t="str">
        <f aca="false">Scoring!BI263</f>
        <v/>
      </c>
      <c r="I257" s="143" t="str">
        <f aca="false">Scoring!BH263</f>
        <v/>
      </c>
    </row>
    <row r="258" customFormat="false" ht="15.75" hidden="false" customHeight="false" outlineLevel="0" collapsed="false">
      <c r="A258" s="141" t="str">
        <f aca="false">Scoring!BK264</f>
        <v/>
      </c>
      <c r="B258" s="141" t="str">
        <f aca="false">Scoring!BJ264</f>
        <v/>
      </c>
      <c r="C258" s="141" t="n">
        <f aca="false">Scoring!C264</f>
        <v>0</v>
      </c>
      <c r="D258" s="142" t="str">
        <f aca="false">Scoring!BG264</f>
        <v/>
      </c>
      <c r="E258" s="141" t="str">
        <f aca="false">Scoring!AG264</f>
        <v/>
      </c>
      <c r="F258" s="141" t="n">
        <f aca="false">Scoring!B264</f>
        <v>0</v>
      </c>
      <c r="G258" s="141" t="n">
        <f aca="false">Scoring!D264</f>
        <v>0</v>
      </c>
      <c r="H258" s="141" t="str">
        <f aca="false">Scoring!BI264</f>
        <v/>
      </c>
      <c r="I258" s="143" t="str">
        <f aca="false">Scoring!BH264</f>
        <v/>
      </c>
    </row>
    <row r="259" customFormat="false" ht="15.75" hidden="false" customHeight="false" outlineLevel="0" collapsed="false">
      <c r="A259" s="141" t="str">
        <f aca="false">Scoring!BK265</f>
        <v/>
      </c>
      <c r="B259" s="141" t="str">
        <f aca="false">Scoring!BJ265</f>
        <v/>
      </c>
      <c r="C259" s="141" t="n">
        <f aca="false">Scoring!C265</f>
        <v>0</v>
      </c>
      <c r="D259" s="142" t="str">
        <f aca="false">Scoring!BG265</f>
        <v/>
      </c>
      <c r="E259" s="141" t="str">
        <f aca="false">Scoring!AG265</f>
        <v/>
      </c>
      <c r="F259" s="141" t="n">
        <f aca="false">Scoring!B265</f>
        <v>0</v>
      </c>
      <c r="G259" s="141" t="n">
        <f aca="false">Scoring!D265</f>
        <v>0</v>
      </c>
      <c r="H259" s="141" t="str">
        <f aca="false">Scoring!BI265</f>
        <v/>
      </c>
      <c r="I259" s="143" t="str">
        <f aca="false">Scoring!BH265</f>
        <v/>
      </c>
    </row>
    <row r="260" customFormat="false" ht="15.75" hidden="false" customHeight="false" outlineLevel="0" collapsed="false">
      <c r="A260" s="141" t="str">
        <f aca="false">Scoring!BK266</f>
        <v/>
      </c>
      <c r="B260" s="141" t="str">
        <f aca="false">Scoring!BJ266</f>
        <v/>
      </c>
      <c r="C260" s="141" t="n">
        <f aca="false">Scoring!C266</f>
        <v>0</v>
      </c>
      <c r="D260" s="142" t="str">
        <f aca="false">Scoring!BG266</f>
        <v/>
      </c>
      <c r="E260" s="141" t="str">
        <f aca="false">Scoring!AG266</f>
        <v/>
      </c>
      <c r="F260" s="141" t="n">
        <f aca="false">Scoring!B266</f>
        <v>0</v>
      </c>
      <c r="G260" s="141" t="n">
        <f aca="false">Scoring!D266</f>
        <v>0</v>
      </c>
      <c r="H260" s="141" t="str">
        <f aca="false">Scoring!BI266</f>
        <v/>
      </c>
      <c r="I260" s="143" t="str">
        <f aca="false">Scoring!BH266</f>
        <v/>
      </c>
    </row>
    <row r="261" customFormat="false" ht="15.75" hidden="false" customHeight="false" outlineLevel="0" collapsed="false">
      <c r="A261" s="141" t="str">
        <f aca="false">Scoring!BK267</f>
        <v/>
      </c>
      <c r="B261" s="141" t="str">
        <f aca="false">Scoring!BJ267</f>
        <v/>
      </c>
      <c r="C261" s="141" t="n">
        <f aca="false">Scoring!C267</f>
        <v>0</v>
      </c>
      <c r="D261" s="142" t="str">
        <f aca="false">Scoring!BG267</f>
        <v/>
      </c>
      <c r="E261" s="141" t="str">
        <f aca="false">Scoring!AG267</f>
        <v/>
      </c>
      <c r="F261" s="141" t="n">
        <f aca="false">Scoring!B267</f>
        <v>0</v>
      </c>
      <c r="G261" s="141" t="n">
        <f aca="false">Scoring!D267</f>
        <v>0</v>
      </c>
      <c r="H261" s="141" t="str">
        <f aca="false">Scoring!BI267</f>
        <v/>
      </c>
      <c r="I261" s="143" t="str">
        <f aca="false">Scoring!BH267</f>
        <v/>
      </c>
    </row>
    <row r="262" customFormat="false" ht="15.75" hidden="false" customHeight="false" outlineLevel="0" collapsed="false">
      <c r="A262" s="141" t="str">
        <f aca="false">Scoring!BK268</f>
        <v/>
      </c>
      <c r="B262" s="141" t="str">
        <f aca="false">Scoring!BJ268</f>
        <v/>
      </c>
      <c r="C262" s="141" t="n">
        <f aca="false">Scoring!C268</f>
        <v>0</v>
      </c>
      <c r="D262" s="142" t="str">
        <f aca="false">Scoring!BG268</f>
        <v/>
      </c>
      <c r="E262" s="141" t="str">
        <f aca="false">Scoring!AG268</f>
        <v/>
      </c>
      <c r="F262" s="141" t="n">
        <f aca="false">Scoring!B268</f>
        <v>0</v>
      </c>
      <c r="G262" s="141" t="n">
        <f aca="false">Scoring!D268</f>
        <v>0</v>
      </c>
      <c r="H262" s="141" t="str">
        <f aca="false">Scoring!BI268</f>
        <v/>
      </c>
      <c r="I262" s="143" t="str">
        <f aca="false">Scoring!BH268</f>
        <v/>
      </c>
    </row>
    <row r="263" customFormat="false" ht="15.75" hidden="false" customHeight="false" outlineLevel="0" collapsed="false">
      <c r="A263" s="141" t="str">
        <f aca="false">Scoring!BK269</f>
        <v/>
      </c>
      <c r="B263" s="141" t="str">
        <f aca="false">Scoring!BJ269</f>
        <v/>
      </c>
      <c r="C263" s="141" t="n">
        <f aca="false">Scoring!C269</f>
        <v>0</v>
      </c>
      <c r="D263" s="142" t="str">
        <f aca="false">Scoring!BG269</f>
        <v/>
      </c>
      <c r="E263" s="141" t="str">
        <f aca="false">Scoring!AG269</f>
        <v/>
      </c>
      <c r="F263" s="141" t="n">
        <f aca="false">Scoring!B269</f>
        <v>0</v>
      </c>
      <c r="G263" s="141" t="n">
        <f aca="false">Scoring!D269</f>
        <v>0</v>
      </c>
      <c r="H263" s="141" t="str">
        <f aca="false">Scoring!BI269</f>
        <v/>
      </c>
      <c r="I263" s="143" t="str">
        <f aca="false">Scoring!BH269</f>
        <v/>
      </c>
    </row>
    <row r="264" customFormat="false" ht="15.75" hidden="false" customHeight="false" outlineLevel="0" collapsed="false">
      <c r="A264" s="141" t="str">
        <f aca="false">Scoring!BK270</f>
        <v/>
      </c>
      <c r="B264" s="141" t="str">
        <f aca="false">Scoring!BJ270</f>
        <v/>
      </c>
      <c r="C264" s="141" t="n">
        <f aca="false">Scoring!C270</f>
        <v>0</v>
      </c>
      <c r="D264" s="142" t="str">
        <f aca="false">Scoring!BG270</f>
        <v/>
      </c>
      <c r="E264" s="141" t="str">
        <f aca="false">Scoring!AG270</f>
        <v/>
      </c>
      <c r="F264" s="141" t="n">
        <f aca="false">Scoring!B270</f>
        <v>0</v>
      </c>
      <c r="G264" s="141" t="n">
        <f aca="false">Scoring!D270</f>
        <v>0</v>
      </c>
      <c r="H264" s="141" t="str">
        <f aca="false">Scoring!BI270</f>
        <v/>
      </c>
      <c r="I264" s="143" t="str">
        <f aca="false">Scoring!BH270</f>
        <v/>
      </c>
    </row>
    <row r="265" customFormat="false" ht="15.75" hidden="false" customHeight="false" outlineLevel="0" collapsed="false">
      <c r="A265" s="141" t="str">
        <f aca="false">Scoring!BK271</f>
        <v/>
      </c>
      <c r="B265" s="141" t="str">
        <f aca="false">Scoring!BJ271</f>
        <v/>
      </c>
      <c r="C265" s="141" t="n">
        <f aca="false">Scoring!C271</f>
        <v>0</v>
      </c>
      <c r="D265" s="142" t="str">
        <f aca="false">Scoring!BG271</f>
        <v/>
      </c>
      <c r="E265" s="141" t="str">
        <f aca="false">Scoring!AG271</f>
        <v/>
      </c>
      <c r="F265" s="141" t="n">
        <f aca="false">Scoring!B271</f>
        <v>0</v>
      </c>
      <c r="G265" s="141" t="n">
        <f aca="false">Scoring!D271</f>
        <v>0</v>
      </c>
      <c r="H265" s="141" t="str">
        <f aca="false">Scoring!BI271</f>
        <v/>
      </c>
      <c r="I265" s="143" t="str">
        <f aca="false">Scoring!BH271</f>
        <v/>
      </c>
    </row>
    <row r="266" customFormat="false" ht="15.75" hidden="false" customHeight="false" outlineLevel="0" collapsed="false">
      <c r="A266" s="141" t="str">
        <f aca="false">Scoring!BK272</f>
        <v/>
      </c>
      <c r="B266" s="141" t="str">
        <f aca="false">Scoring!BJ272</f>
        <v/>
      </c>
      <c r="C266" s="141" t="n">
        <f aca="false">Scoring!C272</f>
        <v>0</v>
      </c>
      <c r="D266" s="142" t="str">
        <f aca="false">Scoring!BG272</f>
        <v/>
      </c>
      <c r="E266" s="141" t="str">
        <f aca="false">Scoring!AG272</f>
        <v/>
      </c>
      <c r="F266" s="141" t="n">
        <f aca="false">Scoring!B272</f>
        <v>0</v>
      </c>
      <c r="G266" s="141" t="n">
        <f aca="false">Scoring!D272</f>
        <v>0</v>
      </c>
      <c r="H266" s="141" t="str">
        <f aca="false">Scoring!BI272</f>
        <v/>
      </c>
      <c r="I266" s="143" t="str">
        <f aca="false">Scoring!BH272</f>
        <v/>
      </c>
    </row>
    <row r="267" customFormat="false" ht="15.75" hidden="false" customHeight="false" outlineLevel="0" collapsed="false">
      <c r="A267" s="141" t="str">
        <f aca="false">Scoring!BK273</f>
        <v/>
      </c>
      <c r="B267" s="141" t="str">
        <f aca="false">Scoring!BJ273</f>
        <v/>
      </c>
      <c r="C267" s="141" t="n">
        <f aca="false">Scoring!C273</f>
        <v>0</v>
      </c>
      <c r="D267" s="142" t="str">
        <f aca="false">Scoring!BG273</f>
        <v/>
      </c>
      <c r="E267" s="141" t="str">
        <f aca="false">Scoring!AG273</f>
        <v/>
      </c>
      <c r="F267" s="141" t="n">
        <f aca="false">Scoring!B273</f>
        <v>0</v>
      </c>
      <c r="G267" s="141" t="n">
        <f aca="false">Scoring!D273</f>
        <v>0</v>
      </c>
      <c r="H267" s="141" t="str">
        <f aca="false">Scoring!BI273</f>
        <v/>
      </c>
      <c r="I267" s="143" t="str">
        <f aca="false">Scoring!BH273</f>
        <v/>
      </c>
    </row>
    <row r="268" customFormat="false" ht="15.75" hidden="false" customHeight="false" outlineLevel="0" collapsed="false">
      <c r="A268" s="141" t="str">
        <f aca="false">Scoring!BK274</f>
        <v/>
      </c>
      <c r="B268" s="141" t="str">
        <f aca="false">Scoring!BJ274</f>
        <v/>
      </c>
      <c r="C268" s="141" t="n">
        <f aca="false">Scoring!C274</f>
        <v>0</v>
      </c>
      <c r="D268" s="142" t="str">
        <f aca="false">Scoring!BG274</f>
        <v/>
      </c>
      <c r="E268" s="141" t="str">
        <f aca="false">Scoring!AG274</f>
        <v/>
      </c>
      <c r="F268" s="141" t="n">
        <f aca="false">Scoring!B274</f>
        <v>0</v>
      </c>
      <c r="G268" s="141" t="n">
        <f aca="false">Scoring!D274</f>
        <v>0</v>
      </c>
      <c r="H268" s="141" t="str">
        <f aca="false">Scoring!BI274</f>
        <v/>
      </c>
      <c r="I268" s="143" t="str">
        <f aca="false">Scoring!BH274</f>
        <v/>
      </c>
    </row>
    <row r="269" customFormat="false" ht="15.75" hidden="false" customHeight="false" outlineLevel="0" collapsed="false">
      <c r="A269" s="141" t="str">
        <f aca="false">Scoring!BK275</f>
        <v/>
      </c>
      <c r="B269" s="141" t="str">
        <f aca="false">Scoring!BJ275</f>
        <v/>
      </c>
      <c r="C269" s="141" t="n">
        <f aca="false">Scoring!C275</f>
        <v>0</v>
      </c>
      <c r="D269" s="142" t="str">
        <f aca="false">Scoring!BG275</f>
        <v/>
      </c>
      <c r="E269" s="141" t="str">
        <f aca="false">Scoring!AG275</f>
        <v/>
      </c>
      <c r="F269" s="141" t="n">
        <f aca="false">Scoring!B275</f>
        <v>0</v>
      </c>
      <c r="G269" s="141" t="n">
        <f aca="false">Scoring!D275</f>
        <v>0</v>
      </c>
      <c r="H269" s="141" t="str">
        <f aca="false">Scoring!BI275</f>
        <v/>
      </c>
      <c r="I269" s="143" t="str">
        <f aca="false">Scoring!BH275</f>
        <v/>
      </c>
    </row>
    <row r="270" customFormat="false" ht="15.75" hidden="false" customHeight="false" outlineLevel="0" collapsed="false">
      <c r="A270" s="141" t="str">
        <f aca="false">Scoring!BK276</f>
        <v/>
      </c>
      <c r="B270" s="141" t="str">
        <f aca="false">Scoring!BJ276</f>
        <v/>
      </c>
      <c r="C270" s="141" t="n">
        <f aca="false">Scoring!C276</f>
        <v>0</v>
      </c>
      <c r="D270" s="142" t="str">
        <f aca="false">Scoring!BG276</f>
        <v/>
      </c>
      <c r="E270" s="141" t="str">
        <f aca="false">Scoring!AG276</f>
        <v/>
      </c>
      <c r="F270" s="141" t="n">
        <f aca="false">Scoring!B276</f>
        <v>0</v>
      </c>
      <c r="G270" s="141" t="n">
        <f aca="false">Scoring!D276</f>
        <v>0</v>
      </c>
      <c r="H270" s="141" t="str">
        <f aca="false">Scoring!BI276</f>
        <v/>
      </c>
      <c r="I270" s="143" t="str">
        <f aca="false">Scoring!BH276</f>
        <v/>
      </c>
    </row>
    <row r="271" customFormat="false" ht="15.75" hidden="false" customHeight="false" outlineLevel="0" collapsed="false">
      <c r="A271" s="141" t="str">
        <f aca="false">Scoring!BK277</f>
        <v/>
      </c>
      <c r="B271" s="141" t="str">
        <f aca="false">Scoring!BJ277</f>
        <v/>
      </c>
      <c r="C271" s="141" t="n">
        <f aca="false">Scoring!C277</f>
        <v>0</v>
      </c>
      <c r="D271" s="142" t="str">
        <f aca="false">Scoring!BG277</f>
        <v/>
      </c>
      <c r="E271" s="141" t="str">
        <f aca="false">Scoring!AG277</f>
        <v/>
      </c>
      <c r="F271" s="141" t="n">
        <f aca="false">Scoring!B277</f>
        <v>0</v>
      </c>
      <c r="G271" s="141" t="n">
        <f aca="false">Scoring!D277</f>
        <v>0</v>
      </c>
      <c r="H271" s="141" t="str">
        <f aca="false">Scoring!BI277</f>
        <v/>
      </c>
      <c r="I271" s="143" t="str">
        <f aca="false">Scoring!BH277</f>
        <v/>
      </c>
    </row>
    <row r="272" customFormat="false" ht="15.75" hidden="false" customHeight="false" outlineLevel="0" collapsed="false">
      <c r="A272" s="141" t="str">
        <f aca="false">Scoring!BK278</f>
        <v/>
      </c>
      <c r="B272" s="141" t="str">
        <f aca="false">Scoring!BJ278</f>
        <v/>
      </c>
      <c r="C272" s="141" t="n">
        <f aca="false">Scoring!C278</f>
        <v>0</v>
      </c>
      <c r="D272" s="142" t="str">
        <f aca="false">Scoring!BG278</f>
        <v/>
      </c>
      <c r="E272" s="141" t="str">
        <f aca="false">Scoring!AG278</f>
        <v/>
      </c>
      <c r="F272" s="141" t="n">
        <f aca="false">Scoring!B278</f>
        <v>0</v>
      </c>
      <c r="G272" s="141" t="n">
        <f aca="false">Scoring!D278</f>
        <v>0</v>
      </c>
      <c r="H272" s="141" t="str">
        <f aca="false">Scoring!BI278</f>
        <v/>
      </c>
      <c r="I272" s="143" t="str">
        <f aca="false">Scoring!BH278</f>
        <v/>
      </c>
    </row>
    <row r="273" customFormat="false" ht="15.75" hidden="false" customHeight="false" outlineLevel="0" collapsed="false">
      <c r="A273" s="141" t="str">
        <f aca="false">Scoring!BK279</f>
        <v/>
      </c>
      <c r="B273" s="141" t="str">
        <f aca="false">Scoring!BJ279</f>
        <v/>
      </c>
      <c r="C273" s="141" t="n">
        <f aca="false">Scoring!C279</f>
        <v>0</v>
      </c>
      <c r="D273" s="142" t="str">
        <f aca="false">Scoring!BG279</f>
        <v/>
      </c>
      <c r="E273" s="141" t="str">
        <f aca="false">Scoring!AG279</f>
        <v/>
      </c>
      <c r="F273" s="141" t="n">
        <f aca="false">Scoring!B279</f>
        <v>0</v>
      </c>
      <c r="G273" s="141" t="n">
        <f aca="false">Scoring!D279</f>
        <v>0</v>
      </c>
      <c r="H273" s="141" t="str">
        <f aca="false">Scoring!BI279</f>
        <v/>
      </c>
      <c r="I273" s="143" t="str">
        <f aca="false">Scoring!BH279</f>
        <v/>
      </c>
    </row>
    <row r="274" customFormat="false" ht="15.75" hidden="false" customHeight="false" outlineLevel="0" collapsed="false">
      <c r="A274" s="141" t="str">
        <f aca="false">Scoring!BK280</f>
        <v/>
      </c>
      <c r="B274" s="141" t="str">
        <f aca="false">Scoring!BJ280</f>
        <v/>
      </c>
      <c r="C274" s="141" t="n">
        <f aca="false">Scoring!C280</f>
        <v>0</v>
      </c>
      <c r="D274" s="142" t="str">
        <f aca="false">Scoring!BG280</f>
        <v/>
      </c>
      <c r="E274" s="141" t="str">
        <f aca="false">Scoring!AG280</f>
        <v/>
      </c>
      <c r="F274" s="141" t="n">
        <f aca="false">Scoring!B280</f>
        <v>0</v>
      </c>
      <c r="G274" s="141" t="n">
        <f aca="false">Scoring!D280</f>
        <v>0</v>
      </c>
      <c r="H274" s="141" t="str">
        <f aca="false">Scoring!BI280</f>
        <v/>
      </c>
      <c r="I274" s="143" t="str">
        <f aca="false">Scoring!BH280</f>
        <v/>
      </c>
    </row>
    <row r="275" customFormat="false" ht="15.75" hidden="false" customHeight="false" outlineLevel="0" collapsed="false">
      <c r="A275" s="141" t="str">
        <f aca="false">Scoring!BK281</f>
        <v/>
      </c>
      <c r="B275" s="141" t="str">
        <f aca="false">Scoring!BJ281</f>
        <v/>
      </c>
      <c r="C275" s="141" t="n">
        <f aca="false">Scoring!C281</f>
        <v>0</v>
      </c>
      <c r="D275" s="142" t="str">
        <f aca="false">Scoring!BG281</f>
        <v/>
      </c>
      <c r="E275" s="141" t="str">
        <f aca="false">Scoring!AG281</f>
        <v/>
      </c>
      <c r="F275" s="141" t="n">
        <f aca="false">Scoring!B281</f>
        <v>0</v>
      </c>
      <c r="G275" s="141" t="n">
        <f aca="false">Scoring!D281</f>
        <v>0</v>
      </c>
      <c r="H275" s="141" t="str">
        <f aca="false">Scoring!BI281</f>
        <v/>
      </c>
      <c r="I275" s="143" t="str">
        <f aca="false">Scoring!BH281</f>
        <v/>
      </c>
    </row>
    <row r="276" customFormat="false" ht="15.75" hidden="false" customHeight="false" outlineLevel="0" collapsed="false">
      <c r="A276" s="141" t="str">
        <f aca="false">Scoring!BK282</f>
        <v/>
      </c>
      <c r="B276" s="141" t="str">
        <f aca="false">Scoring!BJ282</f>
        <v/>
      </c>
      <c r="C276" s="141" t="n">
        <f aca="false">Scoring!C282</f>
        <v>0</v>
      </c>
      <c r="D276" s="142" t="str">
        <f aca="false">Scoring!BG282</f>
        <v/>
      </c>
      <c r="E276" s="141" t="str">
        <f aca="false">Scoring!AG282</f>
        <v/>
      </c>
      <c r="F276" s="141" t="n">
        <f aca="false">Scoring!B282</f>
        <v>0</v>
      </c>
      <c r="G276" s="141" t="n">
        <f aca="false">Scoring!D282</f>
        <v>0</v>
      </c>
      <c r="H276" s="141" t="str">
        <f aca="false">Scoring!BI282</f>
        <v/>
      </c>
      <c r="I276" s="143" t="str">
        <f aca="false">Scoring!BH282</f>
        <v/>
      </c>
    </row>
    <row r="277" customFormat="false" ht="15.75" hidden="false" customHeight="false" outlineLevel="0" collapsed="false">
      <c r="A277" s="141" t="str">
        <f aca="false">Scoring!BK283</f>
        <v/>
      </c>
      <c r="B277" s="141" t="str">
        <f aca="false">Scoring!BJ283</f>
        <v/>
      </c>
      <c r="C277" s="141" t="n">
        <f aca="false">Scoring!C283</f>
        <v>0</v>
      </c>
      <c r="D277" s="142" t="str">
        <f aca="false">Scoring!BG283</f>
        <v/>
      </c>
      <c r="E277" s="141" t="str">
        <f aca="false">Scoring!AG283</f>
        <v/>
      </c>
      <c r="F277" s="141" t="n">
        <f aca="false">Scoring!B283</f>
        <v>0</v>
      </c>
      <c r="G277" s="141" t="n">
        <f aca="false">Scoring!D283</f>
        <v>0</v>
      </c>
      <c r="H277" s="141" t="str">
        <f aca="false">Scoring!BI283</f>
        <v/>
      </c>
      <c r="I277" s="143" t="str">
        <f aca="false">Scoring!BH283</f>
        <v/>
      </c>
    </row>
    <row r="278" customFormat="false" ht="15.75" hidden="false" customHeight="false" outlineLevel="0" collapsed="false">
      <c r="A278" s="141" t="str">
        <f aca="false">Scoring!BK284</f>
        <v/>
      </c>
      <c r="B278" s="141" t="str">
        <f aca="false">Scoring!BJ284</f>
        <v/>
      </c>
      <c r="C278" s="141" t="n">
        <f aca="false">Scoring!C284</f>
        <v>0</v>
      </c>
      <c r="D278" s="142" t="str">
        <f aca="false">Scoring!BG284</f>
        <v/>
      </c>
      <c r="E278" s="141" t="str">
        <f aca="false">Scoring!AG284</f>
        <v/>
      </c>
      <c r="F278" s="141" t="n">
        <f aca="false">Scoring!B284</f>
        <v>0</v>
      </c>
      <c r="G278" s="141" t="n">
        <f aca="false">Scoring!D284</f>
        <v>0</v>
      </c>
      <c r="H278" s="141" t="str">
        <f aca="false">Scoring!BI284</f>
        <v/>
      </c>
      <c r="I278" s="143" t="str">
        <f aca="false">Scoring!BH284</f>
        <v/>
      </c>
    </row>
    <row r="279" customFormat="false" ht="15.75" hidden="false" customHeight="false" outlineLevel="0" collapsed="false">
      <c r="A279" s="141" t="str">
        <f aca="false">Scoring!BK285</f>
        <v/>
      </c>
      <c r="B279" s="141" t="str">
        <f aca="false">Scoring!BJ285</f>
        <v/>
      </c>
      <c r="C279" s="141" t="n">
        <f aca="false">Scoring!C285</f>
        <v>0</v>
      </c>
      <c r="D279" s="142" t="str">
        <f aca="false">Scoring!BG285</f>
        <v/>
      </c>
      <c r="E279" s="141" t="str">
        <f aca="false">Scoring!AG285</f>
        <v/>
      </c>
      <c r="F279" s="141" t="n">
        <f aca="false">Scoring!B285</f>
        <v>0</v>
      </c>
      <c r="G279" s="141" t="n">
        <f aca="false">Scoring!D285</f>
        <v>0</v>
      </c>
      <c r="H279" s="141" t="str">
        <f aca="false">Scoring!BI285</f>
        <v/>
      </c>
      <c r="I279" s="143" t="str">
        <f aca="false">Scoring!BH285</f>
        <v/>
      </c>
    </row>
    <row r="280" customFormat="false" ht="15.75" hidden="false" customHeight="false" outlineLevel="0" collapsed="false">
      <c r="A280" s="141" t="str">
        <f aca="false">Scoring!BK286</f>
        <v/>
      </c>
      <c r="B280" s="141" t="str">
        <f aca="false">Scoring!BJ286</f>
        <v/>
      </c>
      <c r="C280" s="141" t="n">
        <f aca="false">Scoring!C286</f>
        <v>0</v>
      </c>
      <c r="D280" s="142" t="str">
        <f aca="false">Scoring!BG286</f>
        <v/>
      </c>
      <c r="E280" s="141" t="str">
        <f aca="false">Scoring!AG286</f>
        <v/>
      </c>
      <c r="F280" s="141" t="n">
        <f aca="false">Scoring!B286</f>
        <v>0</v>
      </c>
      <c r="G280" s="141" t="n">
        <f aca="false">Scoring!D286</f>
        <v>0</v>
      </c>
      <c r="H280" s="141" t="str">
        <f aca="false">Scoring!BI286</f>
        <v/>
      </c>
      <c r="I280" s="143" t="str">
        <f aca="false">Scoring!BH286</f>
        <v/>
      </c>
    </row>
    <row r="281" customFormat="false" ht="15.75" hidden="false" customHeight="false" outlineLevel="0" collapsed="false">
      <c r="A281" s="141" t="str">
        <f aca="false">Scoring!BK287</f>
        <v/>
      </c>
      <c r="B281" s="141" t="str">
        <f aca="false">Scoring!BJ287</f>
        <v/>
      </c>
      <c r="C281" s="141" t="n">
        <f aca="false">Scoring!C287</f>
        <v>0</v>
      </c>
      <c r="D281" s="142" t="str">
        <f aca="false">Scoring!BG287</f>
        <v/>
      </c>
      <c r="E281" s="141" t="str">
        <f aca="false">Scoring!AG287</f>
        <v/>
      </c>
      <c r="F281" s="141" t="n">
        <f aca="false">Scoring!B287</f>
        <v>0</v>
      </c>
      <c r="G281" s="141" t="n">
        <f aca="false">Scoring!D287</f>
        <v>0</v>
      </c>
      <c r="H281" s="141" t="str">
        <f aca="false">Scoring!BI287</f>
        <v/>
      </c>
      <c r="I281" s="143" t="str">
        <f aca="false">Scoring!BH287</f>
        <v/>
      </c>
    </row>
    <row r="282" customFormat="false" ht="15.75" hidden="false" customHeight="false" outlineLevel="0" collapsed="false">
      <c r="A282" s="141" t="str">
        <f aca="false">Scoring!BK288</f>
        <v/>
      </c>
      <c r="B282" s="141" t="str">
        <f aca="false">Scoring!BJ288</f>
        <v/>
      </c>
      <c r="C282" s="141" t="n">
        <f aca="false">Scoring!C288</f>
        <v>0</v>
      </c>
      <c r="D282" s="142" t="str">
        <f aca="false">Scoring!BG288</f>
        <v/>
      </c>
      <c r="E282" s="141" t="str">
        <f aca="false">Scoring!AG288</f>
        <v/>
      </c>
      <c r="F282" s="141" t="n">
        <f aca="false">Scoring!B288</f>
        <v>0</v>
      </c>
      <c r="G282" s="141" t="n">
        <f aca="false">Scoring!D288</f>
        <v>0</v>
      </c>
      <c r="H282" s="141" t="str">
        <f aca="false">Scoring!BI288</f>
        <v/>
      </c>
      <c r="I282" s="143" t="str">
        <f aca="false">Scoring!BH288</f>
        <v/>
      </c>
    </row>
    <row r="283" customFormat="false" ht="15.75" hidden="false" customHeight="false" outlineLevel="0" collapsed="false">
      <c r="A283" s="141" t="str">
        <f aca="false">Scoring!BK289</f>
        <v/>
      </c>
      <c r="B283" s="141" t="str">
        <f aca="false">Scoring!BJ289</f>
        <v/>
      </c>
      <c r="C283" s="141" t="n">
        <f aca="false">Scoring!C289</f>
        <v>0</v>
      </c>
      <c r="D283" s="142" t="str">
        <f aca="false">Scoring!BG289</f>
        <v/>
      </c>
      <c r="E283" s="141" t="str">
        <f aca="false">Scoring!AG289</f>
        <v/>
      </c>
      <c r="F283" s="141" t="n">
        <f aca="false">Scoring!B289</f>
        <v>0</v>
      </c>
      <c r="G283" s="141" t="n">
        <f aca="false">Scoring!D289</f>
        <v>0</v>
      </c>
      <c r="H283" s="141" t="str">
        <f aca="false">Scoring!BI289</f>
        <v/>
      </c>
      <c r="I283" s="143" t="str">
        <f aca="false">Scoring!BH289</f>
        <v/>
      </c>
    </row>
    <row r="284" customFormat="false" ht="15.75" hidden="false" customHeight="false" outlineLevel="0" collapsed="false">
      <c r="A284" s="141" t="str">
        <f aca="false">Scoring!BK290</f>
        <v/>
      </c>
      <c r="B284" s="141" t="str">
        <f aca="false">Scoring!BJ290</f>
        <v/>
      </c>
      <c r="C284" s="141" t="n">
        <f aca="false">Scoring!C290</f>
        <v>0</v>
      </c>
      <c r="D284" s="142" t="str">
        <f aca="false">Scoring!BG290</f>
        <v/>
      </c>
      <c r="E284" s="141" t="str">
        <f aca="false">Scoring!AG290</f>
        <v/>
      </c>
      <c r="F284" s="141" t="n">
        <f aca="false">Scoring!B290</f>
        <v>0</v>
      </c>
      <c r="G284" s="141" t="n">
        <f aca="false">Scoring!D290</f>
        <v>0</v>
      </c>
      <c r="H284" s="141" t="str">
        <f aca="false">Scoring!BI290</f>
        <v/>
      </c>
      <c r="I284" s="143" t="str">
        <f aca="false">Scoring!BH290</f>
        <v/>
      </c>
    </row>
    <row r="285" customFormat="false" ht="15.75" hidden="false" customHeight="false" outlineLevel="0" collapsed="false">
      <c r="A285" s="141" t="str">
        <f aca="false">Scoring!BK291</f>
        <v/>
      </c>
      <c r="B285" s="141" t="str">
        <f aca="false">Scoring!BJ291</f>
        <v/>
      </c>
      <c r="C285" s="141" t="n">
        <f aca="false">Scoring!C291</f>
        <v>0</v>
      </c>
      <c r="D285" s="142" t="str">
        <f aca="false">Scoring!BG291</f>
        <v/>
      </c>
      <c r="E285" s="141" t="str">
        <f aca="false">Scoring!AG291</f>
        <v/>
      </c>
      <c r="F285" s="141" t="n">
        <f aca="false">Scoring!B291</f>
        <v>0</v>
      </c>
      <c r="G285" s="141" t="n">
        <f aca="false">Scoring!D291</f>
        <v>0</v>
      </c>
      <c r="H285" s="141" t="str">
        <f aca="false">Scoring!BI291</f>
        <v/>
      </c>
      <c r="I285" s="143" t="str">
        <f aca="false">Scoring!BH291</f>
        <v/>
      </c>
    </row>
    <row r="286" customFormat="false" ht="15.75" hidden="false" customHeight="false" outlineLevel="0" collapsed="false">
      <c r="A286" s="141" t="str">
        <f aca="false">Scoring!BK292</f>
        <v/>
      </c>
      <c r="B286" s="141" t="str">
        <f aca="false">Scoring!BJ292</f>
        <v/>
      </c>
      <c r="C286" s="141" t="n">
        <f aca="false">Scoring!C292</f>
        <v>0</v>
      </c>
      <c r="D286" s="142" t="str">
        <f aca="false">Scoring!BG292</f>
        <v/>
      </c>
      <c r="E286" s="141" t="str">
        <f aca="false">Scoring!AG292</f>
        <v/>
      </c>
      <c r="F286" s="141" t="n">
        <f aca="false">Scoring!B292</f>
        <v>0</v>
      </c>
      <c r="G286" s="141" t="n">
        <f aca="false">Scoring!D292</f>
        <v>0</v>
      </c>
      <c r="H286" s="141" t="str">
        <f aca="false">Scoring!BI292</f>
        <v/>
      </c>
      <c r="I286" s="143" t="str">
        <f aca="false">Scoring!BH292</f>
        <v/>
      </c>
    </row>
    <row r="287" customFormat="false" ht="15.75" hidden="false" customHeight="false" outlineLevel="0" collapsed="false">
      <c r="A287" s="141" t="str">
        <f aca="false">Scoring!BK293</f>
        <v/>
      </c>
      <c r="B287" s="141" t="str">
        <f aca="false">Scoring!BJ293</f>
        <v/>
      </c>
      <c r="C287" s="141" t="n">
        <f aca="false">Scoring!C293</f>
        <v>0</v>
      </c>
      <c r="D287" s="142" t="str">
        <f aca="false">Scoring!BG293</f>
        <v/>
      </c>
      <c r="E287" s="141" t="str">
        <f aca="false">Scoring!AG293</f>
        <v/>
      </c>
      <c r="F287" s="141" t="n">
        <f aca="false">Scoring!B293</f>
        <v>0</v>
      </c>
      <c r="G287" s="141" t="n">
        <f aca="false">Scoring!D293</f>
        <v>0</v>
      </c>
      <c r="H287" s="141" t="str">
        <f aca="false">Scoring!BI293</f>
        <v/>
      </c>
      <c r="I287" s="143" t="str">
        <f aca="false">Scoring!BH293</f>
        <v/>
      </c>
    </row>
    <row r="288" customFormat="false" ht="15.75" hidden="false" customHeight="false" outlineLevel="0" collapsed="false">
      <c r="A288" s="141" t="str">
        <f aca="false">Scoring!BK294</f>
        <v/>
      </c>
      <c r="B288" s="141" t="str">
        <f aca="false">Scoring!BJ294</f>
        <v/>
      </c>
      <c r="C288" s="141" t="n">
        <f aca="false">Scoring!C294</f>
        <v>0</v>
      </c>
      <c r="D288" s="142" t="str">
        <f aca="false">Scoring!BG294</f>
        <v/>
      </c>
      <c r="E288" s="141" t="str">
        <f aca="false">Scoring!AG294</f>
        <v/>
      </c>
      <c r="F288" s="141" t="n">
        <f aca="false">Scoring!B294</f>
        <v>0</v>
      </c>
      <c r="G288" s="141" t="n">
        <f aca="false">Scoring!D294</f>
        <v>0</v>
      </c>
      <c r="H288" s="141" t="str">
        <f aca="false">Scoring!BI294</f>
        <v/>
      </c>
      <c r="I288" s="143" t="str">
        <f aca="false">Scoring!BH294</f>
        <v/>
      </c>
    </row>
    <row r="289" customFormat="false" ht="15.75" hidden="false" customHeight="false" outlineLevel="0" collapsed="false">
      <c r="A289" s="141" t="str">
        <f aca="false">Scoring!BK295</f>
        <v/>
      </c>
      <c r="B289" s="141" t="str">
        <f aca="false">Scoring!BJ295</f>
        <v/>
      </c>
      <c r="C289" s="141" t="n">
        <f aca="false">Scoring!C295</f>
        <v>0</v>
      </c>
      <c r="D289" s="142" t="str">
        <f aca="false">Scoring!BG295</f>
        <v/>
      </c>
      <c r="E289" s="141" t="str">
        <f aca="false">Scoring!AG295</f>
        <v/>
      </c>
      <c r="F289" s="141" t="n">
        <f aca="false">Scoring!B295</f>
        <v>0</v>
      </c>
      <c r="G289" s="141" t="n">
        <f aca="false">Scoring!D295</f>
        <v>0</v>
      </c>
      <c r="H289" s="141" t="str">
        <f aca="false">Scoring!BI295</f>
        <v/>
      </c>
      <c r="I289" s="143" t="str">
        <f aca="false">Scoring!BH295</f>
        <v/>
      </c>
    </row>
    <row r="290" customFormat="false" ht="15.75" hidden="false" customHeight="false" outlineLevel="0" collapsed="false">
      <c r="A290" s="141" t="str">
        <f aca="false">Scoring!BK296</f>
        <v/>
      </c>
      <c r="B290" s="141" t="str">
        <f aca="false">Scoring!BJ296</f>
        <v/>
      </c>
      <c r="C290" s="141" t="n">
        <f aca="false">Scoring!C296</f>
        <v>0</v>
      </c>
      <c r="D290" s="142" t="str">
        <f aca="false">Scoring!BG296</f>
        <v/>
      </c>
      <c r="E290" s="141" t="str">
        <f aca="false">Scoring!AG296</f>
        <v/>
      </c>
      <c r="F290" s="141" t="n">
        <f aca="false">Scoring!B296</f>
        <v>0</v>
      </c>
      <c r="G290" s="141" t="n">
        <f aca="false">Scoring!D296</f>
        <v>0</v>
      </c>
      <c r="H290" s="141" t="str">
        <f aca="false">Scoring!BI296</f>
        <v/>
      </c>
      <c r="I290" s="143" t="str">
        <f aca="false">Scoring!BH296</f>
        <v/>
      </c>
    </row>
    <row r="291" customFormat="false" ht="15.75" hidden="false" customHeight="false" outlineLevel="0" collapsed="false">
      <c r="A291" s="141" t="str">
        <f aca="false">Scoring!BK297</f>
        <v/>
      </c>
      <c r="B291" s="141" t="str">
        <f aca="false">Scoring!BJ297</f>
        <v/>
      </c>
      <c r="C291" s="141" t="n">
        <f aca="false">Scoring!C297</f>
        <v>0</v>
      </c>
      <c r="D291" s="142" t="str">
        <f aca="false">Scoring!BG297</f>
        <v/>
      </c>
      <c r="E291" s="141" t="str">
        <f aca="false">Scoring!AG297</f>
        <v/>
      </c>
      <c r="F291" s="141" t="n">
        <f aca="false">Scoring!B297</f>
        <v>0</v>
      </c>
      <c r="G291" s="141" t="n">
        <f aca="false">Scoring!D297</f>
        <v>0</v>
      </c>
      <c r="H291" s="141" t="str">
        <f aca="false">Scoring!BI297</f>
        <v/>
      </c>
      <c r="I291" s="143" t="str">
        <f aca="false">Scoring!BH297</f>
        <v/>
      </c>
    </row>
    <row r="292" customFormat="false" ht="15.75" hidden="false" customHeight="false" outlineLevel="0" collapsed="false">
      <c r="A292" s="141" t="str">
        <f aca="false">Scoring!BK298</f>
        <v/>
      </c>
      <c r="B292" s="141" t="str">
        <f aca="false">Scoring!BJ298</f>
        <v/>
      </c>
      <c r="C292" s="141" t="n">
        <f aca="false">Scoring!C298</f>
        <v>0</v>
      </c>
      <c r="D292" s="142" t="str">
        <f aca="false">Scoring!BG298</f>
        <v/>
      </c>
      <c r="E292" s="141" t="str">
        <f aca="false">Scoring!AG298</f>
        <v/>
      </c>
      <c r="F292" s="141" t="n">
        <f aca="false">Scoring!B298</f>
        <v>0</v>
      </c>
      <c r="G292" s="141" t="n">
        <f aca="false">Scoring!D298</f>
        <v>0</v>
      </c>
      <c r="H292" s="141" t="str">
        <f aca="false">Scoring!BI298</f>
        <v/>
      </c>
      <c r="I292" s="143" t="str">
        <f aca="false">Scoring!BH298</f>
        <v/>
      </c>
    </row>
    <row r="293" customFormat="false" ht="15.75" hidden="false" customHeight="false" outlineLevel="0" collapsed="false">
      <c r="A293" s="141" t="str">
        <f aca="false">Scoring!BK299</f>
        <v/>
      </c>
      <c r="B293" s="141" t="str">
        <f aca="false">Scoring!BJ299</f>
        <v/>
      </c>
      <c r="C293" s="141" t="n">
        <f aca="false">Scoring!C299</f>
        <v>0</v>
      </c>
      <c r="D293" s="142" t="str">
        <f aca="false">Scoring!BG299</f>
        <v/>
      </c>
      <c r="E293" s="141" t="str">
        <f aca="false">Scoring!AG299</f>
        <v/>
      </c>
      <c r="F293" s="141" t="n">
        <f aca="false">Scoring!B299</f>
        <v>0</v>
      </c>
      <c r="G293" s="141" t="n">
        <f aca="false">Scoring!D299</f>
        <v>0</v>
      </c>
      <c r="H293" s="141" t="str">
        <f aca="false">Scoring!BI299</f>
        <v/>
      </c>
      <c r="I293" s="143" t="str">
        <f aca="false">Scoring!BH299</f>
        <v/>
      </c>
    </row>
    <row r="294" customFormat="false" ht="15.75" hidden="false" customHeight="false" outlineLevel="0" collapsed="false">
      <c r="A294" s="141" t="str">
        <f aca="false">Scoring!BK300</f>
        <v/>
      </c>
      <c r="B294" s="141" t="str">
        <f aca="false">Scoring!BJ300</f>
        <v/>
      </c>
      <c r="C294" s="141" t="n">
        <f aca="false">Scoring!C300</f>
        <v>0</v>
      </c>
      <c r="D294" s="142" t="str">
        <f aca="false">Scoring!BG300</f>
        <v/>
      </c>
      <c r="E294" s="141" t="str">
        <f aca="false">Scoring!AG300</f>
        <v/>
      </c>
      <c r="F294" s="141" t="n">
        <f aca="false">Scoring!B300</f>
        <v>0</v>
      </c>
      <c r="G294" s="141" t="n">
        <f aca="false">Scoring!D300</f>
        <v>0</v>
      </c>
      <c r="H294" s="141" t="str">
        <f aca="false">Scoring!BI300</f>
        <v/>
      </c>
      <c r="I294" s="143" t="str">
        <f aca="false">Scoring!BH300</f>
        <v/>
      </c>
    </row>
    <row r="295" customFormat="false" ht="15.75" hidden="false" customHeight="false" outlineLevel="0" collapsed="false">
      <c r="A295" s="141" t="str">
        <f aca="false">Scoring!BK301</f>
        <v/>
      </c>
      <c r="B295" s="141" t="str">
        <f aca="false">Scoring!BJ301</f>
        <v/>
      </c>
      <c r="C295" s="141" t="n">
        <f aca="false">Scoring!C301</f>
        <v>0</v>
      </c>
      <c r="D295" s="142" t="str">
        <f aca="false">Scoring!BG301</f>
        <v/>
      </c>
      <c r="E295" s="141" t="str">
        <f aca="false">Scoring!AG301</f>
        <v/>
      </c>
      <c r="F295" s="141" t="n">
        <f aca="false">Scoring!B301</f>
        <v>0</v>
      </c>
      <c r="G295" s="141" t="n">
        <f aca="false">Scoring!D301</f>
        <v>0</v>
      </c>
      <c r="H295" s="141" t="str">
        <f aca="false">Scoring!BI301</f>
        <v/>
      </c>
      <c r="I295" s="143" t="str">
        <f aca="false">Scoring!BH301</f>
        <v/>
      </c>
    </row>
    <row r="296" customFormat="false" ht="15.75" hidden="false" customHeight="false" outlineLevel="0" collapsed="false">
      <c r="A296" s="141" t="str">
        <f aca="false">Scoring!BK302</f>
        <v/>
      </c>
      <c r="B296" s="141" t="str">
        <f aca="false">Scoring!BJ302</f>
        <v/>
      </c>
      <c r="C296" s="141" t="n">
        <f aca="false">Scoring!C302</f>
        <v>0</v>
      </c>
      <c r="D296" s="142" t="str">
        <f aca="false">Scoring!BG302</f>
        <v/>
      </c>
      <c r="E296" s="141" t="str">
        <f aca="false">Scoring!AG302</f>
        <v/>
      </c>
      <c r="F296" s="141" t="n">
        <f aca="false">Scoring!B302</f>
        <v>0</v>
      </c>
      <c r="G296" s="141" t="n">
        <f aca="false">Scoring!D302</f>
        <v>0</v>
      </c>
      <c r="H296" s="141" t="str">
        <f aca="false">Scoring!BI302</f>
        <v/>
      </c>
      <c r="I296" s="143" t="str">
        <f aca="false">Scoring!BH302</f>
        <v/>
      </c>
    </row>
    <row r="297" customFormat="false" ht="15.75" hidden="false" customHeight="false" outlineLevel="0" collapsed="false">
      <c r="A297" s="141" t="str">
        <f aca="false">Scoring!BK303</f>
        <v/>
      </c>
      <c r="B297" s="141" t="str">
        <f aca="false">Scoring!BJ303</f>
        <v/>
      </c>
      <c r="C297" s="141" t="n">
        <f aca="false">Scoring!C303</f>
        <v>0</v>
      </c>
      <c r="D297" s="142" t="str">
        <f aca="false">Scoring!BG303</f>
        <v/>
      </c>
      <c r="E297" s="141" t="str">
        <f aca="false">Scoring!AG303</f>
        <v/>
      </c>
      <c r="F297" s="141" t="n">
        <f aca="false">Scoring!B303</f>
        <v>0</v>
      </c>
      <c r="G297" s="141" t="n">
        <f aca="false">Scoring!D303</f>
        <v>0</v>
      </c>
      <c r="H297" s="141" t="str">
        <f aca="false">Scoring!BI303</f>
        <v/>
      </c>
      <c r="I297" s="143" t="str">
        <f aca="false">Scoring!BH303</f>
        <v/>
      </c>
    </row>
    <row r="298" customFormat="false" ht="15.75" hidden="false" customHeight="false" outlineLevel="0" collapsed="false">
      <c r="A298" s="141" t="str">
        <f aca="false">Scoring!BK304</f>
        <v/>
      </c>
      <c r="B298" s="141" t="str">
        <f aca="false">Scoring!BJ304</f>
        <v/>
      </c>
      <c r="C298" s="141" t="n">
        <f aca="false">Scoring!C304</f>
        <v>0</v>
      </c>
      <c r="D298" s="142" t="str">
        <f aca="false">Scoring!BG304</f>
        <v/>
      </c>
      <c r="E298" s="141" t="str">
        <f aca="false">Scoring!AG304</f>
        <v/>
      </c>
      <c r="F298" s="141" t="n">
        <f aca="false">Scoring!B304</f>
        <v>0</v>
      </c>
      <c r="G298" s="141" t="n">
        <f aca="false">Scoring!D304</f>
        <v>0</v>
      </c>
      <c r="H298" s="141" t="str">
        <f aca="false">Scoring!BI304</f>
        <v/>
      </c>
      <c r="I298" s="143" t="str">
        <f aca="false">Scoring!BH304</f>
        <v/>
      </c>
    </row>
    <row r="299" customFormat="false" ht="15.75" hidden="false" customHeight="false" outlineLevel="0" collapsed="false">
      <c r="A299" s="141" t="str">
        <f aca="false">Scoring!BK305</f>
        <v/>
      </c>
      <c r="B299" s="141" t="str">
        <f aca="false">Scoring!BJ305</f>
        <v/>
      </c>
      <c r="C299" s="141" t="n">
        <f aca="false">Scoring!C305</f>
        <v>0</v>
      </c>
      <c r="D299" s="142" t="str">
        <f aca="false">Scoring!BG305</f>
        <v/>
      </c>
      <c r="E299" s="141" t="str">
        <f aca="false">Scoring!AG305</f>
        <v/>
      </c>
      <c r="F299" s="141" t="n">
        <f aca="false">Scoring!B305</f>
        <v>0</v>
      </c>
      <c r="G299" s="141" t="n">
        <f aca="false">Scoring!D305</f>
        <v>0</v>
      </c>
      <c r="H299" s="141" t="str">
        <f aca="false">Scoring!BI305</f>
        <v/>
      </c>
      <c r="I299" s="143" t="str">
        <f aca="false">Scoring!BH305</f>
        <v/>
      </c>
    </row>
    <row r="300" customFormat="false" ht="15.75" hidden="false" customHeight="false" outlineLevel="0" collapsed="false">
      <c r="A300" s="141" t="str">
        <f aca="false">Scoring!BK306</f>
        <v/>
      </c>
      <c r="B300" s="141" t="str">
        <f aca="false">Scoring!BJ306</f>
        <v/>
      </c>
      <c r="C300" s="141" t="n">
        <f aca="false">Scoring!C306</f>
        <v>0</v>
      </c>
      <c r="D300" s="142" t="str">
        <f aca="false">Scoring!BG306</f>
        <v/>
      </c>
      <c r="E300" s="141" t="str">
        <f aca="false">Scoring!AG306</f>
        <v/>
      </c>
      <c r="F300" s="141" t="n">
        <f aca="false">Scoring!B306</f>
        <v>0</v>
      </c>
      <c r="G300" s="141" t="n">
        <f aca="false">Scoring!D306</f>
        <v>0</v>
      </c>
      <c r="H300" s="141" t="str">
        <f aca="false">Scoring!BI306</f>
        <v/>
      </c>
      <c r="I300" s="143" t="str">
        <f aca="false">Scoring!BH306</f>
        <v/>
      </c>
    </row>
    <row r="301" customFormat="false" ht="15.75" hidden="false" customHeight="false" outlineLevel="0" collapsed="false">
      <c r="A301" s="141" t="str">
        <f aca="false">Scoring!BK307</f>
        <v/>
      </c>
      <c r="B301" s="141" t="str">
        <f aca="false">Scoring!BJ307</f>
        <v/>
      </c>
      <c r="C301" s="141" t="n">
        <f aca="false">Scoring!C307</f>
        <v>0</v>
      </c>
      <c r="D301" s="142" t="str">
        <f aca="false">Scoring!BG307</f>
        <v/>
      </c>
      <c r="E301" s="141" t="str">
        <f aca="false">Scoring!AG307</f>
        <v/>
      </c>
      <c r="F301" s="141" t="n">
        <f aca="false">Scoring!B307</f>
        <v>0</v>
      </c>
      <c r="G301" s="141" t="n">
        <f aca="false">Scoring!D307</f>
        <v>0</v>
      </c>
      <c r="H301" s="141" t="str">
        <f aca="false">Scoring!BI307</f>
        <v/>
      </c>
      <c r="I301" s="143" t="str">
        <f aca="false">Scoring!BH307</f>
        <v/>
      </c>
    </row>
    <row r="302" customFormat="false" ht="15.75" hidden="false" customHeight="false" outlineLevel="0" collapsed="false">
      <c r="A302" s="141" t="str">
        <f aca="false">Scoring!BK308</f>
        <v/>
      </c>
      <c r="B302" s="141" t="str">
        <f aca="false">Scoring!BJ308</f>
        <v/>
      </c>
      <c r="C302" s="141" t="n">
        <f aca="false">Scoring!C308</f>
        <v>0</v>
      </c>
      <c r="D302" s="142" t="str">
        <f aca="false">Scoring!BG308</f>
        <v/>
      </c>
      <c r="E302" s="141" t="str">
        <f aca="false">Scoring!AG308</f>
        <v/>
      </c>
      <c r="F302" s="141" t="n">
        <f aca="false">Scoring!B308</f>
        <v>0</v>
      </c>
      <c r="G302" s="141" t="n">
        <f aca="false">Scoring!D308</f>
        <v>0</v>
      </c>
      <c r="H302" s="141" t="str">
        <f aca="false">Scoring!BI308</f>
        <v/>
      </c>
      <c r="I302" s="143" t="str">
        <f aca="false">Scoring!BH308</f>
        <v/>
      </c>
    </row>
    <row r="303" customFormat="false" ht="15.75" hidden="false" customHeight="false" outlineLevel="0" collapsed="false">
      <c r="A303" s="141" t="str">
        <f aca="false">Scoring!BK309</f>
        <v/>
      </c>
      <c r="B303" s="141" t="str">
        <f aca="false">Scoring!BJ309</f>
        <v/>
      </c>
      <c r="C303" s="141" t="n">
        <f aca="false">Scoring!C309</f>
        <v>0</v>
      </c>
      <c r="D303" s="142" t="str">
        <f aca="false">Scoring!BG309</f>
        <v/>
      </c>
      <c r="E303" s="141" t="str">
        <f aca="false">Scoring!AG309</f>
        <v/>
      </c>
      <c r="F303" s="141" t="n">
        <f aca="false">Scoring!B309</f>
        <v>0</v>
      </c>
      <c r="G303" s="141" t="n">
        <f aca="false">Scoring!D309</f>
        <v>0</v>
      </c>
      <c r="H303" s="141" t="str">
        <f aca="false">Scoring!BI309</f>
        <v/>
      </c>
      <c r="I303" s="143" t="str">
        <f aca="false">Scoring!BH309</f>
        <v/>
      </c>
    </row>
    <row r="304" customFormat="false" ht="15.75" hidden="false" customHeight="false" outlineLevel="0" collapsed="false">
      <c r="A304" s="141" t="str">
        <f aca="false">Scoring!BK310</f>
        <v/>
      </c>
      <c r="B304" s="141" t="str">
        <f aca="false">Scoring!BJ310</f>
        <v/>
      </c>
      <c r="C304" s="141" t="n">
        <f aca="false">Scoring!C310</f>
        <v>0</v>
      </c>
      <c r="D304" s="142" t="str">
        <f aca="false">Scoring!BG310</f>
        <v/>
      </c>
      <c r="E304" s="141" t="str">
        <f aca="false">Scoring!AG310</f>
        <v/>
      </c>
      <c r="F304" s="141" t="n">
        <f aca="false">Scoring!B310</f>
        <v>0</v>
      </c>
      <c r="G304" s="141" t="n">
        <f aca="false">Scoring!D310</f>
        <v>0</v>
      </c>
      <c r="H304" s="141" t="str">
        <f aca="false">Scoring!BI310</f>
        <v/>
      </c>
      <c r="I304" s="143" t="str">
        <f aca="false">Scoring!BH310</f>
        <v/>
      </c>
    </row>
    <row r="305" customFormat="false" ht="15.75" hidden="false" customHeight="false" outlineLevel="0" collapsed="false">
      <c r="A305" s="141" t="str">
        <f aca="false">Scoring!BK311</f>
        <v/>
      </c>
      <c r="B305" s="141" t="str">
        <f aca="false">Scoring!BJ311</f>
        <v/>
      </c>
      <c r="C305" s="141" t="n">
        <f aca="false">Scoring!C311</f>
        <v>0</v>
      </c>
      <c r="D305" s="142" t="str">
        <f aca="false">Scoring!BG311</f>
        <v/>
      </c>
      <c r="E305" s="141" t="str">
        <f aca="false">Scoring!AG311</f>
        <v/>
      </c>
      <c r="F305" s="141" t="n">
        <f aca="false">Scoring!B311</f>
        <v>0</v>
      </c>
      <c r="G305" s="141" t="n">
        <f aca="false">Scoring!D311</f>
        <v>0</v>
      </c>
      <c r="H305" s="141" t="str">
        <f aca="false">Scoring!BI311</f>
        <v/>
      </c>
      <c r="I305" s="143" t="str">
        <f aca="false">Scoring!BH311</f>
        <v/>
      </c>
    </row>
    <row r="306" customFormat="false" ht="15.75" hidden="false" customHeight="false" outlineLevel="0" collapsed="false">
      <c r="A306" s="141" t="str">
        <f aca="false">Scoring!BK312</f>
        <v/>
      </c>
      <c r="B306" s="141" t="str">
        <f aca="false">Scoring!BJ312</f>
        <v/>
      </c>
      <c r="C306" s="141" t="n">
        <f aca="false">Scoring!C312</f>
        <v>0</v>
      </c>
      <c r="D306" s="142" t="str">
        <f aca="false">Scoring!BG312</f>
        <v/>
      </c>
      <c r="E306" s="141" t="str">
        <f aca="false">Scoring!AG312</f>
        <v/>
      </c>
      <c r="F306" s="141" t="n">
        <f aca="false">Scoring!B312</f>
        <v>0</v>
      </c>
      <c r="G306" s="141" t="n">
        <f aca="false">Scoring!D312</f>
        <v>0</v>
      </c>
      <c r="H306" s="141" t="str">
        <f aca="false">Scoring!BI312</f>
        <v/>
      </c>
      <c r="I306" s="143" t="str">
        <f aca="false">Scoring!BH312</f>
        <v/>
      </c>
    </row>
    <row r="307" customFormat="false" ht="15.75" hidden="false" customHeight="false" outlineLevel="0" collapsed="false">
      <c r="A307" s="141" t="str">
        <f aca="false">Scoring!BK313</f>
        <v/>
      </c>
      <c r="B307" s="141" t="str">
        <f aca="false">Scoring!BJ313</f>
        <v/>
      </c>
      <c r="C307" s="141" t="n">
        <f aca="false">Scoring!C313</f>
        <v>0</v>
      </c>
      <c r="D307" s="142" t="str">
        <f aca="false">Scoring!BG313</f>
        <v/>
      </c>
      <c r="E307" s="141" t="str">
        <f aca="false">Scoring!AG313</f>
        <v/>
      </c>
      <c r="F307" s="141" t="n">
        <f aca="false">Scoring!B313</f>
        <v>0</v>
      </c>
      <c r="G307" s="141" t="n">
        <f aca="false">Scoring!D313</f>
        <v>0</v>
      </c>
      <c r="H307" s="141" t="str">
        <f aca="false">Scoring!BI313</f>
        <v/>
      </c>
      <c r="I307" s="143" t="str">
        <f aca="false">Scoring!BH313</f>
        <v/>
      </c>
    </row>
    <row r="308" customFormat="false" ht="15.75" hidden="false" customHeight="false" outlineLevel="0" collapsed="false">
      <c r="A308" s="141" t="str">
        <f aca="false">Scoring!BK314</f>
        <v/>
      </c>
      <c r="B308" s="141" t="str">
        <f aca="false">Scoring!BJ314</f>
        <v/>
      </c>
      <c r="C308" s="141" t="n">
        <f aca="false">Scoring!C314</f>
        <v>0</v>
      </c>
      <c r="D308" s="142" t="str">
        <f aca="false">Scoring!BG314</f>
        <v/>
      </c>
      <c r="E308" s="141" t="str">
        <f aca="false">Scoring!AG314</f>
        <v/>
      </c>
      <c r="F308" s="141" t="n">
        <f aca="false">Scoring!B314</f>
        <v>0</v>
      </c>
      <c r="G308" s="141" t="n">
        <f aca="false">Scoring!D314</f>
        <v>0</v>
      </c>
      <c r="H308" s="141" t="str">
        <f aca="false">Scoring!BI314</f>
        <v/>
      </c>
      <c r="I308" s="143" t="str">
        <f aca="false">Scoring!BH314</f>
        <v/>
      </c>
    </row>
    <row r="309" customFormat="false" ht="15.75" hidden="false" customHeight="false" outlineLevel="0" collapsed="false">
      <c r="A309" s="141" t="str">
        <f aca="false">Scoring!BK315</f>
        <v/>
      </c>
      <c r="B309" s="141" t="str">
        <f aca="false">Scoring!BJ315</f>
        <v/>
      </c>
      <c r="C309" s="141" t="n">
        <f aca="false">Scoring!C315</f>
        <v>0</v>
      </c>
      <c r="D309" s="142" t="str">
        <f aca="false">Scoring!BG315</f>
        <v/>
      </c>
      <c r="E309" s="141" t="str">
        <f aca="false">Scoring!AG315</f>
        <v/>
      </c>
      <c r="F309" s="141" t="n">
        <f aca="false">Scoring!B315</f>
        <v>0</v>
      </c>
      <c r="G309" s="141" t="n">
        <f aca="false">Scoring!D315</f>
        <v>0</v>
      </c>
      <c r="H309" s="141" t="str">
        <f aca="false">Scoring!BI315</f>
        <v/>
      </c>
      <c r="I309" s="143" t="str">
        <f aca="false">Scoring!BH315</f>
        <v/>
      </c>
    </row>
    <row r="310" customFormat="false" ht="15.75" hidden="false" customHeight="false" outlineLevel="0" collapsed="false">
      <c r="A310" s="141" t="str">
        <f aca="false">Scoring!BK316</f>
        <v/>
      </c>
      <c r="B310" s="141" t="str">
        <f aca="false">Scoring!BJ316</f>
        <v/>
      </c>
      <c r="C310" s="141" t="n">
        <f aca="false">Scoring!C316</f>
        <v>0</v>
      </c>
      <c r="D310" s="142" t="str">
        <f aca="false">Scoring!BG316</f>
        <v/>
      </c>
      <c r="E310" s="141" t="str">
        <f aca="false">Scoring!AG316</f>
        <v/>
      </c>
      <c r="F310" s="141" t="n">
        <f aca="false">Scoring!B316</f>
        <v>0</v>
      </c>
      <c r="G310" s="141" t="n">
        <f aca="false">Scoring!D316</f>
        <v>0</v>
      </c>
      <c r="H310" s="141" t="str">
        <f aca="false">Scoring!BI316</f>
        <v/>
      </c>
      <c r="I310" s="143" t="str">
        <f aca="false">Scoring!BH316</f>
        <v/>
      </c>
    </row>
    <row r="311" customFormat="false" ht="15.75" hidden="false" customHeight="false" outlineLevel="0" collapsed="false">
      <c r="A311" s="141" t="str">
        <f aca="false">Scoring!BK317</f>
        <v/>
      </c>
      <c r="B311" s="141" t="str">
        <f aca="false">Scoring!BJ317</f>
        <v/>
      </c>
      <c r="C311" s="141" t="n">
        <f aca="false">Scoring!C317</f>
        <v>0</v>
      </c>
      <c r="D311" s="142" t="str">
        <f aca="false">Scoring!BG317</f>
        <v/>
      </c>
      <c r="E311" s="141" t="str">
        <f aca="false">Scoring!AG317</f>
        <v/>
      </c>
      <c r="F311" s="141" t="n">
        <f aca="false">Scoring!B317</f>
        <v>0</v>
      </c>
      <c r="G311" s="141" t="n">
        <f aca="false">Scoring!D317</f>
        <v>0</v>
      </c>
      <c r="H311" s="141" t="str">
        <f aca="false">Scoring!BI317</f>
        <v/>
      </c>
      <c r="I311" s="143" t="str">
        <f aca="false">Scoring!BH317</f>
        <v/>
      </c>
    </row>
    <row r="312" customFormat="false" ht="15.75" hidden="false" customHeight="false" outlineLevel="0" collapsed="false">
      <c r="A312" s="141" t="str">
        <f aca="false">Scoring!BK318</f>
        <v/>
      </c>
      <c r="B312" s="141" t="str">
        <f aca="false">Scoring!BJ318</f>
        <v/>
      </c>
      <c r="C312" s="141" t="n">
        <f aca="false">Scoring!C318</f>
        <v>0</v>
      </c>
      <c r="D312" s="142" t="str">
        <f aca="false">Scoring!BG318</f>
        <v/>
      </c>
      <c r="E312" s="141" t="str">
        <f aca="false">Scoring!AG318</f>
        <v/>
      </c>
      <c r="F312" s="141" t="n">
        <f aca="false">Scoring!B318</f>
        <v>0</v>
      </c>
      <c r="G312" s="141" t="n">
        <f aca="false">Scoring!D318</f>
        <v>0</v>
      </c>
      <c r="H312" s="141" t="str">
        <f aca="false">Scoring!BI318</f>
        <v/>
      </c>
      <c r="I312" s="143" t="str">
        <f aca="false">Scoring!BH318</f>
        <v/>
      </c>
    </row>
    <row r="313" customFormat="false" ht="15.75" hidden="false" customHeight="false" outlineLevel="0" collapsed="false">
      <c r="A313" s="141" t="str">
        <f aca="false">Scoring!BK319</f>
        <v/>
      </c>
      <c r="B313" s="141" t="str">
        <f aca="false">Scoring!BJ319</f>
        <v/>
      </c>
      <c r="C313" s="141" t="n">
        <f aca="false">Scoring!C319</f>
        <v>0</v>
      </c>
      <c r="D313" s="142" t="str">
        <f aca="false">Scoring!BG319</f>
        <v/>
      </c>
      <c r="E313" s="141" t="str">
        <f aca="false">Scoring!AG319</f>
        <v/>
      </c>
      <c r="F313" s="141" t="n">
        <f aca="false">Scoring!B319</f>
        <v>0</v>
      </c>
      <c r="G313" s="141" t="n">
        <f aca="false">Scoring!D319</f>
        <v>0</v>
      </c>
      <c r="H313" s="141" t="str">
        <f aca="false">Scoring!BI319</f>
        <v/>
      </c>
      <c r="I313" s="143" t="str">
        <f aca="false">Scoring!BH319</f>
        <v/>
      </c>
    </row>
    <row r="314" customFormat="false" ht="15.75" hidden="false" customHeight="false" outlineLevel="0" collapsed="false">
      <c r="A314" s="141" t="str">
        <f aca="false">Scoring!BK320</f>
        <v/>
      </c>
      <c r="B314" s="141" t="str">
        <f aca="false">Scoring!BJ320</f>
        <v/>
      </c>
      <c r="C314" s="141" t="n">
        <f aca="false">Scoring!C320</f>
        <v>0</v>
      </c>
      <c r="D314" s="142" t="str">
        <f aca="false">Scoring!BG320</f>
        <v/>
      </c>
      <c r="E314" s="141" t="str">
        <f aca="false">Scoring!AG320</f>
        <v/>
      </c>
      <c r="F314" s="141" t="n">
        <f aca="false">Scoring!B320</f>
        <v>0</v>
      </c>
      <c r="G314" s="141" t="n">
        <f aca="false">Scoring!D320</f>
        <v>0</v>
      </c>
      <c r="H314" s="141" t="str">
        <f aca="false">Scoring!BI320</f>
        <v/>
      </c>
      <c r="I314" s="143" t="str">
        <f aca="false">Scoring!BH320</f>
        <v/>
      </c>
    </row>
    <row r="315" customFormat="false" ht="15.75" hidden="false" customHeight="false" outlineLevel="0" collapsed="false">
      <c r="A315" s="141" t="str">
        <f aca="false">Scoring!BK321</f>
        <v/>
      </c>
      <c r="B315" s="141" t="str">
        <f aca="false">Scoring!BJ321</f>
        <v/>
      </c>
      <c r="C315" s="141" t="n">
        <f aca="false">Scoring!C321</f>
        <v>0</v>
      </c>
      <c r="D315" s="142" t="str">
        <f aca="false">Scoring!BG321</f>
        <v/>
      </c>
      <c r="E315" s="141" t="str">
        <f aca="false">Scoring!AG321</f>
        <v/>
      </c>
      <c r="F315" s="141" t="n">
        <f aca="false">Scoring!B321</f>
        <v>0</v>
      </c>
      <c r="G315" s="141" t="n">
        <f aca="false">Scoring!D321</f>
        <v>0</v>
      </c>
      <c r="H315" s="141" t="str">
        <f aca="false">Scoring!BI321</f>
        <v/>
      </c>
      <c r="I315" s="143" t="str">
        <f aca="false">Scoring!BH321</f>
        <v/>
      </c>
    </row>
    <row r="316" customFormat="false" ht="15.75" hidden="false" customHeight="false" outlineLevel="0" collapsed="false">
      <c r="A316" s="141" t="str">
        <f aca="false">Scoring!BK322</f>
        <v/>
      </c>
      <c r="B316" s="141" t="str">
        <f aca="false">Scoring!BJ322</f>
        <v/>
      </c>
      <c r="C316" s="141" t="n">
        <f aca="false">Scoring!C322</f>
        <v>0</v>
      </c>
      <c r="D316" s="142" t="str">
        <f aca="false">Scoring!BG322</f>
        <v/>
      </c>
      <c r="E316" s="141" t="str">
        <f aca="false">Scoring!AG322</f>
        <v/>
      </c>
      <c r="F316" s="141" t="n">
        <f aca="false">Scoring!B322</f>
        <v>0</v>
      </c>
      <c r="G316" s="141" t="n">
        <f aca="false">Scoring!D322</f>
        <v>0</v>
      </c>
      <c r="H316" s="141" t="str">
        <f aca="false">Scoring!BI322</f>
        <v/>
      </c>
      <c r="I316" s="143" t="str">
        <f aca="false">Scoring!BH322</f>
        <v/>
      </c>
    </row>
    <row r="317" customFormat="false" ht="15.75" hidden="false" customHeight="false" outlineLevel="0" collapsed="false">
      <c r="A317" s="141" t="str">
        <f aca="false">Scoring!BK323</f>
        <v/>
      </c>
      <c r="B317" s="141" t="str">
        <f aca="false">Scoring!BJ323</f>
        <v/>
      </c>
      <c r="C317" s="141" t="n">
        <f aca="false">Scoring!C323</f>
        <v>0</v>
      </c>
      <c r="D317" s="142" t="str">
        <f aca="false">Scoring!BG323</f>
        <v/>
      </c>
      <c r="E317" s="141" t="str">
        <f aca="false">Scoring!AG323</f>
        <v/>
      </c>
      <c r="F317" s="141" t="n">
        <f aca="false">Scoring!B323</f>
        <v>0</v>
      </c>
      <c r="G317" s="141" t="n">
        <f aca="false">Scoring!D323</f>
        <v>0</v>
      </c>
      <c r="H317" s="141" t="str">
        <f aca="false">Scoring!BI323</f>
        <v/>
      </c>
      <c r="I317" s="143" t="str">
        <f aca="false">Scoring!BH323</f>
        <v/>
      </c>
    </row>
    <row r="318" customFormat="false" ht="15.75" hidden="false" customHeight="false" outlineLevel="0" collapsed="false">
      <c r="A318" s="141" t="str">
        <f aca="false">Scoring!BK324</f>
        <v/>
      </c>
      <c r="B318" s="141" t="str">
        <f aca="false">Scoring!BJ324</f>
        <v/>
      </c>
      <c r="C318" s="141" t="n">
        <f aca="false">Scoring!C324</f>
        <v>0</v>
      </c>
      <c r="D318" s="142" t="str">
        <f aca="false">Scoring!BG324</f>
        <v/>
      </c>
      <c r="E318" s="141" t="str">
        <f aca="false">Scoring!AG324</f>
        <v/>
      </c>
      <c r="F318" s="141" t="n">
        <f aca="false">Scoring!B324</f>
        <v>0</v>
      </c>
      <c r="G318" s="141" t="n">
        <f aca="false">Scoring!D324</f>
        <v>0</v>
      </c>
      <c r="H318" s="141" t="str">
        <f aca="false">Scoring!BI324</f>
        <v/>
      </c>
      <c r="I318" s="143" t="str">
        <f aca="false">Scoring!BH324</f>
        <v/>
      </c>
    </row>
    <row r="319" customFormat="false" ht="15.75" hidden="false" customHeight="false" outlineLevel="0" collapsed="false">
      <c r="A319" s="141" t="str">
        <f aca="false">Scoring!BK325</f>
        <v/>
      </c>
      <c r="B319" s="141" t="str">
        <f aca="false">Scoring!BJ325</f>
        <v/>
      </c>
      <c r="C319" s="141" t="n">
        <f aca="false">Scoring!C325</f>
        <v>0</v>
      </c>
      <c r="D319" s="142" t="str">
        <f aca="false">Scoring!BG325</f>
        <v/>
      </c>
      <c r="E319" s="141" t="str">
        <f aca="false">Scoring!AG325</f>
        <v/>
      </c>
      <c r="F319" s="141" t="n">
        <f aca="false">Scoring!B325</f>
        <v>0</v>
      </c>
      <c r="G319" s="141" t="n">
        <f aca="false">Scoring!D325</f>
        <v>0</v>
      </c>
      <c r="H319" s="141" t="str">
        <f aca="false">Scoring!BI325</f>
        <v/>
      </c>
      <c r="I319" s="143" t="str">
        <f aca="false">Scoring!BH325</f>
        <v/>
      </c>
    </row>
    <row r="320" customFormat="false" ht="15.75" hidden="false" customHeight="false" outlineLevel="0" collapsed="false">
      <c r="A320" s="141" t="str">
        <f aca="false">Scoring!BK326</f>
        <v/>
      </c>
      <c r="B320" s="141" t="str">
        <f aca="false">Scoring!BJ326</f>
        <v/>
      </c>
      <c r="C320" s="141" t="n">
        <f aca="false">Scoring!C326</f>
        <v>0</v>
      </c>
      <c r="D320" s="142" t="str">
        <f aca="false">Scoring!BG326</f>
        <v/>
      </c>
      <c r="E320" s="141" t="str">
        <f aca="false">Scoring!AG326</f>
        <v/>
      </c>
      <c r="F320" s="141" t="n">
        <f aca="false">Scoring!B326</f>
        <v>0</v>
      </c>
      <c r="G320" s="141" t="n">
        <f aca="false">Scoring!D326</f>
        <v>0</v>
      </c>
      <c r="H320" s="141" t="str">
        <f aca="false">Scoring!BI326</f>
        <v/>
      </c>
      <c r="I320" s="143" t="str">
        <f aca="false">Scoring!BH326</f>
        <v/>
      </c>
    </row>
    <row r="321" customFormat="false" ht="15.75" hidden="false" customHeight="false" outlineLevel="0" collapsed="false">
      <c r="A321" s="141" t="str">
        <f aca="false">Scoring!BK327</f>
        <v/>
      </c>
      <c r="B321" s="141" t="str">
        <f aca="false">Scoring!BJ327</f>
        <v/>
      </c>
      <c r="C321" s="141" t="n">
        <f aca="false">Scoring!C327</f>
        <v>0</v>
      </c>
      <c r="D321" s="142" t="str">
        <f aca="false">Scoring!BG327</f>
        <v/>
      </c>
      <c r="E321" s="141" t="str">
        <f aca="false">Scoring!AG327</f>
        <v/>
      </c>
      <c r="F321" s="141" t="n">
        <f aca="false">Scoring!B327</f>
        <v>0</v>
      </c>
      <c r="G321" s="141" t="n">
        <f aca="false">Scoring!D327</f>
        <v>0</v>
      </c>
      <c r="H321" s="141" t="str">
        <f aca="false">Scoring!BI327</f>
        <v/>
      </c>
      <c r="I321" s="143" t="str">
        <f aca="false">Scoring!BH327</f>
        <v/>
      </c>
    </row>
    <row r="322" customFormat="false" ht="15.75" hidden="false" customHeight="false" outlineLevel="0" collapsed="false">
      <c r="A322" s="141" t="str">
        <f aca="false">Scoring!BK328</f>
        <v/>
      </c>
      <c r="B322" s="141" t="str">
        <f aca="false">Scoring!BJ328</f>
        <v/>
      </c>
      <c r="C322" s="141" t="n">
        <f aca="false">Scoring!C328</f>
        <v>0</v>
      </c>
      <c r="D322" s="142" t="str">
        <f aca="false">Scoring!BG328</f>
        <v/>
      </c>
      <c r="E322" s="141" t="str">
        <f aca="false">Scoring!AG328</f>
        <v/>
      </c>
      <c r="F322" s="141" t="n">
        <f aca="false">Scoring!B328</f>
        <v>0</v>
      </c>
      <c r="G322" s="141" t="n">
        <f aca="false">Scoring!D328</f>
        <v>0</v>
      </c>
      <c r="H322" s="141" t="str">
        <f aca="false">Scoring!BI328</f>
        <v/>
      </c>
      <c r="I322" s="143" t="str">
        <f aca="false">Scoring!BH328</f>
        <v/>
      </c>
    </row>
    <row r="323" customFormat="false" ht="15.75" hidden="false" customHeight="false" outlineLevel="0" collapsed="false">
      <c r="A323" s="141" t="str">
        <f aca="false">Scoring!BK329</f>
        <v/>
      </c>
      <c r="B323" s="141" t="str">
        <f aca="false">Scoring!BJ329</f>
        <v/>
      </c>
      <c r="C323" s="141" t="n">
        <f aca="false">Scoring!C329</f>
        <v>0</v>
      </c>
      <c r="D323" s="142" t="str">
        <f aca="false">Scoring!BG329</f>
        <v/>
      </c>
      <c r="E323" s="141" t="str">
        <f aca="false">Scoring!AG329</f>
        <v/>
      </c>
      <c r="F323" s="141" t="n">
        <f aca="false">Scoring!B329</f>
        <v>0</v>
      </c>
      <c r="G323" s="141" t="n">
        <f aca="false">Scoring!D329</f>
        <v>0</v>
      </c>
      <c r="H323" s="141" t="str">
        <f aca="false">Scoring!BI329</f>
        <v/>
      </c>
      <c r="I323" s="143" t="str">
        <f aca="false">Scoring!BH329</f>
        <v/>
      </c>
    </row>
    <row r="324" customFormat="false" ht="15.75" hidden="false" customHeight="false" outlineLevel="0" collapsed="false">
      <c r="A324" s="141" t="str">
        <f aca="false">Scoring!BK330</f>
        <v/>
      </c>
      <c r="B324" s="141" t="str">
        <f aca="false">Scoring!BJ330</f>
        <v/>
      </c>
      <c r="C324" s="141" t="n">
        <f aca="false">Scoring!C330</f>
        <v>0</v>
      </c>
      <c r="D324" s="142" t="str">
        <f aca="false">Scoring!BG330</f>
        <v/>
      </c>
      <c r="E324" s="141" t="str">
        <f aca="false">Scoring!AG330</f>
        <v/>
      </c>
      <c r="F324" s="141" t="n">
        <f aca="false">Scoring!B330</f>
        <v>0</v>
      </c>
      <c r="G324" s="141" t="n">
        <f aca="false">Scoring!D330</f>
        <v>0</v>
      </c>
      <c r="H324" s="141" t="str">
        <f aca="false">Scoring!BI330</f>
        <v/>
      </c>
      <c r="I324" s="143" t="str">
        <f aca="false">Scoring!BH330</f>
        <v/>
      </c>
    </row>
    <row r="325" customFormat="false" ht="15.75" hidden="false" customHeight="false" outlineLevel="0" collapsed="false">
      <c r="A325" s="141" t="str">
        <f aca="false">Scoring!BK331</f>
        <v/>
      </c>
      <c r="B325" s="141" t="str">
        <f aca="false">Scoring!BJ331</f>
        <v/>
      </c>
      <c r="C325" s="141" t="n">
        <f aca="false">Scoring!C331</f>
        <v>0</v>
      </c>
      <c r="D325" s="142" t="str">
        <f aca="false">Scoring!BG331</f>
        <v/>
      </c>
      <c r="E325" s="141" t="str">
        <f aca="false">Scoring!AG331</f>
        <v/>
      </c>
      <c r="F325" s="141" t="n">
        <f aca="false">Scoring!B331</f>
        <v>0</v>
      </c>
      <c r="G325" s="141" t="n">
        <f aca="false">Scoring!D331</f>
        <v>0</v>
      </c>
      <c r="H325" s="141" t="str">
        <f aca="false">Scoring!BI331</f>
        <v/>
      </c>
      <c r="I325" s="143" t="str">
        <f aca="false">Scoring!BH331</f>
        <v/>
      </c>
    </row>
    <row r="326" customFormat="false" ht="15.75" hidden="false" customHeight="false" outlineLevel="0" collapsed="false">
      <c r="A326" s="141" t="str">
        <f aca="false">Scoring!BK332</f>
        <v/>
      </c>
      <c r="B326" s="141" t="str">
        <f aca="false">Scoring!BJ332</f>
        <v/>
      </c>
      <c r="C326" s="141" t="n">
        <f aca="false">Scoring!C332</f>
        <v>0</v>
      </c>
      <c r="D326" s="142" t="str">
        <f aca="false">Scoring!BG332</f>
        <v/>
      </c>
      <c r="E326" s="141" t="str">
        <f aca="false">Scoring!AG332</f>
        <v/>
      </c>
      <c r="F326" s="141" t="n">
        <f aca="false">Scoring!B332</f>
        <v>0</v>
      </c>
      <c r="G326" s="141" t="n">
        <f aca="false">Scoring!D332</f>
        <v>0</v>
      </c>
      <c r="H326" s="141" t="str">
        <f aca="false">Scoring!BI332</f>
        <v/>
      </c>
      <c r="I326" s="143" t="str">
        <f aca="false">Scoring!BH332</f>
        <v/>
      </c>
    </row>
    <row r="327" customFormat="false" ht="15.75" hidden="false" customHeight="false" outlineLevel="0" collapsed="false">
      <c r="A327" s="141" t="str">
        <f aca="false">Scoring!BK333</f>
        <v/>
      </c>
      <c r="B327" s="141" t="str">
        <f aca="false">Scoring!BJ333</f>
        <v/>
      </c>
      <c r="C327" s="141" t="n">
        <f aca="false">Scoring!C333</f>
        <v>0</v>
      </c>
      <c r="D327" s="142" t="str">
        <f aca="false">Scoring!BG333</f>
        <v/>
      </c>
      <c r="E327" s="141" t="str">
        <f aca="false">Scoring!AG333</f>
        <v/>
      </c>
      <c r="F327" s="141" t="n">
        <f aca="false">Scoring!B333</f>
        <v>0</v>
      </c>
      <c r="G327" s="141" t="n">
        <f aca="false">Scoring!D333</f>
        <v>0</v>
      </c>
      <c r="H327" s="141" t="str">
        <f aca="false">Scoring!BI333</f>
        <v/>
      </c>
      <c r="I327" s="143" t="str">
        <f aca="false">Scoring!BH333</f>
        <v/>
      </c>
    </row>
    <row r="328" customFormat="false" ht="15.75" hidden="false" customHeight="false" outlineLevel="0" collapsed="false">
      <c r="A328" s="141" t="str">
        <f aca="false">Scoring!BK334</f>
        <v/>
      </c>
      <c r="B328" s="141" t="str">
        <f aca="false">Scoring!BJ334</f>
        <v/>
      </c>
      <c r="C328" s="141" t="n">
        <f aca="false">Scoring!C334</f>
        <v>0</v>
      </c>
      <c r="D328" s="142" t="str">
        <f aca="false">Scoring!BG334</f>
        <v/>
      </c>
      <c r="E328" s="141" t="str">
        <f aca="false">Scoring!AG334</f>
        <v/>
      </c>
      <c r="F328" s="141" t="n">
        <f aca="false">Scoring!B334</f>
        <v>0</v>
      </c>
      <c r="G328" s="141" t="n">
        <f aca="false">Scoring!D334</f>
        <v>0</v>
      </c>
      <c r="H328" s="141" t="str">
        <f aca="false">Scoring!BI334</f>
        <v/>
      </c>
      <c r="I328" s="143" t="str">
        <f aca="false">Scoring!BH334</f>
        <v/>
      </c>
    </row>
    <row r="329" customFormat="false" ht="15.75" hidden="false" customHeight="false" outlineLevel="0" collapsed="false">
      <c r="A329" s="141" t="str">
        <f aca="false">Scoring!BK335</f>
        <v/>
      </c>
      <c r="B329" s="141" t="str">
        <f aca="false">Scoring!BJ335</f>
        <v/>
      </c>
      <c r="C329" s="141" t="n">
        <f aca="false">Scoring!C335</f>
        <v>0</v>
      </c>
      <c r="D329" s="142" t="str">
        <f aca="false">Scoring!BG335</f>
        <v/>
      </c>
      <c r="E329" s="141" t="str">
        <f aca="false">Scoring!AG335</f>
        <v/>
      </c>
      <c r="F329" s="141" t="n">
        <f aca="false">Scoring!B335</f>
        <v>0</v>
      </c>
      <c r="G329" s="141" t="n">
        <f aca="false">Scoring!D335</f>
        <v>0</v>
      </c>
      <c r="H329" s="141" t="str">
        <f aca="false">Scoring!BI335</f>
        <v/>
      </c>
      <c r="I329" s="143" t="str">
        <f aca="false">Scoring!BH335</f>
        <v/>
      </c>
    </row>
    <row r="330" customFormat="false" ht="15.75" hidden="false" customHeight="false" outlineLevel="0" collapsed="false">
      <c r="A330" s="141" t="str">
        <f aca="false">Scoring!BK336</f>
        <v/>
      </c>
      <c r="B330" s="141" t="str">
        <f aca="false">Scoring!BJ336</f>
        <v/>
      </c>
      <c r="C330" s="141" t="n">
        <f aca="false">Scoring!C336</f>
        <v>0</v>
      </c>
      <c r="D330" s="142" t="str">
        <f aca="false">Scoring!BG336</f>
        <v/>
      </c>
      <c r="E330" s="141" t="str">
        <f aca="false">Scoring!AG336</f>
        <v/>
      </c>
      <c r="F330" s="141" t="n">
        <f aca="false">Scoring!B336</f>
        <v>0</v>
      </c>
      <c r="G330" s="141" t="n">
        <f aca="false">Scoring!D336</f>
        <v>0</v>
      </c>
      <c r="H330" s="141" t="str">
        <f aca="false">Scoring!BI336</f>
        <v/>
      </c>
      <c r="I330" s="143" t="str">
        <f aca="false">Scoring!BH336</f>
        <v/>
      </c>
    </row>
    <row r="331" customFormat="false" ht="15.75" hidden="false" customHeight="false" outlineLevel="0" collapsed="false">
      <c r="A331" s="141" t="str">
        <f aca="false">Scoring!BK337</f>
        <v/>
      </c>
      <c r="B331" s="141" t="str">
        <f aca="false">Scoring!BJ337</f>
        <v/>
      </c>
      <c r="C331" s="141" t="n">
        <f aca="false">Scoring!C337</f>
        <v>0</v>
      </c>
      <c r="D331" s="142" t="str">
        <f aca="false">Scoring!BG337</f>
        <v/>
      </c>
      <c r="E331" s="141" t="str">
        <f aca="false">Scoring!AG337</f>
        <v/>
      </c>
      <c r="F331" s="141" t="n">
        <f aca="false">Scoring!B337</f>
        <v>0</v>
      </c>
      <c r="G331" s="141" t="n">
        <f aca="false">Scoring!D337</f>
        <v>0</v>
      </c>
      <c r="H331" s="141" t="str">
        <f aca="false">Scoring!BI337</f>
        <v/>
      </c>
      <c r="I331" s="143" t="str">
        <f aca="false">Scoring!BH337</f>
        <v/>
      </c>
    </row>
    <row r="332" customFormat="false" ht="15.75" hidden="false" customHeight="false" outlineLevel="0" collapsed="false">
      <c r="A332" s="141" t="str">
        <f aca="false">Scoring!BK338</f>
        <v/>
      </c>
      <c r="B332" s="141" t="str">
        <f aca="false">Scoring!BJ338</f>
        <v/>
      </c>
      <c r="C332" s="141" t="n">
        <f aca="false">Scoring!C338</f>
        <v>0</v>
      </c>
      <c r="D332" s="142" t="str">
        <f aca="false">Scoring!BG338</f>
        <v/>
      </c>
      <c r="E332" s="141" t="str">
        <f aca="false">Scoring!AG338</f>
        <v/>
      </c>
      <c r="F332" s="141" t="n">
        <f aca="false">Scoring!B338</f>
        <v>0</v>
      </c>
      <c r="G332" s="141" t="n">
        <f aca="false">Scoring!D338</f>
        <v>0</v>
      </c>
      <c r="H332" s="141" t="str">
        <f aca="false">Scoring!BI338</f>
        <v/>
      </c>
      <c r="I332" s="143" t="str">
        <f aca="false">Scoring!BH338</f>
        <v/>
      </c>
    </row>
    <row r="333" customFormat="false" ht="15.75" hidden="false" customHeight="false" outlineLevel="0" collapsed="false">
      <c r="A333" s="141" t="str">
        <f aca="false">Scoring!BK339</f>
        <v/>
      </c>
      <c r="B333" s="141" t="str">
        <f aca="false">Scoring!BJ339</f>
        <v/>
      </c>
      <c r="C333" s="141" t="n">
        <f aca="false">Scoring!C339</f>
        <v>0</v>
      </c>
      <c r="D333" s="142" t="str">
        <f aca="false">Scoring!BG339</f>
        <v/>
      </c>
      <c r="E333" s="141" t="str">
        <f aca="false">Scoring!AG339</f>
        <v/>
      </c>
      <c r="F333" s="141" t="n">
        <f aca="false">Scoring!B339</f>
        <v>0</v>
      </c>
      <c r="G333" s="141" t="n">
        <f aca="false">Scoring!D339</f>
        <v>0</v>
      </c>
      <c r="H333" s="141" t="str">
        <f aca="false">Scoring!BI339</f>
        <v/>
      </c>
      <c r="I333" s="143" t="str">
        <f aca="false">Scoring!BH339</f>
        <v/>
      </c>
    </row>
    <row r="334" customFormat="false" ht="15.75" hidden="false" customHeight="false" outlineLevel="0" collapsed="false">
      <c r="A334" s="141" t="str">
        <f aca="false">Scoring!BK340</f>
        <v/>
      </c>
      <c r="B334" s="141" t="str">
        <f aca="false">Scoring!BJ340</f>
        <v/>
      </c>
      <c r="C334" s="141" t="n">
        <f aca="false">Scoring!C340</f>
        <v>0</v>
      </c>
      <c r="D334" s="142" t="str">
        <f aca="false">Scoring!BG340</f>
        <v/>
      </c>
      <c r="E334" s="141" t="str">
        <f aca="false">Scoring!AG340</f>
        <v/>
      </c>
      <c r="F334" s="141" t="n">
        <f aca="false">Scoring!B340</f>
        <v>0</v>
      </c>
      <c r="G334" s="141" t="n">
        <f aca="false">Scoring!D340</f>
        <v>0</v>
      </c>
      <c r="H334" s="141" t="str">
        <f aca="false">Scoring!BI340</f>
        <v/>
      </c>
      <c r="I334" s="143" t="str">
        <f aca="false">Scoring!BH340</f>
        <v/>
      </c>
    </row>
    <row r="335" customFormat="false" ht="15.75" hidden="false" customHeight="false" outlineLevel="0" collapsed="false">
      <c r="A335" s="141" t="str">
        <f aca="false">Scoring!BK341</f>
        <v/>
      </c>
      <c r="B335" s="141" t="str">
        <f aca="false">Scoring!BJ341</f>
        <v/>
      </c>
      <c r="C335" s="141" t="n">
        <f aca="false">Scoring!C341</f>
        <v>0</v>
      </c>
      <c r="D335" s="142" t="str">
        <f aca="false">Scoring!BG341</f>
        <v/>
      </c>
      <c r="E335" s="141" t="str">
        <f aca="false">Scoring!AG341</f>
        <v/>
      </c>
      <c r="F335" s="141" t="n">
        <f aca="false">Scoring!B341</f>
        <v>0</v>
      </c>
      <c r="G335" s="141" t="n">
        <f aca="false">Scoring!D341</f>
        <v>0</v>
      </c>
      <c r="H335" s="141" t="str">
        <f aca="false">Scoring!BI341</f>
        <v/>
      </c>
      <c r="I335" s="143" t="str">
        <f aca="false">Scoring!BH341</f>
        <v/>
      </c>
    </row>
    <row r="336" customFormat="false" ht="15.75" hidden="false" customHeight="false" outlineLevel="0" collapsed="false">
      <c r="A336" s="141" t="str">
        <f aca="false">Scoring!BK342</f>
        <v/>
      </c>
      <c r="B336" s="141" t="str">
        <f aca="false">Scoring!BJ342</f>
        <v/>
      </c>
      <c r="C336" s="141" t="n">
        <f aca="false">Scoring!C342</f>
        <v>0</v>
      </c>
      <c r="D336" s="142" t="str">
        <f aca="false">Scoring!BG342</f>
        <v/>
      </c>
      <c r="E336" s="141" t="str">
        <f aca="false">Scoring!AG342</f>
        <v/>
      </c>
      <c r="F336" s="141" t="n">
        <f aca="false">Scoring!B342</f>
        <v>0</v>
      </c>
      <c r="G336" s="141" t="n">
        <f aca="false">Scoring!D342</f>
        <v>0</v>
      </c>
      <c r="H336" s="141" t="str">
        <f aca="false">Scoring!BI342</f>
        <v/>
      </c>
      <c r="I336" s="143" t="str">
        <f aca="false">Scoring!BH342</f>
        <v/>
      </c>
    </row>
    <row r="337" customFormat="false" ht="15.75" hidden="false" customHeight="false" outlineLevel="0" collapsed="false">
      <c r="A337" s="141" t="str">
        <f aca="false">Scoring!BK343</f>
        <v/>
      </c>
      <c r="B337" s="141" t="str">
        <f aca="false">Scoring!BJ343</f>
        <v/>
      </c>
      <c r="C337" s="141" t="n">
        <f aca="false">Scoring!C343</f>
        <v>0</v>
      </c>
      <c r="D337" s="142" t="str">
        <f aca="false">Scoring!BG343</f>
        <v/>
      </c>
      <c r="E337" s="141" t="str">
        <f aca="false">Scoring!AG343</f>
        <v/>
      </c>
      <c r="F337" s="141" t="n">
        <f aca="false">Scoring!B343</f>
        <v>0</v>
      </c>
      <c r="G337" s="141" t="n">
        <f aca="false">Scoring!D343</f>
        <v>0</v>
      </c>
      <c r="H337" s="141" t="str">
        <f aca="false">Scoring!BI343</f>
        <v/>
      </c>
      <c r="I337" s="143" t="str">
        <f aca="false">Scoring!BH343</f>
        <v/>
      </c>
    </row>
    <row r="338" customFormat="false" ht="15.75" hidden="false" customHeight="false" outlineLevel="0" collapsed="false">
      <c r="A338" s="141" t="str">
        <f aca="false">Scoring!BK344</f>
        <v/>
      </c>
      <c r="B338" s="141" t="str">
        <f aca="false">Scoring!BJ344</f>
        <v/>
      </c>
      <c r="C338" s="141" t="n">
        <f aca="false">Scoring!C344</f>
        <v>0</v>
      </c>
      <c r="D338" s="142" t="str">
        <f aca="false">Scoring!BG344</f>
        <v/>
      </c>
      <c r="E338" s="141" t="str">
        <f aca="false">Scoring!AG344</f>
        <v/>
      </c>
      <c r="F338" s="141" t="n">
        <f aca="false">Scoring!B344</f>
        <v>0</v>
      </c>
      <c r="G338" s="141" t="n">
        <f aca="false">Scoring!D344</f>
        <v>0</v>
      </c>
      <c r="H338" s="141" t="str">
        <f aca="false">Scoring!BI344</f>
        <v/>
      </c>
      <c r="I338" s="143" t="str">
        <f aca="false">Scoring!BH344</f>
        <v/>
      </c>
    </row>
    <row r="339" customFormat="false" ht="15.75" hidden="false" customHeight="false" outlineLevel="0" collapsed="false">
      <c r="A339" s="141" t="str">
        <f aca="false">Scoring!BK345</f>
        <v/>
      </c>
      <c r="B339" s="141" t="str">
        <f aca="false">Scoring!BJ345</f>
        <v/>
      </c>
      <c r="C339" s="141" t="n">
        <f aca="false">Scoring!C345</f>
        <v>0</v>
      </c>
      <c r="D339" s="142" t="str">
        <f aca="false">Scoring!BG345</f>
        <v/>
      </c>
      <c r="E339" s="141" t="str">
        <f aca="false">Scoring!AG345</f>
        <v/>
      </c>
      <c r="F339" s="141" t="n">
        <f aca="false">Scoring!B345</f>
        <v>0</v>
      </c>
      <c r="G339" s="141" t="n">
        <f aca="false">Scoring!D345</f>
        <v>0</v>
      </c>
      <c r="H339" s="141" t="str">
        <f aca="false">Scoring!BI345</f>
        <v/>
      </c>
      <c r="I339" s="143" t="str">
        <f aca="false">Scoring!BH345</f>
        <v/>
      </c>
    </row>
    <row r="340" customFormat="false" ht="15.75" hidden="false" customHeight="false" outlineLevel="0" collapsed="false">
      <c r="A340" s="141" t="str">
        <f aca="false">Scoring!BK346</f>
        <v/>
      </c>
      <c r="B340" s="141" t="str">
        <f aca="false">Scoring!BJ346</f>
        <v/>
      </c>
      <c r="C340" s="141" t="n">
        <f aca="false">Scoring!C346</f>
        <v>0</v>
      </c>
      <c r="D340" s="142" t="str">
        <f aca="false">Scoring!BG346</f>
        <v/>
      </c>
      <c r="E340" s="141" t="str">
        <f aca="false">Scoring!AG346</f>
        <v/>
      </c>
      <c r="F340" s="141" t="n">
        <f aca="false">Scoring!B346</f>
        <v>0</v>
      </c>
      <c r="G340" s="141" t="n">
        <f aca="false">Scoring!D346</f>
        <v>0</v>
      </c>
      <c r="H340" s="141" t="str">
        <f aca="false">Scoring!BI346</f>
        <v/>
      </c>
      <c r="I340" s="143" t="str">
        <f aca="false">Scoring!BH346</f>
        <v/>
      </c>
    </row>
    <row r="341" customFormat="false" ht="15.75" hidden="false" customHeight="false" outlineLevel="0" collapsed="false">
      <c r="A341" s="141" t="str">
        <f aca="false">Scoring!BK347</f>
        <v/>
      </c>
      <c r="B341" s="141" t="str">
        <f aca="false">Scoring!BJ347</f>
        <v/>
      </c>
      <c r="C341" s="141" t="n">
        <f aca="false">Scoring!C347</f>
        <v>0</v>
      </c>
      <c r="D341" s="142" t="str">
        <f aca="false">Scoring!BG347</f>
        <v/>
      </c>
      <c r="E341" s="141" t="str">
        <f aca="false">Scoring!AG347</f>
        <v/>
      </c>
      <c r="F341" s="141" t="n">
        <f aca="false">Scoring!B347</f>
        <v>0</v>
      </c>
      <c r="G341" s="141" t="n">
        <f aca="false">Scoring!D347</f>
        <v>0</v>
      </c>
      <c r="H341" s="141" t="str">
        <f aca="false">Scoring!BI347</f>
        <v/>
      </c>
      <c r="I341" s="143" t="str">
        <f aca="false">Scoring!BH347</f>
        <v/>
      </c>
    </row>
    <row r="342" customFormat="false" ht="15.75" hidden="false" customHeight="false" outlineLevel="0" collapsed="false">
      <c r="A342" s="141" t="str">
        <f aca="false">Scoring!BK348</f>
        <v/>
      </c>
      <c r="B342" s="141" t="str">
        <f aca="false">Scoring!BJ348</f>
        <v/>
      </c>
      <c r="C342" s="141" t="n">
        <f aca="false">Scoring!C348</f>
        <v>0</v>
      </c>
      <c r="D342" s="142" t="str">
        <f aca="false">Scoring!BG348</f>
        <v/>
      </c>
      <c r="E342" s="141" t="str">
        <f aca="false">Scoring!AG348</f>
        <v/>
      </c>
      <c r="F342" s="141" t="n">
        <f aca="false">Scoring!B348</f>
        <v>0</v>
      </c>
      <c r="G342" s="141" t="n">
        <f aca="false">Scoring!D348</f>
        <v>0</v>
      </c>
      <c r="H342" s="141" t="str">
        <f aca="false">Scoring!BI348</f>
        <v/>
      </c>
      <c r="I342" s="143" t="str">
        <f aca="false">Scoring!BH348</f>
        <v/>
      </c>
    </row>
    <row r="343" customFormat="false" ht="15.75" hidden="false" customHeight="false" outlineLevel="0" collapsed="false">
      <c r="A343" s="141" t="str">
        <f aca="false">Scoring!BK349</f>
        <v/>
      </c>
      <c r="B343" s="141" t="str">
        <f aca="false">Scoring!BJ349</f>
        <v/>
      </c>
      <c r="C343" s="141" t="n">
        <f aca="false">Scoring!C349</f>
        <v>0</v>
      </c>
      <c r="D343" s="142" t="str">
        <f aca="false">Scoring!BG349</f>
        <v/>
      </c>
      <c r="E343" s="141" t="str">
        <f aca="false">Scoring!AG349</f>
        <v/>
      </c>
      <c r="F343" s="141" t="n">
        <f aca="false">Scoring!B349</f>
        <v>0</v>
      </c>
      <c r="G343" s="141" t="n">
        <f aca="false">Scoring!D349</f>
        <v>0</v>
      </c>
      <c r="H343" s="141" t="str">
        <f aca="false">Scoring!BI349</f>
        <v/>
      </c>
      <c r="I343" s="143" t="str">
        <f aca="false">Scoring!BH349</f>
        <v/>
      </c>
    </row>
    <row r="344" customFormat="false" ht="15.75" hidden="false" customHeight="false" outlineLevel="0" collapsed="false">
      <c r="A344" s="141" t="str">
        <f aca="false">Scoring!BK350</f>
        <v/>
      </c>
      <c r="B344" s="141" t="str">
        <f aca="false">Scoring!BJ350</f>
        <v/>
      </c>
      <c r="C344" s="141" t="n">
        <f aca="false">Scoring!C350</f>
        <v>0</v>
      </c>
      <c r="D344" s="142" t="str">
        <f aca="false">Scoring!BG350</f>
        <v/>
      </c>
      <c r="E344" s="141" t="str">
        <f aca="false">Scoring!AG350</f>
        <v/>
      </c>
      <c r="F344" s="141" t="n">
        <f aca="false">Scoring!B350</f>
        <v>0</v>
      </c>
      <c r="G344" s="141" t="n">
        <f aca="false">Scoring!D350</f>
        <v>0</v>
      </c>
      <c r="H344" s="141" t="str">
        <f aca="false">Scoring!BI350</f>
        <v/>
      </c>
      <c r="I344" s="143" t="str">
        <f aca="false">Scoring!BH350</f>
        <v/>
      </c>
    </row>
    <row r="345" customFormat="false" ht="15.75" hidden="false" customHeight="false" outlineLevel="0" collapsed="false">
      <c r="A345" s="141" t="str">
        <f aca="false">Scoring!BK351</f>
        <v/>
      </c>
      <c r="B345" s="141" t="str">
        <f aca="false">Scoring!BJ351</f>
        <v/>
      </c>
      <c r="C345" s="141" t="n">
        <f aca="false">Scoring!C351</f>
        <v>0</v>
      </c>
      <c r="D345" s="142" t="str">
        <f aca="false">Scoring!BG351</f>
        <v/>
      </c>
      <c r="E345" s="141" t="str">
        <f aca="false">Scoring!AG351</f>
        <v/>
      </c>
      <c r="F345" s="141" t="n">
        <f aca="false">Scoring!B351</f>
        <v>0</v>
      </c>
      <c r="G345" s="141" t="n">
        <f aca="false">Scoring!D351</f>
        <v>0</v>
      </c>
      <c r="H345" s="141" t="str">
        <f aca="false">Scoring!BI351</f>
        <v/>
      </c>
      <c r="I345" s="143" t="str">
        <f aca="false">Scoring!BH351</f>
        <v/>
      </c>
    </row>
    <row r="346" customFormat="false" ht="15.75" hidden="false" customHeight="false" outlineLevel="0" collapsed="false">
      <c r="A346" s="141" t="str">
        <f aca="false">Scoring!BK352</f>
        <v/>
      </c>
      <c r="B346" s="141" t="str">
        <f aca="false">Scoring!BJ352</f>
        <v/>
      </c>
      <c r="C346" s="141" t="n">
        <f aca="false">Scoring!C352</f>
        <v>0</v>
      </c>
      <c r="D346" s="142" t="str">
        <f aca="false">Scoring!BG352</f>
        <v/>
      </c>
      <c r="E346" s="141" t="str">
        <f aca="false">Scoring!AG352</f>
        <v/>
      </c>
      <c r="F346" s="141" t="n">
        <f aca="false">Scoring!B352</f>
        <v>0</v>
      </c>
      <c r="G346" s="141" t="n">
        <f aca="false">Scoring!D352</f>
        <v>0</v>
      </c>
      <c r="H346" s="141" t="str">
        <f aca="false">Scoring!BI352</f>
        <v/>
      </c>
      <c r="I346" s="143" t="str">
        <f aca="false">Scoring!BH352</f>
        <v/>
      </c>
    </row>
    <row r="347" customFormat="false" ht="15.75" hidden="false" customHeight="false" outlineLevel="0" collapsed="false">
      <c r="A347" s="141" t="str">
        <f aca="false">Scoring!BK353</f>
        <v/>
      </c>
      <c r="B347" s="141" t="str">
        <f aca="false">Scoring!BJ353</f>
        <v/>
      </c>
      <c r="C347" s="141" t="n">
        <f aca="false">Scoring!C353</f>
        <v>0</v>
      </c>
      <c r="D347" s="142" t="str">
        <f aca="false">Scoring!BG353</f>
        <v/>
      </c>
      <c r="E347" s="141" t="str">
        <f aca="false">Scoring!AG353</f>
        <v/>
      </c>
      <c r="F347" s="141" t="n">
        <f aca="false">Scoring!B353</f>
        <v>0</v>
      </c>
      <c r="G347" s="141" t="n">
        <f aca="false">Scoring!D353</f>
        <v>0</v>
      </c>
      <c r="H347" s="141" t="str">
        <f aca="false">Scoring!BI353</f>
        <v/>
      </c>
      <c r="I347" s="143" t="str">
        <f aca="false">Scoring!BH353</f>
        <v/>
      </c>
    </row>
    <row r="348" customFormat="false" ht="15.75" hidden="false" customHeight="false" outlineLevel="0" collapsed="false">
      <c r="A348" s="141" t="str">
        <f aca="false">Scoring!BK354</f>
        <v/>
      </c>
      <c r="B348" s="141" t="str">
        <f aca="false">Scoring!BJ354</f>
        <v/>
      </c>
      <c r="C348" s="141" t="n">
        <f aca="false">Scoring!C354</f>
        <v>0</v>
      </c>
      <c r="D348" s="142" t="str">
        <f aca="false">Scoring!BG354</f>
        <v/>
      </c>
      <c r="E348" s="141" t="str">
        <f aca="false">Scoring!AG354</f>
        <v/>
      </c>
      <c r="F348" s="141" t="n">
        <f aca="false">Scoring!B354</f>
        <v>0</v>
      </c>
      <c r="G348" s="141" t="n">
        <f aca="false">Scoring!D354</f>
        <v>0</v>
      </c>
      <c r="H348" s="141" t="str">
        <f aca="false">Scoring!BI354</f>
        <v/>
      </c>
      <c r="I348" s="143" t="str">
        <f aca="false">Scoring!BH354</f>
        <v/>
      </c>
    </row>
    <row r="349" customFormat="false" ht="15.75" hidden="false" customHeight="false" outlineLevel="0" collapsed="false">
      <c r="A349" s="141" t="str">
        <f aca="false">Scoring!BK355</f>
        <v/>
      </c>
      <c r="B349" s="141" t="str">
        <f aca="false">Scoring!BJ355</f>
        <v/>
      </c>
      <c r="C349" s="141" t="n">
        <f aca="false">Scoring!C355</f>
        <v>0</v>
      </c>
      <c r="D349" s="142" t="str">
        <f aca="false">Scoring!BG355</f>
        <v/>
      </c>
      <c r="E349" s="141" t="str">
        <f aca="false">Scoring!AG355</f>
        <v/>
      </c>
      <c r="F349" s="141" t="n">
        <f aca="false">Scoring!B355</f>
        <v>0</v>
      </c>
      <c r="G349" s="141" t="n">
        <f aca="false">Scoring!D355</f>
        <v>0</v>
      </c>
      <c r="H349" s="141" t="str">
        <f aca="false">Scoring!BI355</f>
        <v/>
      </c>
      <c r="I349" s="143" t="str">
        <f aca="false">Scoring!BH355</f>
        <v/>
      </c>
    </row>
    <row r="350" customFormat="false" ht="15.75" hidden="false" customHeight="false" outlineLevel="0" collapsed="false">
      <c r="A350" s="141" t="str">
        <f aca="false">Scoring!BK356</f>
        <v/>
      </c>
      <c r="B350" s="141" t="str">
        <f aca="false">Scoring!BJ356</f>
        <v/>
      </c>
      <c r="C350" s="141" t="n">
        <f aca="false">Scoring!C356</f>
        <v>0</v>
      </c>
      <c r="D350" s="142" t="str">
        <f aca="false">Scoring!BG356</f>
        <v/>
      </c>
      <c r="E350" s="141" t="str">
        <f aca="false">Scoring!AG356</f>
        <v/>
      </c>
      <c r="F350" s="141" t="n">
        <f aca="false">Scoring!B356</f>
        <v>0</v>
      </c>
      <c r="G350" s="141" t="n">
        <f aca="false">Scoring!D356</f>
        <v>0</v>
      </c>
      <c r="H350" s="141" t="str">
        <f aca="false">Scoring!BI356</f>
        <v/>
      </c>
      <c r="I350" s="143" t="str">
        <f aca="false">Scoring!BH356</f>
        <v/>
      </c>
    </row>
    <row r="351" customFormat="false" ht="15.75" hidden="false" customHeight="false" outlineLevel="0" collapsed="false">
      <c r="A351" s="141" t="str">
        <f aca="false">Scoring!BK357</f>
        <v/>
      </c>
      <c r="B351" s="141" t="str">
        <f aca="false">Scoring!BJ357</f>
        <v/>
      </c>
      <c r="C351" s="141" t="n">
        <f aca="false">Scoring!C357</f>
        <v>0</v>
      </c>
      <c r="D351" s="142" t="str">
        <f aca="false">Scoring!BG357</f>
        <v/>
      </c>
      <c r="E351" s="141" t="str">
        <f aca="false">Scoring!AG357</f>
        <v/>
      </c>
      <c r="F351" s="141" t="n">
        <f aca="false">Scoring!B357</f>
        <v>0</v>
      </c>
      <c r="G351" s="141" t="n">
        <f aca="false">Scoring!D357</f>
        <v>0</v>
      </c>
      <c r="H351" s="141" t="str">
        <f aca="false">Scoring!BI357</f>
        <v/>
      </c>
      <c r="I351" s="143" t="str">
        <f aca="false">Scoring!BH357</f>
        <v/>
      </c>
    </row>
    <row r="352" customFormat="false" ht="15.75" hidden="false" customHeight="false" outlineLevel="0" collapsed="false">
      <c r="A352" s="141" t="str">
        <f aca="false">Scoring!BK358</f>
        <v/>
      </c>
      <c r="B352" s="141" t="str">
        <f aca="false">Scoring!BJ358</f>
        <v/>
      </c>
      <c r="C352" s="141" t="n">
        <f aca="false">Scoring!C358</f>
        <v>0</v>
      </c>
      <c r="D352" s="142" t="str">
        <f aca="false">Scoring!BG358</f>
        <v/>
      </c>
      <c r="E352" s="141" t="str">
        <f aca="false">Scoring!AG358</f>
        <v/>
      </c>
      <c r="F352" s="141" t="n">
        <f aca="false">Scoring!B358</f>
        <v>0</v>
      </c>
      <c r="G352" s="141" t="n">
        <f aca="false">Scoring!D358</f>
        <v>0</v>
      </c>
      <c r="H352" s="141" t="str">
        <f aca="false">Scoring!BI358</f>
        <v/>
      </c>
      <c r="I352" s="143" t="str">
        <f aca="false">Scoring!BH358</f>
        <v/>
      </c>
    </row>
    <row r="353" customFormat="false" ht="15.75" hidden="false" customHeight="false" outlineLevel="0" collapsed="false">
      <c r="A353" s="141" t="str">
        <f aca="false">Scoring!BK359</f>
        <v/>
      </c>
      <c r="B353" s="141" t="str">
        <f aca="false">Scoring!BJ359</f>
        <v/>
      </c>
      <c r="C353" s="141" t="n">
        <f aca="false">Scoring!C359</f>
        <v>0</v>
      </c>
      <c r="D353" s="142" t="str">
        <f aca="false">Scoring!BG359</f>
        <v/>
      </c>
      <c r="E353" s="141" t="str">
        <f aca="false">Scoring!AG359</f>
        <v/>
      </c>
      <c r="F353" s="141" t="n">
        <f aca="false">Scoring!B359</f>
        <v>0</v>
      </c>
      <c r="G353" s="141" t="n">
        <f aca="false">Scoring!D359</f>
        <v>0</v>
      </c>
      <c r="H353" s="141" t="str">
        <f aca="false">Scoring!BI359</f>
        <v/>
      </c>
      <c r="I353" s="143" t="str">
        <f aca="false">Scoring!BH359</f>
        <v/>
      </c>
    </row>
    <row r="354" customFormat="false" ht="15.75" hidden="false" customHeight="false" outlineLevel="0" collapsed="false">
      <c r="A354" s="141" t="str">
        <f aca="false">Scoring!BK360</f>
        <v/>
      </c>
      <c r="B354" s="141" t="str">
        <f aca="false">Scoring!BJ360</f>
        <v/>
      </c>
      <c r="C354" s="141" t="n">
        <f aca="false">Scoring!C360</f>
        <v>0</v>
      </c>
      <c r="D354" s="142" t="str">
        <f aca="false">Scoring!BG360</f>
        <v/>
      </c>
      <c r="E354" s="141" t="str">
        <f aca="false">Scoring!AG360</f>
        <v/>
      </c>
      <c r="F354" s="141" t="n">
        <f aca="false">Scoring!B360</f>
        <v>0</v>
      </c>
      <c r="G354" s="141" t="n">
        <f aca="false">Scoring!D360</f>
        <v>0</v>
      </c>
      <c r="H354" s="141" t="str">
        <f aca="false">Scoring!BI360</f>
        <v/>
      </c>
      <c r="I354" s="143" t="str">
        <f aca="false">Scoring!BH360</f>
        <v/>
      </c>
    </row>
    <row r="355" customFormat="false" ht="15.75" hidden="false" customHeight="false" outlineLevel="0" collapsed="false">
      <c r="A355" s="141" t="str">
        <f aca="false">Scoring!BK361</f>
        <v/>
      </c>
      <c r="B355" s="141" t="str">
        <f aca="false">Scoring!BJ361</f>
        <v/>
      </c>
      <c r="C355" s="141" t="n">
        <f aca="false">Scoring!C361</f>
        <v>0</v>
      </c>
      <c r="D355" s="142" t="str">
        <f aca="false">Scoring!BG361</f>
        <v/>
      </c>
      <c r="E355" s="141" t="str">
        <f aca="false">Scoring!AG361</f>
        <v/>
      </c>
      <c r="F355" s="141" t="n">
        <f aca="false">Scoring!B361</f>
        <v>0</v>
      </c>
      <c r="G355" s="141" t="n">
        <f aca="false">Scoring!D361</f>
        <v>0</v>
      </c>
      <c r="H355" s="141" t="str">
        <f aca="false">Scoring!BI361</f>
        <v/>
      </c>
      <c r="I355" s="143" t="str">
        <f aca="false">Scoring!BH361</f>
        <v/>
      </c>
    </row>
    <row r="356" customFormat="false" ht="15.75" hidden="false" customHeight="false" outlineLevel="0" collapsed="false">
      <c r="A356" s="141" t="str">
        <f aca="false">Scoring!BK362</f>
        <v/>
      </c>
      <c r="B356" s="141" t="str">
        <f aca="false">Scoring!BJ362</f>
        <v/>
      </c>
      <c r="C356" s="141" t="n">
        <f aca="false">Scoring!C362</f>
        <v>0</v>
      </c>
      <c r="D356" s="142" t="str">
        <f aca="false">Scoring!BG362</f>
        <v/>
      </c>
      <c r="E356" s="141" t="str">
        <f aca="false">Scoring!AG362</f>
        <v/>
      </c>
      <c r="F356" s="141" t="n">
        <f aca="false">Scoring!B362</f>
        <v>0</v>
      </c>
      <c r="G356" s="141" t="n">
        <f aca="false">Scoring!D362</f>
        <v>0</v>
      </c>
      <c r="H356" s="141" t="str">
        <f aca="false">Scoring!BI362</f>
        <v/>
      </c>
      <c r="I356" s="143" t="str">
        <f aca="false">Scoring!BH362</f>
        <v/>
      </c>
    </row>
    <row r="357" customFormat="false" ht="15.75" hidden="false" customHeight="false" outlineLevel="0" collapsed="false">
      <c r="A357" s="141" t="str">
        <f aca="false">Scoring!BK363</f>
        <v/>
      </c>
      <c r="B357" s="141" t="str">
        <f aca="false">Scoring!BJ363</f>
        <v/>
      </c>
      <c r="C357" s="141" t="n">
        <f aca="false">Scoring!C363</f>
        <v>0</v>
      </c>
      <c r="D357" s="142" t="str">
        <f aca="false">Scoring!BG363</f>
        <v/>
      </c>
      <c r="E357" s="141" t="str">
        <f aca="false">Scoring!AG363</f>
        <v/>
      </c>
      <c r="F357" s="141" t="n">
        <f aca="false">Scoring!B363</f>
        <v>0</v>
      </c>
      <c r="G357" s="141" t="n">
        <f aca="false">Scoring!D363</f>
        <v>0</v>
      </c>
      <c r="H357" s="141" t="str">
        <f aca="false">Scoring!BI363</f>
        <v/>
      </c>
      <c r="I357" s="143" t="str">
        <f aca="false">Scoring!BH363</f>
        <v/>
      </c>
    </row>
    <row r="358" customFormat="false" ht="15.75" hidden="false" customHeight="false" outlineLevel="0" collapsed="false">
      <c r="A358" s="141" t="str">
        <f aca="false">Scoring!BK364</f>
        <v/>
      </c>
      <c r="B358" s="141" t="str">
        <f aca="false">Scoring!BJ364</f>
        <v/>
      </c>
      <c r="C358" s="141" t="n">
        <f aca="false">Scoring!C364</f>
        <v>0</v>
      </c>
      <c r="D358" s="142" t="str">
        <f aca="false">Scoring!BG364</f>
        <v/>
      </c>
      <c r="E358" s="141" t="str">
        <f aca="false">Scoring!AG364</f>
        <v/>
      </c>
      <c r="F358" s="141" t="n">
        <f aca="false">Scoring!B364</f>
        <v>0</v>
      </c>
      <c r="G358" s="141" t="n">
        <f aca="false">Scoring!D364</f>
        <v>0</v>
      </c>
      <c r="H358" s="141" t="str">
        <f aca="false">Scoring!BI364</f>
        <v/>
      </c>
      <c r="I358" s="143" t="str">
        <f aca="false">Scoring!BH364</f>
        <v/>
      </c>
    </row>
    <row r="359" customFormat="false" ht="15.75" hidden="false" customHeight="false" outlineLevel="0" collapsed="false">
      <c r="A359" s="141" t="str">
        <f aca="false">Scoring!BK365</f>
        <v/>
      </c>
      <c r="B359" s="141" t="str">
        <f aca="false">Scoring!BJ365</f>
        <v/>
      </c>
      <c r="C359" s="141" t="n">
        <f aca="false">Scoring!C365</f>
        <v>0</v>
      </c>
      <c r="D359" s="142" t="str">
        <f aca="false">Scoring!BG365</f>
        <v/>
      </c>
      <c r="E359" s="141" t="str">
        <f aca="false">Scoring!AG365</f>
        <v/>
      </c>
      <c r="F359" s="141" t="n">
        <f aca="false">Scoring!B365</f>
        <v>0</v>
      </c>
      <c r="G359" s="141" t="n">
        <f aca="false">Scoring!D365</f>
        <v>0</v>
      </c>
      <c r="H359" s="141" t="str">
        <f aca="false">Scoring!BI365</f>
        <v/>
      </c>
      <c r="I359" s="143" t="str">
        <f aca="false">Scoring!BH365</f>
        <v/>
      </c>
    </row>
    <row r="360" customFormat="false" ht="15.75" hidden="false" customHeight="false" outlineLevel="0" collapsed="false">
      <c r="A360" s="141" t="str">
        <f aca="false">Scoring!BK366</f>
        <v/>
      </c>
      <c r="B360" s="141" t="str">
        <f aca="false">Scoring!BJ366</f>
        <v/>
      </c>
      <c r="C360" s="141" t="n">
        <f aca="false">Scoring!C366</f>
        <v>0</v>
      </c>
      <c r="D360" s="142" t="str">
        <f aca="false">Scoring!BG366</f>
        <v/>
      </c>
      <c r="E360" s="141" t="str">
        <f aca="false">Scoring!AG366</f>
        <v/>
      </c>
      <c r="F360" s="141" t="n">
        <f aca="false">Scoring!B366</f>
        <v>0</v>
      </c>
      <c r="G360" s="141" t="n">
        <f aca="false">Scoring!D366</f>
        <v>0</v>
      </c>
      <c r="H360" s="141" t="str">
        <f aca="false">Scoring!BI366</f>
        <v/>
      </c>
      <c r="I360" s="143" t="str">
        <f aca="false">Scoring!BH366</f>
        <v/>
      </c>
    </row>
    <row r="361" customFormat="false" ht="15.75" hidden="false" customHeight="false" outlineLevel="0" collapsed="false">
      <c r="A361" s="141" t="str">
        <f aca="false">Scoring!BK367</f>
        <v/>
      </c>
      <c r="B361" s="141" t="str">
        <f aca="false">Scoring!BJ367</f>
        <v/>
      </c>
      <c r="C361" s="141" t="n">
        <f aca="false">Scoring!C367</f>
        <v>0</v>
      </c>
      <c r="D361" s="142" t="str">
        <f aca="false">Scoring!BG367</f>
        <v/>
      </c>
      <c r="E361" s="141" t="str">
        <f aca="false">Scoring!AG367</f>
        <v/>
      </c>
      <c r="F361" s="141" t="n">
        <f aca="false">Scoring!B367</f>
        <v>0</v>
      </c>
      <c r="G361" s="141" t="n">
        <f aca="false">Scoring!D367</f>
        <v>0</v>
      </c>
      <c r="H361" s="141" t="str">
        <f aca="false">Scoring!BI367</f>
        <v/>
      </c>
      <c r="I361" s="143" t="str">
        <f aca="false">Scoring!BH367</f>
        <v/>
      </c>
    </row>
    <row r="362" customFormat="false" ht="15.75" hidden="false" customHeight="false" outlineLevel="0" collapsed="false">
      <c r="A362" s="141" t="str">
        <f aca="false">Scoring!BK368</f>
        <v/>
      </c>
      <c r="B362" s="141" t="str">
        <f aca="false">Scoring!BJ368</f>
        <v/>
      </c>
      <c r="C362" s="141" t="n">
        <f aca="false">Scoring!C368</f>
        <v>0</v>
      </c>
      <c r="D362" s="142" t="str">
        <f aca="false">Scoring!BG368</f>
        <v/>
      </c>
      <c r="E362" s="141" t="str">
        <f aca="false">Scoring!AG368</f>
        <v/>
      </c>
      <c r="F362" s="141" t="n">
        <f aca="false">Scoring!B368</f>
        <v>0</v>
      </c>
      <c r="G362" s="141" t="n">
        <f aca="false">Scoring!D368</f>
        <v>0</v>
      </c>
      <c r="H362" s="141" t="str">
        <f aca="false">Scoring!BI368</f>
        <v/>
      </c>
      <c r="I362" s="143" t="str">
        <f aca="false">Scoring!BH368</f>
        <v/>
      </c>
    </row>
    <row r="363" customFormat="false" ht="15.75" hidden="false" customHeight="false" outlineLevel="0" collapsed="false">
      <c r="A363" s="141" t="str">
        <f aca="false">Scoring!BK369</f>
        <v/>
      </c>
      <c r="B363" s="141" t="str">
        <f aca="false">Scoring!BJ369</f>
        <v/>
      </c>
      <c r="C363" s="141" t="n">
        <f aca="false">Scoring!C369</f>
        <v>0</v>
      </c>
      <c r="D363" s="142" t="str">
        <f aca="false">Scoring!BG369</f>
        <v/>
      </c>
      <c r="E363" s="141" t="str">
        <f aca="false">Scoring!AG369</f>
        <v/>
      </c>
      <c r="F363" s="141" t="n">
        <f aca="false">Scoring!B369</f>
        <v>0</v>
      </c>
      <c r="G363" s="141" t="n">
        <f aca="false">Scoring!D369</f>
        <v>0</v>
      </c>
      <c r="H363" s="141" t="str">
        <f aca="false">Scoring!BI369</f>
        <v/>
      </c>
      <c r="I363" s="143" t="str">
        <f aca="false">Scoring!BH369</f>
        <v/>
      </c>
    </row>
    <row r="364" customFormat="false" ht="15.75" hidden="false" customHeight="false" outlineLevel="0" collapsed="false">
      <c r="A364" s="141" t="str">
        <f aca="false">Scoring!BK370</f>
        <v/>
      </c>
      <c r="B364" s="141" t="str">
        <f aca="false">Scoring!BJ370</f>
        <v/>
      </c>
      <c r="C364" s="141" t="n">
        <f aca="false">Scoring!C370</f>
        <v>0</v>
      </c>
      <c r="D364" s="142" t="str">
        <f aca="false">Scoring!BG370</f>
        <v/>
      </c>
      <c r="E364" s="141" t="str">
        <f aca="false">Scoring!AG370</f>
        <v/>
      </c>
      <c r="F364" s="141" t="n">
        <f aca="false">Scoring!B370</f>
        <v>0</v>
      </c>
      <c r="G364" s="141" t="n">
        <f aca="false">Scoring!D370</f>
        <v>0</v>
      </c>
      <c r="H364" s="141" t="str">
        <f aca="false">Scoring!BI370</f>
        <v/>
      </c>
      <c r="I364" s="143" t="str">
        <f aca="false">Scoring!BH370</f>
        <v/>
      </c>
    </row>
    <row r="365" customFormat="false" ht="15.75" hidden="false" customHeight="false" outlineLevel="0" collapsed="false">
      <c r="A365" s="141" t="str">
        <f aca="false">Scoring!BK371</f>
        <v/>
      </c>
      <c r="B365" s="141" t="str">
        <f aca="false">Scoring!BJ371</f>
        <v/>
      </c>
      <c r="C365" s="141" t="n">
        <f aca="false">Scoring!C371</f>
        <v>0</v>
      </c>
      <c r="D365" s="142" t="str">
        <f aca="false">Scoring!BG371</f>
        <v/>
      </c>
      <c r="E365" s="141" t="str">
        <f aca="false">Scoring!AG371</f>
        <v/>
      </c>
      <c r="F365" s="141" t="n">
        <f aca="false">Scoring!B371</f>
        <v>0</v>
      </c>
      <c r="G365" s="141" t="n">
        <f aca="false">Scoring!D371</f>
        <v>0</v>
      </c>
      <c r="H365" s="141" t="str">
        <f aca="false">Scoring!BI371</f>
        <v/>
      </c>
      <c r="I365" s="143" t="str">
        <f aca="false">Scoring!BH371</f>
        <v/>
      </c>
    </row>
    <row r="366" customFormat="false" ht="15.75" hidden="false" customHeight="false" outlineLevel="0" collapsed="false">
      <c r="A366" s="141" t="str">
        <f aca="false">Scoring!BK372</f>
        <v/>
      </c>
      <c r="B366" s="141" t="str">
        <f aca="false">Scoring!BJ372</f>
        <v/>
      </c>
      <c r="C366" s="141" t="n">
        <f aca="false">Scoring!C372</f>
        <v>0</v>
      </c>
      <c r="D366" s="142" t="str">
        <f aca="false">Scoring!BG372</f>
        <v/>
      </c>
      <c r="E366" s="141" t="str">
        <f aca="false">Scoring!AG372</f>
        <v/>
      </c>
      <c r="F366" s="141" t="n">
        <f aca="false">Scoring!B372</f>
        <v>0</v>
      </c>
      <c r="G366" s="141" t="n">
        <f aca="false">Scoring!D372</f>
        <v>0</v>
      </c>
      <c r="H366" s="141" t="str">
        <f aca="false">Scoring!BI372</f>
        <v/>
      </c>
      <c r="I366" s="143" t="str">
        <f aca="false">Scoring!BH372</f>
        <v/>
      </c>
    </row>
    <row r="367" customFormat="false" ht="15.75" hidden="false" customHeight="false" outlineLevel="0" collapsed="false">
      <c r="A367" s="141" t="str">
        <f aca="false">Scoring!BK373</f>
        <v/>
      </c>
      <c r="B367" s="141" t="str">
        <f aca="false">Scoring!BJ373</f>
        <v/>
      </c>
      <c r="C367" s="141" t="n">
        <f aca="false">Scoring!C373</f>
        <v>0</v>
      </c>
      <c r="D367" s="142" t="str">
        <f aca="false">Scoring!BG373</f>
        <v/>
      </c>
      <c r="E367" s="141" t="str">
        <f aca="false">Scoring!AG373</f>
        <v/>
      </c>
      <c r="F367" s="141" t="n">
        <f aca="false">Scoring!B373</f>
        <v>0</v>
      </c>
      <c r="G367" s="141" t="n">
        <f aca="false">Scoring!D373</f>
        <v>0</v>
      </c>
      <c r="H367" s="141" t="str">
        <f aca="false">Scoring!BI373</f>
        <v/>
      </c>
      <c r="I367" s="143" t="str">
        <f aca="false">Scoring!BH373</f>
        <v/>
      </c>
    </row>
    <row r="368" customFormat="false" ht="15.75" hidden="false" customHeight="false" outlineLevel="0" collapsed="false">
      <c r="A368" s="141" t="str">
        <f aca="false">Scoring!BK374</f>
        <v/>
      </c>
      <c r="B368" s="141" t="str">
        <f aca="false">Scoring!BJ374</f>
        <v/>
      </c>
      <c r="C368" s="141" t="n">
        <f aca="false">Scoring!C374</f>
        <v>0</v>
      </c>
      <c r="D368" s="142" t="str">
        <f aca="false">Scoring!BG374</f>
        <v/>
      </c>
      <c r="E368" s="141" t="str">
        <f aca="false">Scoring!AG374</f>
        <v/>
      </c>
      <c r="F368" s="141" t="n">
        <f aca="false">Scoring!B374</f>
        <v>0</v>
      </c>
      <c r="G368" s="141" t="n">
        <f aca="false">Scoring!D374</f>
        <v>0</v>
      </c>
      <c r="H368" s="141" t="str">
        <f aca="false">Scoring!BI374</f>
        <v/>
      </c>
      <c r="I368" s="143" t="str">
        <f aca="false">Scoring!BH374</f>
        <v/>
      </c>
    </row>
    <row r="369" customFormat="false" ht="15.75" hidden="false" customHeight="false" outlineLevel="0" collapsed="false">
      <c r="A369" s="141" t="str">
        <f aca="false">Scoring!BK375</f>
        <v/>
      </c>
      <c r="B369" s="141" t="str">
        <f aca="false">Scoring!BJ375</f>
        <v/>
      </c>
      <c r="C369" s="141" t="n">
        <f aca="false">Scoring!C375</f>
        <v>0</v>
      </c>
      <c r="D369" s="142" t="str">
        <f aca="false">Scoring!BG375</f>
        <v/>
      </c>
      <c r="E369" s="141" t="str">
        <f aca="false">Scoring!AG375</f>
        <v/>
      </c>
      <c r="F369" s="141" t="n">
        <f aca="false">Scoring!B375</f>
        <v>0</v>
      </c>
      <c r="G369" s="141" t="n">
        <f aca="false">Scoring!D375</f>
        <v>0</v>
      </c>
      <c r="H369" s="141" t="str">
        <f aca="false">Scoring!BI375</f>
        <v/>
      </c>
      <c r="I369" s="143" t="str">
        <f aca="false">Scoring!BH375</f>
        <v/>
      </c>
    </row>
    <row r="370" customFormat="false" ht="15.75" hidden="false" customHeight="false" outlineLevel="0" collapsed="false">
      <c r="A370" s="141" t="str">
        <f aca="false">Scoring!BK376</f>
        <v/>
      </c>
      <c r="B370" s="141" t="str">
        <f aca="false">Scoring!BJ376</f>
        <v/>
      </c>
      <c r="C370" s="141" t="n">
        <f aca="false">Scoring!C376</f>
        <v>0</v>
      </c>
      <c r="D370" s="142" t="str">
        <f aca="false">Scoring!BG376</f>
        <v/>
      </c>
      <c r="E370" s="141" t="str">
        <f aca="false">Scoring!AG376</f>
        <v/>
      </c>
      <c r="F370" s="141" t="n">
        <f aca="false">Scoring!B376</f>
        <v>0</v>
      </c>
      <c r="G370" s="141" t="n">
        <f aca="false">Scoring!D376</f>
        <v>0</v>
      </c>
      <c r="H370" s="141" t="str">
        <f aca="false">Scoring!BI376</f>
        <v/>
      </c>
      <c r="I370" s="143" t="str">
        <f aca="false">Scoring!BH376</f>
        <v/>
      </c>
    </row>
    <row r="371" customFormat="false" ht="15.75" hidden="false" customHeight="false" outlineLevel="0" collapsed="false">
      <c r="A371" s="141" t="str">
        <f aca="false">Scoring!BK377</f>
        <v/>
      </c>
      <c r="B371" s="141" t="str">
        <f aca="false">Scoring!BJ377</f>
        <v/>
      </c>
      <c r="C371" s="141" t="n">
        <f aca="false">Scoring!C377</f>
        <v>0</v>
      </c>
      <c r="D371" s="142" t="str">
        <f aca="false">Scoring!BG377</f>
        <v/>
      </c>
      <c r="E371" s="141" t="str">
        <f aca="false">Scoring!AG377</f>
        <v/>
      </c>
      <c r="F371" s="141" t="n">
        <f aca="false">Scoring!B377</f>
        <v>0</v>
      </c>
      <c r="G371" s="141" t="n">
        <f aca="false">Scoring!D377</f>
        <v>0</v>
      </c>
      <c r="H371" s="141" t="str">
        <f aca="false">Scoring!BI377</f>
        <v/>
      </c>
      <c r="I371" s="143" t="str">
        <f aca="false">Scoring!BH377</f>
        <v/>
      </c>
    </row>
    <row r="372" customFormat="false" ht="15.75" hidden="false" customHeight="false" outlineLevel="0" collapsed="false">
      <c r="A372" s="141" t="str">
        <f aca="false">Scoring!BK378</f>
        <v/>
      </c>
      <c r="B372" s="141" t="str">
        <f aca="false">Scoring!BJ378</f>
        <v/>
      </c>
      <c r="C372" s="141" t="n">
        <f aca="false">Scoring!C378</f>
        <v>0</v>
      </c>
      <c r="D372" s="142" t="str">
        <f aca="false">Scoring!BG378</f>
        <v/>
      </c>
      <c r="E372" s="141" t="str">
        <f aca="false">Scoring!AG378</f>
        <v/>
      </c>
      <c r="F372" s="141" t="n">
        <f aca="false">Scoring!B378</f>
        <v>0</v>
      </c>
      <c r="G372" s="141" t="n">
        <f aca="false">Scoring!D378</f>
        <v>0</v>
      </c>
      <c r="H372" s="141" t="str">
        <f aca="false">Scoring!BI378</f>
        <v/>
      </c>
      <c r="I372" s="143" t="str">
        <f aca="false">Scoring!BH378</f>
        <v/>
      </c>
    </row>
    <row r="373" customFormat="false" ht="15.75" hidden="false" customHeight="false" outlineLevel="0" collapsed="false">
      <c r="A373" s="141" t="str">
        <f aca="false">Scoring!BK379</f>
        <v/>
      </c>
      <c r="B373" s="141" t="str">
        <f aca="false">Scoring!BJ379</f>
        <v/>
      </c>
      <c r="C373" s="141" t="n">
        <f aca="false">Scoring!C379</f>
        <v>0</v>
      </c>
      <c r="D373" s="142" t="str">
        <f aca="false">Scoring!BG379</f>
        <v/>
      </c>
      <c r="E373" s="141" t="str">
        <f aca="false">Scoring!AG379</f>
        <v/>
      </c>
      <c r="F373" s="141" t="n">
        <f aca="false">Scoring!B379</f>
        <v>0</v>
      </c>
      <c r="G373" s="141" t="n">
        <f aca="false">Scoring!D379</f>
        <v>0</v>
      </c>
      <c r="H373" s="141" t="str">
        <f aca="false">Scoring!BI379</f>
        <v/>
      </c>
      <c r="I373" s="143" t="str">
        <f aca="false">Scoring!BH379</f>
        <v/>
      </c>
    </row>
    <row r="374" customFormat="false" ht="15.75" hidden="false" customHeight="false" outlineLevel="0" collapsed="false">
      <c r="A374" s="141" t="str">
        <f aca="false">Scoring!BK380</f>
        <v/>
      </c>
      <c r="B374" s="141" t="str">
        <f aca="false">Scoring!BJ380</f>
        <v/>
      </c>
      <c r="C374" s="141" t="n">
        <f aca="false">Scoring!C380</f>
        <v>0</v>
      </c>
      <c r="D374" s="142" t="str">
        <f aca="false">Scoring!BG380</f>
        <v/>
      </c>
      <c r="E374" s="141" t="str">
        <f aca="false">Scoring!AG380</f>
        <v/>
      </c>
      <c r="F374" s="141" t="n">
        <f aca="false">Scoring!B380</f>
        <v>0</v>
      </c>
      <c r="G374" s="141" t="n">
        <f aca="false">Scoring!D380</f>
        <v>0</v>
      </c>
      <c r="H374" s="141" t="str">
        <f aca="false">Scoring!BI380</f>
        <v/>
      </c>
      <c r="I374" s="143" t="str">
        <f aca="false">Scoring!BH380</f>
        <v/>
      </c>
    </row>
    <row r="375" customFormat="false" ht="15.75" hidden="false" customHeight="false" outlineLevel="0" collapsed="false">
      <c r="A375" s="141" t="str">
        <f aca="false">Scoring!BK381</f>
        <v/>
      </c>
      <c r="B375" s="141" t="str">
        <f aca="false">Scoring!BJ381</f>
        <v/>
      </c>
      <c r="C375" s="141" t="n">
        <f aca="false">Scoring!C381</f>
        <v>0</v>
      </c>
      <c r="D375" s="142" t="str">
        <f aca="false">Scoring!BG381</f>
        <v/>
      </c>
      <c r="E375" s="141" t="str">
        <f aca="false">Scoring!AG381</f>
        <v/>
      </c>
      <c r="F375" s="141" t="n">
        <f aca="false">Scoring!B381</f>
        <v>0</v>
      </c>
      <c r="G375" s="141" t="n">
        <f aca="false">Scoring!D381</f>
        <v>0</v>
      </c>
      <c r="H375" s="141" t="str">
        <f aca="false">Scoring!BI381</f>
        <v/>
      </c>
      <c r="I375" s="143" t="str">
        <f aca="false">Scoring!BH381</f>
        <v/>
      </c>
    </row>
    <row r="376" customFormat="false" ht="15.75" hidden="false" customHeight="false" outlineLevel="0" collapsed="false">
      <c r="A376" s="141" t="str">
        <f aca="false">Scoring!BK382</f>
        <v/>
      </c>
      <c r="B376" s="141" t="str">
        <f aca="false">Scoring!BJ382</f>
        <v/>
      </c>
      <c r="C376" s="141" t="n">
        <f aca="false">Scoring!C382</f>
        <v>0</v>
      </c>
      <c r="D376" s="142" t="str">
        <f aca="false">Scoring!BG382</f>
        <v/>
      </c>
      <c r="E376" s="141" t="str">
        <f aca="false">Scoring!AG382</f>
        <v/>
      </c>
      <c r="F376" s="141" t="n">
        <f aca="false">Scoring!B382</f>
        <v>0</v>
      </c>
      <c r="G376" s="141" t="n">
        <f aca="false">Scoring!D382</f>
        <v>0</v>
      </c>
      <c r="H376" s="141" t="str">
        <f aca="false">Scoring!BI382</f>
        <v/>
      </c>
      <c r="I376" s="143" t="str">
        <f aca="false">Scoring!BH382</f>
        <v/>
      </c>
    </row>
    <row r="377" customFormat="false" ht="15.75" hidden="false" customHeight="false" outlineLevel="0" collapsed="false">
      <c r="A377" s="141" t="str">
        <f aca="false">Scoring!BK383</f>
        <v/>
      </c>
      <c r="B377" s="141" t="str">
        <f aca="false">Scoring!BJ383</f>
        <v/>
      </c>
      <c r="C377" s="141" t="n">
        <f aca="false">Scoring!C383</f>
        <v>0</v>
      </c>
      <c r="D377" s="142" t="str">
        <f aca="false">Scoring!BG383</f>
        <v/>
      </c>
      <c r="E377" s="141" t="str">
        <f aca="false">Scoring!AG383</f>
        <v/>
      </c>
      <c r="F377" s="141" t="n">
        <f aca="false">Scoring!B383</f>
        <v>0</v>
      </c>
      <c r="G377" s="141" t="n">
        <f aca="false">Scoring!D383</f>
        <v>0</v>
      </c>
      <c r="H377" s="141" t="str">
        <f aca="false">Scoring!BI383</f>
        <v/>
      </c>
      <c r="I377" s="143" t="str">
        <f aca="false">Scoring!BH383</f>
        <v/>
      </c>
    </row>
    <row r="378" customFormat="false" ht="15.75" hidden="false" customHeight="false" outlineLevel="0" collapsed="false">
      <c r="A378" s="141" t="str">
        <f aca="false">Scoring!BK384</f>
        <v/>
      </c>
      <c r="B378" s="141" t="str">
        <f aca="false">Scoring!BJ384</f>
        <v/>
      </c>
      <c r="C378" s="141" t="n">
        <f aca="false">Scoring!C384</f>
        <v>0</v>
      </c>
      <c r="D378" s="142" t="str">
        <f aca="false">Scoring!BG384</f>
        <v/>
      </c>
      <c r="E378" s="141" t="str">
        <f aca="false">Scoring!AG384</f>
        <v/>
      </c>
      <c r="F378" s="141" t="n">
        <f aca="false">Scoring!B384</f>
        <v>0</v>
      </c>
      <c r="G378" s="141" t="n">
        <f aca="false">Scoring!D384</f>
        <v>0</v>
      </c>
      <c r="H378" s="141" t="str">
        <f aca="false">Scoring!BI384</f>
        <v/>
      </c>
      <c r="I378" s="143" t="str">
        <f aca="false">Scoring!BH384</f>
        <v/>
      </c>
    </row>
    <row r="379" customFormat="false" ht="15.75" hidden="false" customHeight="false" outlineLevel="0" collapsed="false">
      <c r="A379" s="141" t="str">
        <f aca="false">Scoring!BK385</f>
        <v/>
      </c>
      <c r="B379" s="141" t="str">
        <f aca="false">Scoring!BJ385</f>
        <v/>
      </c>
      <c r="C379" s="141" t="n">
        <f aca="false">Scoring!C385</f>
        <v>0</v>
      </c>
      <c r="D379" s="142" t="str">
        <f aca="false">Scoring!BG385</f>
        <v/>
      </c>
      <c r="E379" s="141" t="str">
        <f aca="false">Scoring!AG385</f>
        <v/>
      </c>
      <c r="F379" s="141" t="n">
        <f aca="false">Scoring!B385</f>
        <v>0</v>
      </c>
      <c r="G379" s="141" t="n">
        <f aca="false">Scoring!D385</f>
        <v>0</v>
      </c>
      <c r="H379" s="141" t="str">
        <f aca="false">Scoring!BI385</f>
        <v/>
      </c>
      <c r="I379" s="143" t="str">
        <f aca="false">Scoring!BH385</f>
        <v/>
      </c>
    </row>
    <row r="380" customFormat="false" ht="15.75" hidden="false" customHeight="false" outlineLevel="0" collapsed="false">
      <c r="A380" s="141" t="str">
        <f aca="false">Scoring!BK386</f>
        <v/>
      </c>
      <c r="B380" s="141" t="str">
        <f aca="false">Scoring!BJ386</f>
        <v/>
      </c>
      <c r="C380" s="141" t="n">
        <f aca="false">Scoring!C386</f>
        <v>0</v>
      </c>
      <c r="D380" s="142" t="str">
        <f aca="false">Scoring!BG386</f>
        <v/>
      </c>
      <c r="E380" s="141" t="str">
        <f aca="false">Scoring!AG386</f>
        <v/>
      </c>
      <c r="F380" s="141" t="n">
        <f aca="false">Scoring!B386</f>
        <v>0</v>
      </c>
      <c r="G380" s="141" t="n">
        <f aca="false">Scoring!D386</f>
        <v>0</v>
      </c>
      <c r="H380" s="141" t="str">
        <f aca="false">Scoring!BI386</f>
        <v/>
      </c>
      <c r="I380" s="143" t="str">
        <f aca="false">Scoring!BH386</f>
        <v/>
      </c>
    </row>
    <row r="381" customFormat="false" ht="15.75" hidden="false" customHeight="false" outlineLevel="0" collapsed="false">
      <c r="A381" s="141" t="str">
        <f aca="false">Scoring!BK387</f>
        <v/>
      </c>
      <c r="B381" s="141" t="str">
        <f aca="false">Scoring!BJ387</f>
        <v/>
      </c>
      <c r="C381" s="141" t="n">
        <f aca="false">Scoring!C387</f>
        <v>0</v>
      </c>
      <c r="D381" s="142" t="str">
        <f aca="false">Scoring!BG387</f>
        <v/>
      </c>
      <c r="E381" s="141" t="str">
        <f aca="false">Scoring!AG387</f>
        <v/>
      </c>
      <c r="F381" s="141" t="n">
        <f aca="false">Scoring!B387</f>
        <v>0</v>
      </c>
      <c r="G381" s="141" t="n">
        <f aca="false">Scoring!D387</f>
        <v>0</v>
      </c>
      <c r="H381" s="141" t="str">
        <f aca="false">Scoring!BI387</f>
        <v/>
      </c>
      <c r="I381" s="143" t="str">
        <f aca="false">Scoring!BH387</f>
        <v/>
      </c>
    </row>
    <row r="382" customFormat="false" ht="15.75" hidden="false" customHeight="false" outlineLevel="0" collapsed="false">
      <c r="A382" s="141" t="str">
        <f aca="false">Scoring!BK388</f>
        <v/>
      </c>
      <c r="B382" s="141" t="str">
        <f aca="false">Scoring!BJ388</f>
        <v/>
      </c>
      <c r="C382" s="141" t="n">
        <f aca="false">Scoring!C388</f>
        <v>0</v>
      </c>
      <c r="D382" s="142" t="str">
        <f aca="false">Scoring!BG388</f>
        <v/>
      </c>
      <c r="E382" s="141" t="str">
        <f aca="false">Scoring!AG388</f>
        <v/>
      </c>
      <c r="F382" s="141" t="n">
        <f aca="false">Scoring!B388</f>
        <v>0</v>
      </c>
      <c r="G382" s="141" t="n">
        <f aca="false">Scoring!D388</f>
        <v>0</v>
      </c>
      <c r="H382" s="141" t="str">
        <f aca="false">Scoring!BI388</f>
        <v/>
      </c>
      <c r="I382" s="143" t="str">
        <f aca="false">Scoring!BH388</f>
        <v/>
      </c>
    </row>
    <row r="383" customFormat="false" ht="15.75" hidden="false" customHeight="false" outlineLevel="0" collapsed="false">
      <c r="A383" s="141" t="str">
        <f aca="false">Scoring!BK389</f>
        <v/>
      </c>
      <c r="B383" s="141" t="str">
        <f aca="false">Scoring!BJ389</f>
        <v/>
      </c>
      <c r="C383" s="141" t="n">
        <f aca="false">Scoring!C389</f>
        <v>0</v>
      </c>
      <c r="D383" s="142" t="str">
        <f aca="false">Scoring!BG389</f>
        <v/>
      </c>
      <c r="E383" s="141" t="str">
        <f aca="false">Scoring!AG389</f>
        <v/>
      </c>
      <c r="F383" s="141" t="n">
        <f aca="false">Scoring!B389</f>
        <v>0</v>
      </c>
      <c r="G383" s="141" t="n">
        <f aca="false">Scoring!D389</f>
        <v>0</v>
      </c>
      <c r="H383" s="141" t="str">
        <f aca="false">Scoring!BI389</f>
        <v/>
      </c>
      <c r="I383" s="143" t="str">
        <f aca="false">Scoring!BH389</f>
        <v/>
      </c>
    </row>
    <row r="384" customFormat="false" ht="15.75" hidden="false" customHeight="false" outlineLevel="0" collapsed="false">
      <c r="A384" s="141" t="str">
        <f aca="false">Scoring!BK390</f>
        <v/>
      </c>
      <c r="B384" s="141" t="str">
        <f aca="false">Scoring!BJ390</f>
        <v/>
      </c>
      <c r="C384" s="141" t="n">
        <f aca="false">Scoring!C390</f>
        <v>0</v>
      </c>
      <c r="D384" s="142" t="str">
        <f aca="false">Scoring!BG390</f>
        <v/>
      </c>
      <c r="E384" s="141" t="str">
        <f aca="false">Scoring!AG390</f>
        <v/>
      </c>
      <c r="F384" s="141" t="n">
        <f aca="false">Scoring!B390</f>
        <v>0</v>
      </c>
      <c r="G384" s="141" t="n">
        <f aca="false">Scoring!D390</f>
        <v>0</v>
      </c>
      <c r="H384" s="141" t="str">
        <f aca="false">Scoring!BI390</f>
        <v/>
      </c>
      <c r="I384" s="143" t="str">
        <f aca="false">Scoring!BH390</f>
        <v/>
      </c>
    </row>
    <row r="385" customFormat="false" ht="15.75" hidden="false" customHeight="false" outlineLevel="0" collapsed="false">
      <c r="A385" s="141" t="str">
        <f aca="false">Scoring!BK391</f>
        <v/>
      </c>
      <c r="B385" s="141" t="str">
        <f aca="false">Scoring!BJ391</f>
        <v/>
      </c>
      <c r="C385" s="141" t="n">
        <f aca="false">Scoring!C391</f>
        <v>0</v>
      </c>
      <c r="D385" s="142" t="str">
        <f aca="false">Scoring!BG391</f>
        <v/>
      </c>
      <c r="E385" s="141" t="str">
        <f aca="false">Scoring!AG391</f>
        <v/>
      </c>
      <c r="F385" s="141" t="n">
        <f aca="false">Scoring!B391</f>
        <v>0</v>
      </c>
      <c r="G385" s="141" t="n">
        <f aca="false">Scoring!D391</f>
        <v>0</v>
      </c>
      <c r="H385" s="141" t="str">
        <f aca="false">Scoring!BI391</f>
        <v/>
      </c>
      <c r="I385" s="143" t="str">
        <f aca="false">Scoring!BH391</f>
        <v/>
      </c>
    </row>
    <row r="386" customFormat="false" ht="15.75" hidden="false" customHeight="false" outlineLevel="0" collapsed="false">
      <c r="A386" s="141" t="str">
        <f aca="false">Scoring!BK392</f>
        <v/>
      </c>
      <c r="B386" s="141" t="str">
        <f aca="false">Scoring!BJ392</f>
        <v/>
      </c>
      <c r="C386" s="141" t="n">
        <f aca="false">Scoring!C392</f>
        <v>0</v>
      </c>
      <c r="D386" s="142" t="str">
        <f aca="false">Scoring!BG392</f>
        <v/>
      </c>
      <c r="E386" s="141" t="str">
        <f aca="false">Scoring!AG392</f>
        <v/>
      </c>
      <c r="F386" s="141" t="n">
        <f aca="false">Scoring!B392</f>
        <v>0</v>
      </c>
      <c r="G386" s="141" t="n">
        <f aca="false">Scoring!D392</f>
        <v>0</v>
      </c>
      <c r="H386" s="141" t="str">
        <f aca="false">Scoring!BI392</f>
        <v/>
      </c>
      <c r="I386" s="143" t="str">
        <f aca="false">Scoring!BH392</f>
        <v/>
      </c>
    </row>
    <row r="387" customFormat="false" ht="15.75" hidden="false" customHeight="false" outlineLevel="0" collapsed="false">
      <c r="A387" s="141" t="str">
        <f aca="false">Scoring!BK393</f>
        <v/>
      </c>
      <c r="B387" s="141" t="str">
        <f aca="false">Scoring!BJ393</f>
        <v/>
      </c>
      <c r="C387" s="141" t="n">
        <f aca="false">Scoring!C393</f>
        <v>0</v>
      </c>
      <c r="D387" s="142" t="str">
        <f aca="false">Scoring!BG393</f>
        <v/>
      </c>
      <c r="E387" s="141" t="str">
        <f aca="false">Scoring!AG393</f>
        <v/>
      </c>
      <c r="F387" s="141" t="n">
        <f aca="false">Scoring!B393</f>
        <v>0</v>
      </c>
      <c r="G387" s="141" t="n">
        <f aca="false">Scoring!D393</f>
        <v>0</v>
      </c>
      <c r="H387" s="141" t="str">
        <f aca="false">Scoring!BI393</f>
        <v/>
      </c>
      <c r="I387" s="143" t="str">
        <f aca="false">Scoring!BH393</f>
        <v/>
      </c>
    </row>
    <row r="388" customFormat="false" ht="15.75" hidden="false" customHeight="false" outlineLevel="0" collapsed="false">
      <c r="A388" s="141" t="str">
        <f aca="false">Scoring!BK394</f>
        <v/>
      </c>
      <c r="B388" s="141" t="str">
        <f aca="false">Scoring!BJ394</f>
        <v/>
      </c>
      <c r="C388" s="141" t="n">
        <f aca="false">Scoring!C394</f>
        <v>0</v>
      </c>
      <c r="D388" s="142" t="str">
        <f aca="false">Scoring!BG394</f>
        <v/>
      </c>
      <c r="E388" s="141" t="str">
        <f aca="false">Scoring!AG394</f>
        <v/>
      </c>
      <c r="F388" s="141" t="n">
        <f aca="false">Scoring!B394</f>
        <v>0</v>
      </c>
      <c r="G388" s="141" t="n">
        <f aca="false">Scoring!D394</f>
        <v>0</v>
      </c>
      <c r="H388" s="141" t="str">
        <f aca="false">Scoring!BI394</f>
        <v/>
      </c>
      <c r="I388" s="143" t="str">
        <f aca="false">Scoring!BH394</f>
        <v/>
      </c>
    </row>
    <row r="389" customFormat="false" ht="15.75" hidden="false" customHeight="false" outlineLevel="0" collapsed="false">
      <c r="A389" s="141" t="str">
        <f aca="false">Scoring!BK395</f>
        <v/>
      </c>
      <c r="B389" s="141" t="str">
        <f aca="false">Scoring!BJ395</f>
        <v/>
      </c>
      <c r="C389" s="141" t="n">
        <f aca="false">Scoring!C395</f>
        <v>0</v>
      </c>
      <c r="D389" s="142" t="str">
        <f aca="false">Scoring!BG395</f>
        <v/>
      </c>
      <c r="E389" s="141" t="str">
        <f aca="false">Scoring!AG395</f>
        <v/>
      </c>
      <c r="F389" s="141" t="n">
        <f aca="false">Scoring!B395</f>
        <v>0</v>
      </c>
      <c r="G389" s="141" t="n">
        <f aca="false">Scoring!D395</f>
        <v>0</v>
      </c>
      <c r="H389" s="141" t="str">
        <f aca="false">Scoring!BI395</f>
        <v/>
      </c>
      <c r="I389" s="143" t="str">
        <f aca="false">Scoring!BH395</f>
        <v/>
      </c>
    </row>
    <row r="390" customFormat="false" ht="15.75" hidden="false" customHeight="false" outlineLevel="0" collapsed="false">
      <c r="A390" s="141" t="str">
        <f aca="false">Scoring!BK396</f>
        <v/>
      </c>
      <c r="B390" s="141" t="str">
        <f aca="false">Scoring!BJ396</f>
        <v/>
      </c>
      <c r="C390" s="141" t="n">
        <f aca="false">Scoring!C396</f>
        <v>0</v>
      </c>
      <c r="D390" s="142" t="str">
        <f aca="false">Scoring!BG396</f>
        <v/>
      </c>
      <c r="E390" s="141" t="str">
        <f aca="false">Scoring!AG396</f>
        <v/>
      </c>
      <c r="F390" s="141" t="n">
        <f aca="false">Scoring!B396</f>
        <v>0</v>
      </c>
      <c r="G390" s="141" t="n">
        <f aca="false">Scoring!D396</f>
        <v>0</v>
      </c>
      <c r="H390" s="141" t="str">
        <f aca="false">Scoring!BI396</f>
        <v/>
      </c>
      <c r="I390" s="143" t="str">
        <f aca="false">Scoring!BH396</f>
        <v/>
      </c>
    </row>
    <row r="391" customFormat="false" ht="15.75" hidden="false" customHeight="false" outlineLevel="0" collapsed="false">
      <c r="A391" s="141" t="str">
        <f aca="false">Scoring!BK397</f>
        <v/>
      </c>
      <c r="B391" s="141" t="str">
        <f aca="false">Scoring!BJ397</f>
        <v/>
      </c>
      <c r="C391" s="141" t="n">
        <f aca="false">Scoring!C397</f>
        <v>0</v>
      </c>
      <c r="D391" s="142" t="str">
        <f aca="false">Scoring!BG397</f>
        <v/>
      </c>
      <c r="E391" s="141" t="str">
        <f aca="false">Scoring!AG397</f>
        <v/>
      </c>
      <c r="F391" s="141" t="n">
        <f aca="false">Scoring!B397</f>
        <v>0</v>
      </c>
      <c r="G391" s="141" t="n">
        <f aca="false">Scoring!D397</f>
        <v>0</v>
      </c>
      <c r="H391" s="141" t="str">
        <f aca="false">Scoring!BI397</f>
        <v/>
      </c>
      <c r="I391" s="143" t="str">
        <f aca="false">Scoring!BH397</f>
        <v/>
      </c>
    </row>
    <row r="392" customFormat="false" ht="15.75" hidden="false" customHeight="false" outlineLevel="0" collapsed="false">
      <c r="A392" s="141" t="str">
        <f aca="false">Scoring!BK398</f>
        <v/>
      </c>
      <c r="B392" s="141" t="str">
        <f aca="false">Scoring!BJ398</f>
        <v/>
      </c>
      <c r="C392" s="141" t="n">
        <f aca="false">Scoring!C398</f>
        <v>0</v>
      </c>
      <c r="D392" s="142" t="str">
        <f aca="false">Scoring!BG398</f>
        <v/>
      </c>
      <c r="E392" s="141" t="str">
        <f aca="false">Scoring!AG398</f>
        <v/>
      </c>
      <c r="F392" s="141" t="n">
        <f aca="false">Scoring!B398</f>
        <v>0</v>
      </c>
      <c r="G392" s="141" t="n">
        <f aca="false">Scoring!D398</f>
        <v>0</v>
      </c>
      <c r="H392" s="141" t="str">
        <f aca="false">Scoring!BI398</f>
        <v/>
      </c>
      <c r="I392" s="143" t="str">
        <f aca="false">Scoring!BH398</f>
        <v/>
      </c>
    </row>
    <row r="393" customFormat="false" ht="15.75" hidden="false" customHeight="false" outlineLevel="0" collapsed="false">
      <c r="A393" s="141" t="str">
        <f aca="false">Scoring!BK399</f>
        <v/>
      </c>
      <c r="B393" s="141" t="str">
        <f aca="false">Scoring!BJ399</f>
        <v/>
      </c>
      <c r="C393" s="141" t="n">
        <f aca="false">Scoring!C399</f>
        <v>0</v>
      </c>
      <c r="D393" s="142" t="str">
        <f aca="false">Scoring!BG399</f>
        <v/>
      </c>
      <c r="E393" s="141" t="str">
        <f aca="false">Scoring!AG399</f>
        <v/>
      </c>
      <c r="F393" s="141" t="n">
        <f aca="false">Scoring!B399</f>
        <v>0</v>
      </c>
      <c r="G393" s="141" t="n">
        <f aca="false">Scoring!D399</f>
        <v>0</v>
      </c>
      <c r="H393" s="141" t="str">
        <f aca="false">Scoring!BI399</f>
        <v/>
      </c>
      <c r="I393" s="143" t="str">
        <f aca="false">Scoring!BH399</f>
        <v/>
      </c>
    </row>
    <row r="394" customFormat="false" ht="15.75" hidden="false" customHeight="false" outlineLevel="0" collapsed="false">
      <c r="A394" s="141" t="str">
        <f aca="false">Scoring!BK400</f>
        <v/>
      </c>
      <c r="B394" s="141" t="str">
        <f aca="false">Scoring!BJ400</f>
        <v/>
      </c>
      <c r="C394" s="141" t="n">
        <f aca="false">Scoring!C400</f>
        <v>0</v>
      </c>
      <c r="D394" s="142" t="str">
        <f aca="false">Scoring!BG400</f>
        <v/>
      </c>
      <c r="E394" s="141" t="str">
        <f aca="false">Scoring!AG400</f>
        <v/>
      </c>
      <c r="F394" s="141" t="n">
        <f aca="false">Scoring!B400</f>
        <v>0</v>
      </c>
      <c r="G394" s="141" t="n">
        <f aca="false">Scoring!D400</f>
        <v>0</v>
      </c>
      <c r="H394" s="141" t="str">
        <f aca="false">Scoring!BI400</f>
        <v/>
      </c>
      <c r="I394" s="143" t="str">
        <f aca="false">Scoring!BH400</f>
        <v/>
      </c>
    </row>
    <row r="395" customFormat="false" ht="15.75" hidden="false" customHeight="false" outlineLevel="0" collapsed="false">
      <c r="A395" s="141" t="str">
        <f aca="false">Scoring!BK401</f>
        <v/>
      </c>
      <c r="B395" s="141" t="str">
        <f aca="false">Scoring!BJ401</f>
        <v/>
      </c>
      <c r="C395" s="141" t="n">
        <f aca="false">Scoring!C401</f>
        <v>0</v>
      </c>
      <c r="D395" s="142" t="str">
        <f aca="false">Scoring!BG401</f>
        <v/>
      </c>
      <c r="E395" s="141" t="str">
        <f aca="false">Scoring!AG401</f>
        <v/>
      </c>
      <c r="F395" s="141" t="n">
        <f aca="false">Scoring!B401</f>
        <v>0</v>
      </c>
      <c r="G395" s="141" t="n">
        <f aca="false">Scoring!D401</f>
        <v>0</v>
      </c>
      <c r="H395" s="141" t="str">
        <f aca="false">Scoring!BI401</f>
        <v/>
      </c>
      <c r="I395" s="143" t="str">
        <f aca="false">Scoring!BH401</f>
        <v/>
      </c>
    </row>
    <row r="396" customFormat="false" ht="15.75" hidden="false" customHeight="false" outlineLevel="0" collapsed="false">
      <c r="A396" s="141" t="str">
        <f aca="false">Scoring!BK402</f>
        <v/>
      </c>
      <c r="B396" s="141" t="str">
        <f aca="false">Scoring!BJ402</f>
        <v/>
      </c>
      <c r="C396" s="141" t="n">
        <f aca="false">Scoring!C402</f>
        <v>0</v>
      </c>
      <c r="D396" s="142" t="str">
        <f aca="false">Scoring!BG402</f>
        <v/>
      </c>
      <c r="E396" s="141" t="str">
        <f aca="false">Scoring!AG402</f>
        <v/>
      </c>
      <c r="F396" s="141" t="n">
        <f aca="false">Scoring!B402</f>
        <v>0</v>
      </c>
      <c r="G396" s="141" t="n">
        <f aca="false">Scoring!D402</f>
        <v>0</v>
      </c>
      <c r="H396" s="141" t="str">
        <f aca="false">Scoring!BI402</f>
        <v/>
      </c>
      <c r="I396" s="143" t="str">
        <f aca="false">Scoring!BH402</f>
        <v/>
      </c>
    </row>
    <row r="397" customFormat="false" ht="15.75" hidden="false" customHeight="false" outlineLevel="0" collapsed="false">
      <c r="A397" s="141" t="str">
        <f aca="false">Scoring!BK403</f>
        <v/>
      </c>
      <c r="B397" s="141" t="str">
        <f aca="false">Scoring!BJ403</f>
        <v/>
      </c>
      <c r="C397" s="141" t="n">
        <f aca="false">Scoring!C403</f>
        <v>0</v>
      </c>
      <c r="D397" s="142" t="str">
        <f aca="false">Scoring!BG403</f>
        <v/>
      </c>
      <c r="E397" s="141" t="str">
        <f aca="false">Scoring!AG403</f>
        <v/>
      </c>
      <c r="F397" s="141" t="n">
        <f aca="false">Scoring!B403</f>
        <v>0</v>
      </c>
      <c r="G397" s="141" t="n">
        <f aca="false">Scoring!D403</f>
        <v>0</v>
      </c>
      <c r="H397" s="141" t="str">
        <f aca="false">Scoring!BI403</f>
        <v/>
      </c>
      <c r="I397" s="143" t="str">
        <f aca="false">Scoring!BH403</f>
        <v/>
      </c>
    </row>
    <row r="398" customFormat="false" ht="15.75" hidden="false" customHeight="false" outlineLevel="0" collapsed="false">
      <c r="A398" s="141" t="str">
        <f aca="false">Scoring!BK404</f>
        <v/>
      </c>
      <c r="B398" s="141" t="str">
        <f aca="false">Scoring!BJ404</f>
        <v/>
      </c>
      <c r="C398" s="141" t="n">
        <f aca="false">Scoring!C404</f>
        <v>0</v>
      </c>
      <c r="D398" s="142" t="str">
        <f aca="false">Scoring!BG404</f>
        <v/>
      </c>
      <c r="E398" s="141" t="str">
        <f aca="false">Scoring!AG404</f>
        <v/>
      </c>
      <c r="F398" s="141" t="n">
        <f aca="false">Scoring!B404</f>
        <v>0</v>
      </c>
      <c r="G398" s="141" t="n">
        <f aca="false">Scoring!D404</f>
        <v>0</v>
      </c>
      <c r="H398" s="141" t="str">
        <f aca="false">Scoring!BI404</f>
        <v/>
      </c>
      <c r="I398" s="143" t="str">
        <f aca="false">Scoring!BH404</f>
        <v/>
      </c>
    </row>
    <row r="399" customFormat="false" ht="15.75" hidden="false" customHeight="false" outlineLevel="0" collapsed="false">
      <c r="A399" s="141" t="str">
        <f aca="false">Scoring!BK405</f>
        <v/>
      </c>
      <c r="B399" s="141" t="str">
        <f aca="false">Scoring!BJ405</f>
        <v/>
      </c>
      <c r="C399" s="141" t="n">
        <f aca="false">Scoring!C405</f>
        <v>0</v>
      </c>
      <c r="D399" s="142" t="str">
        <f aca="false">Scoring!BG405</f>
        <v/>
      </c>
      <c r="E399" s="141" t="str">
        <f aca="false">Scoring!AG405</f>
        <v/>
      </c>
      <c r="F399" s="141" t="n">
        <f aca="false">Scoring!B405</f>
        <v>0</v>
      </c>
      <c r="G399" s="141" t="n">
        <f aca="false">Scoring!D405</f>
        <v>0</v>
      </c>
      <c r="H399" s="141" t="str">
        <f aca="false">Scoring!BI405</f>
        <v/>
      </c>
      <c r="I399" s="143" t="str">
        <f aca="false">Scoring!BH405</f>
        <v/>
      </c>
    </row>
    <row r="400" customFormat="false" ht="15.75" hidden="false" customHeight="false" outlineLevel="0" collapsed="false">
      <c r="A400" s="141" t="str">
        <f aca="false">Scoring!BK406</f>
        <v/>
      </c>
      <c r="B400" s="141" t="str">
        <f aca="false">Scoring!BJ406</f>
        <v/>
      </c>
      <c r="C400" s="141" t="n">
        <f aca="false">Scoring!C406</f>
        <v>0</v>
      </c>
      <c r="D400" s="142" t="str">
        <f aca="false">Scoring!BG406</f>
        <v/>
      </c>
      <c r="E400" s="141" t="str">
        <f aca="false">Scoring!AG406</f>
        <v/>
      </c>
      <c r="F400" s="141" t="n">
        <f aca="false">Scoring!B406</f>
        <v>0</v>
      </c>
      <c r="G400" s="141" t="n">
        <f aca="false">Scoring!D406</f>
        <v>0</v>
      </c>
      <c r="H400" s="141" t="str">
        <f aca="false">Scoring!BI406</f>
        <v/>
      </c>
      <c r="I400" s="143" t="str">
        <f aca="false">Scoring!BH406</f>
        <v/>
      </c>
    </row>
    <row r="401" customFormat="false" ht="15.75" hidden="false" customHeight="false" outlineLevel="0" collapsed="false">
      <c r="A401" s="141" t="str">
        <f aca="false">Scoring!BK407</f>
        <v/>
      </c>
      <c r="B401" s="141" t="str">
        <f aca="false">Scoring!BJ407</f>
        <v/>
      </c>
      <c r="C401" s="141" t="n">
        <f aca="false">Scoring!C407</f>
        <v>0</v>
      </c>
      <c r="D401" s="142" t="str">
        <f aca="false">Scoring!BG407</f>
        <v/>
      </c>
      <c r="E401" s="141" t="str">
        <f aca="false">Scoring!AG407</f>
        <v/>
      </c>
      <c r="F401" s="141" t="n">
        <f aca="false">Scoring!B407</f>
        <v>0</v>
      </c>
      <c r="G401" s="141" t="n">
        <f aca="false">Scoring!D407</f>
        <v>0</v>
      </c>
      <c r="H401" s="141" t="str">
        <f aca="false">Scoring!BI407</f>
        <v/>
      </c>
      <c r="I401" s="143" t="str">
        <f aca="false">Scoring!BH407</f>
        <v/>
      </c>
    </row>
    <row r="402" customFormat="false" ht="15.75" hidden="false" customHeight="false" outlineLevel="0" collapsed="false">
      <c r="A402" s="141" t="str">
        <f aca="false">Scoring!BK408</f>
        <v/>
      </c>
      <c r="B402" s="141" t="str">
        <f aca="false">Scoring!BJ408</f>
        <v/>
      </c>
      <c r="C402" s="141" t="n">
        <f aca="false">Scoring!C408</f>
        <v>0</v>
      </c>
      <c r="D402" s="142" t="str">
        <f aca="false">Scoring!BG408</f>
        <v/>
      </c>
      <c r="E402" s="141" t="str">
        <f aca="false">Scoring!AG408</f>
        <v/>
      </c>
      <c r="F402" s="141" t="n">
        <f aca="false">Scoring!B408</f>
        <v>0</v>
      </c>
      <c r="G402" s="141" t="n">
        <f aca="false">Scoring!D408</f>
        <v>0</v>
      </c>
      <c r="H402" s="141" t="str">
        <f aca="false">Scoring!BI408</f>
        <v/>
      </c>
      <c r="I402" s="143" t="str">
        <f aca="false">Scoring!BH408</f>
        <v/>
      </c>
    </row>
    <row r="403" customFormat="false" ht="15.75" hidden="false" customHeight="false" outlineLevel="0" collapsed="false">
      <c r="A403" s="141" t="str">
        <f aca="false">Scoring!BK409</f>
        <v/>
      </c>
      <c r="B403" s="141" t="str">
        <f aca="false">Scoring!BJ409</f>
        <v/>
      </c>
      <c r="C403" s="141" t="n">
        <f aca="false">Scoring!C409</f>
        <v>0</v>
      </c>
      <c r="D403" s="142" t="str">
        <f aca="false">Scoring!BG409</f>
        <v/>
      </c>
      <c r="E403" s="141" t="str">
        <f aca="false">Scoring!AG409</f>
        <v/>
      </c>
      <c r="F403" s="141" t="n">
        <f aca="false">Scoring!B409</f>
        <v>0</v>
      </c>
      <c r="G403" s="141" t="n">
        <f aca="false">Scoring!D409</f>
        <v>0</v>
      </c>
      <c r="H403" s="141" t="str">
        <f aca="false">Scoring!BI409</f>
        <v/>
      </c>
      <c r="I403" s="143" t="str">
        <f aca="false">Scoring!BH409</f>
        <v/>
      </c>
    </row>
    <row r="404" customFormat="false" ht="15.75" hidden="false" customHeight="false" outlineLevel="0" collapsed="false">
      <c r="A404" s="141" t="str">
        <f aca="false">Scoring!BK410</f>
        <v/>
      </c>
      <c r="B404" s="141" t="str">
        <f aca="false">Scoring!BJ410</f>
        <v/>
      </c>
      <c r="C404" s="141" t="n">
        <f aca="false">Scoring!C410</f>
        <v>0</v>
      </c>
      <c r="D404" s="142" t="str">
        <f aca="false">Scoring!BG410</f>
        <v/>
      </c>
      <c r="E404" s="141" t="str">
        <f aca="false">Scoring!AG410</f>
        <v/>
      </c>
      <c r="F404" s="141" t="n">
        <f aca="false">Scoring!B410</f>
        <v>0</v>
      </c>
      <c r="G404" s="141" t="n">
        <f aca="false">Scoring!D410</f>
        <v>0</v>
      </c>
      <c r="H404" s="141" t="str">
        <f aca="false">Scoring!BI410</f>
        <v/>
      </c>
      <c r="I404" s="143" t="str">
        <f aca="false">Scoring!BH410</f>
        <v/>
      </c>
    </row>
    <row r="405" customFormat="false" ht="15.75" hidden="false" customHeight="false" outlineLevel="0" collapsed="false">
      <c r="A405" s="141" t="str">
        <f aca="false">Scoring!BK411</f>
        <v/>
      </c>
      <c r="B405" s="141" t="str">
        <f aca="false">Scoring!BJ411</f>
        <v/>
      </c>
      <c r="C405" s="141" t="n">
        <f aca="false">Scoring!C411</f>
        <v>0</v>
      </c>
      <c r="D405" s="142" t="str">
        <f aca="false">Scoring!BG411</f>
        <v/>
      </c>
      <c r="E405" s="141" t="str">
        <f aca="false">Scoring!AG411</f>
        <v/>
      </c>
      <c r="F405" s="141" t="n">
        <f aca="false">Scoring!B411</f>
        <v>0</v>
      </c>
      <c r="G405" s="141" t="n">
        <f aca="false">Scoring!D411</f>
        <v>0</v>
      </c>
      <c r="H405" s="141" t="str">
        <f aca="false">Scoring!BI411</f>
        <v/>
      </c>
      <c r="I405" s="143" t="str">
        <f aca="false">Scoring!BH411</f>
        <v/>
      </c>
    </row>
    <row r="406" customFormat="false" ht="15.75" hidden="false" customHeight="false" outlineLevel="0" collapsed="false">
      <c r="A406" s="141" t="str">
        <f aca="false">Scoring!BK412</f>
        <v/>
      </c>
      <c r="B406" s="141" t="str">
        <f aca="false">Scoring!BJ412</f>
        <v/>
      </c>
      <c r="C406" s="141" t="n">
        <f aca="false">Scoring!C412</f>
        <v>0</v>
      </c>
      <c r="D406" s="142" t="str">
        <f aca="false">Scoring!BG412</f>
        <v/>
      </c>
      <c r="E406" s="141" t="str">
        <f aca="false">Scoring!AG412</f>
        <v/>
      </c>
      <c r="F406" s="141" t="n">
        <f aca="false">Scoring!B412</f>
        <v>0</v>
      </c>
      <c r="G406" s="141" t="n">
        <f aca="false">Scoring!D412</f>
        <v>0</v>
      </c>
      <c r="H406" s="141" t="str">
        <f aca="false">Scoring!BI412</f>
        <v/>
      </c>
      <c r="I406" s="143" t="str">
        <f aca="false">Scoring!BH412</f>
        <v/>
      </c>
    </row>
    <row r="407" customFormat="false" ht="15.75" hidden="false" customHeight="false" outlineLevel="0" collapsed="false">
      <c r="A407" s="141" t="str">
        <f aca="false">Scoring!BK413</f>
        <v/>
      </c>
      <c r="B407" s="141" t="str">
        <f aca="false">Scoring!BJ413</f>
        <v/>
      </c>
      <c r="C407" s="141" t="n">
        <f aca="false">Scoring!C413</f>
        <v>0</v>
      </c>
      <c r="D407" s="142" t="str">
        <f aca="false">Scoring!BG413</f>
        <v/>
      </c>
      <c r="E407" s="141" t="str">
        <f aca="false">Scoring!AG413</f>
        <v/>
      </c>
      <c r="F407" s="141" t="n">
        <f aca="false">Scoring!B413</f>
        <v>0</v>
      </c>
      <c r="G407" s="141" t="n">
        <f aca="false">Scoring!D413</f>
        <v>0</v>
      </c>
      <c r="H407" s="141" t="str">
        <f aca="false">Scoring!BI413</f>
        <v/>
      </c>
      <c r="I407" s="143" t="str">
        <f aca="false">Scoring!BH413</f>
        <v/>
      </c>
    </row>
    <row r="408" customFormat="false" ht="15.75" hidden="false" customHeight="false" outlineLevel="0" collapsed="false">
      <c r="A408" s="141" t="str">
        <f aca="false">Scoring!BK414</f>
        <v/>
      </c>
      <c r="B408" s="141" t="str">
        <f aca="false">Scoring!BJ414</f>
        <v/>
      </c>
      <c r="C408" s="141" t="n">
        <f aca="false">Scoring!C414</f>
        <v>0</v>
      </c>
      <c r="D408" s="142" t="str">
        <f aca="false">Scoring!BG414</f>
        <v/>
      </c>
      <c r="E408" s="141" t="str">
        <f aca="false">Scoring!AG414</f>
        <v/>
      </c>
      <c r="F408" s="141" t="n">
        <f aca="false">Scoring!B414</f>
        <v>0</v>
      </c>
      <c r="G408" s="141" t="n">
        <f aca="false">Scoring!D414</f>
        <v>0</v>
      </c>
      <c r="H408" s="141" t="str">
        <f aca="false">Scoring!BI414</f>
        <v/>
      </c>
      <c r="I408" s="143" t="str">
        <f aca="false">Scoring!BH414</f>
        <v/>
      </c>
    </row>
    <row r="409" customFormat="false" ht="15.75" hidden="false" customHeight="false" outlineLevel="0" collapsed="false">
      <c r="A409" s="141" t="str">
        <f aca="false">Scoring!BK415</f>
        <v/>
      </c>
      <c r="B409" s="141" t="str">
        <f aca="false">Scoring!BJ415</f>
        <v/>
      </c>
      <c r="C409" s="141" t="n">
        <f aca="false">Scoring!C415</f>
        <v>0</v>
      </c>
      <c r="D409" s="142" t="str">
        <f aca="false">Scoring!BG415</f>
        <v/>
      </c>
      <c r="E409" s="141" t="str">
        <f aca="false">Scoring!AG415</f>
        <v/>
      </c>
      <c r="F409" s="141" t="n">
        <f aca="false">Scoring!B415</f>
        <v>0</v>
      </c>
      <c r="G409" s="141" t="n">
        <f aca="false">Scoring!D415</f>
        <v>0</v>
      </c>
      <c r="H409" s="141" t="str">
        <f aca="false">Scoring!BI415</f>
        <v/>
      </c>
      <c r="I409" s="143" t="str">
        <f aca="false">Scoring!BH415</f>
        <v/>
      </c>
    </row>
    <row r="410" customFormat="false" ht="15.75" hidden="false" customHeight="false" outlineLevel="0" collapsed="false">
      <c r="A410" s="141" t="str">
        <f aca="false">Scoring!BK416</f>
        <v/>
      </c>
      <c r="B410" s="141" t="str">
        <f aca="false">Scoring!BJ416</f>
        <v/>
      </c>
      <c r="C410" s="141" t="n">
        <f aca="false">Scoring!C416</f>
        <v>0</v>
      </c>
      <c r="D410" s="142" t="str">
        <f aca="false">Scoring!BG416</f>
        <v/>
      </c>
      <c r="E410" s="141" t="str">
        <f aca="false">Scoring!AG416</f>
        <v/>
      </c>
      <c r="F410" s="141" t="n">
        <f aca="false">Scoring!B416</f>
        <v>0</v>
      </c>
      <c r="G410" s="141" t="n">
        <f aca="false">Scoring!D416</f>
        <v>0</v>
      </c>
      <c r="H410" s="141" t="str">
        <f aca="false">Scoring!BI416</f>
        <v/>
      </c>
      <c r="I410" s="143" t="str">
        <f aca="false">Scoring!BH416</f>
        <v/>
      </c>
    </row>
    <row r="411" customFormat="false" ht="15.75" hidden="false" customHeight="false" outlineLevel="0" collapsed="false">
      <c r="A411" s="141" t="str">
        <f aca="false">Scoring!BK417</f>
        <v/>
      </c>
      <c r="B411" s="141" t="str">
        <f aca="false">Scoring!BJ417</f>
        <v/>
      </c>
      <c r="C411" s="141" t="n">
        <f aca="false">Scoring!C417</f>
        <v>0</v>
      </c>
      <c r="D411" s="142" t="str">
        <f aca="false">Scoring!BG417</f>
        <v/>
      </c>
      <c r="E411" s="141" t="str">
        <f aca="false">Scoring!AG417</f>
        <v/>
      </c>
      <c r="F411" s="141" t="n">
        <f aca="false">Scoring!B417</f>
        <v>0</v>
      </c>
      <c r="G411" s="141" t="n">
        <f aca="false">Scoring!D417</f>
        <v>0</v>
      </c>
      <c r="H411" s="141" t="str">
        <f aca="false">Scoring!BI417</f>
        <v/>
      </c>
      <c r="I411" s="143" t="str">
        <f aca="false">Scoring!BH417</f>
        <v/>
      </c>
    </row>
    <row r="412" customFormat="false" ht="15.75" hidden="false" customHeight="false" outlineLevel="0" collapsed="false">
      <c r="A412" s="141" t="str">
        <f aca="false">Scoring!BK418</f>
        <v/>
      </c>
      <c r="B412" s="141" t="str">
        <f aca="false">Scoring!BJ418</f>
        <v/>
      </c>
      <c r="C412" s="141" t="n">
        <f aca="false">Scoring!C418</f>
        <v>0</v>
      </c>
      <c r="D412" s="142" t="str">
        <f aca="false">Scoring!BG418</f>
        <v/>
      </c>
      <c r="E412" s="141" t="str">
        <f aca="false">Scoring!AG418</f>
        <v/>
      </c>
      <c r="F412" s="141" t="n">
        <f aca="false">Scoring!B418</f>
        <v>0</v>
      </c>
      <c r="G412" s="141" t="n">
        <f aca="false">Scoring!D418</f>
        <v>0</v>
      </c>
      <c r="H412" s="141" t="str">
        <f aca="false">Scoring!BI418</f>
        <v/>
      </c>
      <c r="I412" s="143" t="str">
        <f aca="false">Scoring!BH418</f>
        <v/>
      </c>
    </row>
    <row r="413" customFormat="false" ht="15.75" hidden="false" customHeight="false" outlineLevel="0" collapsed="false">
      <c r="A413" s="141" t="str">
        <f aca="false">Scoring!BK419</f>
        <v/>
      </c>
      <c r="B413" s="141" t="str">
        <f aca="false">Scoring!BJ419</f>
        <v/>
      </c>
      <c r="C413" s="141" t="n">
        <f aca="false">Scoring!C419</f>
        <v>0</v>
      </c>
      <c r="D413" s="142" t="str">
        <f aca="false">Scoring!BG419</f>
        <v/>
      </c>
      <c r="E413" s="141" t="str">
        <f aca="false">Scoring!AG419</f>
        <v/>
      </c>
      <c r="F413" s="141" t="n">
        <f aca="false">Scoring!B419</f>
        <v>0</v>
      </c>
      <c r="G413" s="141" t="n">
        <f aca="false">Scoring!D419</f>
        <v>0</v>
      </c>
      <c r="H413" s="141" t="str">
        <f aca="false">Scoring!BI419</f>
        <v/>
      </c>
      <c r="I413" s="143" t="str">
        <f aca="false">Scoring!BH419</f>
        <v/>
      </c>
    </row>
    <row r="414" customFormat="false" ht="15.75" hidden="false" customHeight="false" outlineLevel="0" collapsed="false">
      <c r="A414" s="141" t="str">
        <f aca="false">Scoring!BK420</f>
        <v/>
      </c>
      <c r="B414" s="141" t="str">
        <f aca="false">Scoring!BJ420</f>
        <v/>
      </c>
      <c r="C414" s="141" t="n">
        <f aca="false">Scoring!C420</f>
        <v>0</v>
      </c>
      <c r="D414" s="142" t="str">
        <f aca="false">Scoring!BG420</f>
        <v/>
      </c>
      <c r="E414" s="141" t="str">
        <f aca="false">Scoring!AG420</f>
        <v/>
      </c>
      <c r="F414" s="141" t="n">
        <f aca="false">Scoring!B420</f>
        <v>0</v>
      </c>
      <c r="G414" s="141" t="n">
        <f aca="false">Scoring!D420</f>
        <v>0</v>
      </c>
      <c r="H414" s="141" t="str">
        <f aca="false">Scoring!BI420</f>
        <v/>
      </c>
      <c r="I414" s="143" t="str">
        <f aca="false">Scoring!BH420</f>
        <v/>
      </c>
    </row>
    <row r="415" customFormat="false" ht="15.75" hidden="false" customHeight="false" outlineLevel="0" collapsed="false">
      <c r="A415" s="141" t="str">
        <f aca="false">Scoring!BK421</f>
        <v/>
      </c>
      <c r="B415" s="141" t="str">
        <f aca="false">Scoring!BJ421</f>
        <v/>
      </c>
      <c r="C415" s="141" t="n">
        <f aca="false">Scoring!C421</f>
        <v>0</v>
      </c>
      <c r="D415" s="142" t="str">
        <f aca="false">Scoring!BG421</f>
        <v/>
      </c>
      <c r="E415" s="141" t="str">
        <f aca="false">Scoring!AG421</f>
        <v/>
      </c>
      <c r="F415" s="141" t="n">
        <f aca="false">Scoring!B421</f>
        <v>0</v>
      </c>
      <c r="G415" s="141" t="n">
        <f aca="false">Scoring!D421</f>
        <v>0</v>
      </c>
      <c r="H415" s="141" t="str">
        <f aca="false">Scoring!BI421</f>
        <v/>
      </c>
      <c r="I415" s="143" t="str">
        <f aca="false">Scoring!BH421</f>
        <v/>
      </c>
    </row>
    <row r="416" customFormat="false" ht="15.75" hidden="false" customHeight="false" outlineLevel="0" collapsed="false">
      <c r="A416" s="141" t="str">
        <f aca="false">Scoring!BK422</f>
        <v/>
      </c>
      <c r="B416" s="141" t="str">
        <f aca="false">Scoring!BJ422</f>
        <v/>
      </c>
      <c r="C416" s="141" t="n">
        <f aca="false">Scoring!C422</f>
        <v>0</v>
      </c>
      <c r="D416" s="142" t="str">
        <f aca="false">Scoring!BG422</f>
        <v/>
      </c>
      <c r="E416" s="141" t="str">
        <f aca="false">Scoring!AG422</f>
        <v/>
      </c>
      <c r="F416" s="141" t="n">
        <f aca="false">Scoring!B422</f>
        <v>0</v>
      </c>
      <c r="G416" s="141" t="n">
        <f aca="false">Scoring!D422</f>
        <v>0</v>
      </c>
      <c r="H416" s="141" t="str">
        <f aca="false">Scoring!BI422</f>
        <v/>
      </c>
      <c r="I416" s="143" t="str">
        <f aca="false">Scoring!BH422</f>
        <v/>
      </c>
    </row>
    <row r="417" customFormat="false" ht="15.75" hidden="false" customHeight="false" outlineLevel="0" collapsed="false">
      <c r="A417" s="141" t="str">
        <f aca="false">Scoring!BK423</f>
        <v/>
      </c>
      <c r="B417" s="141" t="str">
        <f aca="false">Scoring!BJ423</f>
        <v/>
      </c>
      <c r="C417" s="141" t="n">
        <f aca="false">Scoring!C423</f>
        <v>0</v>
      </c>
      <c r="D417" s="142" t="str">
        <f aca="false">Scoring!BG423</f>
        <v/>
      </c>
      <c r="E417" s="141" t="str">
        <f aca="false">Scoring!AG423</f>
        <v/>
      </c>
      <c r="F417" s="141" t="n">
        <f aca="false">Scoring!B423</f>
        <v>0</v>
      </c>
      <c r="G417" s="141" t="n">
        <f aca="false">Scoring!D423</f>
        <v>0</v>
      </c>
      <c r="H417" s="141" t="str">
        <f aca="false">Scoring!BI423</f>
        <v/>
      </c>
      <c r="I417" s="143" t="str">
        <f aca="false">Scoring!BH423</f>
        <v/>
      </c>
    </row>
    <row r="418" customFormat="false" ht="15.75" hidden="false" customHeight="false" outlineLevel="0" collapsed="false">
      <c r="A418" s="141" t="str">
        <f aca="false">Scoring!BK424</f>
        <v/>
      </c>
      <c r="B418" s="141" t="str">
        <f aca="false">Scoring!BJ424</f>
        <v/>
      </c>
      <c r="C418" s="141" t="n">
        <f aca="false">Scoring!C424</f>
        <v>0</v>
      </c>
      <c r="D418" s="142" t="str">
        <f aca="false">Scoring!BG424</f>
        <v/>
      </c>
      <c r="E418" s="141" t="str">
        <f aca="false">Scoring!AG424</f>
        <v/>
      </c>
      <c r="F418" s="141" t="n">
        <f aca="false">Scoring!B424</f>
        <v>0</v>
      </c>
      <c r="G418" s="141" t="n">
        <f aca="false">Scoring!D424</f>
        <v>0</v>
      </c>
      <c r="H418" s="141" t="str">
        <f aca="false">Scoring!BI424</f>
        <v/>
      </c>
      <c r="I418" s="143" t="str">
        <f aca="false">Scoring!BH424</f>
        <v/>
      </c>
    </row>
    <row r="419" customFormat="false" ht="15.75" hidden="false" customHeight="false" outlineLevel="0" collapsed="false">
      <c r="A419" s="141" t="str">
        <f aca="false">Scoring!BK425</f>
        <v/>
      </c>
      <c r="B419" s="141" t="str">
        <f aca="false">Scoring!BJ425</f>
        <v/>
      </c>
      <c r="C419" s="141" t="n">
        <f aca="false">Scoring!C425</f>
        <v>0</v>
      </c>
      <c r="D419" s="142" t="str">
        <f aca="false">Scoring!BG425</f>
        <v/>
      </c>
      <c r="E419" s="141" t="str">
        <f aca="false">Scoring!AG425</f>
        <v/>
      </c>
      <c r="F419" s="141" t="n">
        <f aca="false">Scoring!B425</f>
        <v>0</v>
      </c>
      <c r="G419" s="141" t="n">
        <f aca="false">Scoring!D425</f>
        <v>0</v>
      </c>
      <c r="H419" s="141" t="str">
        <f aca="false">Scoring!BI425</f>
        <v/>
      </c>
      <c r="I419" s="143" t="str">
        <f aca="false">Scoring!BH425</f>
        <v/>
      </c>
    </row>
    <row r="420" customFormat="false" ht="15.75" hidden="false" customHeight="false" outlineLevel="0" collapsed="false">
      <c r="A420" s="141" t="str">
        <f aca="false">Scoring!BK426</f>
        <v/>
      </c>
      <c r="B420" s="141" t="str">
        <f aca="false">Scoring!BJ426</f>
        <v/>
      </c>
      <c r="C420" s="141" t="n">
        <f aca="false">Scoring!C426</f>
        <v>0</v>
      </c>
      <c r="D420" s="142" t="str">
        <f aca="false">Scoring!BG426</f>
        <v/>
      </c>
      <c r="E420" s="141" t="str">
        <f aca="false">Scoring!AG426</f>
        <v/>
      </c>
      <c r="F420" s="141" t="n">
        <f aca="false">Scoring!B426</f>
        <v>0</v>
      </c>
      <c r="G420" s="141" t="n">
        <f aca="false">Scoring!D426</f>
        <v>0</v>
      </c>
      <c r="H420" s="141" t="str">
        <f aca="false">Scoring!BI426</f>
        <v/>
      </c>
      <c r="I420" s="143" t="str">
        <f aca="false">Scoring!BH426</f>
        <v/>
      </c>
    </row>
    <row r="421" customFormat="false" ht="15.75" hidden="false" customHeight="false" outlineLevel="0" collapsed="false">
      <c r="A421" s="141" t="str">
        <f aca="false">Scoring!BK427</f>
        <v/>
      </c>
      <c r="B421" s="141" t="str">
        <f aca="false">Scoring!BJ427</f>
        <v/>
      </c>
      <c r="C421" s="141" t="n">
        <f aca="false">Scoring!C427</f>
        <v>0</v>
      </c>
      <c r="D421" s="142" t="str">
        <f aca="false">Scoring!BG427</f>
        <v/>
      </c>
      <c r="E421" s="141" t="str">
        <f aca="false">Scoring!AG427</f>
        <v/>
      </c>
      <c r="F421" s="141" t="n">
        <f aca="false">Scoring!B427</f>
        <v>0</v>
      </c>
      <c r="G421" s="141" t="n">
        <f aca="false">Scoring!D427</f>
        <v>0</v>
      </c>
      <c r="H421" s="141" t="str">
        <f aca="false">Scoring!BI427</f>
        <v/>
      </c>
      <c r="I421" s="143" t="str">
        <f aca="false">Scoring!BH427</f>
        <v/>
      </c>
    </row>
    <row r="422" customFormat="false" ht="15.75" hidden="false" customHeight="false" outlineLevel="0" collapsed="false">
      <c r="A422" s="141" t="str">
        <f aca="false">Scoring!BK428</f>
        <v/>
      </c>
      <c r="B422" s="141" t="str">
        <f aca="false">Scoring!BJ428</f>
        <v/>
      </c>
      <c r="C422" s="141" t="n">
        <f aca="false">Scoring!C428</f>
        <v>0</v>
      </c>
      <c r="D422" s="142" t="str">
        <f aca="false">Scoring!BG428</f>
        <v/>
      </c>
      <c r="E422" s="141" t="str">
        <f aca="false">Scoring!AG428</f>
        <v/>
      </c>
      <c r="F422" s="141" t="n">
        <f aca="false">Scoring!B428</f>
        <v>0</v>
      </c>
      <c r="G422" s="141" t="n">
        <f aca="false">Scoring!D428</f>
        <v>0</v>
      </c>
      <c r="H422" s="141" t="str">
        <f aca="false">Scoring!BI428</f>
        <v/>
      </c>
      <c r="I422" s="143" t="str">
        <f aca="false">Scoring!BH428</f>
        <v/>
      </c>
    </row>
    <row r="423" customFormat="false" ht="15.75" hidden="false" customHeight="false" outlineLevel="0" collapsed="false">
      <c r="A423" s="141" t="str">
        <f aca="false">Scoring!BK429</f>
        <v/>
      </c>
      <c r="B423" s="141" t="str">
        <f aca="false">Scoring!BJ429</f>
        <v/>
      </c>
      <c r="C423" s="141" t="n">
        <f aca="false">Scoring!C429</f>
        <v>0</v>
      </c>
      <c r="D423" s="142" t="str">
        <f aca="false">Scoring!BG429</f>
        <v/>
      </c>
      <c r="E423" s="141" t="str">
        <f aca="false">Scoring!AG429</f>
        <v/>
      </c>
      <c r="F423" s="141" t="n">
        <f aca="false">Scoring!B429</f>
        <v>0</v>
      </c>
      <c r="G423" s="141" t="n">
        <f aca="false">Scoring!D429</f>
        <v>0</v>
      </c>
      <c r="H423" s="141" t="str">
        <f aca="false">Scoring!BI429</f>
        <v/>
      </c>
      <c r="I423" s="143" t="str">
        <f aca="false">Scoring!BH429</f>
        <v/>
      </c>
    </row>
    <row r="424" customFormat="false" ht="15.75" hidden="false" customHeight="false" outlineLevel="0" collapsed="false">
      <c r="A424" s="141" t="str">
        <f aca="false">Scoring!BK430</f>
        <v/>
      </c>
      <c r="B424" s="141" t="str">
        <f aca="false">Scoring!BJ430</f>
        <v/>
      </c>
      <c r="C424" s="141" t="n">
        <f aca="false">Scoring!C430</f>
        <v>0</v>
      </c>
      <c r="D424" s="142" t="str">
        <f aca="false">Scoring!BG430</f>
        <v/>
      </c>
      <c r="E424" s="141" t="str">
        <f aca="false">Scoring!AG430</f>
        <v/>
      </c>
      <c r="F424" s="141" t="n">
        <f aca="false">Scoring!B430</f>
        <v>0</v>
      </c>
      <c r="G424" s="141" t="n">
        <f aca="false">Scoring!D430</f>
        <v>0</v>
      </c>
      <c r="H424" s="141" t="str">
        <f aca="false">Scoring!BI430</f>
        <v/>
      </c>
      <c r="I424" s="143" t="str">
        <f aca="false">Scoring!BH430</f>
        <v/>
      </c>
    </row>
    <row r="425" customFormat="false" ht="15.75" hidden="false" customHeight="false" outlineLevel="0" collapsed="false">
      <c r="A425" s="141" t="str">
        <f aca="false">Scoring!BK431</f>
        <v/>
      </c>
      <c r="B425" s="141" t="str">
        <f aca="false">Scoring!BJ431</f>
        <v/>
      </c>
      <c r="C425" s="141" t="n">
        <f aca="false">Scoring!C431</f>
        <v>0</v>
      </c>
      <c r="D425" s="142" t="str">
        <f aca="false">Scoring!BG431</f>
        <v/>
      </c>
      <c r="E425" s="141" t="str">
        <f aca="false">Scoring!AG431</f>
        <v/>
      </c>
      <c r="F425" s="141" t="n">
        <f aca="false">Scoring!B431</f>
        <v>0</v>
      </c>
      <c r="G425" s="141" t="n">
        <f aca="false">Scoring!D431</f>
        <v>0</v>
      </c>
      <c r="H425" s="141" t="str">
        <f aca="false">Scoring!BI431</f>
        <v/>
      </c>
      <c r="I425" s="143" t="str">
        <f aca="false">Scoring!BH431</f>
        <v/>
      </c>
    </row>
    <row r="426" customFormat="false" ht="15.75" hidden="false" customHeight="false" outlineLevel="0" collapsed="false">
      <c r="A426" s="141" t="str">
        <f aca="false">Scoring!BK432</f>
        <v/>
      </c>
      <c r="B426" s="141" t="str">
        <f aca="false">Scoring!BJ432</f>
        <v/>
      </c>
      <c r="C426" s="141" t="n">
        <f aca="false">Scoring!C432</f>
        <v>0</v>
      </c>
      <c r="D426" s="142" t="str">
        <f aca="false">Scoring!BG432</f>
        <v/>
      </c>
      <c r="E426" s="141" t="str">
        <f aca="false">Scoring!AG432</f>
        <v/>
      </c>
      <c r="F426" s="141" t="n">
        <f aca="false">Scoring!B432</f>
        <v>0</v>
      </c>
      <c r="G426" s="141" t="n">
        <f aca="false">Scoring!D432</f>
        <v>0</v>
      </c>
      <c r="H426" s="141" t="str">
        <f aca="false">Scoring!BI432</f>
        <v/>
      </c>
      <c r="I426" s="143" t="str">
        <f aca="false">Scoring!BH432</f>
        <v/>
      </c>
    </row>
    <row r="427" customFormat="false" ht="15.75" hidden="false" customHeight="false" outlineLevel="0" collapsed="false">
      <c r="A427" s="141" t="str">
        <f aca="false">Scoring!BK433</f>
        <v/>
      </c>
      <c r="B427" s="141" t="str">
        <f aca="false">Scoring!BJ433</f>
        <v/>
      </c>
      <c r="C427" s="141" t="n">
        <f aca="false">Scoring!C433</f>
        <v>0</v>
      </c>
      <c r="D427" s="142" t="str">
        <f aca="false">Scoring!BG433</f>
        <v/>
      </c>
      <c r="E427" s="141" t="str">
        <f aca="false">Scoring!AG433</f>
        <v/>
      </c>
      <c r="F427" s="141" t="n">
        <f aca="false">Scoring!B433</f>
        <v>0</v>
      </c>
      <c r="G427" s="141" t="n">
        <f aca="false">Scoring!D433</f>
        <v>0</v>
      </c>
      <c r="H427" s="141" t="str">
        <f aca="false">Scoring!BI433</f>
        <v/>
      </c>
      <c r="I427" s="143" t="str">
        <f aca="false">Scoring!BH433</f>
        <v/>
      </c>
    </row>
    <row r="428" customFormat="false" ht="15.75" hidden="false" customHeight="false" outlineLevel="0" collapsed="false">
      <c r="A428" s="141" t="str">
        <f aca="false">Scoring!BK434</f>
        <v/>
      </c>
      <c r="B428" s="141" t="str">
        <f aca="false">Scoring!BJ434</f>
        <v/>
      </c>
      <c r="C428" s="141" t="n">
        <f aca="false">Scoring!C434</f>
        <v>0</v>
      </c>
      <c r="D428" s="142" t="str">
        <f aca="false">Scoring!BG434</f>
        <v/>
      </c>
      <c r="E428" s="141" t="str">
        <f aca="false">Scoring!AG434</f>
        <v/>
      </c>
      <c r="F428" s="141" t="n">
        <f aca="false">Scoring!B434</f>
        <v>0</v>
      </c>
      <c r="G428" s="141" t="n">
        <f aca="false">Scoring!D434</f>
        <v>0</v>
      </c>
      <c r="H428" s="141" t="str">
        <f aca="false">Scoring!BI434</f>
        <v/>
      </c>
      <c r="I428" s="143" t="str">
        <f aca="false">Scoring!BH434</f>
        <v/>
      </c>
    </row>
    <row r="429" customFormat="false" ht="15.75" hidden="false" customHeight="false" outlineLevel="0" collapsed="false">
      <c r="A429" s="141" t="str">
        <f aca="false">Scoring!BK435</f>
        <v/>
      </c>
      <c r="B429" s="141" t="str">
        <f aca="false">Scoring!BJ435</f>
        <v/>
      </c>
      <c r="C429" s="141" t="n">
        <f aca="false">Scoring!C435</f>
        <v>0</v>
      </c>
      <c r="D429" s="142" t="str">
        <f aca="false">Scoring!BG435</f>
        <v/>
      </c>
      <c r="E429" s="141" t="str">
        <f aca="false">Scoring!AG435</f>
        <v/>
      </c>
      <c r="F429" s="141" t="n">
        <f aca="false">Scoring!B435</f>
        <v>0</v>
      </c>
      <c r="G429" s="141" t="n">
        <f aca="false">Scoring!D435</f>
        <v>0</v>
      </c>
      <c r="H429" s="141" t="str">
        <f aca="false">Scoring!BI435</f>
        <v/>
      </c>
      <c r="I429" s="143" t="str">
        <f aca="false">Scoring!BH435</f>
        <v/>
      </c>
    </row>
    <row r="430" customFormat="false" ht="15.75" hidden="false" customHeight="false" outlineLevel="0" collapsed="false">
      <c r="A430" s="141" t="str">
        <f aca="false">Scoring!BK436</f>
        <v/>
      </c>
      <c r="B430" s="141" t="str">
        <f aca="false">Scoring!BJ436</f>
        <v/>
      </c>
      <c r="C430" s="141" t="n">
        <f aca="false">Scoring!C436</f>
        <v>0</v>
      </c>
      <c r="D430" s="142" t="str">
        <f aca="false">Scoring!BG436</f>
        <v/>
      </c>
      <c r="E430" s="141" t="str">
        <f aca="false">Scoring!AG436</f>
        <v/>
      </c>
      <c r="F430" s="141" t="n">
        <f aca="false">Scoring!B436</f>
        <v>0</v>
      </c>
      <c r="G430" s="141" t="n">
        <f aca="false">Scoring!D436</f>
        <v>0</v>
      </c>
      <c r="H430" s="141" t="str">
        <f aca="false">Scoring!BI436</f>
        <v/>
      </c>
      <c r="I430" s="143" t="str">
        <f aca="false">Scoring!BH436</f>
        <v/>
      </c>
    </row>
    <row r="431" customFormat="false" ht="15.75" hidden="false" customHeight="false" outlineLevel="0" collapsed="false">
      <c r="A431" s="141" t="str">
        <f aca="false">Scoring!BK437</f>
        <v/>
      </c>
      <c r="B431" s="141" t="str">
        <f aca="false">Scoring!BJ437</f>
        <v/>
      </c>
      <c r="C431" s="141" t="n">
        <f aca="false">Scoring!C437</f>
        <v>0</v>
      </c>
      <c r="D431" s="142" t="str">
        <f aca="false">Scoring!BG437</f>
        <v/>
      </c>
      <c r="E431" s="141" t="str">
        <f aca="false">Scoring!AG437</f>
        <v/>
      </c>
      <c r="F431" s="141" t="n">
        <f aca="false">Scoring!B437</f>
        <v>0</v>
      </c>
      <c r="G431" s="141" t="n">
        <f aca="false">Scoring!D437</f>
        <v>0</v>
      </c>
      <c r="H431" s="141" t="str">
        <f aca="false">Scoring!BI437</f>
        <v/>
      </c>
      <c r="I431" s="143" t="str">
        <f aca="false">Scoring!BH437</f>
        <v/>
      </c>
    </row>
    <row r="432" customFormat="false" ht="15.75" hidden="false" customHeight="false" outlineLevel="0" collapsed="false">
      <c r="A432" s="141" t="str">
        <f aca="false">Scoring!BK438</f>
        <v/>
      </c>
      <c r="B432" s="141" t="str">
        <f aca="false">Scoring!BJ438</f>
        <v/>
      </c>
      <c r="C432" s="141" t="n">
        <f aca="false">Scoring!C438</f>
        <v>0</v>
      </c>
      <c r="D432" s="142" t="str">
        <f aca="false">Scoring!BG438</f>
        <v/>
      </c>
      <c r="E432" s="141" t="str">
        <f aca="false">Scoring!AG438</f>
        <v/>
      </c>
      <c r="F432" s="141" t="n">
        <f aca="false">Scoring!B438</f>
        <v>0</v>
      </c>
      <c r="G432" s="141" t="n">
        <f aca="false">Scoring!D438</f>
        <v>0</v>
      </c>
      <c r="H432" s="141" t="str">
        <f aca="false">Scoring!BI438</f>
        <v/>
      </c>
      <c r="I432" s="143" t="str">
        <f aca="false">Scoring!BH438</f>
        <v/>
      </c>
    </row>
    <row r="433" customFormat="false" ht="15.75" hidden="false" customHeight="false" outlineLevel="0" collapsed="false">
      <c r="A433" s="141" t="str">
        <f aca="false">Scoring!BK439</f>
        <v/>
      </c>
      <c r="B433" s="141" t="str">
        <f aca="false">Scoring!BJ439</f>
        <v/>
      </c>
      <c r="C433" s="141" t="n">
        <f aca="false">Scoring!C439</f>
        <v>0</v>
      </c>
      <c r="D433" s="142" t="str">
        <f aca="false">Scoring!BG439</f>
        <v/>
      </c>
      <c r="E433" s="141" t="str">
        <f aca="false">Scoring!AG439</f>
        <v/>
      </c>
      <c r="F433" s="141" t="n">
        <f aca="false">Scoring!B439</f>
        <v>0</v>
      </c>
      <c r="G433" s="141" t="n">
        <f aca="false">Scoring!D439</f>
        <v>0</v>
      </c>
      <c r="H433" s="141" t="str">
        <f aca="false">Scoring!BI439</f>
        <v/>
      </c>
      <c r="I433" s="143" t="str">
        <f aca="false">Scoring!BH439</f>
        <v/>
      </c>
    </row>
    <row r="434" customFormat="false" ht="15.75" hidden="false" customHeight="false" outlineLevel="0" collapsed="false">
      <c r="A434" s="141" t="str">
        <f aca="false">Scoring!BK440</f>
        <v/>
      </c>
      <c r="B434" s="141" t="str">
        <f aca="false">Scoring!BJ440</f>
        <v/>
      </c>
      <c r="C434" s="141" t="n">
        <f aca="false">Scoring!C440</f>
        <v>0</v>
      </c>
      <c r="D434" s="142" t="str">
        <f aca="false">Scoring!BG440</f>
        <v/>
      </c>
      <c r="E434" s="141" t="str">
        <f aca="false">Scoring!AG440</f>
        <v/>
      </c>
      <c r="F434" s="141" t="n">
        <f aca="false">Scoring!B440</f>
        <v>0</v>
      </c>
      <c r="G434" s="141" t="n">
        <f aca="false">Scoring!D440</f>
        <v>0</v>
      </c>
      <c r="H434" s="141" t="str">
        <f aca="false">Scoring!BI440</f>
        <v/>
      </c>
      <c r="I434" s="143" t="str">
        <f aca="false">Scoring!BH440</f>
        <v/>
      </c>
    </row>
    <row r="435" customFormat="false" ht="15.75" hidden="false" customHeight="false" outlineLevel="0" collapsed="false">
      <c r="A435" s="141" t="str">
        <f aca="false">Scoring!BK441</f>
        <v/>
      </c>
      <c r="B435" s="141" t="str">
        <f aca="false">Scoring!BJ441</f>
        <v/>
      </c>
      <c r="C435" s="141" t="n">
        <f aca="false">Scoring!C441</f>
        <v>0</v>
      </c>
      <c r="D435" s="142" t="str">
        <f aca="false">Scoring!BG441</f>
        <v/>
      </c>
      <c r="E435" s="141" t="str">
        <f aca="false">Scoring!AG441</f>
        <v/>
      </c>
      <c r="F435" s="141" t="n">
        <f aca="false">Scoring!B441</f>
        <v>0</v>
      </c>
      <c r="G435" s="141" t="n">
        <f aca="false">Scoring!D441</f>
        <v>0</v>
      </c>
      <c r="H435" s="141" t="str">
        <f aca="false">Scoring!BI441</f>
        <v/>
      </c>
      <c r="I435" s="143" t="str">
        <f aca="false">Scoring!BH441</f>
        <v/>
      </c>
    </row>
    <row r="436" customFormat="false" ht="15.75" hidden="false" customHeight="false" outlineLevel="0" collapsed="false">
      <c r="A436" s="141" t="str">
        <f aca="false">Scoring!BK442</f>
        <v/>
      </c>
      <c r="B436" s="141" t="str">
        <f aca="false">Scoring!BJ442</f>
        <v/>
      </c>
      <c r="C436" s="141" t="n">
        <f aca="false">Scoring!C442</f>
        <v>0</v>
      </c>
      <c r="D436" s="142" t="str">
        <f aca="false">Scoring!BG442</f>
        <v/>
      </c>
      <c r="E436" s="141" t="str">
        <f aca="false">Scoring!AG442</f>
        <v/>
      </c>
      <c r="F436" s="141" t="n">
        <f aca="false">Scoring!B442</f>
        <v>0</v>
      </c>
      <c r="G436" s="141" t="n">
        <f aca="false">Scoring!D442</f>
        <v>0</v>
      </c>
      <c r="H436" s="141" t="str">
        <f aca="false">Scoring!BI442</f>
        <v/>
      </c>
      <c r="I436" s="143" t="str">
        <f aca="false">Scoring!BH442</f>
        <v/>
      </c>
    </row>
    <row r="437" customFormat="false" ht="15.75" hidden="false" customHeight="false" outlineLevel="0" collapsed="false">
      <c r="A437" s="141" t="str">
        <f aca="false">Scoring!BK443</f>
        <v/>
      </c>
      <c r="B437" s="141" t="str">
        <f aca="false">Scoring!BJ443</f>
        <v/>
      </c>
      <c r="C437" s="141" t="n">
        <f aca="false">Scoring!C443</f>
        <v>0</v>
      </c>
      <c r="D437" s="142" t="str">
        <f aca="false">Scoring!BG443</f>
        <v/>
      </c>
      <c r="E437" s="141" t="str">
        <f aca="false">Scoring!AG443</f>
        <v/>
      </c>
      <c r="F437" s="141" t="n">
        <f aca="false">Scoring!B443</f>
        <v>0</v>
      </c>
      <c r="G437" s="141" t="n">
        <f aca="false">Scoring!D443</f>
        <v>0</v>
      </c>
      <c r="H437" s="141" t="str">
        <f aca="false">Scoring!BI443</f>
        <v/>
      </c>
      <c r="I437" s="143" t="str">
        <f aca="false">Scoring!BH443</f>
        <v/>
      </c>
    </row>
    <row r="438" customFormat="false" ht="15.75" hidden="false" customHeight="false" outlineLevel="0" collapsed="false">
      <c r="A438" s="141" t="str">
        <f aca="false">Scoring!BK444</f>
        <v/>
      </c>
      <c r="B438" s="141" t="str">
        <f aca="false">Scoring!BJ444</f>
        <v/>
      </c>
      <c r="C438" s="141" t="n">
        <f aca="false">Scoring!C444</f>
        <v>0</v>
      </c>
      <c r="D438" s="142" t="str">
        <f aca="false">Scoring!BG444</f>
        <v/>
      </c>
      <c r="E438" s="141" t="str">
        <f aca="false">Scoring!AG444</f>
        <v/>
      </c>
      <c r="F438" s="141" t="n">
        <f aca="false">Scoring!B444</f>
        <v>0</v>
      </c>
      <c r="G438" s="141" t="n">
        <f aca="false">Scoring!D444</f>
        <v>0</v>
      </c>
      <c r="H438" s="141" t="str">
        <f aca="false">Scoring!BI444</f>
        <v/>
      </c>
      <c r="I438" s="143" t="str">
        <f aca="false">Scoring!BH444</f>
        <v/>
      </c>
    </row>
    <row r="439" customFormat="false" ht="15.75" hidden="false" customHeight="false" outlineLevel="0" collapsed="false">
      <c r="A439" s="141" t="str">
        <f aca="false">Scoring!BK445</f>
        <v/>
      </c>
      <c r="B439" s="141" t="str">
        <f aca="false">Scoring!BJ445</f>
        <v/>
      </c>
      <c r="C439" s="141" t="n">
        <f aca="false">Scoring!C445</f>
        <v>0</v>
      </c>
      <c r="D439" s="142" t="str">
        <f aca="false">Scoring!BG445</f>
        <v/>
      </c>
      <c r="E439" s="141" t="str">
        <f aca="false">Scoring!AG445</f>
        <v/>
      </c>
      <c r="F439" s="141" t="n">
        <f aca="false">Scoring!B445</f>
        <v>0</v>
      </c>
      <c r="G439" s="141" t="n">
        <f aca="false">Scoring!D445</f>
        <v>0</v>
      </c>
      <c r="H439" s="141" t="str">
        <f aca="false">Scoring!BI445</f>
        <v/>
      </c>
      <c r="I439" s="143" t="str">
        <f aca="false">Scoring!BH445</f>
        <v/>
      </c>
    </row>
    <row r="440" customFormat="false" ht="15.75" hidden="false" customHeight="false" outlineLevel="0" collapsed="false">
      <c r="A440" s="141" t="str">
        <f aca="false">Scoring!BK446</f>
        <v/>
      </c>
      <c r="B440" s="141" t="str">
        <f aca="false">Scoring!BJ446</f>
        <v/>
      </c>
      <c r="C440" s="141" t="n">
        <f aca="false">Scoring!C446</f>
        <v>0</v>
      </c>
      <c r="D440" s="142" t="str">
        <f aca="false">Scoring!BG446</f>
        <v/>
      </c>
      <c r="E440" s="141" t="str">
        <f aca="false">Scoring!AG446</f>
        <v/>
      </c>
      <c r="F440" s="141" t="n">
        <f aca="false">Scoring!B446</f>
        <v>0</v>
      </c>
      <c r="G440" s="141" t="n">
        <f aca="false">Scoring!D446</f>
        <v>0</v>
      </c>
      <c r="H440" s="141" t="str">
        <f aca="false">Scoring!BI446</f>
        <v/>
      </c>
      <c r="I440" s="143" t="str">
        <f aca="false">Scoring!BH446</f>
        <v/>
      </c>
    </row>
    <row r="441" customFormat="false" ht="15.75" hidden="false" customHeight="false" outlineLevel="0" collapsed="false">
      <c r="A441" s="141" t="str">
        <f aca="false">Scoring!BK447</f>
        <v/>
      </c>
      <c r="B441" s="141" t="str">
        <f aca="false">Scoring!BJ447</f>
        <v/>
      </c>
      <c r="C441" s="141" t="n">
        <f aca="false">Scoring!C447</f>
        <v>0</v>
      </c>
      <c r="D441" s="142" t="str">
        <f aca="false">Scoring!BG447</f>
        <v/>
      </c>
      <c r="E441" s="141" t="str">
        <f aca="false">Scoring!AG447</f>
        <v/>
      </c>
      <c r="F441" s="141" t="n">
        <f aca="false">Scoring!B447</f>
        <v>0</v>
      </c>
      <c r="G441" s="141" t="n">
        <f aca="false">Scoring!D447</f>
        <v>0</v>
      </c>
      <c r="H441" s="141" t="str">
        <f aca="false">Scoring!BI447</f>
        <v/>
      </c>
      <c r="I441" s="143" t="str">
        <f aca="false">Scoring!BH447</f>
        <v/>
      </c>
    </row>
    <row r="442" customFormat="false" ht="15.75" hidden="false" customHeight="false" outlineLevel="0" collapsed="false">
      <c r="A442" s="141" t="str">
        <f aca="false">Scoring!BK448</f>
        <v/>
      </c>
      <c r="B442" s="141" t="str">
        <f aca="false">Scoring!BJ448</f>
        <v/>
      </c>
      <c r="C442" s="141" t="n">
        <f aca="false">Scoring!C448</f>
        <v>0</v>
      </c>
      <c r="D442" s="142" t="str">
        <f aca="false">Scoring!BG448</f>
        <v/>
      </c>
      <c r="E442" s="141" t="str">
        <f aca="false">Scoring!AG448</f>
        <v/>
      </c>
      <c r="F442" s="141" t="n">
        <f aca="false">Scoring!B448</f>
        <v>0</v>
      </c>
      <c r="G442" s="141" t="n">
        <f aca="false">Scoring!D448</f>
        <v>0</v>
      </c>
      <c r="H442" s="141" t="str">
        <f aca="false">Scoring!BI448</f>
        <v/>
      </c>
      <c r="I442" s="143" t="str">
        <f aca="false">Scoring!BH448</f>
        <v/>
      </c>
    </row>
    <row r="443" customFormat="false" ht="15.75" hidden="false" customHeight="false" outlineLevel="0" collapsed="false">
      <c r="A443" s="141" t="str">
        <f aca="false">Scoring!BK449</f>
        <v/>
      </c>
      <c r="B443" s="141" t="str">
        <f aca="false">Scoring!BJ449</f>
        <v/>
      </c>
      <c r="C443" s="141" t="n">
        <f aca="false">Scoring!C449</f>
        <v>0</v>
      </c>
      <c r="D443" s="142" t="str">
        <f aca="false">Scoring!BG449</f>
        <v/>
      </c>
      <c r="E443" s="141" t="str">
        <f aca="false">Scoring!AG449</f>
        <v/>
      </c>
      <c r="F443" s="141" t="n">
        <f aca="false">Scoring!B449</f>
        <v>0</v>
      </c>
      <c r="G443" s="141" t="n">
        <f aca="false">Scoring!D449</f>
        <v>0</v>
      </c>
      <c r="H443" s="141" t="str">
        <f aca="false">Scoring!BI449</f>
        <v/>
      </c>
      <c r="I443" s="143" t="str">
        <f aca="false">Scoring!BH449</f>
        <v/>
      </c>
    </row>
    <row r="444" customFormat="false" ht="15.75" hidden="false" customHeight="false" outlineLevel="0" collapsed="false">
      <c r="A444" s="141" t="str">
        <f aca="false">Scoring!BK450</f>
        <v/>
      </c>
      <c r="B444" s="141" t="str">
        <f aca="false">Scoring!BJ450</f>
        <v/>
      </c>
      <c r="C444" s="141" t="n">
        <f aca="false">Scoring!C450</f>
        <v>0</v>
      </c>
      <c r="D444" s="142" t="str">
        <f aca="false">Scoring!BG450</f>
        <v/>
      </c>
      <c r="E444" s="141" t="str">
        <f aca="false">Scoring!AG450</f>
        <v/>
      </c>
      <c r="F444" s="141" t="n">
        <f aca="false">Scoring!B450</f>
        <v>0</v>
      </c>
      <c r="G444" s="141" t="n">
        <f aca="false">Scoring!D450</f>
        <v>0</v>
      </c>
      <c r="H444" s="141" t="str">
        <f aca="false">Scoring!BI450</f>
        <v/>
      </c>
      <c r="I444" s="143" t="str">
        <f aca="false">Scoring!BH450</f>
        <v/>
      </c>
    </row>
    <row r="445" customFormat="false" ht="15.75" hidden="false" customHeight="false" outlineLevel="0" collapsed="false">
      <c r="A445" s="141" t="str">
        <f aca="false">Scoring!BK451</f>
        <v/>
      </c>
      <c r="B445" s="141" t="str">
        <f aca="false">Scoring!BJ451</f>
        <v/>
      </c>
      <c r="C445" s="141" t="n">
        <f aca="false">Scoring!C451</f>
        <v>0</v>
      </c>
      <c r="D445" s="142" t="str">
        <f aca="false">Scoring!BG451</f>
        <v/>
      </c>
      <c r="E445" s="141" t="str">
        <f aca="false">Scoring!AG451</f>
        <v/>
      </c>
      <c r="F445" s="141" t="n">
        <f aca="false">Scoring!B451</f>
        <v>0</v>
      </c>
      <c r="G445" s="141" t="n">
        <f aca="false">Scoring!D451</f>
        <v>0</v>
      </c>
      <c r="H445" s="141" t="str">
        <f aca="false">Scoring!BI451</f>
        <v/>
      </c>
      <c r="I445" s="143" t="str">
        <f aca="false">Scoring!BH451</f>
        <v/>
      </c>
    </row>
    <row r="446" customFormat="false" ht="15.75" hidden="false" customHeight="false" outlineLevel="0" collapsed="false">
      <c r="A446" s="141" t="str">
        <f aca="false">Scoring!BK452</f>
        <v/>
      </c>
      <c r="B446" s="141" t="str">
        <f aca="false">Scoring!BJ452</f>
        <v/>
      </c>
      <c r="C446" s="141" t="n">
        <f aca="false">Scoring!C452</f>
        <v>0</v>
      </c>
      <c r="D446" s="142" t="str">
        <f aca="false">Scoring!BG452</f>
        <v/>
      </c>
      <c r="E446" s="141" t="str">
        <f aca="false">Scoring!AG452</f>
        <v/>
      </c>
      <c r="F446" s="141" t="n">
        <f aca="false">Scoring!B452</f>
        <v>0</v>
      </c>
      <c r="G446" s="141" t="n">
        <f aca="false">Scoring!D452</f>
        <v>0</v>
      </c>
      <c r="H446" s="141" t="str">
        <f aca="false">Scoring!BI452</f>
        <v/>
      </c>
      <c r="I446" s="143" t="str">
        <f aca="false">Scoring!BH452</f>
        <v/>
      </c>
    </row>
    <row r="447" customFormat="false" ht="15.75" hidden="false" customHeight="false" outlineLevel="0" collapsed="false">
      <c r="A447" s="141" t="str">
        <f aca="false">Scoring!BK453</f>
        <v/>
      </c>
      <c r="B447" s="141" t="str">
        <f aca="false">Scoring!BJ453</f>
        <v/>
      </c>
      <c r="C447" s="141" t="n">
        <f aca="false">Scoring!C453</f>
        <v>0</v>
      </c>
      <c r="D447" s="142" t="str">
        <f aca="false">Scoring!BG453</f>
        <v/>
      </c>
      <c r="E447" s="141" t="str">
        <f aca="false">Scoring!AG453</f>
        <v/>
      </c>
      <c r="F447" s="141" t="n">
        <f aca="false">Scoring!B453</f>
        <v>0</v>
      </c>
      <c r="G447" s="141" t="n">
        <f aca="false">Scoring!D453</f>
        <v>0</v>
      </c>
      <c r="H447" s="141" t="str">
        <f aca="false">Scoring!BI453</f>
        <v/>
      </c>
      <c r="I447" s="143" t="str">
        <f aca="false">Scoring!BH453</f>
        <v/>
      </c>
    </row>
    <row r="448" customFormat="false" ht="15.75" hidden="false" customHeight="false" outlineLevel="0" collapsed="false">
      <c r="A448" s="141" t="str">
        <f aca="false">Scoring!BK454</f>
        <v/>
      </c>
      <c r="B448" s="141" t="str">
        <f aca="false">Scoring!BJ454</f>
        <v/>
      </c>
      <c r="C448" s="141" t="n">
        <f aca="false">Scoring!C454</f>
        <v>0</v>
      </c>
      <c r="D448" s="142" t="str">
        <f aca="false">Scoring!BG454</f>
        <v/>
      </c>
      <c r="E448" s="141" t="str">
        <f aca="false">Scoring!AG454</f>
        <v/>
      </c>
      <c r="F448" s="141" t="n">
        <f aca="false">Scoring!B454</f>
        <v>0</v>
      </c>
      <c r="G448" s="141" t="n">
        <f aca="false">Scoring!D454</f>
        <v>0</v>
      </c>
      <c r="H448" s="141" t="str">
        <f aca="false">Scoring!BI454</f>
        <v/>
      </c>
      <c r="I448" s="143" t="str">
        <f aca="false">Scoring!BH454</f>
        <v/>
      </c>
    </row>
    <row r="449" customFormat="false" ht="15.75" hidden="false" customHeight="false" outlineLevel="0" collapsed="false">
      <c r="A449" s="141" t="str">
        <f aca="false">Scoring!BK455</f>
        <v/>
      </c>
      <c r="B449" s="141" t="str">
        <f aca="false">Scoring!BJ455</f>
        <v/>
      </c>
      <c r="C449" s="141" t="n">
        <f aca="false">Scoring!C455</f>
        <v>0</v>
      </c>
      <c r="D449" s="142" t="str">
        <f aca="false">Scoring!BG455</f>
        <v/>
      </c>
      <c r="E449" s="141" t="str">
        <f aca="false">Scoring!AG455</f>
        <v/>
      </c>
      <c r="F449" s="141" t="n">
        <f aca="false">Scoring!B455</f>
        <v>0</v>
      </c>
      <c r="G449" s="141" t="n">
        <f aca="false">Scoring!D455</f>
        <v>0</v>
      </c>
      <c r="H449" s="141" t="str">
        <f aca="false">Scoring!BI455</f>
        <v/>
      </c>
      <c r="I449" s="143" t="str">
        <f aca="false">Scoring!BH455</f>
        <v/>
      </c>
    </row>
    <row r="450" customFormat="false" ht="15.75" hidden="false" customHeight="false" outlineLevel="0" collapsed="false">
      <c r="A450" s="141" t="str">
        <f aca="false">Scoring!BK456</f>
        <v/>
      </c>
      <c r="B450" s="141" t="str">
        <f aca="false">Scoring!BJ456</f>
        <v/>
      </c>
      <c r="C450" s="141" t="n">
        <f aca="false">Scoring!C456</f>
        <v>0</v>
      </c>
      <c r="D450" s="142" t="str">
        <f aca="false">Scoring!BG456</f>
        <v/>
      </c>
      <c r="E450" s="141" t="str">
        <f aca="false">Scoring!AG456</f>
        <v/>
      </c>
      <c r="F450" s="141" t="n">
        <f aca="false">Scoring!B456</f>
        <v>0</v>
      </c>
      <c r="G450" s="141" t="n">
        <f aca="false">Scoring!D456</f>
        <v>0</v>
      </c>
      <c r="H450" s="141" t="str">
        <f aca="false">Scoring!BI456</f>
        <v/>
      </c>
      <c r="I450" s="143" t="str">
        <f aca="false">Scoring!BH456</f>
        <v/>
      </c>
    </row>
    <row r="451" customFormat="false" ht="15.75" hidden="false" customHeight="false" outlineLevel="0" collapsed="false">
      <c r="A451" s="141" t="str">
        <f aca="false">Scoring!BK457</f>
        <v/>
      </c>
      <c r="B451" s="141" t="str">
        <f aca="false">Scoring!BJ457</f>
        <v/>
      </c>
      <c r="C451" s="141" t="n">
        <f aca="false">Scoring!C457</f>
        <v>0</v>
      </c>
      <c r="D451" s="142" t="str">
        <f aca="false">Scoring!BG457</f>
        <v/>
      </c>
      <c r="E451" s="141" t="str">
        <f aca="false">Scoring!AG457</f>
        <v/>
      </c>
      <c r="F451" s="141" t="n">
        <f aca="false">Scoring!B457</f>
        <v>0</v>
      </c>
      <c r="G451" s="141" t="n">
        <f aca="false">Scoring!D457</f>
        <v>0</v>
      </c>
      <c r="H451" s="141" t="str">
        <f aca="false">Scoring!BI457</f>
        <v/>
      </c>
      <c r="I451" s="143" t="str">
        <f aca="false">Scoring!BH457</f>
        <v/>
      </c>
    </row>
    <row r="452" customFormat="false" ht="15.75" hidden="false" customHeight="false" outlineLevel="0" collapsed="false">
      <c r="A452" s="141" t="str">
        <f aca="false">Scoring!BK458</f>
        <v/>
      </c>
      <c r="B452" s="141" t="str">
        <f aca="false">Scoring!BJ458</f>
        <v/>
      </c>
      <c r="C452" s="141" t="n">
        <f aca="false">Scoring!C458</f>
        <v>0</v>
      </c>
      <c r="D452" s="142" t="str">
        <f aca="false">Scoring!BG458</f>
        <v/>
      </c>
      <c r="E452" s="141" t="str">
        <f aca="false">Scoring!AG458</f>
        <v/>
      </c>
      <c r="F452" s="141" t="n">
        <f aca="false">Scoring!B458</f>
        <v>0</v>
      </c>
      <c r="G452" s="141" t="n">
        <f aca="false">Scoring!D458</f>
        <v>0</v>
      </c>
      <c r="H452" s="141" t="str">
        <f aca="false">Scoring!BI458</f>
        <v/>
      </c>
      <c r="I452" s="143" t="str">
        <f aca="false">Scoring!BH458</f>
        <v/>
      </c>
    </row>
    <row r="453" customFormat="false" ht="15.75" hidden="false" customHeight="false" outlineLevel="0" collapsed="false">
      <c r="A453" s="141" t="str">
        <f aca="false">Scoring!BK459</f>
        <v/>
      </c>
      <c r="B453" s="141" t="str">
        <f aca="false">Scoring!BJ459</f>
        <v/>
      </c>
      <c r="C453" s="141" t="n">
        <f aca="false">Scoring!C459</f>
        <v>0</v>
      </c>
      <c r="D453" s="142" t="str">
        <f aca="false">Scoring!BG459</f>
        <v/>
      </c>
      <c r="E453" s="141" t="str">
        <f aca="false">Scoring!AG459</f>
        <v/>
      </c>
      <c r="F453" s="141" t="n">
        <f aca="false">Scoring!B459</f>
        <v>0</v>
      </c>
      <c r="G453" s="141" t="n">
        <f aca="false">Scoring!D459</f>
        <v>0</v>
      </c>
      <c r="H453" s="141" t="str">
        <f aca="false">Scoring!BI459</f>
        <v/>
      </c>
      <c r="I453" s="143" t="str">
        <f aca="false">Scoring!BH459</f>
        <v/>
      </c>
    </row>
    <row r="454" customFormat="false" ht="15.75" hidden="false" customHeight="false" outlineLevel="0" collapsed="false">
      <c r="A454" s="141" t="str">
        <f aca="false">Scoring!BK460</f>
        <v/>
      </c>
      <c r="B454" s="141" t="str">
        <f aca="false">Scoring!BJ460</f>
        <v/>
      </c>
      <c r="C454" s="141" t="n">
        <f aca="false">Scoring!C460</f>
        <v>0</v>
      </c>
      <c r="D454" s="142" t="str">
        <f aca="false">Scoring!BG460</f>
        <v/>
      </c>
      <c r="E454" s="141" t="str">
        <f aca="false">Scoring!AG460</f>
        <v/>
      </c>
      <c r="F454" s="141" t="n">
        <f aca="false">Scoring!B460</f>
        <v>0</v>
      </c>
      <c r="G454" s="141" t="n">
        <f aca="false">Scoring!D460</f>
        <v>0</v>
      </c>
      <c r="H454" s="141" t="str">
        <f aca="false">Scoring!BI460</f>
        <v/>
      </c>
      <c r="I454" s="143" t="str">
        <f aca="false">Scoring!BH460</f>
        <v/>
      </c>
    </row>
    <row r="455" customFormat="false" ht="15.75" hidden="false" customHeight="false" outlineLevel="0" collapsed="false">
      <c r="A455" s="141" t="str">
        <f aca="false">Scoring!BK461</f>
        <v/>
      </c>
      <c r="B455" s="141" t="str">
        <f aca="false">Scoring!BJ461</f>
        <v/>
      </c>
      <c r="C455" s="141" t="n">
        <f aca="false">Scoring!C461</f>
        <v>0</v>
      </c>
      <c r="D455" s="142" t="str">
        <f aca="false">Scoring!BG461</f>
        <v/>
      </c>
      <c r="E455" s="141" t="str">
        <f aca="false">Scoring!AG461</f>
        <v/>
      </c>
      <c r="F455" s="141" t="n">
        <f aca="false">Scoring!B461</f>
        <v>0</v>
      </c>
      <c r="G455" s="141" t="n">
        <f aca="false">Scoring!D461</f>
        <v>0</v>
      </c>
      <c r="H455" s="141" t="str">
        <f aca="false">Scoring!BI461</f>
        <v/>
      </c>
      <c r="I455" s="143" t="str">
        <f aca="false">Scoring!BH461</f>
        <v/>
      </c>
    </row>
    <row r="456" customFormat="false" ht="15.75" hidden="false" customHeight="false" outlineLevel="0" collapsed="false">
      <c r="A456" s="141" t="str">
        <f aca="false">Scoring!BK462</f>
        <v/>
      </c>
      <c r="B456" s="141" t="str">
        <f aca="false">Scoring!BJ462</f>
        <v/>
      </c>
      <c r="C456" s="141" t="n">
        <f aca="false">Scoring!C462</f>
        <v>0</v>
      </c>
      <c r="D456" s="142" t="str">
        <f aca="false">Scoring!BG462</f>
        <v/>
      </c>
      <c r="E456" s="141" t="str">
        <f aca="false">Scoring!AG462</f>
        <v/>
      </c>
      <c r="F456" s="141" t="n">
        <f aca="false">Scoring!B462</f>
        <v>0</v>
      </c>
      <c r="G456" s="141" t="n">
        <f aca="false">Scoring!D462</f>
        <v>0</v>
      </c>
      <c r="H456" s="141" t="str">
        <f aca="false">Scoring!BI462</f>
        <v/>
      </c>
      <c r="I456" s="143" t="str">
        <f aca="false">Scoring!BH462</f>
        <v/>
      </c>
    </row>
    <row r="457" customFormat="false" ht="15.75" hidden="false" customHeight="false" outlineLevel="0" collapsed="false">
      <c r="A457" s="141" t="str">
        <f aca="false">Scoring!BK463</f>
        <v/>
      </c>
      <c r="B457" s="141" t="str">
        <f aca="false">Scoring!BJ463</f>
        <v/>
      </c>
      <c r="C457" s="141" t="n">
        <f aca="false">Scoring!C463</f>
        <v>0</v>
      </c>
      <c r="D457" s="142" t="str">
        <f aca="false">Scoring!BG463</f>
        <v/>
      </c>
      <c r="E457" s="141" t="str">
        <f aca="false">Scoring!AG463</f>
        <v/>
      </c>
      <c r="F457" s="141" t="n">
        <f aca="false">Scoring!B463</f>
        <v>0</v>
      </c>
      <c r="G457" s="141" t="n">
        <f aca="false">Scoring!D463</f>
        <v>0</v>
      </c>
      <c r="H457" s="141" t="str">
        <f aca="false">Scoring!BI463</f>
        <v/>
      </c>
      <c r="I457" s="143" t="str">
        <f aca="false">Scoring!BH463</f>
        <v/>
      </c>
    </row>
    <row r="458" customFormat="false" ht="15.75" hidden="false" customHeight="false" outlineLevel="0" collapsed="false">
      <c r="A458" s="141" t="str">
        <f aca="false">Scoring!BK464</f>
        <v/>
      </c>
      <c r="B458" s="141" t="str">
        <f aca="false">Scoring!BJ464</f>
        <v/>
      </c>
      <c r="C458" s="141" t="n">
        <f aca="false">Scoring!C464</f>
        <v>0</v>
      </c>
      <c r="D458" s="142" t="str">
        <f aca="false">Scoring!BG464</f>
        <v/>
      </c>
      <c r="E458" s="141" t="str">
        <f aca="false">Scoring!AG464</f>
        <v/>
      </c>
      <c r="F458" s="141" t="n">
        <f aca="false">Scoring!B464</f>
        <v>0</v>
      </c>
      <c r="G458" s="141" t="n">
        <f aca="false">Scoring!D464</f>
        <v>0</v>
      </c>
      <c r="H458" s="141" t="str">
        <f aca="false">Scoring!BI464</f>
        <v/>
      </c>
      <c r="I458" s="143" t="str">
        <f aca="false">Scoring!BH464</f>
        <v/>
      </c>
    </row>
    <row r="459" customFormat="false" ht="15.75" hidden="false" customHeight="false" outlineLevel="0" collapsed="false">
      <c r="A459" s="141" t="str">
        <f aca="false">Scoring!BK465</f>
        <v/>
      </c>
      <c r="B459" s="141" t="str">
        <f aca="false">Scoring!BJ465</f>
        <v/>
      </c>
      <c r="C459" s="141" t="n">
        <f aca="false">Scoring!C465</f>
        <v>0</v>
      </c>
      <c r="D459" s="142" t="str">
        <f aca="false">Scoring!BG465</f>
        <v/>
      </c>
      <c r="E459" s="141" t="str">
        <f aca="false">Scoring!AG465</f>
        <v/>
      </c>
      <c r="F459" s="141" t="n">
        <f aca="false">Scoring!B465</f>
        <v>0</v>
      </c>
      <c r="G459" s="141" t="n">
        <f aca="false">Scoring!D465</f>
        <v>0</v>
      </c>
      <c r="H459" s="141" t="str">
        <f aca="false">Scoring!BI465</f>
        <v/>
      </c>
      <c r="I459" s="143" t="str">
        <f aca="false">Scoring!BH465</f>
        <v/>
      </c>
    </row>
    <row r="460" customFormat="false" ht="15.75" hidden="false" customHeight="false" outlineLevel="0" collapsed="false">
      <c r="A460" s="141" t="str">
        <f aca="false">Scoring!BK466</f>
        <v/>
      </c>
      <c r="B460" s="141" t="str">
        <f aca="false">Scoring!BJ466</f>
        <v/>
      </c>
      <c r="C460" s="141" t="n">
        <f aca="false">Scoring!C466</f>
        <v>0</v>
      </c>
      <c r="D460" s="142" t="str">
        <f aca="false">Scoring!BG466</f>
        <v/>
      </c>
      <c r="E460" s="141" t="str">
        <f aca="false">Scoring!AG466</f>
        <v/>
      </c>
      <c r="F460" s="141" t="n">
        <f aca="false">Scoring!B466</f>
        <v>0</v>
      </c>
      <c r="G460" s="141" t="n">
        <f aca="false">Scoring!D466</f>
        <v>0</v>
      </c>
      <c r="H460" s="141" t="str">
        <f aca="false">Scoring!BI466</f>
        <v/>
      </c>
      <c r="I460" s="143" t="str">
        <f aca="false">Scoring!BH466</f>
        <v/>
      </c>
    </row>
    <row r="461" customFormat="false" ht="15.75" hidden="false" customHeight="false" outlineLevel="0" collapsed="false">
      <c r="A461" s="141" t="str">
        <f aca="false">Scoring!BK467</f>
        <v/>
      </c>
      <c r="B461" s="141" t="str">
        <f aca="false">Scoring!BJ467</f>
        <v/>
      </c>
      <c r="C461" s="141" t="n">
        <f aca="false">Scoring!C467</f>
        <v>0</v>
      </c>
      <c r="D461" s="142" t="str">
        <f aca="false">Scoring!BG467</f>
        <v/>
      </c>
      <c r="E461" s="141" t="str">
        <f aca="false">Scoring!AG467</f>
        <v/>
      </c>
      <c r="F461" s="141" t="n">
        <f aca="false">Scoring!B467</f>
        <v>0</v>
      </c>
      <c r="G461" s="141" t="n">
        <f aca="false">Scoring!D467</f>
        <v>0</v>
      </c>
      <c r="H461" s="141" t="str">
        <f aca="false">Scoring!BI467</f>
        <v/>
      </c>
      <c r="I461" s="143" t="str">
        <f aca="false">Scoring!BH467</f>
        <v/>
      </c>
    </row>
    <row r="462" customFormat="false" ht="15.75" hidden="false" customHeight="false" outlineLevel="0" collapsed="false">
      <c r="A462" s="141" t="str">
        <f aca="false">Scoring!BK468</f>
        <v/>
      </c>
      <c r="B462" s="141" t="str">
        <f aca="false">Scoring!BJ468</f>
        <v/>
      </c>
      <c r="C462" s="141" t="n">
        <f aca="false">Scoring!C468</f>
        <v>0</v>
      </c>
      <c r="D462" s="142" t="str">
        <f aca="false">Scoring!BG468</f>
        <v/>
      </c>
      <c r="E462" s="141" t="str">
        <f aca="false">Scoring!AG468</f>
        <v/>
      </c>
      <c r="F462" s="141" t="n">
        <f aca="false">Scoring!B468</f>
        <v>0</v>
      </c>
      <c r="G462" s="141" t="n">
        <f aca="false">Scoring!D468</f>
        <v>0</v>
      </c>
      <c r="H462" s="141" t="str">
        <f aca="false">Scoring!BI468</f>
        <v/>
      </c>
      <c r="I462" s="143" t="str">
        <f aca="false">Scoring!BH468</f>
        <v/>
      </c>
    </row>
    <row r="463" customFormat="false" ht="15.75" hidden="false" customHeight="false" outlineLevel="0" collapsed="false">
      <c r="A463" s="141" t="str">
        <f aca="false">Scoring!BK469</f>
        <v/>
      </c>
      <c r="B463" s="141" t="str">
        <f aca="false">Scoring!BJ469</f>
        <v/>
      </c>
      <c r="C463" s="141" t="n">
        <f aca="false">Scoring!C469</f>
        <v>0</v>
      </c>
      <c r="D463" s="142" t="str">
        <f aca="false">Scoring!BG469</f>
        <v/>
      </c>
      <c r="E463" s="141" t="str">
        <f aca="false">Scoring!AG469</f>
        <v/>
      </c>
      <c r="F463" s="141" t="n">
        <f aca="false">Scoring!B469</f>
        <v>0</v>
      </c>
      <c r="G463" s="141" t="n">
        <f aca="false">Scoring!D469</f>
        <v>0</v>
      </c>
      <c r="H463" s="141" t="str">
        <f aca="false">Scoring!BI469</f>
        <v/>
      </c>
      <c r="I463" s="143" t="str">
        <f aca="false">Scoring!BH469</f>
        <v/>
      </c>
    </row>
    <row r="464" customFormat="false" ht="15.75" hidden="false" customHeight="false" outlineLevel="0" collapsed="false">
      <c r="A464" s="141" t="str">
        <f aca="false">Scoring!BK470</f>
        <v/>
      </c>
      <c r="B464" s="141" t="str">
        <f aca="false">Scoring!BJ470</f>
        <v/>
      </c>
      <c r="C464" s="141" t="n">
        <f aca="false">Scoring!C470</f>
        <v>0</v>
      </c>
      <c r="D464" s="142" t="str">
        <f aca="false">Scoring!BG470</f>
        <v/>
      </c>
      <c r="E464" s="141" t="str">
        <f aca="false">Scoring!AG470</f>
        <v/>
      </c>
      <c r="F464" s="141" t="n">
        <f aca="false">Scoring!B470</f>
        <v>0</v>
      </c>
      <c r="G464" s="141" t="n">
        <f aca="false">Scoring!D470</f>
        <v>0</v>
      </c>
      <c r="H464" s="141" t="str">
        <f aca="false">Scoring!BI470</f>
        <v/>
      </c>
      <c r="I464" s="143" t="str">
        <f aca="false">Scoring!BH470</f>
        <v/>
      </c>
    </row>
    <row r="465" customFormat="false" ht="15.75" hidden="false" customHeight="false" outlineLevel="0" collapsed="false">
      <c r="A465" s="141" t="str">
        <f aca="false">Scoring!BK471</f>
        <v/>
      </c>
      <c r="B465" s="141" t="str">
        <f aca="false">Scoring!BJ471</f>
        <v/>
      </c>
      <c r="C465" s="141" t="n">
        <f aca="false">Scoring!C471</f>
        <v>0</v>
      </c>
      <c r="D465" s="142" t="str">
        <f aca="false">Scoring!BG471</f>
        <v/>
      </c>
      <c r="E465" s="141" t="str">
        <f aca="false">Scoring!AG471</f>
        <v/>
      </c>
      <c r="F465" s="141" t="n">
        <f aca="false">Scoring!B471</f>
        <v>0</v>
      </c>
      <c r="G465" s="141" t="n">
        <f aca="false">Scoring!D471</f>
        <v>0</v>
      </c>
      <c r="H465" s="141" t="str">
        <f aca="false">Scoring!BI471</f>
        <v/>
      </c>
      <c r="I465" s="143" t="str">
        <f aca="false">Scoring!BH471</f>
        <v/>
      </c>
    </row>
    <row r="466" customFormat="false" ht="15.75" hidden="false" customHeight="false" outlineLevel="0" collapsed="false">
      <c r="A466" s="141" t="str">
        <f aca="false">Scoring!BK472</f>
        <v/>
      </c>
      <c r="B466" s="141" t="str">
        <f aca="false">Scoring!BJ472</f>
        <v/>
      </c>
      <c r="C466" s="141" t="n">
        <f aca="false">Scoring!C472</f>
        <v>0</v>
      </c>
      <c r="D466" s="142" t="str">
        <f aca="false">Scoring!BG472</f>
        <v/>
      </c>
      <c r="E466" s="141" t="str">
        <f aca="false">Scoring!AG472</f>
        <v/>
      </c>
      <c r="F466" s="141" t="n">
        <f aca="false">Scoring!B472</f>
        <v>0</v>
      </c>
      <c r="G466" s="141" t="n">
        <f aca="false">Scoring!D472</f>
        <v>0</v>
      </c>
      <c r="H466" s="141" t="str">
        <f aca="false">Scoring!BI472</f>
        <v/>
      </c>
      <c r="I466" s="143" t="str">
        <f aca="false">Scoring!BH472</f>
        <v/>
      </c>
    </row>
    <row r="467" customFormat="false" ht="15.75" hidden="false" customHeight="false" outlineLevel="0" collapsed="false">
      <c r="A467" s="141" t="str">
        <f aca="false">Scoring!BK473</f>
        <v/>
      </c>
      <c r="B467" s="141" t="str">
        <f aca="false">Scoring!BJ473</f>
        <v/>
      </c>
      <c r="C467" s="141" t="n">
        <f aca="false">Scoring!C473</f>
        <v>0</v>
      </c>
      <c r="D467" s="142" t="str">
        <f aca="false">Scoring!BG473</f>
        <v/>
      </c>
      <c r="E467" s="141" t="str">
        <f aca="false">Scoring!AG473</f>
        <v/>
      </c>
      <c r="F467" s="141" t="n">
        <f aca="false">Scoring!B473</f>
        <v>0</v>
      </c>
      <c r="G467" s="141" t="n">
        <f aca="false">Scoring!D473</f>
        <v>0</v>
      </c>
      <c r="H467" s="141" t="str">
        <f aca="false">Scoring!BI473</f>
        <v/>
      </c>
      <c r="I467" s="143" t="str">
        <f aca="false">Scoring!BH473</f>
        <v/>
      </c>
    </row>
    <row r="468" customFormat="false" ht="15.75" hidden="false" customHeight="false" outlineLevel="0" collapsed="false">
      <c r="A468" s="141" t="str">
        <f aca="false">Scoring!BK474</f>
        <v/>
      </c>
      <c r="B468" s="141" t="str">
        <f aca="false">Scoring!BJ474</f>
        <v/>
      </c>
      <c r="C468" s="141" t="n">
        <f aca="false">Scoring!C474</f>
        <v>0</v>
      </c>
      <c r="D468" s="142" t="str">
        <f aca="false">Scoring!BG474</f>
        <v/>
      </c>
      <c r="E468" s="141" t="str">
        <f aca="false">Scoring!AG474</f>
        <v/>
      </c>
      <c r="F468" s="141" t="n">
        <f aca="false">Scoring!B474</f>
        <v>0</v>
      </c>
      <c r="G468" s="141" t="n">
        <f aca="false">Scoring!D474</f>
        <v>0</v>
      </c>
      <c r="H468" s="141" t="str">
        <f aca="false">Scoring!BI474</f>
        <v/>
      </c>
      <c r="I468" s="143" t="str">
        <f aca="false">Scoring!BH474</f>
        <v/>
      </c>
    </row>
    <row r="469" customFormat="false" ht="15.75" hidden="false" customHeight="false" outlineLevel="0" collapsed="false">
      <c r="A469" s="141" t="str">
        <f aca="false">Scoring!BK475</f>
        <v/>
      </c>
      <c r="B469" s="141" t="str">
        <f aca="false">Scoring!BJ475</f>
        <v/>
      </c>
      <c r="C469" s="141" t="n">
        <f aca="false">Scoring!C475</f>
        <v>0</v>
      </c>
      <c r="D469" s="142" t="str">
        <f aca="false">Scoring!BG475</f>
        <v/>
      </c>
      <c r="E469" s="141" t="str">
        <f aca="false">Scoring!AG475</f>
        <v/>
      </c>
      <c r="F469" s="141" t="n">
        <f aca="false">Scoring!B475</f>
        <v>0</v>
      </c>
      <c r="G469" s="141" t="n">
        <f aca="false">Scoring!D475</f>
        <v>0</v>
      </c>
      <c r="H469" s="141" t="str">
        <f aca="false">Scoring!BI475</f>
        <v/>
      </c>
      <c r="I469" s="143" t="str">
        <f aca="false">Scoring!BH475</f>
        <v/>
      </c>
    </row>
    <row r="470" customFormat="false" ht="15.75" hidden="false" customHeight="false" outlineLevel="0" collapsed="false">
      <c r="A470" s="141" t="str">
        <f aca="false">Scoring!BK476</f>
        <v/>
      </c>
      <c r="B470" s="141" t="str">
        <f aca="false">Scoring!BJ476</f>
        <v/>
      </c>
      <c r="C470" s="141" t="n">
        <f aca="false">Scoring!C476</f>
        <v>0</v>
      </c>
      <c r="D470" s="142" t="str">
        <f aca="false">Scoring!BG476</f>
        <v/>
      </c>
      <c r="E470" s="141" t="str">
        <f aca="false">Scoring!AG476</f>
        <v/>
      </c>
      <c r="F470" s="141" t="n">
        <f aca="false">Scoring!B476</f>
        <v>0</v>
      </c>
      <c r="G470" s="141" t="n">
        <f aca="false">Scoring!D476</f>
        <v>0</v>
      </c>
      <c r="H470" s="141" t="str">
        <f aca="false">Scoring!BI476</f>
        <v/>
      </c>
      <c r="I470" s="143" t="str">
        <f aca="false">Scoring!BH476</f>
        <v/>
      </c>
    </row>
    <row r="471" customFormat="false" ht="15.75" hidden="false" customHeight="false" outlineLevel="0" collapsed="false">
      <c r="A471" s="141" t="str">
        <f aca="false">Scoring!BK477</f>
        <v/>
      </c>
      <c r="B471" s="141" t="str">
        <f aca="false">Scoring!BJ477</f>
        <v/>
      </c>
      <c r="C471" s="141" t="n">
        <f aca="false">Scoring!C477</f>
        <v>0</v>
      </c>
      <c r="D471" s="142" t="str">
        <f aca="false">Scoring!BG477</f>
        <v/>
      </c>
      <c r="E471" s="141" t="str">
        <f aca="false">Scoring!AG477</f>
        <v/>
      </c>
      <c r="F471" s="141" t="n">
        <f aca="false">Scoring!B477</f>
        <v>0</v>
      </c>
      <c r="G471" s="141" t="n">
        <f aca="false">Scoring!D477</f>
        <v>0</v>
      </c>
      <c r="H471" s="141" t="str">
        <f aca="false">Scoring!BI477</f>
        <v/>
      </c>
      <c r="I471" s="143" t="str">
        <f aca="false">Scoring!BH477</f>
        <v/>
      </c>
    </row>
    <row r="472" customFormat="false" ht="15.75" hidden="false" customHeight="false" outlineLevel="0" collapsed="false">
      <c r="A472" s="141" t="str">
        <f aca="false">Scoring!BK478</f>
        <v/>
      </c>
      <c r="B472" s="141" t="str">
        <f aca="false">Scoring!BJ478</f>
        <v/>
      </c>
      <c r="C472" s="141" t="n">
        <f aca="false">Scoring!C478</f>
        <v>0</v>
      </c>
      <c r="D472" s="142" t="str">
        <f aca="false">Scoring!BG478</f>
        <v/>
      </c>
      <c r="E472" s="141" t="str">
        <f aca="false">Scoring!AG478</f>
        <v/>
      </c>
      <c r="F472" s="141" t="n">
        <f aca="false">Scoring!B478</f>
        <v>0</v>
      </c>
      <c r="G472" s="141" t="n">
        <f aca="false">Scoring!D478</f>
        <v>0</v>
      </c>
      <c r="H472" s="141" t="str">
        <f aca="false">Scoring!BI478</f>
        <v/>
      </c>
      <c r="I472" s="143" t="str">
        <f aca="false">Scoring!BH478</f>
        <v/>
      </c>
    </row>
    <row r="473" customFormat="false" ht="15.75" hidden="false" customHeight="false" outlineLevel="0" collapsed="false">
      <c r="A473" s="141" t="str">
        <f aca="false">Scoring!BK479</f>
        <v/>
      </c>
      <c r="B473" s="141" t="str">
        <f aca="false">Scoring!BJ479</f>
        <v/>
      </c>
      <c r="C473" s="141" t="n">
        <f aca="false">Scoring!C479</f>
        <v>0</v>
      </c>
      <c r="D473" s="142" t="str">
        <f aca="false">Scoring!BG479</f>
        <v/>
      </c>
      <c r="E473" s="141" t="str">
        <f aca="false">Scoring!AG479</f>
        <v/>
      </c>
      <c r="F473" s="141" t="n">
        <f aca="false">Scoring!B479</f>
        <v>0</v>
      </c>
      <c r="G473" s="141" t="n">
        <f aca="false">Scoring!D479</f>
        <v>0</v>
      </c>
      <c r="H473" s="141" t="str">
        <f aca="false">Scoring!BI479</f>
        <v/>
      </c>
      <c r="I473" s="143" t="str">
        <f aca="false">Scoring!BH479</f>
        <v/>
      </c>
    </row>
    <row r="474" customFormat="false" ht="15.75" hidden="false" customHeight="false" outlineLevel="0" collapsed="false">
      <c r="A474" s="141" t="str">
        <f aca="false">Scoring!BK480</f>
        <v/>
      </c>
      <c r="B474" s="141" t="str">
        <f aca="false">Scoring!BJ480</f>
        <v/>
      </c>
      <c r="C474" s="141" t="n">
        <f aca="false">Scoring!C480</f>
        <v>0</v>
      </c>
      <c r="D474" s="142" t="str">
        <f aca="false">Scoring!BG480</f>
        <v/>
      </c>
      <c r="E474" s="141" t="str">
        <f aca="false">Scoring!AG480</f>
        <v/>
      </c>
      <c r="F474" s="141" t="n">
        <f aca="false">Scoring!B480</f>
        <v>0</v>
      </c>
      <c r="G474" s="141" t="n">
        <f aca="false">Scoring!D480</f>
        <v>0</v>
      </c>
      <c r="H474" s="141" t="str">
        <f aca="false">Scoring!BI480</f>
        <v/>
      </c>
      <c r="I474" s="143" t="str">
        <f aca="false">Scoring!BH480</f>
        <v/>
      </c>
    </row>
    <row r="475" customFormat="false" ht="15.75" hidden="false" customHeight="false" outlineLevel="0" collapsed="false">
      <c r="A475" s="141" t="str">
        <f aca="false">Scoring!BK481</f>
        <v/>
      </c>
      <c r="B475" s="141" t="str">
        <f aca="false">Scoring!BJ481</f>
        <v/>
      </c>
      <c r="C475" s="141" t="n">
        <f aca="false">Scoring!C481</f>
        <v>0</v>
      </c>
      <c r="D475" s="142" t="str">
        <f aca="false">Scoring!BG481</f>
        <v/>
      </c>
      <c r="E475" s="141" t="str">
        <f aca="false">Scoring!AG481</f>
        <v/>
      </c>
      <c r="F475" s="141" t="n">
        <f aca="false">Scoring!B481</f>
        <v>0</v>
      </c>
      <c r="G475" s="141" t="n">
        <f aca="false">Scoring!D481</f>
        <v>0</v>
      </c>
      <c r="H475" s="141" t="str">
        <f aca="false">Scoring!BI481</f>
        <v/>
      </c>
      <c r="I475" s="143" t="str">
        <f aca="false">Scoring!BH481</f>
        <v/>
      </c>
    </row>
    <row r="476" customFormat="false" ht="15.75" hidden="false" customHeight="false" outlineLevel="0" collapsed="false">
      <c r="A476" s="141" t="str">
        <f aca="false">Scoring!BK482</f>
        <v/>
      </c>
      <c r="B476" s="141" t="str">
        <f aca="false">Scoring!BJ482</f>
        <v/>
      </c>
      <c r="C476" s="141" t="n">
        <f aca="false">Scoring!C482</f>
        <v>0</v>
      </c>
      <c r="D476" s="142" t="str">
        <f aca="false">Scoring!BG482</f>
        <v/>
      </c>
      <c r="E476" s="141" t="str">
        <f aca="false">Scoring!AG482</f>
        <v/>
      </c>
      <c r="F476" s="141" t="n">
        <f aca="false">Scoring!B482</f>
        <v>0</v>
      </c>
      <c r="G476" s="141" t="n">
        <f aca="false">Scoring!D482</f>
        <v>0</v>
      </c>
      <c r="H476" s="141" t="str">
        <f aca="false">Scoring!BI482</f>
        <v/>
      </c>
      <c r="I476" s="143" t="str">
        <f aca="false">Scoring!BH482</f>
        <v/>
      </c>
    </row>
    <row r="477" customFormat="false" ht="15.75" hidden="false" customHeight="false" outlineLevel="0" collapsed="false">
      <c r="A477" s="141" t="str">
        <f aca="false">Scoring!BK483</f>
        <v/>
      </c>
      <c r="B477" s="141" t="str">
        <f aca="false">Scoring!BJ483</f>
        <v/>
      </c>
      <c r="C477" s="141" t="n">
        <f aca="false">Scoring!C483</f>
        <v>0</v>
      </c>
      <c r="D477" s="142" t="str">
        <f aca="false">Scoring!BG483</f>
        <v/>
      </c>
      <c r="E477" s="141" t="str">
        <f aca="false">Scoring!AG483</f>
        <v/>
      </c>
      <c r="F477" s="141" t="n">
        <f aca="false">Scoring!B483</f>
        <v>0</v>
      </c>
      <c r="G477" s="141" t="n">
        <f aca="false">Scoring!D483</f>
        <v>0</v>
      </c>
      <c r="H477" s="141" t="str">
        <f aca="false">Scoring!BI483</f>
        <v/>
      </c>
      <c r="I477" s="143" t="str">
        <f aca="false">Scoring!BH483</f>
        <v/>
      </c>
    </row>
    <row r="478" customFormat="false" ht="15.75" hidden="false" customHeight="false" outlineLevel="0" collapsed="false">
      <c r="A478" s="141" t="str">
        <f aca="false">Scoring!BK484</f>
        <v/>
      </c>
      <c r="B478" s="141" t="str">
        <f aca="false">Scoring!BJ484</f>
        <v/>
      </c>
      <c r="C478" s="141" t="n">
        <f aca="false">Scoring!C484</f>
        <v>0</v>
      </c>
      <c r="D478" s="142" t="str">
        <f aca="false">Scoring!BG484</f>
        <v/>
      </c>
      <c r="E478" s="141" t="str">
        <f aca="false">Scoring!AG484</f>
        <v/>
      </c>
      <c r="F478" s="141" t="n">
        <f aca="false">Scoring!B484</f>
        <v>0</v>
      </c>
      <c r="G478" s="141" t="n">
        <f aca="false">Scoring!D484</f>
        <v>0</v>
      </c>
      <c r="H478" s="141" t="str">
        <f aca="false">Scoring!BI484</f>
        <v/>
      </c>
      <c r="I478" s="143" t="str">
        <f aca="false">Scoring!BH484</f>
        <v/>
      </c>
    </row>
    <row r="479" customFormat="false" ht="15.75" hidden="false" customHeight="false" outlineLevel="0" collapsed="false">
      <c r="A479" s="141" t="str">
        <f aca="false">Scoring!BK485</f>
        <v/>
      </c>
      <c r="B479" s="141" t="str">
        <f aca="false">Scoring!BJ485</f>
        <v/>
      </c>
      <c r="C479" s="141" t="n">
        <f aca="false">Scoring!C485</f>
        <v>0</v>
      </c>
      <c r="D479" s="142" t="str">
        <f aca="false">Scoring!BG485</f>
        <v/>
      </c>
      <c r="E479" s="141" t="str">
        <f aca="false">Scoring!AG485</f>
        <v/>
      </c>
      <c r="F479" s="141" t="n">
        <f aca="false">Scoring!B485</f>
        <v>0</v>
      </c>
      <c r="G479" s="141" t="n">
        <f aca="false">Scoring!D485</f>
        <v>0</v>
      </c>
      <c r="H479" s="141" t="str">
        <f aca="false">Scoring!BI485</f>
        <v/>
      </c>
      <c r="I479" s="143" t="str">
        <f aca="false">Scoring!BH485</f>
        <v/>
      </c>
    </row>
    <row r="480" customFormat="false" ht="15.75" hidden="false" customHeight="false" outlineLevel="0" collapsed="false">
      <c r="A480" s="141" t="str">
        <f aca="false">Scoring!BK486</f>
        <v/>
      </c>
      <c r="B480" s="141" t="str">
        <f aca="false">Scoring!BJ486</f>
        <v/>
      </c>
      <c r="C480" s="141" t="n">
        <f aca="false">Scoring!C486</f>
        <v>0</v>
      </c>
      <c r="D480" s="142" t="str">
        <f aca="false">Scoring!BG486</f>
        <v/>
      </c>
      <c r="E480" s="141" t="str">
        <f aca="false">Scoring!AG486</f>
        <v/>
      </c>
      <c r="F480" s="141" t="n">
        <f aca="false">Scoring!B486</f>
        <v>0</v>
      </c>
      <c r="G480" s="141" t="n">
        <f aca="false">Scoring!D486</f>
        <v>0</v>
      </c>
      <c r="H480" s="141" t="str">
        <f aca="false">Scoring!BI486</f>
        <v/>
      </c>
      <c r="I480" s="143" t="str">
        <f aca="false">Scoring!BH486</f>
        <v/>
      </c>
    </row>
    <row r="481" customFormat="false" ht="15.75" hidden="false" customHeight="false" outlineLevel="0" collapsed="false">
      <c r="A481" s="141" t="str">
        <f aca="false">Scoring!BK487</f>
        <v/>
      </c>
      <c r="B481" s="141" t="str">
        <f aca="false">Scoring!BJ487</f>
        <v/>
      </c>
      <c r="C481" s="141" t="n">
        <f aca="false">Scoring!C487</f>
        <v>0</v>
      </c>
      <c r="D481" s="142" t="str">
        <f aca="false">Scoring!BG487</f>
        <v/>
      </c>
      <c r="E481" s="141" t="str">
        <f aca="false">Scoring!AG487</f>
        <v/>
      </c>
      <c r="F481" s="141" t="n">
        <f aca="false">Scoring!B487</f>
        <v>0</v>
      </c>
      <c r="G481" s="141" t="n">
        <f aca="false">Scoring!D487</f>
        <v>0</v>
      </c>
      <c r="H481" s="141" t="str">
        <f aca="false">Scoring!BI487</f>
        <v/>
      </c>
      <c r="I481" s="143" t="str">
        <f aca="false">Scoring!BH487</f>
        <v/>
      </c>
    </row>
    <row r="482" customFormat="false" ht="15.75" hidden="false" customHeight="false" outlineLevel="0" collapsed="false">
      <c r="A482" s="141" t="str">
        <f aca="false">Scoring!BK488</f>
        <v/>
      </c>
      <c r="B482" s="141" t="str">
        <f aca="false">Scoring!BJ488</f>
        <v/>
      </c>
      <c r="C482" s="141" t="n">
        <f aca="false">Scoring!C488</f>
        <v>0</v>
      </c>
      <c r="D482" s="142" t="str">
        <f aca="false">Scoring!BG488</f>
        <v/>
      </c>
      <c r="E482" s="141" t="str">
        <f aca="false">Scoring!AG488</f>
        <v/>
      </c>
      <c r="F482" s="141" t="n">
        <f aca="false">Scoring!B488</f>
        <v>0</v>
      </c>
      <c r="G482" s="141" t="n">
        <f aca="false">Scoring!D488</f>
        <v>0</v>
      </c>
      <c r="H482" s="141" t="str">
        <f aca="false">Scoring!BI488</f>
        <v/>
      </c>
      <c r="I482" s="143" t="str">
        <f aca="false">Scoring!BH488</f>
        <v/>
      </c>
    </row>
    <row r="483" customFormat="false" ht="15.75" hidden="false" customHeight="false" outlineLevel="0" collapsed="false">
      <c r="A483" s="141" t="str">
        <f aca="false">Scoring!BK489</f>
        <v/>
      </c>
      <c r="B483" s="141" t="str">
        <f aca="false">Scoring!BJ489</f>
        <v/>
      </c>
      <c r="C483" s="141" t="n">
        <f aca="false">Scoring!C489</f>
        <v>0</v>
      </c>
      <c r="D483" s="142" t="str">
        <f aca="false">Scoring!BG489</f>
        <v/>
      </c>
      <c r="E483" s="141" t="str">
        <f aca="false">Scoring!AG489</f>
        <v/>
      </c>
      <c r="F483" s="141" t="n">
        <f aca="false">Scoring!B489</f>
        <v>0</v>
      </c>
      <c r="G483" s="141" t="n">
        <f aca="false">Scoring!D489</f>
        <v>0</v>
      </c>
      <c r="H483" s="141" t="str">
        <f aca="false">Scoring!BI489</f>
        <v/>
      </c>
      <c r="I483" s="143" t="str">
        <f aca="false">Scoring!BH489</f>
        <v/>
      </c>
    </row>
    <row r="484" customFormat="false" ht="15.75" hidden="false" customHeight="false" outlineLevel="0" collapsed="false">
      <c r="A484" s="141" t="str">
        <f aca="false">Scoring!BK490</f>
        <v/>
      </c>
      <c r="B484" s="141" t="str">
        <f aca="false">Scoring!BJ490</f>
        <v/>
      </c>
      <c r="C484" s="141" t="n">
        <f aca="false">Scoring!C490</f>
        <v>0</v>
      </c>
      <c r="D484" s="142" t="str">
        <f aca="false">Scoring!BG490</f>
        <v/>
      </c>
      <c r="E484" s="141" t="str">
        <f aca="false">Scoring!AG490</f>
        <v/>
      </c>
      <c r="F484" s="141" t="n">
        <f aca="false">Scoring!B490</f>
        <v>0</v>
      </c>
      <c r="G484" s="141" t="n">
        <f aca="false">Scoring!D490</f>
        <v>0</v>
      </c>
      <c r="H484" s="141" t="str">
        <f aca="false">Scoring!BI490</f>
        <v/>
      </c>
      <c r="I484" s="143" t="str">
        <f aca="false">Scoring!BH490</f>
        <v/>
      </c>
    </row>
    <row r="485" customFormat="false" ht="15.75" hidden="false" customHeight="false" outlineLevel="0" collapsed="false">
      <c r="A485" s="141" t="str">
        <f aca="false">Scoring!BK491</f>
        <v/>
      </c>
      <c r="B485" s="141" t="str">
        <f aca="false">Scoring!BJ491</f>
        <v/>
      </c>
      <c r="C485" s="141" t="n">
        <f aca="false">Scoring!C491</f>
        <v>0</v>
      </c>
      <c r="D485" s="142" t="str">
        <f aca="false">Scoring!BG491</f>
        <v/>
      </c>
      <c r="E485" s="141" t="str">
        <f aca="false">Scoring!AG491</f>
        <v/>
      </c>
      <c r="F485" s="141" t="n">
        <f aca="false">Scoring!B491</f>
        <v>0</v>
      </c>
      <c r="G485" s="141" t="n">
        <f aca="false">Scoring!D491</f>
        <v>0</v>
      </c>
      <c r="H485" s="141" t="str">
        <f aca="false">Scoring!BI491</f>
        <v/>
      </c>
      <c r="I485" s="143" t="str">
        <f aca="false">Scoring!BH491</f>
        <v/>
      </c>
    </row>
    <row r="486" customFormat="false" ht="15.75" hidden="false" customHeight="false" outlineLevel="0" collapsed="false">
      <c r="A486" s="141" t="str">
        <f aca="false">Scoring!BK492</f>
        <v/>
      </c>
      <c r="B486" s="141" t="str">
        <f aca="false">Scoring!BJ492</f>
        <v/>
      </c>
      <c r="C486" s="141" t="n">
        <f aca="false">Scoring!C492</f>
        <v>0</v>
      </c>
      <c r="D486" s="142" t="str">
        <f aca="false">Scoring!BG492</f>
        <v/>
      </c>
      <c r="E486" s="141" t="str">
        <f aca="false">Scoring!AG492</f>
        <v/>
      </c>
      <c r="F486" s="141" t="n">
        <f aca="false">Scoring!B492</f>
        <v>0</v>
      </c>
      <c r="G486" s="141" t="n">
        <f aca="false">Scoring!D492</f>
        <v>0</v>
      </c>
      <c r="H486" s="141" t="str">
        <f aca="false">Scoring!BI492</f>
        <v/>
      </c>
      <c r="I486" s="143" t="str">
        <f aca="false">Scoring!BH492</f>
        <v/>
      </c>
    </row>
    <row r="487" customFormat="false" ht="15.75" hidden="false" customHeight="false" outlineLevel="0" collapsed="false">
      <c r="A487" s="141" t="str">
        <f aca="false">Scoring!BK493</f>
        <v/>
      </c>
      <c r="B487" s="141" t="str">
        <f aca="false">Scoring!BJ493</f>
        <v/>
      </c>
      <c r="C487" s="141" t="n">
        <f aca="false">Scoring!C493</f>
        <v>0</v>
      </c>
      <c r="D487" s="142" t="str">
        <f aca="false">Scoring!BG493</f>
        <v/>
      </c>
      <c r="E487" s="141" t="str">
        <f aca="false">Scoring!AG493</f>
        <v/>
      </c>
      <c r="F487" s="141" t="n">
        <f aca="false">Scoring!B493</f>
        <v>0</v>
      </c>
      <c r="G487" s="141" t="n">
        <f aca="false">Scoring!D493</f>
        <v>0</v>
      </c>
      <c r="H487" s="141" t="str">
        <f aca="false">Scoring!BI493</f>
        <v/>
      </c>
      <c r="I487" s="143" t="str">
        <f aca="false">Scoring!BH493</f>
        <v/>
      </c>
    </row>
    <row r="488" customFormat="false" ht="15.75" hidden="false" customHeight="false" outlineLevel="0" collapsed="false">
      <c r="A488" s="141" t="str">
        <f aca="false">Scoring!BK494</f>
        <v/>
      </c>
      <c r="B488" s="141" t="str">
        <f aca="false">Scoring!BJ494</f>
        <v/>
      </c>
      <c r="C488" s="141" t="n">
        <f aca="false">Scoring!C494</f>
        <v>0</v>
      </c>
      <c r="D488" s="142" t="str">
        <f aca="false">Scoring!BG494</f>
        <v/>
      </c>
      <c r="E488" s="141" t="str">
        <f aca="false">Scoring!AG494</f>
        <v/>
      </c>
      <c r="F488" s="141" t="n">
        <f aca="false">Scoring!B494</f>
        <v>0</v>
      </c>
      <c r="G488" s="141" t="n">
        <f aca="false">Scoring!D494</f>
        <v>0</v>
      </c>
      <c r="H488" s="141" t="str">
        <f aca="false">Scoring!BI494</f>
        <v/>
      </c>
      <c r="I488" s="143" t="str">
        <f aca="false">Scoring!BH494</f>
        <v/>
      </c>
    </row>
    <row r="489" customFormat="false" ht="15.75" hidden="false" customHeight="false" outlineLevel="0" collapsed="false">
      <c r="A489" s="141" t="str">
        <f aca="false">Scoring!BK495</f>
        <v/>
      </c>
      <c r="B489" s="141" t="str">
        <f aca="false">Scoring!BJ495</f>
        <v/>
      </c>
      <c r="C489" s="141" t="n">
        <f aca="false">Scoring!C495</f>
        <v>0</v>
      </c>
      <c r="D489" s="142" t="str">
        <f aca="false">Scoring!BG495</f>
        <v/>
      </c>
      <c r="E489" s="141" t="str">
        <f aca="false">Scoring!AG495</f>
        <v/>
      </c>
      <c r="F489" s="141" t="n">
        <f aca="false">Scoring!B495</f>
        <v>0</v>
      </c>
      <c r="G489" s="141" t="n">
        <f aca="false">Scoring!D495</f>
        <v>0</v>
      </c>
      <c r="H489" s="141" t="str">
        <f aca="false">Scoring!BI495</f>
        <v/>
      </c>
      <c r="I489" s="143" t="str">
        <f aca="false">Scoring!BH495</f>
        <v/>
      </c>
    </row>
    <row r="490" customFormat="false" ht="15.75" hidden="false" customHeight="false" outlineLevel="0" collapsed="false">
      <c r="A490" s="141" t="str">
        <f aca="false">Scoring!BK496</f>
        <v/>
      </c>
      <c r="B490" s="141" t="str">
        <f aca="false">Scoring!BJ496</f>
        <v/>
      </c>
      <c r="C490" s="141" t="n">
        <f aca="false">Scoring!C496</f>
        <v>0</v>
      </c>
      <c r="D490" s="142" t="str">
        <f aca="false">Scoring!BG496</f>
        <v/>
      </c>
      <c r="E490" s="141" t="str">
        <f aca="false">Scoring!AG496</f>
        <v/>
      </c>
      <c r="F490" s="141" t="n">
        <f aca="false">Scoring!B496</f>
        <v>0</v>
      </c>
      <c r="G490" s="141" t="n">
        <f aca="false">Scoring!D496</f>
        <v>0</v>
      </c>
      <c r="H490" s="141" t="str">
        <f aca="false">Scoring!BI496</f>
        <v/>
      </c>
      <c r="I490" s="143" t="str">
        <f aca="false">Scoring!BH496</f>
        <v/>
      </c>
    </row>
    <row r="491" customFormat="false" ht="15.75" hidden="false" customHeight="false" outlineLevel="0" collapsed="false">
      <c r="A491" s="141" t="str">
        <f aca="false">Scoring!BK497</f>
        <v/>
      </c>
      <c r="B491" s="141" t="str">
        <f aca="false">Scoring!BJ497</f>
        <v/>
      </c>
      <c r="C491" s="141" t="n">
        <f aca="false">Scoring!C497</f>
        <v>0</v>
      </c>
      <c r="D491" s="142" t="str">
        <f aca="false">Scoring!BG497</f>
        <v/>
      </c>
      <c r="E491" s="141" t="str">
        <f aca="false">Scoring!AG497</f>
        <v/>
      </c>
      <c r="F491" s="141" t="n">
        <f aca="false">Scoring!B497</f>
        <v>0</v>
      </c>
      <c r="G491" s="141" t="n">
        <f aca="false">Scoring!D497</f>
        <v>0</v>
      </c>
      <c r="H491" s="141" t="str">
        <f aca="false">Scoring!BI497</f>
        <v/>
      </c>
      <c r="I491" s="143" t="str">
        <f aca="false">Scoring!BH497</f>
        <v/>
      </c>
    </row>
    <row r="492" customFormat="false" ht="15.75" hidden="false" customHeight="false" outlineLevel="0" collapsed="false">
      <c r="A492" s="141" t="str">
        <f aca="false">Scoring!BK498</f>
        <v/>
      </c>
      <c r="B492" s="141" t="str">
        <f aca="false">Scoring!BJ498</f>
        <v/>
      </c>
      <c r="C492" s="141" t="n">
        <f aca="false">Scoring!C498</f>
        <v>0</v>
      </c>
      <c r="D492" s="142" t="str">
        <f aca="false">Scoring!BG498</f>
        <v/>
      </c>
      <c r="E492" s="141" t="str">
        <f aca="false">Scoring!AG498</f>
        <v/>
      </c>
      <c r="F492" s="141" t="n">
        <f aca="false">Scoring!B498</f>
        <v>0</v>
      </c>
      <c r="G492" s="141" t="n">
        <f aca="false">Scoring!D498</f>
        <v>0</v>
      </c>
      <c r="H492" s="141" t="str">
        <f aca="false">Scoring!BI498</f>
        <v/>
      </c>
      <c r="I492" s="143" t="str">
        <f aca="false">Scoring!BH498</f>
        <v/>
      </c>
    </row>
    <row r="493" customFormat="false" ht="15.75" hidden="false" customHeight="false" outlineLevel="0" collapsed="false">
      <c r="A493" s="141" t="str">
        <f aca="false">Scoring!BK499</f>
        <v/>
      </c>
      <c r="B493" s="141" t="str">
        <f aca="false">Scoring!BJ499</f>
        <v/>
      </c>
      <c r="C493" s="141" t="n">
        <f aca="false">Scoring!C499</f>
        <v>0</v>
      </c>
      <c r="D493" s="142" t="str">
        <f aca="false">Scoring!BG499</f>
        <v/>
      </c>
      <c r="E493" s="141" t="str">
        <f aca="false">Scoring!AG499</f>
        <v/>
      </c>
      <c r="F493" s="141" t="n">
        <f aca="false">Scoring!B499</f>
        <v>0</v>
      </c>
      <c r="G493" s="141" t="n">
        <f aca="false">Scoring!D499</f>
        <v>0</v>
      </c>
      <c r="H493" s="141" t="str">
        <f aca="false">Scoring!BI499</f>
        <v/>
      </c>
      <c r="I493" s="143" t="str">
        <f aca="false">Scoring!BH499</f>
        <v/>
      </c>
    </row>
    <row r="494" customFormat="false" ht="15.75" hidden="false" customHeight="false" outlineLevel="0" collapsed="false">
      <c r="A494" s="141" t="str">
        <f aca="false">Scoring!BK500</f>
        <v/>
      </c>
      <c r="B494" s="141" t="str">
        <f aca="false">Scoring!BJ500</f>
        <v/>
      </c>
      <c r="C494" s="141" t="n">
        <f aca="false">Scoring!C500</f>
        <v>0</v>
      </c>
      <c r="D494" s="142" t="str">
        <f aca="false">Scoring!BG500</f>
        <v/>
      </c>
      <c r="E494" s="141" t="str">
        <f aca="false">Scoring!AG500</f>
        <v/>
      </c>
      <c r="F494" s="141" t="n">
        <f aca="false">Scoring!B500</f>
        <v>0</v>
      </c>
      <c r="G494" s="141" t="n">
        <f aca="false">Scoring!D500</f>
        <v>0</v>
      </c>
      <c r="H494" s="141" t="str">
        <f aca="false">Scoring!BI500</f>
        <v/>
      </c>
      <c r="I494" s="143" t="str">
        <f aca="false">Scoring!BH500</f>
        <v/>
      </c>
    </row>
    <row r="495" customFormat="false" ht="15.75" hidden="false" customHeight="false" outlineLevel="0" collapsed="false">
      <c r="A495" s="141" t="str">
        <f aca="false">Scoring!BK501</f>
        <v/>
      </c>
      <c r="B495" s="141" t="str">
        <f aca="false">Scoring!BJ501</f>
        <v/>
      </c>
      <c r="C495" s="141" t="n">
        <f aca="false">Scoring!C501</f>
        <v>0</v>
      </c>
      <c r="D495" s="142" t="str">
        <f aca="false">Scoring!BG501</f>
        <v/>
      </c>
      <c r="E495" s="141" t="str">
        <f aca="false">Scoring!AG501</f>
        <v/>
      </c>
      <c r="F495" s="141" t="n">
        <f aca="false">Scoring!B501</f>
        <v>0</v>
      </c>
      <c r="G495" s="141" t="n">
        <f aca="false">Scoring!D501</f>
        <v>0</v>
      </c>
      <c r="H495" s="141" t="str">
        <f aca="false">Scoring!BI501</f>
        <v/>
      </c>
      <c r="I495" s="143" t="str">
        <f aca="false">Scoring!BH501</f>
        <v/>
      </c>
    </row>
    <row r="496" customFormat="false" ht="15.75" hidden="false" customHeight="false" outlineLevel="0" collapsed="false">
      <c r="A496" s="141" t="str">
        <f aca="false">Scoring!BK502</f>
        <v/>
      </c>
      <c r="B496" s="141" t="str">
        <f aca="false">Scoring!BJ502</f>
        <v/>
      </c>
      <c r="C496" s="141" t="n">
        <f aca="false">Scoring!C502</f>
        <v>0</v>
      </c>
      <c r="D496" s="142" t="str">
        <f aca="false">Scoring!BG502</f>
        <v/>
      </c>
      <c r="E496" s="141" t="str">
        <f aca="false">Scoring!AG502</f>
        <v/>
      </c>
      <c r="F496" s="141" t="n">
        <f aca="false">Scoring!B502</f>
        <v>0</v>
      </c>
      <c r="G496" s="141" t="n">
        <f aca="false">Scoring!D502</f>
        <v>0</v>
      </c>
      <c r="H496" s="141" t="str">
        <f aca="false">Scoring!BI502</f>
        <v/>
      </c>
      <c r="I496" s="143" t="str">
        <f aca="false">Scoring!BH502</f>
        <v/>
      </c>
    </row>
    <row r="497" customFormat="false" ht="15.75" hidden="false" customHeight="false" outlineLevel="0" collapsed="false">
      <c r="A497" s="141" t="str">
        <f aca="false">Scoring!BK503</f>
        <v/>
      </c>
      <c r="B497" s="141" t="str">
        <f aca="false">Scoring!BJ503</f>
        <v/>
      </c>
      <c r="C497" s="141" t="n">
        <f aca="false">Scoring!C503</f>
        <v>0</v>
      </c>
      <c r="D497" s="142" t="str">
        <f aca="false">Scoring!BG503</f>
        <v/>
      </c>
      <c r="E497" s="141" t="str">
        <f aca="false">Scoring!AG503</f>
        <v/>
      </c>
      <c r="F497" s="141" t="n">
        <f aca="false">Scoring!B503</f>
        <v>0</v>
      </c>
      <c r="G497" s="141" t="n">
        <f aca="false">Scoring!D503</f>
        <v>0</v>
      </c>
      <c r="H497" s="141" t="str">
        <f aca="false">Scoring!BI503</f>
        <v/>
      </c>
      <c r="I497" s="143" t="str">
        <f aca="false">Scoring!BH503</f>
        <v/>
      </c>
    </row>
    <row r="498" customFormat="false" ht="15.75" hidden="false" customHeight="false" outlineLevel="0" collapsed="false">
      <c r="A498" s="141" t="str">
        <f aca="false">Scoring!BK504</f>
        <v/>
      </c>
      <c r="B498" s="141" t="str">
        <f aca="false">Scoring!BJ504</f>
        <v/>
      </c>
      <c r="C498" s="141" t="n">
        <f aca="false">Scoring!C504</f>
        <v>0</v>
      </c>
      <c r="D498" s="142" t="str">
        <f aca="false">Scoring!BG504</f>
        <v/>
      </c>
      <c r="E498" s="141" t="str">
        <f aca="false">Scoring!AG504</f>
        <v/>
      </c>
      <c r="F498" s="141" t="n">
        <f aca="false">Scoring!B504</f>
        <v>0</v>
      </c>
      <c r="G498" s="141" t="n">
        <f aca="false">Scoring!D504</f>
        <v>0</v>
      </c>
      <c r="H498" s="141" t="str">
        <f aca="false">Scoring!BI504</f>
        <v/>
      </c>
      <c r="I498" s="143" t="str">
        <f aca="false">Scoring!BH504</f>
        <v/>
      </c>
    </row>
    <row r="499" customFormat="false" ht="15.75" hidden="false" customHeight="false" outlineLevel="0" collapsed="false">
      <c r="A499" s="141" t="str">
        <f aca="false">Scoring!BK505</f>
        <v/>
      </c>
      <c r="B499" s="141" t="str">
        <f aca="false">Scoring!BJ505</f>
        <v/>
      </c>
      <c r="C499" s="141" t="n">
        <f aca="false">Scoring!C505</f>
        <v>0</v>
      </c>
      <c r="D499" s="142" t="str">
        <f aca="false">Scoring!BG505</f>
        <v/>
      </c>
      <c r="E499" s="141" t="str">
        <f aca="false">Scoring!AG505</f>
        <v/>
      </c>
      <c r="F499" s="141" t="n">
        <f aca="false">Scoring!B505</f>
        <v>0</v>
      </c>
      <c r="G499" s="141" t="n">
        <f aca="false">Scoring!D505</f>
        <v>0</v>
      </c>
      <c r="H499" s="141" t="str">
        <f aca="false">Scoring!BI505</f>
        <v/>
      </c>
      <c r="I499" s="143" t="str">
        <f aca="false">Scoring!BH505</f>
        <v/>
      </c>
    </row>
    <row r="500" customFormat="false" ht="15.75" hidden="false" customHeight="false" outlineLevel="0" collapsed="false">
      <c r="A500" s="141" t="str">
        <f aca="false">Scoring!BK506</f>
        <v/>
      </c>
      <c r="B500" s="141" t="str">
        <f aca="false">Scoring!BJ506</f>
        <v/>
      </c>
      <c r="C500" s="141" t="n">
        <f aca="false">Scoring!C506</f>
        <v>0</v>
      </c>
      <c r="D500" s="142" t="str">
        <f aca="false">Scoring!BG506</f>
        <v/>
      </c>
      <c r="E500" s="141" t="str">
        <f aca="false">Scoring!AG506</f>
        <v/>
      </c>
      <c r="F500" s="141" t="n">
        <f aca="false">Scoring!B506</f>
        <v>0</v>
      </c>
      <c r="G500" s="141" t="n">
        <f aca="false">Scoring!D506</f>
        <v>0</v>
      </c>
      <c r="H500" s="141" t="str">
        <f aca="false">Scoring!BI506</f>
        <v/>
      </c>
      <c r="I500" s="143" t="str">
        <f aca="false">Scoring!BH506</f>
        <v/>
      </c>
    </row>
    <row r="501" customFormat="false" ht="15.75" hidden="false" customHeight="false" outlineLevel="0" collapsed="false">
      <c r="A501" s="141" t="str">
        <f aca="false">Scoring!BK507</f>
        <v/>
      </c>
      <c r="B501" s="141" t="str">
        <f aca="false">Scoring!BJ507</f>
        <v/>
      </c>
      <c r="C501" s="141" t="n">
        <f aca="false">Scoring!C507</f>
        <v>0</v>
      </c>
      <c r="D501" s="142" t="str">
        <f aca="false">Scoring!BG507</f>
        <v/>
      </c>
      <c r="E501" s="141" t="str">
        <f aca="false">Scoring!AG507</f>
        <v/>
      </c>
      <c r="F501" s="141" t="n">
        <f aca="false">Scoring!B507</f>
        <v>0</v>
      </c>
      <c r="G501" s="141" t="n">
        <f aca="false">Scoring!D507</f>
        <v>0</v>
      </c>
      <c r="H501" s="141" t="str">
        <f aca="false">Scoring!BI507</f>
        <v/>
      </c>
      <c r="I501" s="143" t="str">
        <f aca="false">Scoring!BH507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2026-10-01T01:05:12Z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